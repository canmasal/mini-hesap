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Tazminat Hesabı" state="visible" r:id="rId5"/>
    <sheet sheetId="3" name="Yıllık İzin" state="visible" r:id="rId6"/>
    <sheet sheetId="4" name="Özet" state="visible" r:id="rId7"/>
  </sheets>
  <calcPr calcId="171027"/>
</workbook>
</file>

<file path=xl/sharedStrings.xml><?xml version="1.0" encoding="utf-8"?>
<sst xmlns="http://schemas.openxmlformats.org/spreadsheetml/2006/main" count="59" uniqueCount="59">
  <si>
    <t>Nasıl Kullanılır?</t>
  </si>
  <si>
    <t>MiniHesap · minihesap.net</t>
  </si>
  <si>
    <t>Bu dosya ne işe yarar?</t>
  </si>
  <si>
    <t>İşten ayrılma durumunda kıdem tazminatı, ihbar tazminatı ve kullanılmayan yıllık izin ücretinizi tek sayfada hesaplar; toplam alacağınızı gösterir.</t>
  </si>
  <si>
    <t>Adım adım</t>
  </si>
  <si>
    <t>1. 'Tazminat Hesabı' sayfasındaki sarı hücreleri doldurun: işe giriş ve çıkış tarihi, son brüt ücret ve düzenli yan haklar.</t>
  </si>
  <si>
    <t>2. Çalışma süreniz, ihbar süreniz ve tazminat tutarlarınız otomatik hesaplanır.</t>
  </si>
  <si>
    <t>3. 'Yıllık İzin' sayfasında hak ettiğiniz ve kullandığınız izin günlerini girin; kalan izin ücreti hesaplanır.</t>
  </si>
  <si>
    <t>4. 'Özet' sayfası toplam alacağınızı ve kesintileri gösterir.</t>
  </si>
  <si>
    <t>Bilmeniz gerekenler</t>
  </si>
  <si>
    <t>Kıdem tazminatı her tam yıl için 30 günlük giydirilmiş brüt ücret üzerinden hesaplanır; artan süreler orantılanır.</t>
  </si>
  <si>
    <t>Kıdem tazminatında yalnızca damga vergisi kesilir, gelir vergisi kesilmez.</t>
  </si>
  <si>
    <t>İhbar tazminatı brüttür ve hem gelir vergisi hem damga vergisine tabidir.</t>
  </si>
  <si>
    <t>Kıdem tazminatı devletin ilan ettiği tavan tutarı aşamaz; tavanı 'Tazminat Hesabı' sayfasına girmeniz gerekir.</t>
  </si>
  <si>
    <t>İstifa eden çalışan kural olarak kıdem tazminatına hak kazanmaz (askerlik, evlilik, emeklilik gibi istisnalar hariç).</t>
  </si>
  <si>
    <t>Sarı hücreler sizin dolduracağınız alanlardır. Yeşil hücreler otomatik hesaplanır, formüllerini değiştirmeyin.</t>
  </si>
  <si>
    <t>Bu dosyadaki hesaplamalar bilgilendirme amaçlıdır; resmî bordro, banka hesabı veya mali müşavir görüşü yerine geçmez. © MiniHesap</t>
  </si>
  <si>
    <t>Kıdem ve İhbar Tazminatı Hesabı</t>
  </si>
  <si>
    <t>Sarı alanları doldurun · yeşil alanlar otomatik hesaplanır</t>
  </si>
  <si>
    <t>GİRİŞ BİLGİLERİ</t>
  </si>
  <si>
    <t>HESAPLANAN</t>
  </si>
  <si>
    <t>İşe Giriş Tarihi</t>
  </si>
  <si>
    <t>Toplam Çalışma (gün)</t>
  </si>
  <si>
    <t>İşten Çıkış Tarihi</t>
  </si>
  <si>
    <t>Çalışma Süresi (yıl)</t>
  </si>
  <si>
    <t>Son Aylık Brüt Ücret</t>
  </si>
  <si>
    <t>Giydirilmiş Brüt Ücret</t>
  </si>
  <si>
    <t>Aylık Yemek Yardımı</t>
  </si>
  <si>
    <t>Kıdeme Esas Günlük Ücret</t>
  </si>
  <si>
    <t>Aylık Yol Yardımı</t>
  </si>
  <si>
    <t>Kıdem Tazminatı (brüt)</t>
  </si>
  <si>
    <t>Aylık Diğer Düzenli Yan Hak</t>
  </si>
  <si>
    <t>Kıdem Damga Vergisi</t>
  </si>
  <si>
    <t>Kıdem Tazminatı Tavanı (dönem)</t>
  </si>
  <si>
    <t>KIDEM TAZMİNATI (NET)</t>
  </si>
  <si>
    <t>Damga Vergisi Oranı</t>
  </si>
  <si>
    <t>Gelir Vergisi Oranı (ihbar için)</t>
  </si>
  <si>
    <t>İhbar Süresi (hafta)</t>
  </si>
  <si>
    <t>İhbar Tazminatı (brüt)</t>
  </si>
  <si>
    <t>Not: Kıdem tazminatı tavanı her 6 ayda bir değişir; güncel tutarı girmeyi unutmayın.</t>
  </si>
  <si>
    <t>İhbar Gelir Vergisi</t>
  </si>
  <si>
    <t>İhbar Damga Vergisi</t>
  </si>
  <si>
    <t>İHBAR TAZMİNATI (NET)</t>
  </si>
  <si>
    <t>Kullanılmayan Yıllık İzin Ücreti</t>
  </si>
  <si>
    <t>Hak edilen ve kullanılan izin günlerini girin</t>
  </si>
  <si>
    <t>Hak Edilen Toplam İzin (gün)</t>
  </si>
  <si>
    <t>Kullanılan İzin (gün)</t>
  </si>
  <si>
    <t>Kalan İzin (gün)</t>
  </si>
  <si>
    <t>Günlük Brüt Ücret</t>
  </si>
  <si>
    <t>İzin Ücreti (brüt)</t>
  </si>
  <si>
    <t>Damga Vergisi</t>
  </si>
  <si>
    <t>İZİN ÜCRETİ (NET)</t>
  </si>
  <si>
    <t>Toplam Alacak Özeti</t>
  </si>
  <si>
    <t>İşten ayrılış sonrası alacağınız toplam tutar</t>
  </si>
  <si>
    <t>Kıdem Tazminatı (net)</t>
  </si>
  <si>
    <t>İhbar Tazminatı (net)</t>
  </si>
  <si>
    <t>Kullanılmayan İzin Ücreti (net)</t>
  </si>
  <si>
    <t>TOPLAM NET ALACAK</t>
  </si>
  <si>
    <t>Bu dosya bilgilendirme amaçlıdır. Kesin tutarlar için işvereninize veya mali müşavirinize danışın.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</si>
</sst>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#,##0.00\ &quot;₺&quot;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17066"/>
      <sz val="10"/>
      <name val="Calibri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10231A"/>
      <sz val="10"/>
    </font>
    <font>
      <b/>
      <color rgb="FF166534"/>
      <sz val="13"/>
    </font>
    <font>
      <i/>
      <color rgb="FF854D0E"/>
      <sz val="9"/>
    </font>
    <font>
      <b/>
      <color rgb="FF10231A"/>
      <sz val="13"/>
    </font>
    <font>
      <b/>
      <color rgb="FF166534"/>
      <sz val="15"/>
    </font>
  </fonts>
  <fills count="5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164" fontId="0" fillId="4" borderId="1" xfId="0" applyNumberFormat="1" applyFill="1" applyBorder="1"/>
    <xf numFmtId="1" fontId="3" fillId="3" borderId="1" xfId="0" applyNumberFormat="1" applyFont="1" applyFill="1" applyBorder="1"/>
    <xf numFmtId="2" fontId="3" fillId="3" borderId="1" xfId="0" applyNumberFormat="1" applyFont="1" applyFill="1" applyBorder="1"/>
    <xf numFmtId="165" fontId="0" fillId="4" borderId="1" xfId="0" applyNumberFormat="1" applyFill="1" applyBorder="1"/>
    <xf numFmtId="165" fontId="3" fillId="3" borderId="1" xfId="0" applyNumberFormat="1" applyFont="1" applyFill="1" applyBorder="1"/>
    <xf numFmtId="165" fontId="7" fillId="3" borderId="1" xfId="0" applyNumberFormat="1" applyFont="1" applyFill="1" applyBorder="1"/>
    <xf numFmtId="10" fontId="0" fillId="4" borderId="1" xfId="0" applyNumberFormat="1" applyFill="1" applyBorder="1"/>
    <xf numFmtId="0" fontId="8" fillId="0" borderId="0" xfId="0" applyFont="1" applyAlignment="1">
      <alignment vertical="top" wrapText="1"/>
    </xf>
    <xf numFmtId="1" fontId="0" fillId="4" borderId="1" xfId="0" applyNumberFormat="1" applyFill="1" applyBorder="1"/>
    <xf numFmtId="165" fontId="0" fillId="0" borderId="2" xfId="0" applyNumberFormat="1" applyBorder="1"/>
    <xf numFmtId="0" fontId="9" fillId="0" borderId="0" xfId="0" applyFont="1"/>
    <xf numFmtId="165" fontId="10" fillId="3" borderId="1" xfId="0" applyNumberFormat="1" applyFont="1" applyFill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2"/>
  <sheetFormatPr defaultRowHeight="15" outlineLevelRow="0" outlineLevelCol="0" x14ac:dyDescent="55"/>
  <cols>
    <col min="1" max="1" width="4" customWidth="1"/>
    <col min="2" max="2" width="110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32" customHeight="1" spans="2:2" x14ac:dyDescent="0.25">
      <c r="B5" s="4" t="s">
        <v>3</v>
      </c>
    </row>
    <row r="7" spans="2:2" x14ac:dyDescent="0.25">
      <c r="B7" s="3" t="s">
        <v>4</v>
      </c>
    </row>
    <row r="8" ht="32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32" customHeight="1" spans="2:2" x14ac:dyDescent="0.25">
      <c r="B10" s="4" t="s">
        <v>7</v>
      </c>
    </row>
    <row r="11" ht="18" customHeight="1" spans="2:2" x14ac:dyDescent="0.25">
      <c r="B11" s="4" t="s">
        <v>8</v>
      </c>
    </row>
    <row r="13" spans="2:2" x14ac:dyDescent="0.25">
      <c r="B13" s="3" t="s">
        <v>9</v>
      </c>
    </row>
    <row r="14" ht="32" customHeight="1" spans="2:2" x14ac:dyDescent="0.25">
      <c r="B14" s="4" t="s">
        <v>10</v>
      </c>
    </row>
    <row r="15" ht="18" customHeight="1" spans="2:2" x14ac:dyDescent="0.25">
      <c r="B15" s="4" t="s">
        <v>11</v>
      </c>
    </row>
    <row r="16" ht="18" customHeight="1" spans="2:2" x14ac:dyDescent="0.25">
      <c r="B16" s="4" t="s">
        <v>12</v>
      </c>
    </row>
    <row r="17" ht="32" customHeight="1" spans="2:2" x14ac:dyDescent="0.25">
      <c r="B17" s="4" t="s">
        <v>13</v>
      </c>
    </row>
    <row r="18" ht="32" customHeight="1" spans="2:2" x14ac:dyDescent="0.25">
      <c r="B18" s="4" t="s">
        <v>14</v>
      </c>
    </row>
    <row r="20" spans="2:2" x14ac:dyDescent="0.25">
      <c r="B20" s="5" t="s">
        <v>15</v>
      </c>
    </row>
    <row r="22" spans="2:2" x14ac:dyDescent="0.25">
      <c r="B22" s="6" t="s">
        <v>16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3" customWidth="1"/>
    <col min="2" max="2" width="38" customWidth="1"/>
    <col min="3" max="3" width="20" customWidth="1"/>
    <col min="4" max="4" width="4" customWidth="1"/>
    <col min="5" max="5" width="36" customWidth="1"/>
    <col min="6" max="6" width="20" customWidth="1"/>
  </cols>
  <sheetData>
    <row r="1" ht="34" customHeight="1" spans="1:6" x14ac:dyDescent="0.25">
      <c r="A1" s="1" t="s">
        <v>17</v>
      </c>
      <c r="B1" s="1"/>
      <c r="C1" s="1"/>
      <c r="D1" s="1"/>
      <c r="E1" s="1"/>
      <c r="F1" s="1"/>
    </row>
    <row r="2" ht="20" customHeight="1" spans="1:6" x14ac:dyDescent="0.25">
      <c r="A2" s="2" t="s">
        <v>18</v>
      </c>
      <c r="B2" s="2"/>
      <c r="C2" s="2"/>
      <c r="D2" s="2"/>
      <c r="E2" s="2"/>
      <c r="F2" s="2"/>
    </row>
    <row r="4" spans="2:5" x14ac:dyDescent="0.25">
      <c r="B4" s="3" t="s">
        <v>19</v>
      </c>
      <c r="E4" s="3" t="s">
        <v>20</v>
      </c>
    </row>
    <row r="5" spans="2:6" x14ac:dyDescent="0.25">
      <c r="B5" s="7" t="s">
        <v>21</v>
      </c>
      <c r="C5" s="8">
        <v>43159.875</v>
      </c>
      <c r="E5" s="7" t="s">
        <v>22</v>
      </c>
      <c r="F5" s="9">
        <f>C6-C5</f>
      </c>
    </row>
    <row r="6" spans="2:6" x14ac:dyDescent="0.25">
      <c r="B6" s="7" t="s">
        <v>23</v>
      </c>
      <c r="C6" s="8">
        <v>46294.875</v>
      </c>
      <c r="E6" s="7" t="s">
        <v>24</v>
      </c>
      <c r="F6" s="10">
        <f>F5/365</f>
      </c>
    </row>
    <row r="7" spans="2:6" x14ac:dyDescent="0.25">
      <c r="B7" s="7" t="s">
        <v>25</v>
      </c>
      <c r="C7" s="11">
        <v>60000</v>
      </c>
      <c r="E7" s="7" t="s">
        <v>26</v>
      </c>
      <c r="F7" s="12">
        <f>C7+C8+C9+C10</f>
      </c>
    </row>
    <row r="8" spans="2:6" x14ac:dyDescent="0.25">
      <c r="B8" s="7" t="s">
        <v>27</v>
      </c>
      <c r="C8" s="11">
        <v>3000</v>
      </c>
      <c r="E8" s="7" t="s">
        <v>28</v>
      </c>
      <c r="F8" s="12">
        <f>MIN(F7,C11)/30</f>
      </c>
    </row>
    <row r="9" spans="2:6" x14ac:dyDescent="0.25">
      <c r="B9" s="7" t="s">
        <v>29</v>
      </c>
      <c r="C9" s="11">
        <v>2500</v>
      </c>
      <c r="E9" s="7" t="s">
        <v>30</v>
      </c>
      <c r="F9" s="12">
        <f>F8*30*F6</f>
      </c>
    </row>
    <row r="10" spans="2:6" x14ac:dyDescent="0.25">
      <c r="B10" s="7" t="s">
        <v>31</v>
      </c>
      <c r="C10" s="11">
        <v>0</v>
      </c>
      <c r="E10" s="7" t="s">
        <v>32</v>
      </c>
      <c r="F10" s="12">
        <f>F9*C12</f>
      </c>
    </row>
    <row r="11" spans="2:6" x14ac:dyDescent="0.25">
      <c r="B11" s="7" t="s">
        <v>33</v>
      </c>
      <c r="C11" s="11">
        <v>53919.68</v>
      </c>
      <c r="E11" s="7" t="s">
        <v>34</v>
      </c>
      <c r="F11" s="13">
        <f>F9-F10</f>
      </c>
    </row>
    <row r="12" spans="2:3" x14ac:dyDescent="0.25">
      <c r="B12" s="7" t="s">
        <v>35</v>
      </c>
      <c r="C12" s="14">
        <v>0.00759</v>
      </c>
    </row>
    <row r="13" spans="2:6" x14ac:dyDescent="0.25">
      <c r="B13" s="7" t="s">
        <v>36</v>
      </c>
      <c r="C13" s="14">
        <v>0.15</v>
      </c>
      <c r="E13" s="7" t="s">
        <v>37</v>
      </c>
      <c r="F13" s="9">
        <f>IF(F6&lt;0.5,2,IF(F6&lt;1.5,4,IF(F6&lt;3,6,8)))</f>
      </c>
    </row>
    <row r="14" spans="5:6" x14ac:dyDescent="0.25">
      <c r="E14" s="7" t="s">
        <v>38</v>
      </c>
      <c r="F14" s="12">
        <f>(F7/30)*F13*7</f>
      </c>
    </row>
    <row r="15" spans="2:6" x14ac:dyDescent="0.25">
      <c r="B15" s="15" t="s">
        <v>39</v>
      </c>
      <c r="C15" s="15"/>
      <c r="E15" s="7" t="s">
        <v>40</v>
      </c>
      <c r="F15" s="12">
        <f>F14*C13</f>
      </c>
    </row>
    <row r="16" spans="2:6" x14ac:dyDescent="0.25">
      <c r="B16" s="15"/>
      <c r="C16" s="15"/>
      <c r="E16" s="7" t="s">
        <v>41</v>
      </c>
      <c r="F16" s="12">
        <f>F14*C12</f>
      </c>
    </row>
    <row r="17" spans="2:6" x14ac:dyDescent="0.25">
      <c r="B17" s="15"/>
      <c r="C17" s="15"/>
      <c r="E17" s="7" t="s">
        <v>42</v>
      </c>
      <c r="F17" s="13">
        <f>F14-F15-F16</f>
      </c>
    </row>
    <row r="18" spans="2:3" x14ac:dyDescent="0.25">
      <c r="B18" s="15"/>
      <c r="C18" s="15"/>
    </row>
  </sheetData>
  <mergeCells count="3">
    <mergeCell ref="A1:F1"/>
    <mergeCell ref="A2:F2"/>
    <mergeCell ref="B15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" customWidth="1"/>
    <col min="2" max="2" width="34" customWidth="1"/>
    <col min="3" max="3" width="18" customWidth="1"/>
  </cols>
  <sheetData>
    <row r="1" ht="34" customHeight="1" spans="1:4" x14ac:dyDescent="0.25">
      <c r="A1" s="1" t="s">
        <v>43</v>
      </c>
      <c r="B1" s="1"/>
      <c r="C1" s="1"/>
      <c r="D1" s="1"/>
    </row>
    <row r="2" ht="20" customHeight="1" spans="1:4" x14ac:dyDescent="0.25">
      <c r="A2" s="2" t="s">
        <v>44</v>
      </c>
      <c r="B2" s="2"/>
      <c r="C2" s="2"/>
      <c r="D2" s="2"/>
    </row>
    <row r="4" spans="2:3" x14ac:dyDescent="0.25">
      <c r="B4" s="7" t="s">
        <v>45</v>
      </c>
      <c r="C4" s="16">
        <v>56</v>
      </c>
    </row>
    <row r="5" spans="2:3" x14ac:dyDescent="0.25">
      <c r="B5" s="7" t="s">
        <v>46</v>
      </c>
      <c r="C5" s="16">
        <v>34</v>
      </c>
    </row>
    <row r="7" spans="2:3" x14ac:dyDescent="0.25">
      <c r="B7" s="7" t="s">
        <v>47</v>
      </c>
      <c r="C7" s="9">
        <f>C4-C5</f>
      </c>
    </row>
    <row r="8" spans="2:3" x14ac:dyDescent="0.25">
      <c r="B8" s="7" t="s">
        <v>48</v>
      </c>
      <c r="C8" s="12">
        <f>'Tazminat Hesabı'!C7/30</f>
      </c>
    </row>
    <row r="9" spans="2:3" x14ac:dyDescent="0.25">
      <c r="B9" s="7" t="s">
        <v>49</v>
      </c>
      <c r="C9" s="12">
        <f>C7*C8</f>
      </c>
    </row>
    <row r="10" spans="2:3" x14ac:dyDescent="0.25">
      <c r="B10" s="7" t="s">
        <v>50</v>
      </c>
      <c r="C10" s="12">
        <f>C9*'Tazminat Hesabı'!C12</f>
      </c>
    </row>
    <row r="11" spans="2:3" x14ac:dyDescent="0.25">
      <c r="B11" s="7" t="s">
        <v>51</v>
      </c>
      <c r="C11" s="13">
        <f>C9-C10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D11"/>
  <sheetFormatPr defaultRowHeight="15" outlineLevelRow="0" outlineLevelCol="0" x14ac:dyDescent="55"/>
  <cols>
    <col min="1" max="1" width="3" customWidth="1"/>
    <col min="2" max="2" width="40" customWidth="1"/>
    <col min="3" max="3" width="22" customWidth="1"/>
  </cols>
  <sheetData>
    <row r="1" ht="34" customHeight="1" spans="1:4" x14ac:dyDescent="0.25">
      <c r="A1" s="1" t="s">
        <v>52</v>
      </c>
      <c r="B1" s="1"/>
      <c r="C1" s="1"/>
      <c r="D1" s="1"/>
    </row>
    <row r="2" ht="20" customHeight="1" spans="1:4" x14ac:dyDescent="0.25">
      <c r="A2" s="2" t="s">
        <v>53</v>
      </c>
      <c r="B2" s="2"/>
      <c r="C2" s="2"/>
      <c r="D2" s="2"/>
    </row>
    <row r="4" spans="2:3" x14ac:dyDescent="0.25">
      <c r="B4" s="7" t="s">
        <v>54</v>
      </c>
      <c r="C4" s="17">
        <f>'Tazminat Hesabı'!F11</f>
      </c>
    </row>
    <row r="5" spans="2:3" x14ac:dyDescent="0.25">
      <c r="B5" s="7" t="s">
        <v>55</v>
      </c>
      <c r="C5" s="17">
        <f>'Tazminat Hesabı'!F17</f>
      </c>
    </row>
    <row r="6" spans="2:3" x14ac:dyDescent="0.25">
      <c r="B6" s="7" t="s">
        <v>56</v>
      </c>
      <c r="C6" s="17">
        <f>'Yıllık İzin'!C11</f>
      </c>
    </row>
    <row r="8" spans="2:3" x14ac:dyDescent="0.25">
      <c r="B8" s="18" t="s">
        <v>57</v>
      </c>
      <c r="C8" s="19">
        <f>SUM(C4:C6)</f>
      </c>
    </row>
    <row r="10" spans="2:3" x14ac:dyDescent="0.25">
      <c r="B10" s="20" t="s">
        <v>58</v>
      </c>
      <c r="C10" s="20"/>
    </row>
    <row r="11" spans="2:3" x14ac:dyDescent="0.25">
      <c r="B11" s="20"/>
      <c r="C11" s="20"/>
    </row>
  </sheetData>
  <mergeCells count="3">
    <mergeCell ref="A1:D1"/>
    <mergeCell ref="A2:D2"/>
    <mergeCell ref="B10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Nasıl Kullanılır</vt:lpstr>
      <vt:lpstr>Tazminat Hesabı</vt:lpstr>
      <vt:lpstr>Yıllık İzin</vt:lpstr>
      <vt:lpstr>Özet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2026-09-11T06:26:13Z</dcterms:created>
  <dcterms:modified xsi:type="dcterms:W3CDTF">2026-09-11T06:26:13Z</dcterms:modified>
</cp:coreProperties>
</file>