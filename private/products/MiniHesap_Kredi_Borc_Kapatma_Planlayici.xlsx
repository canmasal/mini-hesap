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sıl Kullanılır" state="visible" r:id="rId4"/>
    <sheet sheetId="2" name="Kredi Planı" state="visible" r:id="rId5"/>
    <sheet sheetId="3" name="Borç Listesi" state="visible" r:id="rId6"/>
  </sheets>
  <calcPr calcId="171027"/>
</workbook>
</file>

<file path=xl/sharedStrings.xml><?xml version="1.0" encoding="utf-8"?>
<sst xmlns="http://schemas.openxmlformats.org/spreadsheetml/2006/main" count="69" uniqueCount="51">
  <si>
    <t>Nasıl Kullanılır?</t>
  </si>
  <si>
    <t>MiniHesap · minihesap.net</t>
  </si>
  <si>
    <t>Bu dosya ne işe yarar?</t>
  </si>
  <si>
    <t>Kredinizin aylık taksitini, toplam faizini ve 120 aya kadar ödeme planını hesaplar. Ayrıca ek ödeme yaparsanız krediyi kaç ay erken kapatacağınızı ve ne kadar faizden kurtulacağınızı gösterir.</t>
  </si>
  <si>
    <t>Adım adım</t>
  </si>
  <si>
    <t>1. 'Kredi Planı' sayfasında kredi tutarı, aylık faiz oranı ve vadeyi girin.</t>
  </si>
  <si>
    <t>2. Aylık taksit ve toplam geri ödeme otomatik hesaplanır.</t>
  </si>
  <si>
    <t>3. 'Aylık ek ödeme' hücresine her ay fazladan ödeyebileceğiniz tutarı yazın.</t>
  </si>
  <si>
    <t>4. Ödeme planı tablosunda kredinin ne zaman bittiğini ve toplam faiz farkını görün.</t>
  </si>
  <si>
    <t>5. 'Borç Listesi' sayfasına tüm borçlarınızı girip hangisini önce kapatmanız gerektiğini görün.</t>
  </si>
  <si>
    <t>Kartopu mu çığ mı?</t>
  </si>
  <si>
    <t>Çığ yöntemi: en yüksek faizli borcu önce kapatırsınız, matematiksel olarak en az faiz ödersiniz.</t>
  </si>
  <si>
    <t>Kartopu yöntemi: en küçük borcu önce kapatırsınız, motivasyon açısından kolaydır.</t>
  </si>
  <si>
    <t>'Borç Listesi' sayfası her iki sıralamayı da gösterir.</t>
  </si>
  <si>
    <t>Sarı hücreler sizin dolduracağınız alanlardır. Yeşil hücreler otomatik hesaplanır, formüllerini değiştirmeyin.</t>
  </si>
  <si>
    <t>Bu dosyadaki hesaplamalar bilgilendirme amaçlıdır; resmî bordro, banka hesabı veya mali müşavir görüşü yerine geçmez. © MiniHesap</t>
  </si>
  <si>
    <t>Kredi Ödeme Planı ve Erken Kapatma</t>
  </si>
  <si>
    <t>Sarı alanları doldurun · plan otomatik oluşur</t>
  </si>
  <si>
    <t>Kredi Tutarı</t>
  </si>
  <si>
    <t>Aylık Faiz Oranı</t>
  </si>
  <si>
    <t>Vade (ay)</t>
  </si>
  <si>
    <t>Aylık Ek Ödeme</t>
  </si>
  <si>
    <t>Aylık Taksit</t>
  </si>
  <si>
    <t>Toplam Geri Ödeme</t>
  </si>
  <si>
    <t>Toplam Faiz</t>
  </si>
  <si>
    <t>Ek Ödemeli Bitiş (ay)</t>
  </si>
  <si>
    <t>Ek Ödeme ile Faiz Tasarrufu</t>
  </si>
  <si>
    <t/>
  </si>
  <si>
    <t>Ay</t>
  </si>
  <si>
    <t>Açılış Bakiye</t>
  </si>
  <si>
    <t>Taksit</t>
  </si>
  <si>
    <t>Ek Ödeme</t>
  </si>
  <si>
    <t>Faiz</t>
  </si>
  <si>
    <t>Anapara</t>
  </si>
  <si>
    <t>Kalan Bakiye</t>
  </si>
  <si>
    <t>Borç Listesi ve Kapatma Sırası</t>
  </si>
  <si>
    <t>Tüm borçlarınızı girin; hangisini önce kapatmanız gerektiğini görün</t>
  </si>
  <si>
    <t>Borç Adı</t>
  </si>
  <si>
    <t>Kalan Borç</t>
  </si>
  <si>
    <t>Aylık Faiz</t>
  </si>
  <si>
    <t>Asgari Ödeme</t>
  </si>
  <si>
    <t>Aylık Faiz Yükü</t>
  </si>
  <si>
    <t>Çığ Sırası</t>
  </si>
  <si>
    <t>Kartopu Sırası</t>
  </si>
  <si>
    <t>Kredi Kartı - A Bankası</t>
  </si>
  <si>
    <t>İhtiyaç Kredisi</t>
  </si>
  <si>
    <t>Kredi Kartı - B Bankası</t>
  </si>
  <si>
    <t>Taşıt Kredisi</t>
  </si>
  <si>
    <t>TOPLAM BORÇ</t>
  </si>
  <si>
    <t>AYLIK FAİZ YÜKÜ</t>
  </si>
  <si>
    <t>Çığ sırası 1 olan borcu önce kapatırsanız en az faiz ödersiniz. Kartopu sırası 1 olan en küçük borçtur; hızlı motivasyon için tercih edilir.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</si>
</sst>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₺&quot;"/>
  </numFmts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17066"/>
      <sz val="10"/>
      <name val="Calibri"/>
    </font>
    <font>
      <b/>
      <color rgb="FF166534"/>
      <sz val="12"/>
    </font>
    <font>
      <i/>
      <color rgb="FF854D0E"/>
      <sz val="10"/>
    </font>
    <font>
      <i/>
      <color rgb="FF617066"/>
      <sz val="9"/>
    </font>
    <font>
      <b/>
      <color rgb="FF10231A"/>
      <sz val="10"/>
    </font>
    <font>
      <b/>
      <color rgb="FFFFFFFF"/>
      <sz val="10"/>
    </font>
    <font>
      <b/>
      <color rgb="FF10231A"/>
      <sz val="12"/>
    </font>
  </fonts>
  <fills count="7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166534"/>
      </patternFill>
    </fill>
    <fill>
      <patternFill patternType="solid">
        <fgColor rgb="FFF8FAF9"/>
      </patternFill>
    </fill>
  </fills>
  <borders count="3">
    <border>
      <left/>
      <right/>
      <top/>
      <bottom/>
      <diagonal/>
    </border>
    <border>
      <left style="thin">
        <color rgb="FFDCE7DF"/>
      </left>
      <right style="thin">
        <color rgb="FFDCE7DF"/>
      </right>
      <top style="thin">
        <color rgb="FFDCE7DF"/>
      </top>
      <bottom style="thin">
        <color rgb="FFDCE7DF"/>
      </bottom>
      <diagonal/>
    </border>
    <border>
      <left style="hair">
        <color rgb="FFDCE7DF"/>
      </left>
      <right style="hair">
        <color rgb="FFDCE7DF"/>
      </right>
      <top style="hair">
        <color rgb="FFDCE7DF"/>
      </top>
      <bottom style="hair">
        <color rgb="FFDCE7D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164" fontId="0" fillId="4" borderId="1" xfId="0" applyNumberFormat="1" applyFill="1" applyBorder="1"/>
    <xf numFmtId="10" fontId="0" fillId="4" borderId="1" xfId="0" applyNumberFormat="1" applyFill="1" applyBorder="1"/>
    <xf numFmtId="1" fontId="0" fillId="4" borderId="1" xfId="0" applyNumberFormat="1" applyFill="1" applyBorder="1"/>
    <xf numFmtId="164" fontId="3" fillId="3" borderId="1" xfId="0" applyNumberFormat="1" applyFont="1" applyFill="1" applyBorder="1"/>
    <xf numFmtId="1" fontId="3" fillId="3" borderId="1" xfId="0" applyNumberFormat="1" applyFont="1" applyFill="1" applyBorder="1"/>
    <xf numFmtId="0" fontId="7" fillId="5" borderId="1" xfId="0" applyFont="1" applyFill="1" applyBorder="1" applyAlignment="1">
      <alignment horizontal="center" vertical="center" wrapText="1"/>
    </xf>
    <xf numFmtId="1" fontId="0" fillId="0" borderId="2" xfId="0" applyNumberFormat="1" applyBorder="1"/>
    <xf numFmtId="164" fontId="0" fillId="0" borderId="2" xfId="0" applyNumberFormat="1" applyBorder="1"/>
    <xf numFmtId="1" fontId="0" fillId="6" borderId="2" xfId="0" applyNumberFormat="1" applyFill="1" applyBorder="1"/>
    <xf numFmtId="164" fontId="0" fillId="6" borderId="2" xfId="0" applyNumberFormat="1" applyFill="1" applyBorder="1"/>
    <xf numFmtId="0" fontId="0" fillId="6" borderId="0" xfId="0" applyFill="1"/>
    <xf numFmtId="0" fontId="0" fillId="4" borderId="1" xfId="0" applyFill="1" applyBorder="1"/>
    <xf numFmtId="0" fontId="8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B21"/>
  <sheetFormatPr defaultRowHeight="15" outlineLevelRow="0" outlineLevelCol="0" x14ac:dyDescent="55"/>
  <cols>
    <col min="1" max="1" width="4" customWidth="1"/>
    <col min="2" max="2" width="110" customWidth="1"/>
  </cols>
  <sheetData>
    <row r="1" ht="34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spans="2:2" x14ac:dyDescent="0.25">
      <c r="B4" s="3" t="s">
        <v>2</v>
      </c>
    </row>
    <row r="5" ht="48" customHeight="1" spans="2:2" x14ac:dyDescent="0.25">
      <c r="B5" s="4" t="s">
        <v>3</v>
      </c>
    </row>
    <row r="7" spans="2:2" x14ac:dyDescent="0.25">
      <c r="B7" s="3" t="s">
        <v>4</v>
      </c>
    </row>
    <row r="8" ht="18" customHeight="1" spans="2:2" x14ac:dyDescent="0.25">
      <c r="B8" s="4" t="s">
        <v>5</v>
      </c>
    </row>
    <row r="9" ht="18" customHeight="1" spans="2:2" x14ac:dyDescent="0.25">
      <c r="B9" s="4" t="s">
        <v>6</v>
      </c>
    </row>
    <row r="10" ht="18" customHeight="1" spans="2:2" x14ac:dyDescent="0.25">
      <c r="B10" s="4" t="s">
        <v>7</v>
      </c>
    </row>
    <row r="11" ht="18" customHeight="1" spans="2:2" x14ac:dyDescent="0.25">
      <c r="B11" s="4" t="s">
        <v>8</v>
      </c>
    </row>
    <row r="12" ht="18" customHeight="1" spans="2:2" x14ac:dyDescent="0.25">
      <c r="B12" s="4" t="s">
        <v>9</v>
      </c>
    </row>
    <row r="14" spans="2:2" x14ac:dyDescent="0.25">
      <c r="B14" s="3" t="s">
        <v>10</v>
      </c>
    </row>
    <row r="15" ht="32" customHeight="1" spans="2:2" x14ac:dyDescent="0.25">
      <c r="B15" s="4" t="s">
        <v>11</v>
      </c>
    </row>
    <row r="16" ht="18" customHeight="1" spans="2:2" x14ac:dyDescent="0.25">
      <c r="B16" s="4" t="s">
        <v>12</v>
      </c>
    </row>
    <row r="17" ht="18" customHeight="1" spans="2:2" x14ac:dyDescent="0.25">
      <c r="B17" s="4" t="s">
        <v>13</v>
      </c>
    </row>
    <row r="19" spans="2:2" x14ac:dyDescent="0.25">
      <c r="B19" s="5" t="s">
        <v>14</v>
      </c>
    </row>
    <row r="21" spans="2:2" x14ac:dyDescent="0.25">
      <c r="B21" s="6" t="s">
        <v>15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0" customWidth="1"/>
    <col min="3" max="3" width="18" customWidth="1"/>
    <col min="4" max="4" width="4" customWidth="1"/>
    <col min="5" max="5" width="12" customWidth="1"/>
    <col min="6" max="8" width="16" customWidth="1"/>
    <col min="9" max="9" width="18" customWidth="1"/>
  </cols>
  <sheetData>
    <row r="1" ht="34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17</v>
      </c>
      <c r="B2" s="2"/>
      <c r="C2" s="2"/>
      <c r="D2" s="2"/>
      <c r="E2" s="2"/>
      <c r="F2" s="2"/>
      <c r="G2" s="2"/>
      <c r="H2" s="2"/>
      <c r="I2" s="2"/>
    </row>
    <row r="4" spans="2:3" x14ac:dyDescent="0.25">
      <c r="B4" s="7" t="s">
        <v>18</v>
      </c>
      <c r="C4" s="8">
        <v>500000</v>
      </c>
    </row>
    <row r="5" spans="2:3" x14ac:dyDescent="0.25">
      <c r="B5" s="7" t="s">
        <v>19</v>
      </c>
      <c r="C5" s="9">
        <v>0.029</v>
      </c>
    </row>
    <row r="6" spans="2:3" x14ac:dyDescent="0.25">
      <c r="B6" s="7" t="s">
        <v>20</v>
      </c>
      <c r="C6" s="10">
        <v>36</v>
      </c>
    </row>
    <row r="7" spans="2:3" x14ac:dyDescent="0.25">
      <c r="B7" s="7" t="s">
        <v>21</v>
      </c>
      <c r="C7" s="8">
        <v>2000</v>
      </c>
    </row>
    <row r="9" spans="2:3" x14ac:dyDescent="0.25">
      <c r="B9" s="7" t="s">
        <v>22</v>
      </c>
      <c r="C9" s="11">
        <f>IF(C5=0,C4/C6,C4*C5*(1+C5)^C6/((1+C5)^C6-1))</f>
      </c>
    </row>
    <row r="10" spans="2:3" x14ac:dyDescent="0.25">
      <c r="B10" s="7" t="s">
        <v>23</v>
      </c>
      <c r="C10" s="11">
        <f>C9*C6</f>
      </c>
    </row>
    <row r="11" spans="2:3" x14ac:dyDescent="0.25">
      <c r="B11" s="7" t="s">
        <v>24</v>
      </c>
      <c r="C11" s="11">
        <f>C10-C4</f>
      </c>
    </row>
    <row r="12" spans="2:3" x14ac:dyDescent="0.25">
      <c r="B12" s="7" t="s">
        <v>25</v>
      </c>
      <c r="C12" s="12">
        <f>COUNTIF(I18:I137,"&gt;0")</f>
      </c>
    </row>
    <row r="13" spans="2:3" x14ac:dyDescent="0.25">
      <c r="B13" s="7" t="s">
        <v>26</v>
      </c>
      <c r="C13" s="11">
        <f>C11-SUM(G18:G137)</f>
      </c>
    </row>
    <row r="17" ht="30" customHeight="1" spans="1:9" x14ac:dyDescent="0.25">
      <c r="A17" s="13" t="s">
        <v>27</v>
      </c>
      <c r="B17" s="13" t="s">
        <v>28</v>
      </c>
      <c r="C17" s="13" t="s">
        <v>29</v>
      </c>
      <c r="D17" s="13" t="s">
        <v>27</v>
      </c>
      <c r="E17" s="13" t="s">
        <v>30</v>
      </c>
      <c r="F17" s="13" t="s">
        <v>31</v>
      </c>
      <c r="G17" s="13" t="s">
        <v>32</v>
      </c>
      <c r="H17" s="13" t="s">
        <v>33</v>
      </c>
      <c r="I17" s="13" t="s">
        <v>34</v>
      </c>
    </row>
    <row r="18" spans="2:9" x14ac:dyDescent="0.25">
      <c r="B18" s="14">
        <v>1</v>
      </c>
      <c r="C18" s="15">
        <f>C4</f>
      </c>
      <c r="E18" s="15">
        <f>IF(C18&lt;=0,0,MIN($C$9,C18*(1+$C$5)))</f>
      </c>
      <c r="F18" s="15">
        <f>IF(C18&lt;=0,0,MIN($C$7,MAX(C18*(1+$C$5)-E18,0)))</f>
      </c>
      <c r="G18" s="15">
        <f>IF(C18&lt;=0,0,C18*$C$5)</f>
      </c>
      <c r="H18" s="15">
        <f>IF(C18&lt;=0,0,E18+F18-G18)</f>
      </c>
      <c r="I18" s="15">
        <f>MAX(C18-H18,0)</f>
      </c>
    </row>
    <row r="19" spans="2:9" x14ac:dyDescent="0.25">
      <c r="B19" s="16">
        <v>2</v>
      </c>
      <c r="C19" s="17">
        <f>I18</f>
      </c>
      <c r="D19" s="18"/>
      <c r="E19" s="17">
        <f>IF(C19&lt;=0,0,MIN($C$9,C19*(1+$C$5)))</f>
      </c>
      <c r="F19" s="17">
        <f>IF(C19&lt;=0,0,MIN($C$7,MAX(C19*(1+$C$5)-E19,0)))</f>
      </c>
      <c r="G19" s="17">
        <f>IF(C19&lt;=0,0,C19*$C$5)</f>
      </c>
      <c r="H19" s="17">
        <f>IF(C19&lt;=0,0,E19+F19-G19)</f>
      </c>
      <c r="I19" s="17">
        <f>MAX(C19-H19,0)</f>
      </c>
    </row>
    <row r="20" spans="2:9" x14ac:dyDescent="0.25">
      <c r="B20" s="14">
        <v>3</v>
      </c>
      <c r="C20" s="15">
        <f>I19</f>
      </c>
      <c r="E20" s="15">
        <f>IF(C20&lt;=0,0,MIN($C$9,C20*(1+$C$5)))</f>
      </c>
      <c r="F20" s="15">
        <f>IF(C20&lt;=0,0,MIN($C$7,MAX(C20*(1+$C$5)-E20,0)))</f>
      </c>
      <c r="G20" s="15">
        <f>IF(C20&lt;=0,0,C20*$C$5)</f>
      </c>
      <c r="H20" s="15">
        <f>IF(C20&lt;=0,0,E20+F20-G20)</f>
      </c>
      <c r="I20" s="15">
        <f>MAX(C20-H20,0)</f>
      </c>
    </row>
    <row r="21" spans="2:9" x14ac:dyDescent="0.25">
      <c r="B21" s="16">
        <v>4</v>
      </c>
      <c r="C21" s="17">
        <f>I20</f>
      </c>
      <c r="D21" s="18"/>
      <c r="E21" s="17">
        <f>IF(C21&lt;=0,0,MIN($C$9,C21*(1+$C$5)))</f>
      </c>
      <c r="F21" s="17">
        <f>IF(C21&lt;=0,0,MIN($C$7,MAX(C21*(1+$C$5)-E21,0)))</f>
      </c>
      <c r="G21" s="17">
        <f>IF(C21&lt;=0,0,C21*$C$5)</f>
      </c>
      <c r="H21" s="17">
        <f>IF(C21&lt;=0,0,E21+F21-G21)</f>
      </c>
      <c r="I21" s="17">
        <f>MAX(C21-H21,0)</f>
      </c>
    </row>
    <row r="22" spans="2:9" x14ac:dyDescent="0.25">
      <c r="B22" s="14">
        <v>5</v>
      </c>
      <c r="C22" s="15">
        <f>I21</f>
      </c>
      <c r="E22" s="15">
        <f>IF(C22&lt;=0,0,MIN($C$9,C22*(1+$C$5)))</f>
      </c>
      <c r="F22" s="15">
        <f>IF(C22&lt;=0,0,MIN($C$7,MAX(C22*(1+$C$5)-E22,0)))</f>
      </c>
      <c r="G22" s="15">
        <f>IF(C22&lt;=0,0,C22*$C$5)</f>
      </c>
      <c r="H22" s="15">
        <f>IF(C22&lt;=0,0,E22+F22-G22)</f>
      </c>
      <c r="I22" s="15">
        <f>MAX(C22-H22,0)</f>
      </c>
    </row>
    <row r="23" spans="2:9" x14ac:dyDescent="0.25">
      <c r="B23" s="16">
        <v>6</v>
      </c>
      <c r="C23" s="17">
        <f>I22</f>
      </c>
      <c r="D23" s="18"/>
      <c r="E23" s="17">
        <f>IF(C23&lt;=0,0,MIN($C$9,C23*(1+$C$5)))</f>
      </c>
      <c r="F23" s="17">
        <f>IF(C23&lt;=0,0,MIN($C$7,MAX(C23*(1+$C$5)-E23,0)))</f>
      </c>
      <c r="G23" s="17">
        <f>IF(C23&lt;=0,0,C23*$C$5)</f>
      </c>
      <c r="H23" s="17">
        <f>IF(C23&lt;=0,0,E23+F23-G23)</f>
      </c>
      <c r="I23" s="17">
        <f>MAX(C23-H23,0)</f>
      </c>
    </row>
    <row r="24" spans="2:9" x14ac:dyDescent="0.25">
      <c r="B24" s="14">
        <v>7</v>
      </c>
      <c r="C24" s="15">
        <f>I23</f>
      </c>
      <c r="E24" s="15">
        <f>IF(C24&lt;=0,0,MIN($C$9,C24*(1+$C$5)))</f>
      </c>
      <c r="F24" s="15">
        <f>IF(C24&lt;=0,0,MIN($C$7,MAX(C24*(1+$C$5)-E24,0)))</f>
      </c>
      <c r="G24" s="15">
        <f>IF(C24&lt;=0,0,C24*$C$5)</f>
      </c>
      <c r="H24" s="15">
        <f>IF(C24&lt;=0,0,E24+F24-G24)</f>
      </c>
      <c r="I24" s="15">
        <f>MAX(C24-H24,0)</f>
      </c>
    </row>
    <row r="25" spans="2:9" x14ac:dyDescent="0.25">
      <c r="B25" s="16">
        <v>8</v>
      </c>
      <c r="C25" s="17">
        <f>I24</f>
      </c>
      <c r="D25" s="18"/>
      <c r="E25" s="17">
        <f>IF(C25&lt;=0,0,MIN($C$9,C25*(1+$C$5)))</f>
      </c>
      <c r="F25" s="17">
        <f>IF(C25&lt;=0,0,MIN($C$7,MAX(C25*(1+$C$5)-E25,0)))</f>
      </c>
      <c r="G25" s="17">
        <f>IF(C25&lt;=0,0,C25*$C$5)</f>
      </c>
      <c r="H25" s="17">
        <f>IF(C25&lt;=0,0,E25+F25-G25)</f>
      </c>
      <c r="I25" s="17">
        <f>MAX(C25-H25,0)</f>
      </c>
    </row>
    <row r="26" spans="2:9" x14ac:dyDescent="0.25">
      <c r="B26" s="14">
        <v>9</v>
      </c>
      <c r="C26" s="15">
        <f>I25</f>
      </c>
      <c r="E26" s="15">
        <f>IF(C26&lt;=0,0,MIN($C$9,C26*(1+$C$5)))</f>
      </c>
      <c r="F26" s="15">
        <f>IF(C26&lt;=0,0,MIN($C$7,MAX(C26*(1+$C$5)-E26,0)))</f>
      </c>
      <c r="G26" s="15">
        <f>IF(C26&lt;=0,0,C26*$C$5)</f>
      </c>
      <c r="H26" s="15">
        <f>IF(C26&lt;=0,0,E26+F26-G26)</f>
      </c>
      <c r="I26" s="15">
        <f>MAX(C26-H26,0)</f>
      </c>
    </row>
    <row r="27" spans="2:9" x14ac:dyDescent="0.25">
      <c r="B27" s="16">
        <v>10</v>
      </c>
      <c r="C27" s="17">
        <f>I26</f>
      </c>
      <c r="D27" s="18"/>
      <c r="E27" s="17">
        <f>IF(C27&lt;=0,0,MIN($C$9,C27*(1+$C$5)))</f>
      </c>
      <c r="F27" s="17">
        <f>IF(C27&lt;=0,0,MIN($C$7,MAX(C27*(1+$C$5)-E27,0)))</f>
      </c>
      <c r="G27" s="17">
        <f>IF(C27&lt;=0,0,C27*$C$5)</f>
      </c>
      <c r="H27" s="17">
        <f>IF(C27&lt;=0,0,E27+F27-G27)</f>
      </c>
      <c r="I27" s="17">
        <f>MAX(C27-H27,0)</f>
      </c>
    </row>
    <row r="28" spans="2:9" x14ac:dyDescent="0.25">
      <c r="B28" s="14">
        <v>11</v>
      </c>
      <c r="C28" s="15">
        <f>I27</f>
      </c>
      <c r="E28" s="15">
        <f>IF(C28&lt;=0,0,MIN($C$9,C28*(1+$C$5)))</f>
      </c>
      <c r="F28" s="15">
        <f>IF(C28&lt;=0,0,MIN($C$7,MAX(C28*(1+$C$5)-E28,0)))</f>
      </c>
      <c r="G28" s="15">
        <f>IF(C28&lt;=0,0,C28*$C$5)</f>
      </c>
      <c r="H28" s="15">
        <f>IF(C28&lt;=0,0,E28+F28-G28)</f>
      </c>
      <c r="I28" s="15">
        <f>MAX(C28-H28,0)</f>
      </c>
    </row>
    <row r="29" spans="2:9" x14ac:dyDescent="0.25">
      <c r="B29" s="16">
        <v>12</v>
      </c>
      <c r="C29" s="17">
        <f>I28</f>
      </c>
      <c r="D29" s="18"/>
      <c r="E29" s="17">
        <f>IF(C29&lt;=0,0,MIN($C$9,C29*(1+$C$5)))</f>
      </c>
      <c r="F29" s="17">
        <f>IF(C29&lt;=0,0,MIN($C$7,MAX(C29*(1+$C$5)-E29,0)))</f>
      </c>
      <c r="G29" s="17">
        <f>IF(C29&lt;=0,0,C29*$C$5)</f>
      </c>
      <c r="H29" s="17">
        <f>IF(C29&lt;=0,0,E29+F29-G29)</f>
      </c>
      <c r="I29" s="17">
        <f>MAX(C29-H29,0)</f>
      </c>
    </row>
    <row r="30" spans="2:9" x14ac:dyDescent="0.25">
      <c r="B30" s="14">
        <v>13</v>
      </c>
      <c r="C30" s="15">
        <f>I29</f>
      </c>
      <c r="E30" s="15">
        <f>IF(C30&lt;=0,0,MIN($C$9,C30*(1+$C$5)))</f>
      </c>
      <c r="F30" s="15">
        <f>IF(C30&lt;=0,0,MIN($C$7,MAX(C30*(1+$C$5)-E30,0)))</f>
      </c>
      <c r="G30" s="15">
        <f>IF(C30&lt;=0,0,C30*$C$5)</f>
      </c>
      <c r="H30" s="15">
        <f>IF(C30&lt;=0,0,E30+F30-G30)</f>
      </c>
      <c r="I30" s="15">
        <f>MAX(C30-H30,0)</f>
      </c>
    </row>
    <row r="31" spans="2:9" x14ac:dyDescent="0.25">
      <c r="B31" s="16">
        <v>14</v>
      </c>
      <c r="C31" s="17">
        <f>I30</f>
      </c>
      <c r="D31" s="18"/>
      <c r="E31" s="17">
        <f>IF(C31&lt;=0,0,MIN($C$9,C31*(1+$C$5)))</f>
      </c>
      <c r="F31" s="17">
        <f>IF(C31&lt;=0,0,MIN($C$7,MAX(C31*(1+$C$5)-E31,0)))</f>
      </c>
      <c r="G31" s="17">
        <f>IF(C31&lt;=0,0,C31*$C$5)</f>
      </c>
      <c r="H31" s="17">
        <f>IF(C31&lt;=0,0,E31+F31-G31)</f>
      </c>
      <c r="I31" s="17">
        <f>MAX(C31-H31,0)</f>
      </c>
    </row>
    <row r="32" spans="2:9" x14ac:dyDescent="0.25">
      <c r="B32" s="14">
        <v>15</v>
      </c>
      <c r="C32" s="15">
        <f>I31</f>
      </c>
      <c r="E32" s="15">
        <f>IF(C32&lt;=0,0,MIN($C$9,C32*(1+$C$5)))</f>
      </c>
      <c r="F32" s="15">
        <f>IF(C32&lt;=0,0,MIN($C$7,MAX(C32*(1+$C$5)-E32,0)))</f>
      </c>
      <c r="G32" s="15">
        <f>IF(C32&lt;=0,0,C32*$C$5)</f>
      </c>
      <c r="H32" s="15">
        <f>IF(C32&lt;=0,0,E32+F32-G32)</f>
      </c>
      <c r="I32" s="15">
        <f>MAX(C32-H32,0)</f>
      </c>
    </row>
    <row r="33" spans="2:9" x14ac:dyDescent="0.25">
      <c r="B33" s="16">
        <v>16</v>
      </c>
      <c r="C33" s="17">
        <f>I32</f>
      </c>
      <c r="D33" s="18"/>
      <c r="E33" s="17">
        <f>IF(C33&lt;=0,0,MIN($C$9,C33*(1+$C$5)))</f>
      </c>
      <c r="F33" s="17">
        <f>IF(C33&lt;=0,0,MIN($C$7,MAX(C33*(1+$C$5)-E33,0)))</f>
      </c>
      <c r="G33" s="17">
        <f>IF(C33&lt;=0,0,C33*$C$5)</f>
      </c>
      <c r="H33" s="17">
        <f>IF(C33&lt;=0,0,E33+F33-G33)</f>
      </c>
      <c r="I33" s="17">
        <f>MAX(C33-H33,0)</f>
      </c>
    </row>
    <row r="34" spans="2:9" x14ac:dyDescent="0.25">
      <c r="B34" s="14">
        <v>17</v>
      </c>
      <c r="C34" s="15">
        <f>I33</f>
      </c>
      <c r="E34" s="15">
        <f>IF(C34&lt;=0,0,MIN($C$9,C34*(1+$C$5)))</f>
      </c>
      <c r="F34" s="15">
        <f>IF(C34&lt;=0,0,MIN($C$7,MAX(C34*(1+$C$5)-E34,0)))</f>
      </c>
      <c r="G34" s="15">
        <f>IF(C34&lt;=0,0,C34*$C$5)</f>
      </c>
      <c r="H34" s="15">
        <f>IF(C34&lt;=0,0,E34+F34-G34)</f>
      </c>
      <c r="I34" s="15">
        <f>MAX(C34-H34,0)</f>
      </c>
    </row>
    <row r="35" spans="2:9" x14ac:dyDescent="0.25">
      <c r="B35" s="16">
        <v>18</v>
      </c>
      <c r="C35" s="17">
        <f>I34</f>
      </c>
      <c r="D35" s="18"/>
      <c r="E35" s="17">
        <f>IF(C35&lt;=0,0,MIN($C$9,C35*(1+$C$5)))</f>
      </c>
      <c r="F35" s="17">
        <f>IF(C35&lt;=0,0,MIN($C$7,MAX(C35*(1+$C$5)-E35,0)))</f>
      </c>
      <c r="G35" s="17">
        <f>IF(C35&lt;=0,0,C35*$C$5)</f>
      </c>
      <c r="H35" s="17">
        <f>IF(C35&lt;=0,0,E35+F35-G35)</f>
      </c>
      <c r="I35" s="17">
        <f>MAX(C35-H35,0)</f>
      </c>
    </row>
    <row r="36" spans="2:9" x14ac:dyDescent="0.25">
      <c r="B36" s="14">
        <v>19</v>
      </c>
      <c r="C36" s="15">
        <f>I35</f>
      </c>
      <c r="E36" s="15">
        <f>IF(C36&lt;=0,0,MIN($C$9,C36*(1+$C$5)))</f>
      </c>
      <c r="F36" s="15">
        <f>IF(C36&lt;=0,0,MIN($C$7,MAX(C36*(1+$C$5)-E36,0)))</f>
      </c>
      <c r="G36" s="15">
        <f>IF(C36&lt;=0,0,C36*$C$5)</f>
      </c>
      <c r="H36" s="15">
        <f>IF(C36&lt;=0,0,E36+F36-G36)</f>
      </c>
      <c r="I36" s="15">
        <f>MAX(C36-H36,0)</f>
      </c>
    </row>
    <row r="37" spans="2:9" x14ac:dyDescent="0.25">
      <c r="B37" s="16">
        <v>20</v>
      </c>
      <c r="C37" s="17">
        <f>I36</f>
      </c>
      <c r="D37" s="18"/>
      <c r="E37" s="17">
        <f>IF(C37&lt;=0,0,MIN($C$9,C37*(1+$C$5)))</f>
      </c>
      <c r="F37" s="17">
        <f>IF(C37&lt;=0,0,MIN($C$7,MAX(C37*(1+$C$5)-E37,0)))</f>
      </c>
      <c r="G37" s="17">
        <f>IF(C37&lt;=0,0,C37*$C$5)</f>
      </c>
      <c r="H37" s="17">
        <f>IF(C37&lt;=0,0,E37+F37-G37)</f>
      </c>
      <c r="I37" s="17">
        <f>MAX(C37-H37,0)</f>
      </c>
    </row>
    <row r="38" spans="2:9" x14ac:dyDescent="0.25">
      <c r="B38" s="14">
        <v>21</v>
      </c>
      <c r="C38" s="15">
        <f>I37</f>
      </c>
      <c r="E38" s="15">
        <f>IF(C38&lt;=0,0,MIN($C$9,C38*(1+$C$5)))</f>
      </c>
      <c r="F38" s="15">
        <f>IF(C38&lt;=0,0,MIN($C$7,MAX(C38*(1+$C$5)-E38,0)))</f>
      </c>
      <c r="G38" s="15">
        <f>IF(C38&lt;=0,0,C38*$C$5)</f>
      </c>
      <c r="H38" s="15">
        <f>IF(C38&lt;=0,0,E38+F38-G38)</f>
      </c>
      <c r="I38" s="15">
        <f>MAX(C38-H38,0)</f>
      </c>
    </row>
    <row r="39" spans="2:9" x14ac:dyDescent="0.25">
      <c r="B39" s="16">
        <v>22</v>
      </c>
      <c r="C39" s="17">
        <f>I38</f>
      </c>
      <c r="D39" s="18"/>
      <c r="E39" s="17">
        <f>IF(C39&lt;=0,0,MIN($C$9,C39*(1+$C$5)))</f>
      </c>
      <c r="F39" s="17">
        <f>IF(C39&lt;=0,0,MIN($C$7,MAX(C39*(1+$C$5)-E39,0)))</f>
      </c>
      <c r="G39" s="17">
        <f>IF(C39&lt;=0,0,C39*$C$5)</f>
      </c>
      <c r="H39" s="17">
        <f>IF(C39&lt;=0,0,E39+F39-G39)</f>
      </c>
      <c r="I39" s="17">
        <f>MAX(C39-H39,0)</f>
      </c>
    </row>
    <row r="40" spans="2:9" x14ac:dyDescent="0.25">
      <c r="B40" s="14">
        <v>23</v>
      </c>
      <c r="C40" s="15">
        <f>I39</f>
      </c>
      <c r="E40" s="15">
        <f>IF(C40&lt;=0,0,MIN($C$9,C40*(1+$C$5)))</f>
      </c>
      <c r="F40" s="15">
        <f>IF(C40&lt;=0,0,MIN($C$7,MAX(C40*(1+$C$5)-E40,0)))</f>
      </c>
      <c r="G40" s="15">
        <f>IF(C40&lt;=0,0,C40*$C$5)</f>
      </c>
      <c r="H40" s="15">
        <f>IF(C40&lt;=0,0,E40+F40-G40)</f>
      </c>
      <c r="I40" s="15">
        <f>MAX(C40-H40,0)</f>
      </c>
    </row>
    <row r="41" spans="2:9" x14ac:dyDescent="0.25">
      <c r="B41" s="16">
        <v>24</v>
      </c>
      <c r="C41" s="17">
        <f>I40</f>
      </c>
      <c r="D41" s="18"/>
      <c r="E41" s="17">
        <f>IF(C41&lt;=0,0,MIN($C$9,C41*(1+$C$5)))</f>
      </c>
      <c r="F41" s="17">
        <f>IF(C41&lt;=0,0,MIN($C$7,MAX(C41*(1+$C$5)-E41,0)))</f>
      </c>
      <c r="G41" s="17">
        <f>IF(C41&lt;=0,0,C41*$C$5)</f>
      </c>
      <c r="H41" s="17">
        <f>IF(C41&lt;=0,0,E41+F41-G41)</f>
      </c>
      <c r="I41" s="17">
        <f>MAX(C41-H41,0)</f>
      </c>
    </row>
    <row r="42" spans="2:9" x14ac:dyDescent="0.25">
      <c r="B42" s="14">
        <v>25</v>
      </c>
      <c r="C42" s="15">
        <f>I41</f>
      </c>
      <c r="E42" s="15">
        <f>IF(C42&lt;=0,0,MIN($C$9,C42*(1+$C$5)))</f>
      </c>
      <c r="F42" s="15">
        <f>IF(C42&lt;=0,0,MIN($C$7,MAX(C42*(1+$C$5)-E42,0)))</f>
      </c>
      <c r="G42" s="15">
        <f>IF(C42&lt;=0,0,C42*$C$5)</f>
      </c>
      <c r="H42" s="15">
        <f>IF(C42&lt;=0,0,E42+F42-G42)</f>
      </c>
      <c r="I42" s="15">
        <f>MAX(C42-H42,0)</f>
      </c>
    </row>
    <row r="43" spans="2:9" x14ac:dyDescent="0.25">
      <c r="B43" s="16">
        <v>26</v>
      </c>
      <c r="C43" s="17">
        <f>I42</f>
      </c>
      <c r="D43" s="18"/>
      <c r="E43" s="17">
        <f>IF(C43&lt;=0,0,MIN($C$9,C43*(1+$C$5)))</f>
      </c>
      <c r="F43" s="17">
        <f>IF(C43&lt;=0,0,MIN($C$7,MAX(C43*(1+$C$5)-E43,0)))</f>
      </c>
      <c r="G43" s="17">
        <f>IF(C43&lt;=0,0,C43*$C$5)</f>
      </c>
      <c r="H43" s="17">
        <f>IF(C43&lt;=0,0,E43+F43-G43)</f>
      </c>
      <c r="I43" s="17">
        <f>MAX(C43-H43,0)</f>
      </c>
    </row>
    <row r="44" spans="2:9" x14ac:dyDescent="0.25">
      <c r="B44" s="14">
        <v>27</v>
      </c>
      <c r="C44" s="15">
        <f>I43</f>
      </c>
      <c r="E44" s="15">
        <f>IF(C44&lt;=0,0,MIN($C$9,C44*(1+$C$5)))</f>
      </c>
      <c r="F44" s="15">
        <f>IF(C44&lt;=0,0,MIN($C$7,MAX(C44*(1+$C$5)-E44,0)))</f>
      </c>
      <c r="G44" s="15">
        <f>IF(C44&lt;=0,0,C44*$C$5)</f>
      </c>
      <c r="H44" s="15">
        <f>IF(C44&lt;=0,0,E44+F44-G44)</f>
      </c>
      <c r="I44" s="15">
        <f>MAX(C44-H44,0)</f>
      </c>
    </row>
    <row r="45" spans="2:9" x14ac:dyDescent="0.25">
      <c r="B45" s="16">
        <v>28</v>
      </c>
      <c r="C45" s="17">
        <f>I44</f>
      </c>
      <c r="D45" s="18"/>
      <c r="E45" s="17">
        <f>IF(C45&lt;=0,0,MIN($C$9,C45*(1+$C$5)))</f>
      </c>
      <c r="F45" s="17">
        <f>IF(C45&lt;=0,0,MIN($C$7,MAX(C45*(1+$C$5)-E45,0)))</f>
      </c>
      <c r="G45" s="17">
        <f>IF(C45&lt;=0,0,C45*$C$5)</f>
      </c>
      <c r="H45" s="17">
        <f>IF(C45&lt;=0,0,E45+F45-G45)</f>
      </c>
      <c r="I45" s="17">
        <f>MAX(C45-H45,0)</f>
      </c>
    </row>
    <row r="46" spans="2:9" x14ac:dyDescent="0.25">
      <c r="B46" s="14">
        <v>29</v>
      </c>
      <c r="C46" s="15">
        <f>I45</f>
      </c>
      <c r="E46" s="15">
        <f>IF(C46&lt;=0,0,MIN($C$9,C46*(1+$C$5)))</f>
      </c>
      <c r="F46" s="15">
        <f>IF(C46&lt;=0,0,MIN($C$7,MAX(C46*(1+$C$5)-E46,0)))</f>
      </c>
      <c r="G46" s="15">
        <f>IF(C46&lt;=0,0,C46*$C$5)</f>
      </c>
      <c r="H46" s="15">
        <f>IF(C46&lt;=0,0,E46+F46-G46)</f>
      </c>
      <c r="I46" s="15">
        <f>MAX(C46-H46,0)</f>
      </c>
    </row>
    <row r="47" spans="2:9" x14ac:dyDescent="0.25">
      <c r="B47" s="16">
        <v>30</v>
      </c>
      <c r="C47" s="17">
        <f>I46</f>
      </c>
      <c r="D47" s="18"/>
      <c r="E47" s="17">
        <f>IF(C47&lt;=0,0,MIN($C$9,C47*(1+$C$5)))</f>
      </c>
      <c r="F47" s="17">
        <f>IF(C47&lt;=0,0,MIN($C$7,MAX(C47*(1+$C$5)-E47,0)))</f>
      </c>
      <c r="G47" s="17">
        <f>IF(C47&lt;=0,0,C47*$C$5)</f>
      </c>
      <c r="H47" s="17">
        <f>IF(C47&lt;=0,0,E47+F47-G47)</f>
      </c>
      <c r="I47" s="17">
        <f>MAX(C47-H47,0)</f>
      </c>
    </row>
    <row r="48" spans="2:9" x14ac:dyDescent="0.25">
      <c r="B48" s="14">
        <v>31</v>
      </c>
      <c r="C48" s="15">
        <f>I47</f>
      </c>
      <c r="E48" s="15">
        <f>IF(C48&lt;=0,0,MIN($C$9,C48*(1+$C$5)))</f>
      </c>
      <c r="F48" s="15">
        <f>IF(C48&lt;=0,0,MIN($C$7,MAX(C48*(1+$C$5)-E48,0)))</f>
      </c>
      <c r="G48" s="15">
        <f>IF(C48&lt;=0,0,C48*$C$5)</f>
      </c>
      <c r="H48" s="15">
        <f>IF(C48&lt;=0,0,E48+F48-G48)</f>
      </c>
      <c r="I48" s="15">
        <f>MAX(C48-H48,0)</f>
      </c>
    </row>
    <row r="49" spans="2:9" x14ac:dyDescent="0.25">
      <c r="B49" s="16">
        <v>32</v>
      </c>
      <c r="C49" s="17">
        <f>I48</f>
      </c>
      <c r="D49" s="18"/>
      <c r="E49" s="17">
        <f>IF(C49&lt;=0,0,MIN($C$9,C49*(1+$C$5)))</f>
      </c>
      <c r="F49" s="17">
        <f>IF(C49&lt;=0,0,MIN($C$7,MAX(C49*(1+$C$5)-E49,0)))</f>
      </c>
      <c r="G49" s="17">
        <f>IF(C49&lt;=0,0,C49*$C$5)</f>
      </c>
      <c r="H49" s="17">
        <f>IF(C49&lt;=0,0,E49+F49-G49)</f>
      </c>
      <c r="I49" s="17">
        <f>MAX(C49-H49,0)</f>
      </c>
    </row>
    <row r="50" spans="2:9" x14ac:dyDescent="0.25">
      <c r="B50" s="14">
        <v>33</v>
      </c>
      <c r="C50" s="15">
        <f>I49</f>
      </c>
      <c r="E50" s="15">
        <f>IF(C50&lt;=0,0,MIN($C$9,C50*(1+$C$5)))</f>
      </c>
      <c r="F50" s="15">
        <f>IF(C50&lt;=0,0,MIN($C$7,MAX(C50*(1+$C$5)-E50,0)))</f>
      </c>
      <c r="G50" s="15">
        <f>IF(C50&lt;=0,0,C50*$C$5)</f>
      </c>
      <c r="H50" s="15">
        <f>IF(C50&lt;=0,0,E50+F50-G50)</f>
      </c>
      <c r="I50" s="15">
        <f>MAX(C50-H50,0)</f>
      </c>
    </row>
    <row r="51" spans="2:9" x14ac:dyDescent="0.25">
      <c r="B51" s="16">
        <v>34</v>
      </c>
      <c r="C51" s="17">
        <f>I50</f>
      </c>
      <c r="D51" s="18"/>
      <c r="E51" s="17">
        <f>IF(C51&lt;=0,0,MIN($C$9,C51*(1+$C$5)))</f>
      </c>
      <c r="F51" s="17">
        <f>IF(C51&lt;=0,0,MIN($C$7,MAX(C51*(1+$C$5)-E51,0)))</f>
      </c>
      <c r="G51" s="17">
        <f>IF(C51&lt;=0,0,C51*$C$5)</f>
      </c>
      <c r="H51" s="17">
        <f>IF(C51&lt;=0,0,E51+F51-G51)</f>
      </c>
      <c r="I51" s="17">
        <f>MAX(C51-H51,0)</f>
      </c>
    </row>
    <row r="52" spans="2:9" x14ac:dyDescent="0.25">
      <c r="B52" s="14">
        <v>35</v>
      </c>
      <c r="C52" s="15">
        <f>I51</f>
      </c>
      <c r="E52" s="15">
        <f>IF(C52&lt;=0,0,MIN($C$9,C52*(1+$C$5)))</f>
      </c>
      <c r="F52" s="15">
        <f>IF(C52&lt;=0,0,MIN($C$7,MAX(C52*(1+$C$5)-E52,0)))</f>
      </c>
      <c r="G52" s="15">
        <f>IF(C52&lt;=0,0,C52*$C$5)</f>
      </c>
      <c r="H52" s="15">
        <f>IF(C52&lt;=0,0,E52+F52-G52)</f>
      </c>
      <c r="I52" s="15">
        <f>MAX(C52-H52,0)</f>
      </c>
    </row>
    <row r="53" spans="2:9" x14ac:dyDescent="0.25">
      <c r="B53" s="16">
        <v>36</v>
      </c>
      <c r="C53" s="17">
        <f>I52</f>
      </c>
      <c r="D53" s="18"/>
      <c r="E53" s="17">
        <f>IF(C53&lt;=0,0,MIN($C$9,C53*(1+$C$5)))</f>
      </c>
      <c r="F53" s="17">
        <f>IF(C53&lt;=0,0,MIN($C$7,MAX(C53*(1+$C$5)-E53,0)))</f>
      </c>
      <c r="G53" s="17">
        <f>IF(C53&lt;=0,0,C53*$C$5)</f>
      </c>
      <c r="H53" s="17">
        <f>IF(C53&lt;=0,0,E53+F53-G53)</f>
      </c>
      <c r="I53" s="17">
        <f>MAX(C53-H53,0)</f>
      </c>
    </row>
    <row r="54" spans="2:9" x14ac:dyDescent="0.25">
      <c r="B54" s="14">
        <v>37</v>
      </c>
      <c r="C54" s="15">
        <f>I53</f>
      </c>
      <c r="E54" s="15">
        <f>IF(C54&lt;=0,0,MIN($C$9,C54*(1+$C$5)))</f>
      </c>
      <c r="F54" s="15">
        <f>IF(C54&lt;=0,0,MIN($C$7,MAX(C54*(1+$C$5)-E54,0)))</f>
      </c>
      <c r="G54" s="15">
        <f>IF(C54&lt;=0,0,C54*$C$5)</f>
      </c>
      <c r="H54" s="15">
        <f>IF(C54&lt;=0,0,E54+F54-G54)</f>
      </c>
      <c r="I54" s="15">
        <f>MAX(C54-H54,0)</f>
      </c>
    </row>
    <row r="55" spans="2:9" x14ac:dyDescent="0.25">
      <c r="B55" s="16">
        <v>38</v>
      </c>
      <c r="C55" s="17">
        <f>I54</f>
      </c>
      <c r="D55" s="18"/>
      <c r="E55" s="17">
        <f>IF(C55&lt;=0,0,MIN($C$9,C55*(1+$C$5)))</f>
      </c>
      <c r="F55" s="17">
        <f>IF(C55&lt;=0,0,MIN($C$7,MAX(C55*(1+$C$5)-E55,0)))</f>
      </c>
      <c r="G55" s="17">
        <f>IF(C55&lt;=0,0,C55*$C$5)</f>
      </c>
      <c r="H55" s="17">
        <f>IF(C55&lt;=0,0,E55+F55-G55)</f>
      </c>
      <c r="I55" s="17">
        <f>MAX(C55-H55,0)</f>
      </c>
    </row>
    <row r="56" spans="2:9" x14ac:dyDescent="0.25">
      <c r="B56" s="14">
        <v>39</v>
      </c>
      <c r="C56" s="15">
        <f>I55</f>
      </c>
      <c r="E56" s="15">
        <f>IF(C56&lt;=0,0,MIN($C$9,C56*(1+$C$5)))</f>
      </c>
      <c r="F56" s="15">
        <f>IF(C56&lt;=0,0,MIN($C$7,MAX(C56*(1+$C$5)-E56,0)))</f>
      </c>
      <c r="G56" s="15">
        <f>IF(C56&lt;=0,0,C56*$C$5)</f>
      </c>
      <c r="H56" s="15">
        <f>IF(C56&lt;=0,0,E56+F56-G56)</f>
      </c>
      <c r="I56" s="15">
        <f>MAX(C56-H56,0)</f>
      </c>
    </row>
    <row r="57" spans="2:9" x14ac:dyDescent="0.25">
      <c r="B57" s="16">
        <v>40</v>
      </c>
      <c r="C57" s="17">
        <f>I56</f>
      </c>
      <c r="D57" s="18"/>
      <c r="E57" s="17">
        <f>IF(C57&lt;=0,0,MIN($C$9,C57*(1+$C$5)))</f>
      </c>
      <c r="F57" s="17">
        <f>IF(C57&lt;=0,0,MIN($C$7,MAX(C57*(1+$C$5)-E57,0)))</f>
      </c>
      <c r="G57" s="17">
        <f>IF(C57&lt;=0,0,C57*$C$5)</f>
      </c>
      <c r="H57" s="17">
        <f>IF(C57&lt;=0,0,E57+F57-G57)</f>
      </c>
      <c r="I57" s="17">
        <f>MAX(C57-H57,0)</f>
      </c>
    </row>
    <row r="58" spans="2:9" x14ac:dyDescent="0.25">
      <c r="B58" s="14">
        <v>41</v>
      </c>
      <c r="C58" s="15">
        <f>I57</f>
      </c>
      <c r="E58" s="15">
        <f>IF(C58&lt;=0,0,MIN($C$9,C58*(1+$C$5)))</f>
      </c>
      <c r="F58" s="15">
        <f>IF(C58&lt;=0,0,MIN($C$7,MAX(C58*(1+$C$5)-E58,0)))</f>
      </c>
      <c r="G58" s="15">
        <f>IF(C58&lt;=0,0,C58*$C$5)</f>
      </c>
      <c r="H58" s="15">
        <f>IF(C58&lt;=0,0,E58+F58-G58)</f>
      </c>
      <c r="I58" s="15">
        <f>MAX(C58-H58,0)</f>
      </c>
    </row>
    <row r="59" spans="2:9" x14ac:dyDescent="0.25">
      <c r="B59" s="16">
        <v>42</v>
      </c>
      <c r="C59" s="17">
        <f>I58</f>
      </c>
      <c r="D59" s="18"/>
      <c r="E59" s="17">
        <f>IF(C59&lt;=0,0,MIN($C$9,C59*(1+$C$5)))</f>
      </c>
      <c r="F59" s="17">
        <f>IF(C59&lt;=0,0,MIN($C$7,MAX(C59*(1+$C$5)-E59,0)))</f>
      </c>
      <c r="G59" s="17">
        <f>IF(C59&lt;=0,0,C59*$C$5)</f>
      </c>
      <c r="H59" s="17">
        <f>IF(C59&lt;=0,0,E59+F59-G59)</f>
      </c>
      <c r="I59" s="17">
        <f>MAX(C59-H59,0)</f>
      </c>
    </row>
    <row r="60" spans="2:9" x14ac:dyDescent="0.25">
      <c r="B60" s="14">
        <v>43</v>
      </c>
      <c r="C60" s="15">
        <f>I59</f>
      </c>
      <c r="E60" s="15">
        <f>IF(C60&lt;=0,0,MIN($C$9,C60*(1+$C$5)))</f>
      </c>
      <c r="F60" s="15">
        <f>IF(C60&lt;=0,0,MIN($C$7,MAX(C60*(1+$C$5)-E60,0)))</f>
      </c>
      <c r="G60" s="15">
        <f>IF(C60&lt;=0,0,C60*$C$5)</f>
      </c>
      <c r="H60" s="15">
        <f>IF(C60&lt;=0,0,E60+F60-G60)</f>
      </c>
      <c r="I60" s="15">
        <f>MAX(C60-H60,0)</f>
      </c>
    </row>
    <row r="61" spans="2:9" x14ac:dyDescent="0.25">
      <c r="B61" s="16">
        <v>44</v>
      </c>
      <c r="C61" s="17">
        <f>I60</f>
      </c>
      <c r="D61" s="18"/>
      <c r="E61" s="17">
        <f>IF(C61&lt;=0,0,MIN($C$9,C61*(1+$C$5)))</f>
      </c>
      <c r="F61" s="17">
        <f>IF(C61&lt;=0,0,MIN($C$7,MAX(C61*(1+$C$5)-E61,0)))</f>
      </c>
      <c r="G61" s="17">
        <f>IF(C61&lt;=0,0,C61*$C$5)</f>
      </c>
      <c r="H61" s="17">
        <f>IF(C61&lt;=0,0,E61+F61-G61)</f>
      </c>
      <c r="I61" s="17">
        <f>MAX(C61-H61,0)</f>
      </c>
    </row>
    <row r="62" spans="2:9" x14ac:dyDescent="0.25">
      <c r="B62" s="14">
        <v>45</v>
      </c>
      <c r="C62" s="15">
        <f>I61</f>
      </c>
      <c r="E62" s="15">
        <f>IF(C62&lt;=0,0,MIN($C$9,C62*(1+$C$5)))</f>
      </c>
      <c r="F62" s="15">
        <f>IF(C62&lt;=0,0,MIN($C$7,MAX(C62*(1+$C$5)-E62,0)))</f>
      </c>
      <c r="G62" s="15">
        <f>IF(C62&lt;=0,0,C62*$C$5)</f>
      </c>
      <c r="H62" s="15">
        <f>IF(C62&lt;=0,0,E62+F62-G62)</f>
      </c>
      <c r="I62" s="15">
        <f>MAX(C62-H62,0)</f>
      </c>
    </row>
    <row r="63" spans="2:9" x14ac:dyDescent="0.25">
      <c r="B63" s="16">
        <v>46</v>
      </c>
      <c r="C63" s="17">
        <f>I62</f>
      </c>
      <c r="D63" s="18"/>
      <c r="E63" s="17">
        <f>IF(C63&lt;=0,0,MIN($C$9,C63*(1+$C$5)))</f>
      </c>
      <c r="F63" s="17">
        <f>IF(C63&lt;=0,0,MIN($C$7,MAX(C63*(1+$C$5)-E63,0)))</f>
      </c>
      <c r="G63" s="17">
        <f>IF(C63&lt;=0,0,C63*$C$5)</f>
      </c>
      <c r="H63" s="17">
        <f>IF(C63&lt;=0,0,E63+F63-G63)</f>
      </c>
      <c r="I63" s="17">
        <f>MAX(C63-H63,0)</f>
      </c>
    </row>
    <row r="64" spans="2:9" x14ac:dyDescent="0.25">
      <c r="B64" s="14">
        <v>47</v>
      </c>
      <c r="C64" s="15">
        <f>I63</f>
      </c>
      <c r="E64" s="15">
        <f>IF(C64&lt;=0,0,MIN($C$9,C64*(1+$C$5)))</f>
      </c>
      <c r="F64" s="15">
        <f>IF(C64&lt;=0,0,MIN($C$7,MAX(C64*(1+$C$5)-E64,0)))</f>
      </c>
      <c r="G64" s="15">
        <f>IF(C64&lt;=0,0,C64*$C$5)</f>
      </c>
      <c r="H64" s="15">
        <f>IF(C64&lt;=0,0,E64+F64-G64)</f>
      </c>
      <c r="I64" s="15">
        <f>MAX(C64-H64,0)</f>
      </c>
    </row>
    <row r="65" spans="2:9" x14ac:dyDescent="0.25">
      <c r="B65" s="16">
        <v>48</v>
      </c>
      <c r="C65" s="17">
        <f>I64</f>
      </c>
      <c r="D65" s="18"/>
      <c r="E65" s="17">
        <f>IF(C65&lt;=0,0,MIN($C$9,C65*(1+$C$5)))</f>
      </c>
      <c r="F65" s="17">
        <f>IF(C65&lt;=0,0,MIN($C$7,MAX(C65*(1+$C$5)-E65,0)))</f>
      </c>
      <c r="G65" s="17">
        <f>IF(C65&lt;=0,0,C65*$C$5)</f>
      </c>
      <c r="H65" s="17">
        <f>IF(C65&lt;=0,0,E65+F65-G65)</f>
      </c>
      <c r="I65" s="17">
        <f>MAX(C65-H65,0)</f>
      </c>
    </row>
    <row r="66" spans="2:9" x14ac:dyDescent="0.25">
      <c r="B66" s="14">
        <v>49</v>
      </c>
      <c r="C66" s="15">
        <f>I65</f>
      </c>
      <c r="E66" s="15">
        <f>IF(C66&lt;=0,0,MIN($C$9,C66*(1+$C$5)))</f>
      </c>
      <c r="F66" s="15">
        <f>IF(C66&lt;=0,0,MIN($C$7,MAX(C66*(1+$C$5)-E66,0)))</f>
      </c>
      <c r="G66" s="15">
        <f>IF(C66&lt;=0,0,C66*$C$5)</f>
      </c>
      <c r="H66" s="15">
        <f>IF(C66&lt;=0,0,E66+F66-G66)</f>
      </c>
      <c r="I66" s="15">
        <f>MAX(C66-H66,0)</f>
      </c>
    </row>
    <row r="67" spans="2:9" x14ac:dyDescent="0.25">
      <c r="B67" s="16">
        <v>50</v>
      </c>
      <c r="C67" s="17">
        <f>I66</f>
      </c>
      <c r="D67" s="18"/>
      <c r="E67" s="17">
        <f>IF(C67&lt;=0,0,MIN($C$9,C67*(1+$C$5)))</f>
      </c>
      <c r="F67" s="17">
        <f>IF(C67&lt;=0,0,MIN($C$7,MAX(C67*(1+$C$5)-E67,0)))</f>
      </c>
      <c r="G67" s="17">
        <f>IF(C67&lt;=0,0,C67*$C$5)</f>
      </c>
      <c r="H67" s="17">
        <f>IF(C67&lt;=0,0,E67+F67-G67)</f>
      </c>
      <c r="I67" s="17">
        <f>MAX(C67-H67,0)</f>
      </c>
    </row>
    <row r="68" spans="2:9" x14ac:dyDescent="0.25">
      <c r="B68" s="14">
        <v>51</v>
      </c>
      <c r="C68" s="15">
        <f>I67</f>
      </c>
      <c r="E68" s="15">
        <f>IF(C68&lt;=0,0,MIN($C$9,C68*(1+$C$5)))</f>
      </c>
      <c r="F68" s="15">
        <f>IF(C68&lt;=0,0,MIN($C$7,MAX(C68*(1+$C$5)-E68,0)))</f>
      </c>
      <c r="G68" s="15">
        <f>IF(C68&lt;=0,0,C68*$C$5)</f>
      </c>
      <c r="H68" s="15">
        <f>IF(C68&lt;=0,0,E68+F68-G68)</f>
      </c>
      <c r="I68" s="15">
        <f>MAX(C68-H68,0)</f>
      </c>
    </row>
    <row r="69" spans="2:9" x14ac:dyDescent="0.25">
      <c r="B69" s="16">
        <v>52</v>
      </c>
      <c r="C69" s="17">
        <f>I68</f>
      </c>
      <c r="D69" s="18"/>
      <c r="E69" s="17">
        <f>IF(C69&lt;=0,0,MIN($C$9,C69*(1+$C$5)))</f>
      </c>
      <c r="F69" s="17">
        <f>IF(C69&lt;=0,0,MIN($C$7,MAX(C69*(1+$C$5)-E69,0)))</f>
      </c>
      <c r="G69" s="17">
        <f>IF(C69&lt;=0,0,C69*$C$5)</f>
      </c>
      <c r="H69" s="17">
        <f>IF(C69&lt;=0,0,E69+F69-G69)</f>
      </c>
      <c r="I69" s="17">
        <f>MAX(C69-H69,0)</f>
      </c>
    </row>
    <row r="70" spans="2:9" x14ac:dyDescent="0.25">
      <c r="B70" s="14">
        <v>53</v>
      </c>
      <c r="C70" s="15">
        <f>I69</f>
      </c>
      <c r="E70" s="15">
        <f>IF(C70&lt;=0,0,MIN($C$9,C70*(1+$C$5)))</f>
      </c>
      <c r="F70" s="15">
        <f>IF(C70&lt;=0,0,MIN($C$7,MAX(C70*(1+$C$5)-E70,0)))</f>
      </c>
      <c r="G70" s="15">
        <f>IF(C70&lt;=0,0,C70*$C$5)</f>
      </c>
      <c r="H70" s="15">
        <f>IF(C70&lt;=0,0,E70+F70-G70)</f>
      </c>
      <c r="I70" s="15">
        <f>MAX(C70-H70,0)</f>
      </c>
    </row>
    <row r="71" spans="2:9" x14ac:dyDescent="0.25">
      <c r="B71" s="16">
        <v>54</v>
      </c>
      <c r="C71" s="17">
        <f>I70</f>
      </c>
      <c r="D71" s="18"/>
      <c r="E71" s="17">
        <f>IF(C71&lt;=0,0,MIN($C$9,C71*(1+$C$5)))</f>
      </c>
      <c r="F71" s="17">
        <f>IF(C71&lt;=0,0,MIN($C$7,MAX(C71*(1+$C$5)-E71,0)))</f>
      </c>
      <c r="G71" s="17">
        <f>IF(C71&lt;=0,0,C71*$C$5)</f>
      </c>
      <c r="H71" s="17">
        <f>IF(C71&lt;=0,0,E71+F71-G71)</f>
      </c>
      <c r="I71" s="17">
        <f>MAX(C71-H71,0)</f>
      </c>
    </row>
    <row r="72" spans="2:9" x14ac:dyDescent="0.25">
      <c r="B72" s="14">
        <v>55</v>
      </c>
      <c r="C72" s="15">
        <f>I71</f>
      </c>
      <c r="E72" s="15">
        <f>IF(C72&lt;=0,0,MIN($C$9,C72*(1+$C$5)))</f>
      </c>
      <c r="F72" s="15">
        <f>IF(C72&lt;=0,0,MIN($C$7,MAX(C72*(1+$C$5)-E72,0)))</f>
      </c>
      <c r="G72" s="15">
        <f>IF(C72&lt;=0,0,C72*$C$5)</f>
      </c>
      <c r="H72" s="15">
        <f>IF(C72&lt;=0,0,E72+F72-G72)</f>
      </c>
      <c r="I72" s="15">
        <f>MAX(C72-H72,0)</f>
      </c>
    </row>
    <row r="73" spans="2:9" x14ac:dyDescent="0.25">
      <c r="B73" s="16">
        <v>56</v>
      </c>
      <c r="C73" s="17">
        <f>I72</f>
      </c>
      <c r="D73" s="18"/>
      <c r="E73" s="17">
        <f>IF(C73&lt;=0,0,MIN($C$9,C73*(1+$C$5)))</f>
      </c>
      <c r="F73" s="17">
        <f>IF(C73&lt;=0,0,MIN($C$7,MAX(C73*(1+$C$5)-E73,0)))</f>
      </c>
      <c r="G73" s="17">
        <f>IF(C73&lt;=0,0,C73*$C$5)</f>
      </c>
      <c r="H73" s="17">
        <f>IF(C73&lt;=0,0,E73+F73-G73)</f>
      </c>
      <c r="I73" s="17">
        <f>MAX(C73-H73,0)</f>
      </c>
    </row>
    <row r="74" spans="2:9" x14ac:dyDescent="0.25">
      <c r="B74" s="14">
        <v>57</v>
      </c>
      <c r="C74" s="15">
        <f>I73</f>
      </c>
      <c r="E74" s="15">
        <f>IF(C74&lt;=0,0,MIN($C$9,C74*(1+$C$5)))</f>
      </c>
      <c r="F74" s="15">
        <f>IF(C74&lt;=0,0,MIN($C$7,MAX(C74*(1+$C$5)-E74,0)))</f>
      </c>
      <c r="G74" s="15">
        <f>IF(C74&lt;=0,0,C74*$C$5)</f>
      </c>
      <c r="H74" s="15">
        <f>IF(C74&lt;=0,0,E74+F74-G74)</f>
      </c>
      <c r="I74" s="15">
        <f>MAX(C74-H74,0)</f>
      </c>
    </row>
    <row r="75" spans="2:9" x14ac:dyDescent="0.25">
      <c r="B75" s="16">
        <v>58</v>
      </c>
      <c r="C75" s="17">
        <f>I74</f>
      </c>
      <c r="D75" s="18"/>
      <c r="E75" s="17">
        <f>IF(C75&lt;=0,0,MIN($C$9,C75*(1+$C$5)))</f>
      </c>
      <c r="F75" s="17">
        <f>IF(C75&lt;=0,0,MIN($C$7,MAX(C75*(1+$C$5)-E75,0)))</f>
      </c>
      <c r="G75" s="17">
        <f>IF(C75&lt;=0,0,C75*$C$5)</f>
      </c>
      <c r="H75" s="17">
        <f>IF(C75&lt;=0,0,E75+F75-G75)</f>
      </c>
      <c r="I75" s="17">
        <f>MAX(C75-H75,0)</f>
      </c>
    </row>
    <row r="76" spans="2:9" x14ac:dyDescent="0.25">
      <c r="B76" s="14">
        <v>59</v>
      </c>
      <c r="C76" s="15">
        <f>I75</f>
      </c>
      <c r="E76" s="15">
        <f>IF(C76&lt;=0,0,MIN($C$9,C76*(1+$C$5)))</f>
      </c>
      <c r="F76" s="15">
        <f>IF(C76&lt;=0,0,MIN($C$7,MAX(C76*(1+$C$5)-E76,0)))</f>
      </c>
      <c r="G76" s="15">
        <f>IF(C76&lt;=0,0,C76*$C$5)</f>
      </c>
      <c r="H76" s="15">
        <f>IF(C76&lt;=0,0,E76+F76-G76)</f>
      </c>
      <c r="I76" s="15">
        <f>MAX(C76-H76,0)</f>
      </c>
    </row>
    <row r="77" spans="2:9" x14ac:dyDescent="0.25">
      <c r="B77" s="16">
        <v>60</v>
      </c>
      <c r="C77" s="17">
        <f>I76</f>
      </c>
      <c r="D77" s="18"/>
      <c r="E77" s="17">
        <f>IF(C77&lt;=0,0,MIN($C$9,C77*(1+$C$5)))</f>
      </c>
      <c r="F77" s="17">
        <f>IF(C77&lt;=0,0,MIN($C$7,MAX(C77*(1+$C$5)-E77,0)))</f>
      </c>
      <c r="G77" s="17">
        <f>IF(C77&lt;=0,0,C77*$C$5)</f>
      </c>
      <c r="H77" s="17">
        <f>IF(C77&lt;=0,0,E77+F77-G77)</f>
      </c>
      <c r="I77" s="17">
        <f>MAX(C77-H77,0)</f>
      </c>
    </row>
    <row r="78" spans="2:9" x14ac:dyDescent="0.25">
      <c r="B78" s="14">
        <v>61</v>
      </c>
      <c r="C78" s="15">
        <f>I77</f>
      </c>
      <c r="E78" s="15">
        <f>IF(C78&lt;=0,0,MIN($C$9,C78*(1+$C$5)))</f>
      </c>
      <c r="F78" s="15">
        <f>IF(C78&lt;=0,0,MIN($C$7,MAX(C78*(1+$C$5)-E78,0)))</f>
      </c>
      <c r="G78" s="15">
        <f>IF(C78&lt;=0,0,C78*$C$5)</f>
      </c>
      <c r="H78" s="15">
        <f>IF(C78&lt;=0,0,E78+F78-G78)</f>
      </c>
      <c r="I78" s="15">
        <f>MAX(C78-H78,0)</f>
      </c>
    </row>
    <row r="79" spans="2:9" x14ac:dyDescent="0.25">
      <c r="B79" s="16">
        <v>62</v>
      </c>
      <c r="C79" s="17">
        <f>I78</f>
      </c>
      <c r="D79" s="18"/>
      <c r="E79" s="17">
        <f>IF(C79&lt;=0,0,MIN($C$9,C79*(1+$C$5)))</f>
      </c>
      <c r="F79" s="17">
        <f>IF(C79&lt;=0,0,MIN($C$7,MAX(C79*(1+$C$5)-E79,0)))</f>
      </c>
      <c r="G79" s="17">
        <f>IF(C79&lt;=0,0,C79*$C$5)</f>
      </c>
      <c r="H79" s="17">
        <f>IF(C79&lt;=0,0,E79+F79-G79)</f>
      </c>
      <c r="I79" s="17">
        <f>MAX(C79-H79,0)</f>
      </c>
    </row>
    <row r="80" spans="2:9" x14ac:dyDescent="0.25">
      <c r="B80" s="14">
        <v>63</v>
      </c>
      <c r="C80" s="15">
        <f>I79</f>
      </c>
      <c r="E80" s="15">
        <f>IF(C80&lt;=0,0,MIN($C$9,C80*(1+$C$5)))</f>
      </c>
      <c r="F80" s="15">
        <f>IF(C80&lt;=0,0,MIN($C$7,MAX(C80*(1+$C$5)-E80,0)))</f>
      </c>
      <c r="G80" s="15">
        <f>IF(C80&lt;=0,0,C80*$C$5)</f>
      </c>
      <c r="H80" s="15">
        <f>IF(C80&lt;=0,0,E80+F80-G80)</f>
      </c>
      <c r="I80" s="15">
        <f>MAX(C80-H80,0)</f>
      </c>
    </row>
    <row r="81" spans="2:9" x14ac:dyDescent="0.25">
      <c r="B81" s="16">
        <v>64</v>
      </c>
      <c r="C81" s="17">
        <f>I80</f>
      </c>
      <c r="D81" s="18"/>
      <c r="E81" s="17">
        <f>IF(C81&lt;=0,0,MIN($C$9,C81*(1+$C$5)))</f>
      </c>
      <c r="F81" s="17">
        <f>IF(C81&lt;=0,0,MIN($C$7,MAX(C81*(1+$C$5)-E81,0)))</f>
      </c>
      <c r="G81" s="17">
        <f>IF(C81&lt;=0,0,C81*$C$5)</f>
      </c>
      <c r="H81" s="17">
        <f>IF(C81&lt;=0,0,E81+F81-G81)</f>
      </c>
      <c r="I81" s="17">
        <f>MAX(C81-H81,0)</f>
      </c>
    </row>
    <row r="82" spans="2:9" x14ac:dyDescent="0.25">
      <c r="B82" s="14">
        <v>65</v>
      </c>
      <c r="C82" s="15">
        <f>I81</f>
      </c>
      <c r="E82" s="15">
        <f>IF(C82&lt;=0,0,MIN($C$9,C82*(1+$C$5)))</f>
      </c>
      <c r="F82" s="15">
        <f>IF(C82&lt;=0,0,MIN($C$7,MAX(C82*(1+$C$5)-E82,0)))</f>
      </c>
      <c r="G82" s="15">
        <f>IF(C82&lt;=0,0,C82*$C$5)</f>
      </c>
      <c r="H82" s="15">
        <f>IF(C82&lt;=0,0,E82+F82-G82)</f>
      </c>
      <c r="I82" s="15">
        <f>MAX(C82-H82,0)</f>
      </c>
    </row>
    <row r="83" spans="2:9" x14ac:dyDescent="0.25">
      <c r="B83" s="16">
        <v>66</v>
      </c>
      <c r="C83" s="17">
        <f>I82</f>
      </c>
      <c r="D83" s="18"/>
      <c r="E83" s="17">
        <f>IF(C83&lt;=0,0,MIN($C$9,C83*(1+$C$5)))</f>
      </c>
      <c r="F83" s="17">
        <f>IF(C83&lt;=0,0,MIN($C$7,MAX(C83*(1+$C$5)-E83,0)))</f>
      </c>
      <c r="G83" s="17">
        <f>IF(C83&lt;=0,0,C83*$C$5)</f>
      </c>
      <c r="H83" s="17">
        <f>IF(C83&lt;=0,0,E83+F83-G83)</f>
      </c>
      <c r="I83" s="17">
        <f>MAX(C83-H83,0)</f>
      </c>
    </row>
    <row r="84" spans="2:9" x14ac:dyDescent="0.25">
      <c r="B84" s="14">
        <v>67</v>
      </c>
      <c r="C84" s="15">
        <f>I83</f>
      </c>
      <c r="E84" s="15">
        <f>IF(C84&lt;=0,0,MIN($C$9,C84*(1+$C$5)))</f>
      </c>
      <c r="F84" s="15">
        <f>IF(C84&lt;=0,0,MIN($C$7,MAX(C84*(1+$C$5)-E84,0)))</f>
      </c>
      <c r="G84" s="15">
        <f>IF(C84&lt;=0,0,C84*$C$5)</f>
      </c>
      <c r="H84" s="15">
        <f>IF(C84&lt;=0,0,E84+F84-G84)</f>
      </c>
      <c r="I84" s="15">
        <f>MAX(C84-H84,0)</f>
      </c>
    </row>
    <row r="85" spans="2:9" x14ac:dyDescent="0.25">
      <c r="B85" s="16">
        <v>68</v>
      </c>
      <c r="C85" s="17">
        <f>I84</f>
      </c>
      <c r="D85" s="18"/>
      <c r="E85" s="17">
        <f>IF(C85&lt;=0,0,MIN($C$9,C85*(1+$C$5)))</f>
      </c>
      <c r="F85" s="17">
        <f>IF(C85&lt;=0,0,MIN($C$7,MAX(C85*(1+$C$5)-E85,0)))</f>
      </c>
      <c r="G85" s="17">
        <f>IF(C85&lt;=0,0,C85*$C$5)</f>
      </c>
      <c r="H85" s="17">
        <f>IF(C85&lt;=0,0,E85+F85-G85)</f>
      </c>
      <c r="I85" s="17">
        <f>MAX(C85-H85,0)</f>
      </c>
    </row>
    <row r="86" spans="2:9" x14ac:dyDescent="0.25">
      <c r="B86" s="14">
        <v>69</v>
      </c>
      <c r="C86" s="15">
        <f>I85</f>
      </c>
      <c r="E86" s="15">
        <f>IF(C86&lt;=0,0,MIN($C$9,C86*(1+$C$5)))</f>
      </c>
      <c r="F86" s="15">
        <f>IF(C86&lt;=0,0,MIN($C$7,MAX(C86*(1+$C$5)-E86,0)))</f>
      </c>
      <c r="G86" s="15">
        <f>IF(C86&lt;=0,0,C86*$C$5)</f>
      </c>
      <c r="H86" s="15">
        <f>IF(C86&lt;=0,0,E86+F86-G86)</f>
      </c>
      <c r="I86" s="15">
        <f>MAX(C86-H86,0)</f>
      </c>
    </row>
    <row r="87" spans="2:9" x14ac:dyDescent="0.25">
      <c r="B87" s="16">
        <v>70</v>
      </c>
      <c r="C87" s="17">
        <f>I86</f>
      </c>
      <c r="D87" s="18"/>
      <c r="E87" s="17">
        <f>IF(C87&lt;=0,0,MIN($C$9,C87*(1+$C$5)))</f>
      </c>
      <c r="F87" s="17">
        <f>IF(C87&lt;=0,0,MIN($C$7,MAX(C87*(1+$C$5)-E87,0)))</f>
      </c>
      <c r="G87" s="17">
        <f>IF(C87&lt;=0,0,C87*$C$5)</f>
      </c>
      <c r="H87" s="17">
        <f>IF(C87&lt;=0,0,E87+F87-G87)</f>
      </c>
      <c r="I87" s="17">
        <f>MAX(C87-H87,0)</f>
      </c>
    </row>
    <row r="88" spans="2:9" x14ac:dyDescent="0.25">
      <c r="B88" s="14">
        <v>71</v>
      </c>
      <c r="C88" s="15">
        <f>I87</f>
      </c>
      <c r="E88" s="15">
        <f>IF(C88&lt;=0,0,MIN($C$9,C88*(1+$C$5)))</f>
      </c>
      <c r="F88" s="15">
        <f>IF(C88&lt;=0,0,MIN($C$7,MAX(C88*(1+$C$5)-E88,0)))</f>
      </c>
      <c r="G88" s="15">
        <f>IF(C88&lt;=0,0,C88*$C$5)</f>
      </c>
      <c r="H88" s="15">
        <f>IF(C88&lt;=0,0,E88+F88-G88)</f>
      </c>
      <c r="I88" s="15">
        <f>MAX(C88-H88,0)</f>
      </c>
    </row>
    <row r="89" spans="2:9" x14ac:dyDescent="0.25">
      <c r="B89" s="16">
        <v>72</v>
      </c>
      <c r="C89" s="17">
        <f>I88</f>
      </c>
      <c r="D89" s="18"/>
      <c r="E89" s="17">
        <f>IF(C89&lt;=0,0,MIN($C$9,C89*(1+$C$5)))</f>
      </c>
      <c r="F89" s="17">
        <f>IF(C89&lt;=0,0,MIN($C$7,MAX(C89*(1+$C$5)-E89,0)))</f>
      </c>
      <c r="G89" s="17">
        <f>IF(C89&lt;=0,0,C89*$C$5)</f>
      </c>
      <c r="H89" s="17">
        <f>IF(C89&lt;=0,0,E89+F89-G89)</f>
      </c>
      <c r="I89" s="17">
        <f>MAX(C89-H89,0)</f>
      </c>
    </row>
    <row r="90" spans="2:9" x14ac:dyDescent="0.25">
      <c r="B90" s="14">
        <v>73</v>
      </c>
      <c r="C90" s="15">
        <f>I89</f>
      </c>
      <c r="E90" s="15">
        <f>IF(C90&lt;=0,0,MIN($C$9,C90*(1+$C$5)))</f>
      </c>
      <c r="F90" s="15">
        <f>IF(C90&lt;=0,0,MIN($C$7,MAX(C90*(1+$C$5)-E90,0)))</f>
      </c>
      <c r="G90" s="15">
        <f>IF(C90&lt;=0,0,C90*$C$5)</f>
      </c>
      <c r="H90" s="15">
        <f>IF(C90&lt;=0,0,E90+F90-G90)</f>
      </c>
      <c r="I90" s="15">
        <f>MAX(C90-H90,0)</f>
      </c>
    </row>
    <row r="91" spans="2:9" x14ac:dyDescent="0.25">
      <c r="B91" s="16">
        <v>74</v>
      </c>
      <c r="C91" s="17">
        <f>I90</f>
      </c>
      <c r="D91" s="18"/>
      <c r="E91" s="17">
        <f>IF(C91&lt;=0,0,MIN($C$9,C91*(1+$C$5)))</f>
      </c>
      <c r="F91" s="17">
        <f>IF(C91&lt;=0,0,MIN($C$7,MAX(C91*(1+$C$5)-E91,0)))</f>
      </c>
      <c r="G91" s="17">
        <f>IF(C91&lt;=0,0,C91*$C$5)</f>
      </c>
      <c r="H91" s="17">
        <f>IF(C91&lt;=0,0,E91+F91-G91)</f>
      </c>
      <c r="I91" s="17">
        <f>MAX(C91-H91,0)</f>
      </c>
    </row>
    <row r="92" spans="2:9" x14ac:dyDescent="0.25">
      <c r="B92" s="14">
        <v>75</v>
      </c>
      <c r="C92" s="15">
        <f>I91</f>
      </c>
      <c r="E92" s="15">
        <f>IF(C92&lt;=0,0,MIN($C$9,C92*(1+$C$5)))</f>
      </c>
      <c r="F92" s="15">
        <f>IF(C92&lt;=0,0,MIN($C$7,MAX(C92*(1+$C$5)-E92,0)))</f>
      </c>
      <c r="G92" s="15">
        <f>IF(C92&lt;=0,0,C92*$C$5)</f>
      </c>
      <c r="H92" s="15">
        <f>IF(C92&lt;=0,0,E92+F92-G92)</f>
      </c>
      <c r="I92" s="15">
        <f>MAX(C92-H92,0)</f>
      </c>
    </row>
    <row r="93" spans="2:9" x14ac:dyDescent="0.25">
      <c r="B93" s="16">
        <v>76</v>
      </c>
      <c r="C93" s="17">
        <f>I92</f>
      </c>
      <c r="D93" s="18"/>
      <c r="E93" s="17">
        <f>IF(C93&lt;=0,0,MIN($C$9,C93*(1+$C$5)))</f>
      </c>
      <c r="F93" s="17">
        <f>IF(C93&lt;=0,0,MIN($C$7,MAX(C93*(1+$C$5)-E93,0)))</f>
      </c>
      <c r="G93" s="17">
        <f>IF(C93&lt;=0,0,C93*$C$5)</f>
      </c>
      <c r="H93" s="17">
        <f>IF(C93&lt;=0,0,E93+F93-G93)</f>
      </c>
      <c r="I93" s="17">
        <f>MAX(C93-H93,0)</f>
      </c>
    </row>
    <row r="94" spans="2:9" x14ac:dyDescent="0.25">
      <c r="B94" s="14">
        <v>77</v>
      </c>
      <c r="C94" s="15">
        <f>I93</f>
      </c>
      <c r="E94" s="15">
        <f>IF(C94&lt;=0,0,MIN($C$9,C94*(1+$C$5)))</f>
      </c>
      <c r="F94" s="15">
        <f>IF(C94&lt;=0,0,MIN($C$7,MAX(C94*(1+$C$5)-E94,0)))</f>
      </c>
      <c r="G94" s="15">
        <f>IF(C94&lt;=0,0,C94*$C$5)</f>
      </c>
      <c r="H94" s="15">
        <f>IF(C94&lt;=0,0,E94+F94-G94)</f>
      </c>
      <c r="I94" s="15">
        <f>MAX(C94-H94,0)</f>
      </c>
    </row>
    <row r="95" spans="2:9" x14ac:dyDescent="0.25">
      <c r="B95" s="16">
        <v>78</v>
      </c>
      <c r="C95" s="17">
        <f>I94</f>
      </c>
      <c r="D95" s="18"/>
      <c r="E95" s="17">
        <f>IF(C95&lt;=0,0,MIN($C$9,C95*(1+$C$5)))</f>
      </c>
      <c r="F95" s="17">
        <f>IF(C95&lt;=0,0,MIN($C$7,MAX(C95*(1+$C$5)-E95,0)))</f>
      </c>
      <c r="G95" s="17">
        <f>IF(C95&lt;=0,0,C95*$C$5)</f>
      </c>
      <c r="H95" s="17">
        <f>IF(C95&lt;=0,0,E95+F95-G95)</f>
      </c>
      <c r="I95" s="17">
        <f>MAX(C95-H95,0)</f>
      </c>
    </row>
    <row r="96" spans="2:9" x14ac:dyDescent="0.25">
      <c r="B96" s="14">
        <v>79</v>
      </c>
      <c r="C96" s="15">
        <f>I95</f>
      </c>
      <c r="E96" s="15">
        <f>IF(C96&lt;=0,0,MIN($C$9,C96*(1+$C$5)))</f>
      </c>
      <c r="F96" s="15">
        <f>IF(C96&lt;=0,0,MIN($C$7,MAX(C96*(1+$C$5)-E96,0)))</f>
      </c>
      <c r="G96" s="15">
        <f>IF(C96&lt;=0,0,C96*$C$5)</f>
      </c>
      <c r="H96" s="15">
        <f>IF(C96&lt;=0,0,E96+F96-G96)</f>
      </c>
      <c r="I96" s="15">
        <f>MAX(C96-H96,0)</f>
      </c>
    </row>
    <row r="97" spans="2:9" x14ac:dyDescent="0.25">
      <c r="B97" s="16">
        <v>80</v>
      </c>
      <c r="C97" s="17">
        <f>I96</f>
      </c>
      <c r="D97" s="18"/>
      <c r="E97" s="17">
        <f>IF(C97&lt;=0,0,MIN($C$9,C97*(1+$C$5)))</f>
      </c>
      <c r="F97" s="17">
        <f>IF(C97&lt;=0,0,MIN($C$7,MAX(C97*(1+$C$5)-E97,0)))</f>
      </c>
      <c r="G97" s="17">
        <f>IF(C97&lt;=0,0,C97*$C$5)</f>
      </c>
      <c r="H97" s="17">
        <f>IF(C97&lt;=0,0,E97+F97-G97)</f>
      </c>
      <c r="I97" s="17">
        <f>MAX(C97-H97,0)</f>
      </c>
    </row>
    <row r="98" spans="2:9" x14ac:dyDescent="0.25">
      <c r="B98" s="14">
        <v>81</v>
      </c>
      <c r="C98" s="15">
        <f>I97</f>
      </c>
      <c r="E98" s="15">
        <f>IF(C98&lt;=0,0,MIN($C$9,C98*(1+$C$5)))</f>
      </c>
      <c r="F98" s="15">
        <f>IF(C98&lt;=0,0,MIN($C$7,MAX(C98*(1+$C$5)-E98,0)))</f>
      </c>
      <c r="G98" s="15">
        <f>IF(C98&lt;=0,0,C98*$C$5)</f>
      </c>
      <c r="H98" s="15">
        <f>IF(C98&lt;=0,0,E98+F98-G98)</f>
      </c>
      <c r="I98" s="15">
        <f>MAX(C98-H98,0)</f>
      </c>
    </row>
    <row r="99" spans="2:9" x14ac:dyDescent="0.25">
      <c r="B99" s="16">
        <v>82</v>
      </c>
      <c r="C99" s="17">
        <f>I98</f>
      </c>
      <c r="D99" s="18"/>
      <c r="E99" s="17">
        <f>IF(C99&lt;=0,0,MIN($C$9,C99*(1+$C$5)))</f>
      </c>
      <c r="F99" s="17">
        <f>IF(C99&lt;=0,0,MIN($C$7,MAX(C99*(1+$C$5)-E99,0)))</f>
      </c>
      <c r="G99" s="17">
        <f>IF(C99&lt;=0,0,C99*$C$5)</f>
      </c>
      <c r="H99" s="17">
        <f>IF(C99&lt;=0,0,E99+F99-G99)</f>
      </c>
      <c r="I99" s="17">
        <f>MAX(C99-H99,0)</f>
      </c>
    </row>
    <row r="100" spans="2:9" x14ac:dyDescent="0.25">
      <c r="B100" s="14">
        <v>83</v>
      </c>
      <c r="C100" s="15">
        <f>I99</f>
      </c>
      <c r="E100" s="15">
        <f>IF(C100&lt;=0,0,MIN($C$9,C100*(1+$C$5)))</f>
      </c>
      <c r="F100" s="15">
        <f>IF(C100&lt;=0,0,MIN($C$7,MAX(C100*(1+$C$5)-E100,0)))</f>
      </c>
      <c r="G100" s="15">
        <f>IF(C100&lt;=0,0,C100*$C$5)</f>
      </c>
      <c r="H100" s="15">
        <f>IF(C100&lt;=0,0,E100+F100-G100)</f>
      </c>
      <c r="I100" s="15">
        <f>MAX(C100-H100,0)</f>
      </c>
    </row>
    <row r="101" spans="2:9" x14ac:dyDescent="0.25">
      <c r="B101" s="16">
        <v>84</v>
      </c>
      <c r="C101" s="17">
        <f>I100</f>
      </c>
      <c r="D101" s="18"/>
      <c r="E101" s="17">
        <f>IF(C101&lt;=0,0,MIN($C$9,C101*(1+$C$5)))</f>
      </c>
      <c r="F101" s="17">
        <f>IF(C101&lt;=0,0,MIN($C$7,MAX(C101*(1+$C$5)-E101,0)))</f>
      </c>
      <c r="G101" s="17">
        <f>IF(C101&lt;=0,0,C101*$C$5)</f>
      </c>
      <c r="H101" s="17">
        <f>IF(C101&lt;=0,0,E101+F101-G101)</f>
      </c>
      <c r="I101" s="17">
        <f>MAX(C101-H101,0)</f>
      </c>
    </row>
    <row r="102" spans="2:9" x14ac:dyDescent="0.25">
      <c r="B102" s="14">
        <v>85</v>
      </c>
      <c r="C102" s="15">
        <f>I101</f>
      </c>
      <c r="E102" s="15">
        <f>IF(C102&lt;=0,0,MIN($C$9,C102*(1+$C$5)))</f>
      </c>
      <c r="F102" s="15">
        <f>IF(C102&lt;=0,0,MIN($C$7,MAX(C102*(1+$C$5)-E102,0)))</f>
      </c>
      <c r="G102" s="15">
        <f>IF(C102&lt;=0,0,C102*$C$5)</f>
      </c>
      <c r="H102" s="15">
        <f>IF(C102&lt;=0,0,E102+F102-G102)</f>
      </c>
      <c r="I102" s="15">
        <f>MAX(C102-H102,0)</f>
      </c>
    </row>
    <row r="103" spans="2:9" x14ac:dyDescent="0.25">
      <c r="B103" s="16">
        <v>86</v>
      </c>
      <c r="C103" s="17">
        <f>I102</f>
      </c>
      <c r="D103" s="18"/>
      <c r="E103" s="17">
        <f>IF(C103&lt;=0,0,MIN($C$9,C103*(1+$C$5)))</f>
      </c>
      <c r="F103" s="17">
        <f>IF(C103&lt;=0,0,MIN($C$7,MAX(C103*(1+$C$5)-E103,0)))</f>
      </c>
      <c r="G103" s="17">
        <f>IF(C103&lt;=0,0,C103*$C$5)</f>
      </c>
      <c r="H103" s="17">
        <f>IF(C103&lt;=0,0,E103+F103-G103)</f>
      </c>
      <c r="I103" s="17">
        <f>MAX(C103-H103,0)</f>
      </c>
    </row>
    <row r="104" spans="2:9" x14ac:dyDescent="0.25">
      <c r="B104" s="14">
        <v>87</v>
      </c>
      <c r="C104" s="15">
        <f>I103</f>
      </c>
      <c r="E104" s="15">
        <f>IF(C104&lt;=0,0,MIN($C$9,C104*(1+$C$5)))</f>
      </c>
      <c r="F104" s="15">
        <f>IF(C104&lt;=0,0,MIN($C$7,MAX(C104*(1+$C$5)-E104,0)))</f>
      </c>
      <c r="G104" s="15">
        <f>IF(C104&lt;=0,0,C104*$C$5)</f>
      </c>
      <c r="H104" s="15">
        <f>IF(C104&lt;=0,0,E104+F104-G104)</f>
      </c>
      <c r="I104" s="15">
        <f>MAX(C104-H104,0)</f>
      </c>
    </row>
    <row r="105" spans="2:9" x14ac:dyDescent="0.25">
      <c r="B105" s="16">
        <v>88</v>
      </c>
      <c r="C105" s="17">
        <f>I104</f>
      </c>
      <c r="D105" s="18"/>
      <c r="E105" s="17">
        <f>IF(C105&lt;=0,0,MIN($C$9,C105*(1+$C$5)))</f>
      </c>
      <c r="F105" s="17">
        <f>IF(C105&lt;=0,0,MIN($C$7,MAX(C105*(1+$C$5)-E105,0)))</f>
      </c>
      <c r="G105" s="17">
        <f>IF(C105&lt;=0,0,C105*$C$5)</f>
      </c>
      <c r="H105" s="17">
        <f>IF(C105&lt;=0,0,E105+F105-G105)</f>
      </c>
      <c r="I105" s="17">
        <f>MAX(C105-H105,0)</f>
      </c>
    </row>
    <row r="106" spans="2:9" x14ac:dyDescent="0.25">
      <c r="B106" s="14">
        <v>89</v>
      </c>
      <c r="C106" s="15">
        <f>I105</f>
      </c>
      <c r="E106" s="15">
        <f>IF(C106&lt;=0,0,MIN($C$9,C106*(1+$C$5)))</f>
      </c>
      <c r="F106" s="15">
        <f>IF(C106&lt;=0,0,MIN($C$7,MAX(C106*(1+$C$5)-E106,0)))</f>
      </c>
      <c r="G106" s="15">
        <f>IF(C106&lt;=0,0,C106*$C$5)</f>
      </c>
      <c r="H106" s="15">
        <f>IF(C106&lt;=0,0,E106+F106-G106)</f>
      </c>
      <c r="I106" s="15">
        <f>MAX(C106-H106,0)</f>
      </c>
    </row>
    <row r="107" spans="2:9" x14ac:dyDescent="0.25">
      <c r="B107" s="16">
        <v>90</v>
      </c>
      <c r="C107" s="17">
        <f>I106</f>
      </c>
      <c r="D107" s="18"/>
      <c r="E107" s="17">
        <f>IF(C107&lt;=0,0,MIN($C$9,C107*(1+$C$5)))</f>
      </c>
      <c r="F107" s="17">
        <f>IF(C107&lt;=0,0,MIN($C$7,MAX(C107*(1+$C$5)-E107,0)))</f>
      </c>
      <c r="G107" s="17">
        <f>IF(C107&lt;=0,0,C107*$C$5)</f>
      </c>
      <c r="H107" s="17">
        <f>IF(C107&lt;=0,0,E107+F107-G107)</f>
      </c>
      <c r="I107" s="17">
        <f>MAX(C107-H107,0)</f>
      </c>
    </row>
    <row r="108" spans="2:9" x14ac:dyDescent="0.25">
      <c r="B108" s="14">
        <v>91</v>
      </c>
      <c r="C108" s="15">
        <f>I107</f>
      </c>
      <c r="E108" s="15">
        <f>IF(C108&lt;=0,0,MIN($C$9,C108*(1+$C$5)))</f>
      </c>
      <c r="F108" s="15">
        <f>IF(C108&lt;=0,0,MIN($C$7,MAX(C108*(1+$C$5)-E108,0)))</f>
      </c>
      <c r="G108" s="15">
        <f>IF(C108&lt;=0,0,C108*$C$5)</f>
      </c>
      <c r="H108" s="15">
        <f>IF(C108&lt;=0,0,E108+F108-G108)</f>
      </c>
      <c r="I108" s="15">
        <f>MAX(C108-H108,0)</f>
      </c>
    </row>
    <row r="109" spans="2:9" x14ac:dyDescent="0.25">
      <c r="B109" s="16">
        <v>92</v>
      </c>
      <c r="C109" s="17">
        <f>I108</f>
      </c>
      <c r="D109" s="18"/>
      <c r="E109" s="17">
        <f>IF(C109&lt;=0,0,MIN($C$9,C109*(1+$C$5)))</f>
      </c>
      <c r="F109" s="17">
        <f>IF(C109&lt;=0,0,MIN($C$7,MAX(C109*(1+$C$5)-E109,0)))</f>
      </c>
      <c r="G109" s="17">
        <f>IF(C109&lt;=0,0,C109*$C$5)</f>
      </c>
      <c r="H109" s="17">
        <f>IF(C109&lt;=0,0,E109+F109-G109)</f>
      </c>
      <c r="I109" s="17">
        <f>MAX(C109-H109,0)</f>
      </c>
    </row>
    <row r="110" spans="2:9" x14ac:dyDescent="0.25">
      <c r="B110" s="14">
        <v>93</v>
      </c>
      <c r="C110" s="15">
        <f>I109</f>
      </c>
      <c r="E110" s="15">
        <f>IF(C110&lt;=0,0,MIN($C$9,C110*(1+$C$5)))</f>
      </c>
      <c r="F110" s="15">
        <f>IF(C110&lt;=0,0,MIN($C$7,MAX(C110*(1+$C$5)-E110,0)))</f>
      </c>
      <c r="G110" s="15">
        <f>IF(C110&lt;=0,0,C110*$C$5)</f>
      </c>
      <c r="H110" s="15">
        <f>IF(C110&lt;=0,0,E110+F110-G110)</f>
      </c>
      <c r="I110" s="15">
        <f>MAX(C110-H110,0)</f>
      </c>
    </row>
    <row r="111" spans="2:9" x14ac:dyDescent="0.25">
      <c r="B111" s="16">
        <v>94</v>
      </c>
      <c r="C111" s="17">
        <f>I110</f>
      </c>
      <c r="D111" s="18"/>
      <c r="E111" s="17">
        <f>IF(C111&lt;=0,0,MIN($C$9,C111*(1+$C$5)))</f>
      </c>
      <c r="F111" s="17">
        <f>IF(C111&lt;=0,0,MIN($C$7,MAX(C111*(1+$C$5)-E111,0)))</f>
      </c>
      <c r="G111" s="17">
        <f>IF(C111&lt;=0,0,C111*$C$5)</f>
      </c>
      <c r="H111" s="17">
        <f>IF(C111&lt;=0,0,E111+F111-G111)</f>
      </c>
      <c r="I111" s="17">
        <f>MAX(C111-H111,0)</f>
      </c>
    </row>
    <row r="112" spans="2:9" x14ac:dyDescent="0.25">
      <c r="B112" s="14">
        <v>95</v>
      </c>
      <c r="C112" s="15">
        <f>I111</f>
      </c>
      <c r="E112" s="15">
        <f>IF(C112&lt;=0,0,MIN($C$9,C112*(1+$C$5)))</f>
      </c>
      <c r="F112" s="15">
        <f>IF(C112&lt;=0,0,MIN($C$7,MAX(C112*(1+$C$5)-E112,0)))</f>
      </c>
      <c r="G112" s="15">
        <f>IF(C112&lt;=0,0,C112*$C$5)</f>
      </c>
      <c r="H112" s="15">
        <f>IF(C112&lt;=0,0,E112+F112-G112)</f>
      </c>
      <c r="I112" s="15">
        <f>MAX(C112-H112,0)</f>
      </c>
    </row>
    <row r="113" spans="2:9" x14ac:dyDescent="0.25">
      <c r="B113" s="16">
        <v>96</v>
      </c>
      <c r="C113" s="17">
        <f>I112</f>
      </c>
      <c r="D113" s="18"/>
      <c r="E113" s="17">
        <f>IF(C113&lt;=0,0,MIN($C$9,C113*(1+$C$5)))</f>
      </c>
      <c r="F113" s="17">
        <f>IF(C113&lt;=0,0,MIN($C$7,MAX(C113*(1+$C$5)-E113,0)))</f>
      </c>
      <c r="G113" s="17">
        <f>IF(C113&lt;=0,0,C113*$C$5)</f>
      </c>
      <c r="H113" s="17">
        <f>IF(C113&lt;=0,0,E113+F113-G113)</f>
      </c>
      <c r="I113" s="17">
        <f>MAX(C113-H113,0)</f>
      </c>
    </row>
    <row r="114" spans="2:9" x14ac:dyDescent="0.25">
      <c r="B114" s="14">
        <v>97</v>
      </c>
      <c r="C114" s="15">
        <f>I113</f>
      </c>
      <c r="E114" s="15">
        <f>IF(C114&lt;=0,0,MIN($C$9,C114*(1+$C$5)))</f>
      </c>
      <c r="F114" s="15">
        <f>IF(C114&lt;=0,0,MIN($C$7,MAX(C114*(1+$C$5)-E114,0)))</f>
      </c>
      <c r="G114" s="15">
        <f>IF(C114&lt;=0,0,C114*$C$5)</f>
      </c>
      <c r="H114" s="15">
        <f>IF(C114&lt;=0,0,E114+F114-G114)</f>
      </c>
      <c r="I114" s="15">
        <f>MAX(C114-H114,0)</f>
      </c>
    </row>
    <row r="115" spans="2:9" x14ac:dyDescent="0.25">
      <c r="B115" s="16">
        <v>98</v>
      </c>
      <c r="C115" s="17">
        <f>I114</f>
      </c>
      <c r="D115" s="18"/>
      <c r="E115" s="17">
        <f>IF(C115&lt;=0,0,MIN($C$9,C115*(1+$C$5)))</f>
      </c>
      <c r="F115" s="17">
        <f>IF(C115&lt;=0,0,MIN($C$7,MAX(C115*(1+$C$5)-E115,0)))</f>
      </c>
      <c r="G115" s="17">
        <f>IF(C115&lt;=0,0,C115*$C$5)</f>
      </c>
      <c r="H115" s="17">
        <f>IF(C115&lt;=0,0,E115+F115-G115)</f>
      </c>
      <c r="I115" s="17">
        <f>MAX(C115-H115,0)</f>
      </c>
    </row>
    <row r="116" spans="2:9" x14ac:dyDescent="0.25">
      <c r="B116" s="14">
        <v>99</v>
      </c>
      <c r="C116" s="15">
        <f>I115</f>
      </c>
      <c r="E116" s="15">
        <f>IF(C116&lt;=0,0,MIN($C$9,C116*(1+$C$5)))</f>
      </c>
      <c r="F116" s="15">
        <f>IF(C116&lt;=0,0,MIN($C$7,MAX(C116*(1+$C$5)-E116,0)))</f>
      </c>
      <c r="G116" s="15">
        <f>IF(C116&lt;=0,0,C116*$C$5)</f>
      </c>
      <c r="H116" s="15">
        <f>IF(C116&lt;=0,0,E116+F116-G116)</f>
      </c>
      <c r="I116" s="15">
        <f>MAX(C116-H116,0)</f>
      </c>
    </row>
    <row r="117" spans="2:9" x14ac:dyDescent="0.25">
      <c r="B117" s="16">
        <v>100</v>
      </c>
      <c r="C117" s="17">
        <f>I116</f>
      </c>
      <c r="D117" s="18"/>
      <c r="E117" s="17">
        <f>IF(C117&lt;=0,0,MIN($C$9,C117*(1+$C$5)))</f>
      </c>
      <c r="F117" s="17">
        <f>IF(C117&lt;=0,0,MIN($C$7,MAX(C117*(1+$C$5)-E117,0)))</f>
      </c>
      <c r="G117" s="17">
        <f>IF(C117&lt;=0,0,C117*$C$5)</f>
      </c>
      <c r="H117" s="17">
        <f>IF(C117&lt;=0,0,E117+F117-G117)</f>
      </c>
      <c r="I117" s="17">
        <f>MAX(C117-H117,0)</f>
      </c>
    </row>
    <row r="118" spans="2:9" x14ac:dyDescent="0.25">
      <c r="B118" s="14">
        <v>101</v>
      </c>
      <c r="C118" s="15">
        <f>I117</f>
      </c>
      <c r="E118" s="15">
        <f>IF(C118&lt;=0,0,MIN($C$9,C118*(1+$C$5)))</f>
      </c>
      <c r="F118" s="15">
        <f>IF(C118&lt;=0,0,MIN($C$7,MAX(C118*(1+$C$5)-E118,0)))</f>
      </c>
      <c r="G118" s="15">
        <f>IF(C118&lt;=0,0,C118*$C$5)</f>
      </c>
      <c r="H118" s="15">
        <f>IF(C118&lt;=0,0,E118+F118-G118)</f>
      </c>
      <c r="I118" s="15">
        <f>MAX(C118-H118,0)</f>
      </c>
    </row>
    <row r="119" spans="2:9" x14ac:dyDescent="0.25">
      <c r="B119" s="16">
        <v>102</v>
      </c>
      <c r="C119" s="17">
        <f>I118</f>
      </c>
      <c r="D119" s="18"/>
      <c r="E119" s="17">
        <f>IF(C119&lt;=0,0,MIN($C$9,C119*(1+$C$5)))</f>
      </c>
      <c r="F119" s="17">
        <f>IF(C119&lt;=0,0,MIN($C$7,MAX(C119*(1+$C$5)-E119,0)))</f>
      </c>
      <c r="G119" s="17">
        <f>IF(C119&lt;=0,0,C119*$C$5)</f>
      </c>
      <c r="H119" s="17">
        <f>IF(C119&lt;=0,0,E119+F119-G119)</f>
      </c>
      <c r="I119" s="17">
        <f>MAX(C119-H119,0)</f>
      </c>
    </row>
    <row r="120" spans="2:9" x14ac:dyDescent="0.25">
      <c r="B120" s="14">
        <v>103</v>
      </c>
      <c r="C120" s="15">
        <f>I119</f>
      </c>
      <c r="E120" s="15">
        <f>IF(C120&lt;=0,0,MIN($C$9,C120*(1+$C$5)))</f>
      </c>
      <c r="F120" s="15">
        <f>IF(C120&lt;=0,0,MIN($C$7,MAX(C120*(1+$C$5)-E120,0)))</f>
      </c>
      <c r="G120" s="15">
        <f>IF(C120&lt;=0,0,C120*$C$5)</f>
      </c>
      <c r="H120" s="15">
        <f>IF(C120&lt;=0,0,E120+F120-G120)</f>
      </c>
      <c r="I120" s="15">
        <f>MAX(C120-H120,0)</f>
      </c>
    </row>
    <row r="121" spans="2:9" x14ac:dyDescent="0.25">
      <c r="B121" s="16">
        <v>104</v>
      </c>
      <c r="C121" s="17">
        <f>I120</f>
      </c>
      <c r="D121" s="18"/>
      <c r="E121" s="17">
        <f>IF(C121&lt;=0,0,MIN($C$9,C121*(1+$C$5)))</f>
      </c>
      <c r="F121" s="17">
        <f>IF(C121&lt;=0,0,MIN($C$7,MAX(C121*(1+$C$5)-E121,0)))</f>
      </c>
      <c r="G121" s="17">
        <f>IF(C121&lt;=0,0,C121*$C$5)</f>
      </c>
      <c r="H121" s="17">
        <f>IF(C121&lt;=0,0,E121+F121-G121)</f>
      </c>
      <c r="I121" s="17">
        <f>MAX(C121-H121,0)</f>
      </c>
    </row>
    <row r="122" spans="2:9" x14ac:dyDescent="0.25">
      <c r="B122" s="14">
        <v>105</v>
      </c>
      <c r="C122" s="15">
        <f>I121</f>
      </c>
      <c r="E122" s="15">
        <f>IF(C122&lt;=0,0,MIN($C$9,C122*(1+$C$5)))</f>
      </c>
      <c r="F122" s="15">
        <f>IF(C122&lt;=0,0,MIN($C$7,MAX(C122*(1+$C$5)-E122,0)))</f>
      </c>
      <c r="G122" s="15">
        <f>IF(C122&lt;=0,0,C122*$C$5)</f>
      </c>
      <c r="H122" s="15">
        <f>IF(C122&lt;=0,0,E122+F122-G122)</f>
      </c>
      <c r="I122" s="15">
        <f>MAX(C122-H122,0)</f>
      </c>
    </row>
    <row r="123" spans="2:9" x14ac:dyDescent="0.25">
      <c r="B123" s="16">
        <v>106</v>
      </c>
      <c r="C123" s="17">
        <f>I122</f>
      </c>
      <c r="D123" s="18"/>
      <c r="E123" s="17">
        <f>IF(C123&lt;=0,0,MIN($C$9,C123*(1+$C$5)))</f>
      </c>
      <c r="F123" s="17">
        <f>IF(C123&lt;=0,0,MIN($C$7,MAX(C123*(1+$C$5)-E123,0)))</f>
      </c>
      <c r="G123" s="17">
        <f>IF(C123&lt;=0,0,C123*$C$5)</f>
      </c>
      <c r="H123" s="17">
        <f>IF(C123&lt;=0,0,E123+F123-G123)</f>
      </c>
      <c r="I123" s="17">
        <f>MAX(C123-H123,0)</f>
      </c>
    </row>
    <row r="124" spans="2:9" x14ac:dyDescent="0.25">
      <c r="B124" s="14">
        <v>107</v>
      </c>
      <c r="C124" s="15">
        <f>I123</f>
      </c>
      <c r="E124" s="15">
        <f>IF(C124&lt;=0,0,MIN($C$9,C124*(1+$C$5)))</f>
      </c>
      <c r="F124" s="15">
        <f>IF(C124&lt;=0,0,MIN($C$7,MAX(C124*(1+$C$5)-E124,0)))</f>
      </c>
      <c r="G124" s="15">
        <f>IF(C124&lt;=0,0,C124*$C$5)</f>
      </c>
      <c r="H124" s="15">
        <f>IF(C124&lt;=0,0,E124+F124-G124)</f>
      </c>
      <c r="I124" s="15">
        <f>MAX(C124-H124,0)</f>
      </c>
    </row>
    <row r="125" spans="2:9" x14ac:dyDescent="0.25">
      <c r="B125" s="16">
        <v>108</v>
      </c>
      <c r="C125" s="17">
        <f>I124</f>
      </c>
      <c r="D125" s="18"/>
      <c r="E125" s="17">
        <f>IF(C125&lt;=0,0,MIN($C$9,C125*(1+$C$5)))</f>
      </c>
      <c r="F125" s="17">
        <f>IF(C125&lt;=0,0,MIN($C$7,MAX(C125*(1+$C$5)-E125,0)))</f>
      </c>
      <c r="G125" s="17">
        <f>IF(C125&lt;=0,0,C125*$C$5)</f>
      </c>
      <c r="H125" s="17">
        <f>IF(C125&lt;=0,0,E125+F125-G125)</f>
      </c>
      <c r="I125" s="17">
        <f>MAX(C125-H125,0)</f>
      </c>
    </row>
    <row r="126" spans="2:9" x14ac:dyDescent="0.25">
      <c r="B126" s="14">
        <v>109</v>
      </c>
      <c r="C126" s="15">
        <f>I125</f>
      </c>
      <c r="E126" s="15">
        <f>IF(C126&lt;=0,0,MIN($C$9,C126*(1+$C$5)))</f>
      </c>
      <c r="F126" s="15">
        <f>IF(C126&lt;=0,0,MIN($C$7,MAX(C126*(1+$C$5)-E126,0)))</f>
      </c>
      <c r="G126" s="15">
        <f>IF(C126&lt;=0,0,C126*$C$5)</f>
      </c>
      <c r="H126" s="15">
        <f>IF(C126&lt;=0,0,E126+F126-G126)</f>
      </c>
      <c r="I126" s="15">
        <f>MAX(C126-H126,0)</f>
      </c>
    </row>
    <row r="127" spans="2:9" x14ac:dyDescent="0.25">
      <c r="B127" s="16">
        <v>110</v>
      </c>
      <c r="C127" s="17">
        <f>I126</f>
      </c>
      <c r="D127" s="18"/>
      <c r="E127" s="17">
        <f>IF(C127&lt;=0,0,MIN($C$9,C127*(1+$C$5)))</f>
      </c>
      <c r="F127" s="17">
        <f>IF(C127&lt;=0,0,MIN($C$7,MAX(C127*(1+$C$5)-E127,0)))</f>
      </c>
      <c r="G127" s="17">
        <f>IF(C127&lt;=0,0,C127*$C$5)</f>
      </c>
      <c r="H127" s="17">
        <f>IF(C127&lt;=0,0,E127+F127-G127)</f>
      </c>
      <c r="I127" s="17">
        <f>MAX(C127-H127,0)</f>
      </c>
    </row>
    <row r="128" spans="2:9" x14ac:dyDescent="0.25">
      <c r="B128" s="14">
        <v>111</v>
      </c>
      <c r="C128" s="15">
        <f>I127</f>
      </c>
      <c r="E128" s="15">
        <f>IF(C128&lt;=0,0,MIN($C$9,C128*(1+$C$5)))</f>
      </c>
      <c r="F128" s="15">
        <f>IF(C128&lt;=0,0,MIN($C$7,MAX(C128*(1+$C$5)-E128,0)))</f>
      </c>
      <c r="G128" s="15">
        <f>IF(C128&lt;=0,0,C128*$C$5)</f>
      </c>
      <c r="H128" s="15">
        <f>IF(C128&lt;=0,0,E128+F128-G128)</f>
      </c>
      <c r="I128" s="15">
        <f>MAX(C128-H128,0)</f>
      </c>
    </row>
    <row r="129" spans="2:9" x14ac:dyDescent="0.25">
      <c r="B129" s="16">
        <v>112</v>
      </c>
      <c r="C129" s="17">
        <f>I128</f>
      </c>
      <c r="D129" s="18"/>
      <c r="E129" s="17">
        <f>IF(C129&lt;=0,0,MIN($C$9,C129*(1+$C$5)))</f>
      </c>
      <c r="F129" s="17">
        <f>IF(C129&lt;=0,0,MIN($C$7,MAX(C129*(1+$C$5)-E129,0)))</f>
      </c>
      <c r="G129" s="17">
        <f>IF(C129&lt;=0,0,C129*$C$5)</f>
      </c>
      <c r="H129" s="17">
        <f>IF(C129&lt;=0,0,E129+F129-G129)</f>
      </c>
      <c r="I129" s="17">
        <f>MAX(C129-H129,0)</f>
      </c>
    </row>
    <row r="130" spans="2:9" x14ac:dyDescent="0.25">
      <c r="B130" s="14">
        <v>113</v>
      </c>
      <c r="C130" s="15">
        <f>I129</f>
      </c>
      <c r="E130" s="15">
        <f>IF(C130&lt;=0,0,MIN($C$9,C130*(1+$C$5)))</f>
      </c>
      <c r="F130" s="15">
        <f>IF(C130&lt;=0,0,MIN($C$7,MAX(C130*(1+$C$5)-E130,0)))</f>
      </c>
      <c r="G130" s="15">
        <f>IF(C130&lt;=0,0,C130*$C$5)</f>
      </c>
      <c r="H130" s="15">
        <f>IF(C130&lt;=0,0,E130+F130-G130)</f>
      </c>
      <c r="I130" s="15">
        <f>MAX(C130-H130,0)</f>
      </c>
    </row>
    <row r="131" spans="2:9" x14ac:dyDescent="0.25">
      <c r="B131" s="16">
        <v>114</v>
      </c>
      <c r="C131" s="17">
        <f>I130</f>
      </c>
      <c r="D131" s="18"/>
      <c r="E131" s="17">
        <f>IF(C131&lt;=0,0,MIN($C$9,C131*(1+$C$5)))</f>
      </c>
      <c r="F131" s="17">
        <f>IF(C131&lt;=0,0,MIN($C$7,MAX(C131*(1+$C$5)-E131,0)))</f>
      </c>
      <c r="G131" s="17">
        <f>IF(C131&lt;=0,0,C131*$C$5)</f>
      </c>
      <c r="H131" s="17">
        <f>IF(C131&lt;=0,0,E131+F131-G131)</f>
      </c>
      <c r="I131" s="17">
        <f>MAX(C131-H131,0)</f>
      </c>
    </row>
    <row r="132" spans="2:9" x14ac:dyDescent="0.25">
      <c r="B132" s="14">
        <v>115</v>
      </c>
      <c r="C132" s="15">
        <f>I131</f>
      </c>
      <c r="E132" s="15">
        <f>IF(C132&lt;=0,0,MIN($C$9,C132*(1+$C$5)))</f>
      </c>
      <c r="F132" s="15">
        <f>IF(C132&lt;=0,0,MIN($C$7,MAX(C132*(1+$C$5)-E132,0)))</f>
      </c>
      <c r="G132" s="15">
        <f>IF(C132&lt;=0,0,C132*$C$5)</f>
      </c>
      <c r="H132" s="15">
        <f>IF(C132&lt;=0,0,E132+F132-G132)</f>
      </c>
      <c r="I132" s="15">
        <f>MAX(C132-H132,0)</f>
      </c>
    </row>
    <row r="133" spans="2:9" x14ac:dyDescent="0.25">
      <c r="B133" s="16">
        <v>116</v>
      </c>
      <c r="C133" s="17">
        <f>I132</f>
      </c>
      <c r="D133" s="18"/>
      <c r="E133" s="17">
        <f>IF(C133&lt;=0,0,MIN($C$9,C133*(1+$C$5)))</f>
      </c>
      <c r="F133" s="17">
        <f>IF(C133&lt;=0,0,MIN($C$7,MAX(C133*(1+$C$5)-E133,0)))</f>
      </c>
      <c r="G133" s="17">
        <f>IF(C133&lt;=0,0,C133*$C$5)</f>
      </c>
      <c r="H133" s="17">
        <f>IF(C133&lt;=0,0,E133+F133-G133)</f>
      </c>
      <c r="I133" s="17">
        <f>MAX(C133-H133,0)</f>
      </c>
    </row>
    <row r="134" spans="2:9" x14ac:dyDescent="0.25">
      <c r="B134" s="14">
        <v>117</v>
      </c>
      <c r="C134" s="15">
        <f>I133</f>
      </c>
      <c r="E134" s="15">
        <f>IF(C134&lt;=0,0,MIN($C$9,C134*(1+$C$5)))</f>
      </c>
      <c r="F134" s="15">
        <f>IF(C134&lt;=0,0,MIN($C$7,MAX(C134*(1+$C$5)-E134,0)))</f>
      </c>
      <c r="G134" s="15">
        <f>IF(C134&lt;=0,0,C134*$C$5)</f>
      </c>
      <c r="H134" s="15">
        <f>IF(C134&lt;=0,0,E134+F134-G134)</f>
      </c>
      <c r="I134" s="15">
        <f>MAX(C134-H134,0)</f>
      </c>
    </row>
    <row r="135" spans="2:9" x14ac:dyDescent="0.25">
      <c r="B135" s="16">
        <v>118</v>
      </c>
      <c r="C135" s="17">
        <f>I134</f>
      </c>
      <c r="D135" s="18"/>
      <c r="E135" s="17">
        <f>IF(C135&lt;=0,0,MIN($C$9,C135*(1+$C$5)))</f>
      </c>
      <c r="F135" s="17">
        <f>IF(C135&lt;=0,0,MIN($C$7,MAX(C135*(1+$C$5)-E135,0)))</f>
      </c>
      <c r="G135" s="17">
        <f>IF(C135&lt;=0,0,C135*$C$5)</f>
      </c>
      <c r="H135" s="17">
        <f>IF(C135&lt;=0,0,E135+F135-G135)</f>
      </c>
      <c r="I135" s="17">
        <f>MAX(C135-H135,0)</f>
      </c>
    </row>
    <row r="136" spans="2:9" x14ac:dyDescent="0.25">
      <c r="B136" s="14">
        <v>119</v>
      </c>
      <c r="C136" s="15">
        <f>I135</f>
      </c>
      <c r="E136" s="15">
        <f>IF(C136&lt;=0,0,MIN($C$9,C136*(1+$C$5)))</f>
      </c>
      <c r="F136" s="15">
        <f>IF(C136&lt;=0,0,MIN($C$7,MAX(C136*(1+$C$5)-E136,0)))</f>
      </c>
      <c r="G136" s="15">
        <f>IF(C136&lt;=0,0,C136*$C$5)</f>
      </c>
      <c r="H136" s="15">
        <f>IF(C136&lt;=0,0,E136+F136-G136)</f>
      </c>
      <c r="I136" s="15">
        <f>MAX(C136-H136,0)</f>
      </c>
    </row>
    <row r="137" spans="2:9" x14ac:dyDescent="0.25">
      <c r="B137" s="16">
        <v>120</v>
      </c>
      <c r="C137" s="17">
        <f>I136</f>
      </c>
      <c r="D137" s="18"/>
      <c r="E137" s="17">
        <f>IF(C137&lt;=0,0,MIN($C$9,C137*(1+$C$5)))</f>
      </c>
      <c r="F137" s="17">
        <f>IF(C137&lt;=0,0,MIN($C$7,MAX(C137*(1+$C$5)-E137,0)))</f>
      </c>
      <c r="G137" s="17">
        <f>IF(C137&lt;=0,0,C137*$C$5)</f>
      </c>
      <c r="H137" s="17">
        <f>IF(C137&lt;=0,0,E137+F137-G137)</f>
      </c>
      <c r="I137" s="17">
        <f>MAX(C137-H137,0)</f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1" width="3" customWidth="1"/>
    <col min="2" max="2" width="26" customWidth="1"/>
    <col min="3" max="3" width="16" customWidth="1"/>
    <col min="4" max="5" width="14" customWidth="1"/>
    <col min="6" max="6" width="16" customWidth="1"/>
    <col min="7" max="8" width="14" customWidth="1"/>
  </cols>
  <sheetData>
    <row r="1" ht="34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13" t="s">
        <v>27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</row>
    <row r="5" spans="2:8" x14ac:dyDescent="0.25">
      <c r="B5" s="19" t="s">
        <v>44</v>
      </c>
      <c r="C5" s="8">
        <v>45000</v>
      </c>
      <c r="D5" s="9">
        <v>0.045</v>
      </c>
      <c r="E5" s="8">
        <v>5000</v>
      </c>
      <c r="F5" s="15">
        <f>IF(C5="","",C5*D5)</f>
      </c>
      <c r="G5" s="14">
        <f>IF(C5="","",RANK(D5,$D$5:$D$24,0))</f>
      </c>
      <c r="H5" s="14">
        <f>IF(C5="","",RANK(C5,$C$5:$C$24,1))</f>
      </c>
    </row>
    <row r="6" spans="2:8" x14ac:dyDescent="0.25">
      <c r="B6" s="19" t="s">
        <v>45</v>
      </c>
      <c r="C6" s="8">
        <v>120000</v>
      </c>
      <c r="D6" s="9">
        <v>0.029</v>
      </c>
      <c r="E6" s="8">
        <v>8500</v>
      </c>
      <c r="F6" s="15">
        <f>IF(C6="","",C6*D6)</f>
      </c>
      <c r="G6" s="14">
        <f>IF(C6="","",RANK(D6,$D$5:$D$24,0))</f>
      </c>
      <c r="H6" s="14">
        <f>IF(C6="","",RANK(C6,$C$5:$C$24,1))</f>
      </c>
    </row>
    <row r="7" spans="2:8" x14ac:dyDescent="0.25">
      <c r="B7" s="19" t="s">
        <v>46</v>
      </c>
      <c r="C7" s="8">
        <v>18000</v>
      </c>
      <c r="D7" s="9">
        <v>0.042</v>
      </c>
      <c r="E7" s="8">
        <v>2200</v>
      </c>
      <c r="F7" s="15">
        <f>IF(C7="","",C7*D7)</f>
      </c>
      <c r="G7" s="14">
        <f>IF(C7="","",RANK(D7,$D$5:$D$24,0))</f>
      </c>
      <c r="H7" s="14">
        <f>IF(C7="","",RANK(C7,$C$5:$C$24,1))</f>
      </c>
    </row>
    <row r="8" spans="2:8" x14ac:dyDescent="0.25">
      <c r="B8" s="19" t="s">
        <v>47</v>
      </c>
      <c r="C8" s="8">
        <v>260000</v>
      </c>
      <c r="D8" s="9">
        <v>0.025</v>
      </c>
      <c r="E8" s="8">
        <v>11000</v>
      </c>
      <c r="F8" s="15">
        <f>IF(C8="","",C8*D8)</f>
      </c>
      <c r="G8" s="14">
        <f>IF(C8="","",RANK(D8,$D$5:$D$24,0))</f>
      </c>
      <c r="H8" s="14">
        <f>IF(C8="","",RANK(C8,$C$5:$C$24,1))</f>
      </c>
    </row>
    <row r="9" spans="2:8" x14ac:dyDescent="0.25">
      <c r="B9" s="19" t="s">
        <v>27</v>
      </c>
      <c r="C9" s="8"/>
      <c r="D9" s="9"/>
      <c r="E9" s="8"/>
      <c r="F9" s="15">
        <f>IF(C9="","",C9*D9)</f>
      </c>
      <c r="G9" s="14">
        <f>IF(C9="","",RANK(D9,$D$5:$D$24,0))</f>
      </c>
      <c r="H9" s="14">
        <f>IF(C9="","",RANK(C9,$C$5:$C$24,1))</f>
      </c>
    </row>
    <row r="10" spans="2:8" x14ac:dyDescent="0.25">
      <c r="B10" s="19" t="s">
        <v>27</v>
      </c>
      <c r="C10" s="8"/>
      <c r="D10" s="9"/>
      <c r="E10" s="8"/>
      <c r="F10" s="15">
        <f>IF(C10="","",C10*D10)</f>
      </c>
      <c r="G10" s="14">
        <f>IF(C10="","",RANK(D10,$D$5:$D$24,0))</f>
      </c>
      <c r="H10" s="14">
        <f>IF(C10="","",RANK(C10,$C$5:$C$24,1))</f>
      </c>
    </row>
    <row r="11" spans="2:8" x14ac:dyDescent="0.25">
      <c r="B11" s="19" t="s">
        <v>27</v>
      </c>
      <c r="C11" s="8"/>
      <c r="D11" s="9"/>
      <c r="E11" s="8"/>
      <c r="F11" s="15">
        <f>IF(C11="","",C11*D11)</f>
      </c>
      <c r="G11" s="14">
        <f>IF(C11="","",RANK(D11,$D$5:$D$24,0))</f>
      </c>
      <c r="H11" s="14">
        <f>IF(C11="","",RANK(C11,$C$5:$C$24,1))</f>
      </c>
    </row>
    <row r="12" spans="2:8" x14ac:dyDescent="0.25">
      <c r="B12" s="19" t="s">
        <v>27</v>
      </c>
      <c r="C12" s="8"/>
      <c r="D12" s="9"/>
      <c r="E12" s="8"/>
      <c r="F12" s="15">
        <f>IF(C12="","",C12*D12)</f>
      </c>
      <c r="G12" s="14">
        <f>IF(C12="","",RANK(D12,$D$5:$D$24,0))</f>
      </c>
      <c r="H12" s="14">
        <f>IF(C12="","",RANK(C12,$C$5:$C$24,1))</f>
      </c>
    </row>
    <row r="13" spans="2:8" x14ac:dyDescent="0.25">
      <c r="B13" s="19" t="s">
        <v>27</v>
      </c>
      <c r="C13" s="8"/>
      <c r="D13" s="9"/>
      <c r="E13" s="8"/>
      <c r="F13" s="15">
        <f>IF(C13="","",C13*D13)</f>
      </c>
      <c r="G13" s="14">
        <f>IF(C13="","",RANK(D13,$D$5:$D$24,0))</f>
      </c>
      <c r="H13" s="14">
        <f>IF(C13="","",RANK(C13,$C$5:$C$24,1))</f>
      </c>
    </row>
    <row r="14" spans="2:8" x14ac:dyDescent="0.25">
      <c r="B14" s="19" t="s">
        <v>27</v>
      </c>
      <c r="C14" s="8"/>
      <c r="D14" s="9"/>
      <c r="E14" s="8"/>
      <c r="F14" s="15">
        <f>IF(C14="","",C14*D14)</f>
      </c>
      <c r="G14" s="14">
        <f>IF(C14="","",RANK(D14,$D$5:$D$24,0))</f>
      </c>
      <c r="H14" s="14">
        <f>IF(C14="","",RANK(C14,$C$5:$C$24,1))</f>
      </c>
    </row>
    <row r="15" spans="2:8" x14ac:dyDescent="0.25">
      <c r="B15" s="19" t="s">
        <v>27</v>
      </c>
      <c r="C15" s="8"/>
      <c r="D15" s="9"/>
      <c r="E15" s="8"/>
      <c r="F15" s="15">
        <f>IF(C15="","",C15*D15)</f>
      </c>
      <c r="G15" s="14">
        <f>IF(C15="","",RANK(D15,$D$5:$D$24,0))</f>
      </c>
      <c r="H15" s="14">
        <f>IF(C15="","",RANK(C15,$C$5:$C$24,1))</f>
      </c>
    </row>
    <row r="16" spans="2:8" x14ac:dyDescent="0.25">
      <c r="B16" s="19" t="s">
        <v>27</v>
      </c>
      <c r="C16" s="8"/>
      <c r="D16" s="9"/>
      <c r="E16" s="8"/>
      <c r="F16" s="15">
        <f>IF(C16="","",C16*D16)</f>
      </c>
      <c r="G16" s="14">
        <f>IF(C16="","",RANK(D16,$D$5:$D$24,0))</f>
      </c>
      <c r="H16" s="14">
        <f>IF(C16="","",RANK(C16,$C$5:$C$24,1))</f>
      </c>
    </row>
    <row r="17" spans="2:8" x14ac:dyDescent="0.25">
      <c r="B17" s="19" t="s">
        <v>27</v>
      </c>
      <c r="C17" s="8"/>
      <c r="D17" s="9"/>
      <c r="E17" s="8"/>
      <c r="F17" s="15">
        <f>IF(C17="","",C17*D17)</f>
      </c>
      <c r="G17" s="14">
        <f>IF(C17="","",RANK(D17,$D$5:$D$24,0))</f>
      </c>
      <c r="H17" s="14">
        <f>IF(C17="","",RANK(C17,$C$5:$C$24,1))</f>
      </c>
    </row>
    <row r="18" spans="2:8" x14ac:dyDescent="0.25">
      <c r="B18" s="19" t="s">
        <v>27</v>
      </c>
      <c r="C18" s="8"/>
      <c r="D18" s="9"/>
      <c r="E18" s="8"/>
      <c r="F18" s="15">
        <f>IF(C18="","",C18*D18)</f>
      </c>
      <c r="G18" s="14">
        <f>IF(C18="","",RANK(D18,$D$5:$D$24,0))</f>
      </c>
      <c r="H18" s="14">
        <f>IF(C18="","",RANK(C18,$C$5:$C$24,1))</f>
      </c>
    </row>
    <row r="19" spans="2:8" x14ac:dyDescent="0.25">
      <c r="B19" s="19" t="s">
        <v>27</v>
      </c>
      <c r="C19" s="8"/>
      <c r="D19" s="9"/>
      <c r="E19" s="8"/>
      <c r="F19" s="15">
        <f>IF(C19="","",C19*D19)</f>
      </c>
      <c r="G19" s="14">
        <f>IF(C19="","",RANK(D19,$D$5:$D$24,0))</f>
      </c>
      <c r="H19" s="14">
        <f>IF(C19="","",RANK(C19,$C$5:$C$24,1))</f>
      </c>
    </row>
    <row r="20" spans="2:8" x14ac:dyDescent="0.25">
      <c r="B20" s="19" t="s">
        <v>27</v>
      </c>
      <c r="C20" s="8"/>
      <c r="D20" s="9"/>
      <c r="E20" s="8"/>
      <c r="F20" s="15">
        <f>IF(C20="","",C20*D20)</f>
      </c>
      <c r="G20" s="14">
        <f>IF(C20="","",RANK(D20,$D$5:$D$24,0))</f>
      </c>
      <c r="H20" s="14">
        <f>IF(C20="","",RANK(C20,$C$5:$C$24,1))</f>
      </c>
    </row>
    <row r="21" spans="2:8" x14ac:dyDescent="0.25">
      <c r="B21" s="19" t="s">
        <v>27</v>
      </c>
      <c r="C21" s="8"/>
      <c r="D21" s="9"/>
      <c r="E21" s="8"/>
      <c r="F21" s="15">
        <f>IF(C21="","",C21*D21)</f>
      </c>
      <c r="G21" s="14">
        <f>IF(C21="","",RANK(D21,$D$5:$D$24,0))</f>
      </c>
      <c r="H21" s="14">
        <f>IF(C21="","",RANK(C21,$C$5:$C$24,1))</f>
      </c>
    </row>
    <row r="22" spans="2:8" x14ac:dyDescent="0.25">
      <c r="B22" s="19" t="s">
        <v>27</v>
      </c>
      <c r="C22" s="8"/>
      <c r="D22" s="9"/>
      <c r="E22" s="8"/>
      <c r="F22" s="15">
        <f>IF(C22="","",C22*D22)</f>
      </c>
      <c r="G22" s="14">
        <f>IF(C22="","",RANK(D22,$D$5:$D$24,0))</f>
      </c>
      <c r="H22" s="14">
        <f>IF(C22="","",RANK(C22,$C$5:$C$24,1))</f>
      </c>
    </row>
    <row r="23" spans="2:8" x14ac:dyDescent="0.25">
      <c r="B23" s="19" t="s">
        <v>27</v>
      </c>
      <c r="C23" s="8"/>
      <c r="D23" s="9"/>
      <c r="E23" s="8"/>
      <c r="F23" s="15">
        <f>IF(C23="","",C23*D23)</f>
      </c>
      <c r="G23" s="14">
        <f>IF(C23="","",RANK(D23,$D$5:$D$24,0))</f>
      </c>
      <c r="H23" s="14">
        <f>IF(C23="","",RANK(C23,$C$5:$C$24,1))</f>
      </c>
    </row>
    <row r="24" spans="2:8" x14ac:dyDescent="0.25">
      <c r="B24" s="19" t="s">
        <v>27</v>
      </c>
      <c r="C24" s="8"/>
      <c r="D24" s="9"/>
      <c r="E24" s="8"/>
      <c r="F24" s="15">
        <f>IF(C24="","",C24*D24)</f>
      </c>
      <c r="G24" s="14">
        <f>IF(C24="","",RANK(D24,$D$5:$D$24,0))</f>
      </c>
      <c r="H24" s="14">
        <f>IF(C24="","",RANK(C24,$C$5:$C$24,1))</f>
      </c>
    </row>
    <row r="26" spans="2:6" x14ac:dyDescent="0.25">
      <c r="B26" s="20" t="s">
        <v>48</v>
      </c>
      <c r="C26" s="11">
        <f>SUM(C5:C24)</f>
      </c>
      <c r="E26" s="20" t="s">
        <v>49</v>
      </c>
      <c r="F26" s="11">
        <f>SUM(F5:F24)</f>
      </c>
    </row>
    <row r="28" spans="2:8" x14ac:dyDescent="0.25">
      <c r="B28" s="21" t="s">
        <v>50</v>
      </c>
      <c r="C28" s="21"/>
      <c r="D28" s="21"/>
      <c r="E28" s="21"/>
      <c r="F28" s="21"/>
      <c r="G28" s="21"/>
      <c r="H28" s="21"/>
    </row>
    <row r="29" spans="2:8" x14ac:dyDescent="0.25">
      <c r="B29" s="21"/>
      <c r="C29" s="21"/>
      <c r="D29" s="21"/>
      <c r="E29" s="21"/>
      <c r="F29" s="21"/>
      <c r="G29" s="21"/>
      <c r="H29" s="21"/>
    </row>
  </sheetData>
  <mergeCells count="3">
    <mergeCell ref="A1:H1"/>
    <mergeCell ref="A2:H2"/>
    <mergeCell ref="B28:H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Nasıl Kullanılır</vt:lpstr>
      <vt:lpstr>Kredi Planı</vt:lpstr>
      <vt:lpstr>Borç Listesi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MiniHesap</dc:creator>
  <dc:title/>
  <dc:subject/>
  <dc:description/>
  <cp:keywords/>
  <cp:category/>
  <cp:lastModifiedBy>Unknown</cp:lastModifiedBy>
  <dcterms:created xsi:type="dcterms:W3CDTF">2026-09-11T06:26:13Z</dcterms:created>
  <dcterms:modified xsi:type="dcterms:W3CDTF">2026-09-11T06:26:13Z</dcterms:modified>
</cp:coreProperties>
</file>