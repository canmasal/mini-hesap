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Mülk Kartları" state="visible" r:id="rId5"/>
    <sheet sheetId="3" name="Kiracı Kartları" state="visible" r:id="rId6"/>
    <sheet sheetId="4" name="Kira Tahsilat" state="visible" r:id="rId7"/>
    <sheet sheetId="5" name="Getiri Analizi" state="visible" r:id="rId8"/>
    <sheet sheetId="6" name="Dashboard" state="visible" r:id="rId9"/>
    <sheet sheetId="7" name="Listeler" state="visible" r:id="rId10"/>
  </sheets>
  <definedNames>
    <definedName name="MulkTipleri">Listeler!$B$5:$B$10</definedName>
    <definedName name="Durumlar">Listeler!$C$5:$C$7</definedName>
    <definedName name="MulkKodlari">'Mülk Kartları'!$B$5:$B$54</definedName>
  </definedNames>
  <calcPr calcId="171027"/>
</workbook>
</file>

<file path=xl/sharedStrings.xml><?xml version="1.0" encoding="utf-8"?>
<sst xmlns="http://schemas.openxmlformats.org/spreadsheetml/2006/main" count="134" uniqueCount="113">
  <si>
    <t>Nasıl Kullanılır?</t>
  </si>
  <si>
    <t>MiniHesap · minihesap.net</t>
  </si>
  <si>
    <t>Bu dosya ne işe yarar?</t>
  </si>
  <si>
    <t>Birden fazla kiralık mülkünüzü tek dosyada yönetir. Her mülkün getirisini, doluluk oranını, tahsil edilmemiş kiralarını ve yatırımın kaç yılda kendini amorti ettiğini hesaplar.</t>
  </si>
  <si>
    <t>Dosyanın yapısı</t>
  </si>
  <si>
    <t>MÜLK KARTLARI ve KİRACI KARTLARI bir kez doldurulur.</t>
  </si>
  <si>
    <t>KİRA TAHSİLAT sayfasına her ay ödeme durumunu işlersiniz.</t>
  </si>
  <si>
    <t>GETİRİ ANALİZİ ve DASHBOARD otomatik hesaplanır.</t>
  </si>
  <si>
    <t>Adım adım</t>
  </si>
  <si>
    <t>1. MÜLK KARTLARI sayfasına mülklerinizi ekleyin: kod (M001...), adres, alış bedeli, güncel değer ve yıllık giderler.</t>
  </si>
  <si>
    <t>2. KİRACI KARTLARI sayfasına kiracıları ekleyin; Mülk Kodu sütununda açılır listeden seçim yapın.</t>
  </si>
  <si>
    <t>3. KİRA TAHSİLAT sayfasında her ay için ödendi (1) / ödenmedi (0) girin.</t>
  </si>
  <si>
    <t>4. GETİRİ ANALİZİ her mülk için brüt ve net getiri oranını, amortisman süresini gösterir.</t>
  </si>
  <si>
    <t>Getiri nasıl hesaplanır?</t>
  </si>
  <si>
    <t>Brüt getiri = yıllık kira geliri / güncel değer. Piyasa karşılaştırması için kullanılır.</t>
  </si>
  <si>
    <t>Net getiri = (yıllık kira - aidat - emlak vergisi - sigorta - bakım) / güncel değer. Gerçek kazancınız budur.</t>
  </si>
  <si>
    <t>Amortisman süresi = güncel değer / yıllık net gelir. Yatırımın kaç yılda kendini ödediğini gösterir.</t>
  </si>
  <si>
    <t>Doluluk oranı = tahsil edilen ay sayısı / 12.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</si>
  <si>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</si>
  <si>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</si>
  <si>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Mülk Kartları</t>
  </si>
  <si>
    <t>Her mülk için bir satır · kod benzersiz olmalı</t>
  </si>
  <si>
    <t/>
  </si>
  <si>
    <t>Mülk Kodu</t>
  </si>
  <si>
    <t>Adres / Ad</t>
  </si>
  <si>
    <t>Tip</t>
  </si>
  <si>
    <t>m²</t>
  </si>
  <si>
    <t>Alış Tarihi</t>
  </si>
  <si>
    <t>Alış Bedeli</t>
  </si>
  <si>
    <t>Güncel Değer</t>
  </si>
  <si>
    <t>Aidat (aylık)</t>
  </si>
  <si>
    <t>Emlak V. (yıl)</t>
  </si>
  <si>
    <t>Sigorta (yıl)</t>
  </si>
  <si>
    <t>Bakım (yıl)</t>
  </si>
  <si>
    <t>M001</t>
  </si>
  <si>
    <t>Kadıköy / 2+1 Daire</t>
  </si>
  <si>
    <t>Daire</t>
  </si>
  <si>
    <t>M002</t>
  </si>
  <si>
    <t>Ataşehir / Ofis Katı</t>
  </si>
  <si>
    <t>Ofis</t>
  </si>
  <si>
    <t>M003</t>
  </si>
  <si>
    <t>Üsküdar / Dükkan</t>
  </si>
  <si>
    <t>Dükkan</t>
  </si>
  <si>
    <t>Kiracı Kartları</t>
  </si>
  <si>
    <t>Mülk Kodu sütununda açılır listeden seçin</t>
  </si>
  <si>
    <t>Kiracı Kodu</t>
  </si>
  <si>
    <t>Kiracı Adı</t>
  </si>
  <si>
    <t>Telefon</t>
  </si>
  <si>
    <t>Sözleşme Başl.</t>
  </si>
  <si>
    <t>Sözleşme Bitiş</t>
  </si>
  <si>
    <t>Aylık Kira</t>
  </si>
  <si>
    <t>Depozito</t>
  </si>
  <si>
    <t>Artış %</t>
  </si>
  <si>
    <t>Durum</t>
  </si>
  <si>
    <t>K001</t>
  </si>
  <si>
    <t>Ayşe Yıldız</t>
  </si>
  <si>
    <t>0532 000 00 00</t>
  </si>
  <si>
    <t>Aktif</t>
  </si>
  <si>
    <t>K002</t>
  </si>
  <si>
    <t>Nova Danışmanlık</t>
  </si>
  <si>
    <t>0216 000 00 00</t>
  </si>
  <si>
    <t>K003</t>
  </si>
  <si>
    <t>Kaya Market</t>
  </si>
  <si>
    <t>0216 111 11 11</t>
  </si>
  <si>
    <t>Kira Tahsilat Takvimi</t>
  </si>
  <si>
    <t>Ödendi ise 1, ödenmedi ise 0 yazın · boş bırakılan ay boş kabul edilir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</si>
  <si>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</si>
  <si>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</si>
  <si>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</si>
  <si>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</si>
  <si>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</si>
  <si>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</si>
  <si>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</si>
  <si>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</si>
  <si>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</si>
  <si>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</si>
  <si>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</si>
  <si>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</si>
  <si>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Tahsil Edilen</t>
  </si>
  <si>
    <t>Doluluk</t>
  </si>
  <si>
    <t>Mülk Bazlı Getiri Analizi</t>
  </si>
  <si>
    <t>Otomatik hesaplanır · elle doldurmayın</t>
  </si>
  <si>
    <t>Yıllık Kira</t>
  </si>
  <si>
    <t>Yıllık Gider</t>
  </si>
  <si>
    <t>Net Yıllık Gelir</t>
  </si>
  <si>
    <t>Değer Artışı</t>
  </si>
  <si>
    <t>Brüt Getiri</t>
  </si>
  <si>
    <t>Net Getiri</t>
  </si>
  <si>
    <t>Amortisman (yıl)</t>
  </si>
  <si>
    <t>PORTFÖY TOPLAMI</t>
  </si>
  <si>
    <t>Portföy Özeti</t>
  </si>
  <si>
    <t>Tüm sayfalardan beslenir</t>
  </si>
  <si>
    <t>TOPLAM PORTFÖY DEĞERİ</t>
  </si>
  <si>
    <t>PORTFÖY NET GETİRİSİ</t>
  </si>
  <si>
    <t>YILLIK KİRA GELİRİ</t>
  </si>
  <si>
    <t>TOPLAM DEĞER ARTIŞI</t>
  </si>
  <si>
    <t>YILLIK GİDER</t>
  </si>
  <si>
    <t>MÜLK SAYISI</t>
  </si>
  <si>
    <t>NET YILLIK GELİR</t>
  </si>
  <si>
    <t>AKTİF KİRACI SAYISI</t>
  </si>
  <si>
    <t>TAHSİL EDİLEN KİRA (yıl)</t>
  </si>
  <si>
    <t>ORTALAMA DOLULUK</t>
  </si>
  <si>
    <t>TAHSİL EDİLMEMİŞ</t>
  </si>
  <si>
    <t>ORT. AMORTİSMAN (yıl)</t>
  </si>
  <si>
    <t>Brüt getiri piyasa karşılaştırması, net getiri gerçek kazancınızdır. Net getiri mevduat faizinin altındaysa mülkü elde tutmanın alternatif maliyeti yüksek demektir. Otomatik hesaplama kapalıysa F9'a basın.</t>
  </si>
  <si>
    <t>Listeler</t>
  </si>
  <si>
    <t>Açılır menüleri besler</t>
  </si>
  <si>
    <t>Mülk Tipi</t>
  </si>
  <si>
    <t>Boş</t>
  </si>
  <si>
    <t>Tahliye</t>
  </si>
  <si>
    <t>Depo</t>
  </si>
  <si>
    <t>Arsa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</si>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</sst>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.mm.yyyy"/>
    <numFmt numFmtId="165" formatCode="#,##0.00\ &quot;₺&quot;"/>
    <numFmt numFmtId="166" formatCode="0.0%"/>
    <numFmt numFmtId="167" formatCode="0.0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10231A"/>
      <sz val="12"/>
    </font>
    <font>
      <b/>
      <color rgb="FF617066"/>
      <sz val="9"/>
    </font>
    <font>
      <b/>
      <color rgb="FF166534"/>
      <sz val="14"/>
    </font>
  </fonts>
  <fills count="8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166534"/>
      </patternFill>
    </fill>
    <fill>
      <patternFill patternType="solid">
        <fgColor rgb="FFFFFBEB"/>
      </patternFill>
    </fill>
    <fill>
      <patternFill patternType="solid">
        <fgColor rgb="FFFFFDF2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3" fontId="0" fillId="5" borderId="2" xfId="0" applyNumberFormat="1" applyFill="1" applyBorder="1"/>
    <xf numFmtId="164" fontId="0" fillId="5" borderId="2" xfId="0" applyNumberFormat="1" applyFill="1" applyBorder="1"/>
    <xf numFmtId="165" fontId="0" fillId="5" borderId="2" xfId="0" applyNumberFormat="1" applyFill="1" applyBorder="1"/>
    <xf numFmtId="0" fontId="0" fillId="6" borderId="2" xfId="0" applyFill="1" applyBorder="1"/>
    <xf numFmtId="3" fontId="0" fillId="6" borderId="2" xfId="0" applyNumberForma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9" fontId="0" fillId="5" borderId="2" xfId="0" applyNumberFormat="1" applyFill="1" applyBorder="1"/>
    <xf numFmtId="9" fontId="0" fillId="6" borderId="2" xfId="0" applyNumberFormat="1" applyFill="1" applyBorder="1"/>
    <xf numFmtId="0" fontId="7" fillId="7" borderId="2" xfId="0" applyFont="1" applyFill="1" applyBorder="1"/>
    <xf numFmtId="165" fontId="7" fillId="7" borderId="2" xfId="0" applyNumberFormat="1" applyFont="1" applyFill="1" applyBorder="1"/>
    <xf numFmtId="9" fontId="7" fillId="7" borderId="2" xfId="0" applyNumberFormat="1" applyFont="1" applyFill="1" applyBorder="1"/>
    <xf numFmtId="165" fontId="8" fillId="7" borderId="2" xfId="0" applyNumberFormat="1" applyFont="1" applyFill="1" applyBorder="1"/>
    <xf numFmtId="166" fontId="7" fillId="7" borderId="2" xfId="0" applyNumberFormat="1" applyFont="1" applyFill="1" applyBorder="1"/>
    <xf numFmtId="166" fontId="8" fillId="7" borderId="2" xfId="0" applyNumberFormat="1" applyFont="1" applyFill="1" applyBorder="1"/>
    <xf numFmtId="167" fontId="7" fillId="7" borderId="2" xfId="0" applyNumberFormat="1" applyFont="1" applyFill="1" applyBorder="1"/>
    <xf numFmtId="0" fontId="9" fillId="0" borderId="0" xfId="0" applyFont="1"/>
    <xf numFmtId="165" fontId="8" fillId="3" borderId="1" xfId="0" applyNumberFormat="1" applyFont="1" applyFill="1" applyBorder="1"/>
    <xf numFmtId="0" fontId="10" fillId="0" borderId="0" xfId="0" applyFont="1" applyAlignment="1">
      <alignment vertical="center"/>
    </xf>
    <xf numFmtId="165" fontId="11" fillId="3" borderId="1" xfId="0" applyNumberFormat="1" applyFont="1" applyFill="1" applyBorder="1" applyAlignment="1">
      <alignment horizontal="right" vertical="center" indent="1"/>
    </xf>
    <xf numFmtId="166" fontId="11" fillId="3" borderId="1" xfId="0" applyNumberFormat="1" applyFont="1" applyFill="1" applyBorder="1" applyAlignment="1">
      <alignment horizontal="right" vertical="center" indent="1"/>
    </xf>
    <xf numFmtId="3" fontId="11" fillId="3" borderId="1" xfId="0" applyNumberFormat="1" applyFont="1" applyFill="1" applyBorder="1" applyAlignment="1">
      <alignment horizontal="right" vertical="center" indent="1"/>
    </xf>
    <xf numFmtId="9" fontId="11" fillId="3" borderId="1" xfId="0" applyNumberFormat="1" applyFont="1" applyFill="1" applyBorder="1" applyAlignment="1">
      <alignment horizontal="right" vertical="center" indent="1"/>
    </xf>
    <xf numFmtId="167" fontId="11" fillId="3" borderId="1" xfId="0" applyNumberFormat="1" applyFont="1" applyFill="1" applyBorder="1" applyAlignment="1">
      <alignment horizontal="right" vertical="center" indent="1"/>
    </xf>
    <xf numFmtId="0" fontId="5" fillId="0" borderId="0" xfId="0" applyFont="1" applyAlignment="1">
      <alignment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6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2" spans="2:2" x14ac:dyDescent="0.25">
      <c r="B12" s="3" t="s">
        <v>8</v>
      </c>
    </row>
    <row r="13" ht="32" customHeight="1" spans="2:2" x14ac:dyDescent="0.25">
      <c r="B13" s="4" t="s">
        <v>9</v>
      </c>
    </row>
    <row r="14" ht="32" customHeight="1" spans="2:2" x14ac:dyDescent="0.25">
      <c r="B14" s="4" t="s">
        <v>10</v>
      </c>
    </row>
    <row r="15" ht="18" customHeight="1" spans="2:2" x14ac:dyDescent="0.25">
      <c r="B15" s="4" t="s">
        <v>11</v>
      </c>
    </row>
    <row r="16" ht="18" customHeight="1" spans="2:2" x14ac:dyDescent="0.25">
      <c r="B16" s="4" t="s">
        <v>12</v>
      </c>
    </row>
    <row r="18" spans="2:2" x14ac:dyDescent="0.25">
      <c r="B18" s="3" t="s">
        <v>13</v>
      </c>
    </row>
    <row r="19" ht="18" customHeight="1" spans="2:2" x14ac:dyDescent="0.25">
      <c r="B19" s="4" t="s">
        <v>14</v>
      </c>
    </row>
    <row r="20" ht="32" customHeight="1" spans="2:2" x14ac:dyDescent="0.25">
      <c r="B20" s="4" t="s">
        <v>15</v>
      </c>
    </row>
    <row r="21" ht="32" customHeight="1" spans="2:2" x14ac:dyDescent="0.25">
      <c r="B21" s="4" t="s">
        <v>16</v>
      </c>
    </row>
    <row r="22" ht="18" customHeight="1" spans="2:2" x14ac:dyDescent="0.25">
      <c r="B22" s="4" t="s">
        <v>17</v>
      </c>
    </row>
    <row r="24" spans="2:2" x14ac:dyDescent="0.25">
      <c r="B24" s="5" t="s">
        <v>18</v>
      </c>
    </row>
    <row r="26" spans="2:2" x14ac:dyDescent="0.25">
      <c r="B26" s="6" t="s">
        <v>19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5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4" customWidth="1"/>
    <col min="4" max="4" width="14" customWidth="1"/>
    <col min="5" max="5" width="10" customWidth="1"/>
    <col min="6" max="6" width="14" customWidth="1"/>
    <col min="7" max="8" width="16" customWidth="1"/>
    <col min="9" max="12" width="14" customWidth="1"/>
  </cols>
  <sheetData>
    <row r="1" ht="34" customHeight="1" spans="1:12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30" customHeight="1" spans="1:12" x14ac:dyDescent="0.25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</row>
    <row r="5" spans="2:12" x14ac:dyDescent="0.25">
      <c r="B5" s="8" t="s">
        <v>34</v>
      </c>
      <c r="C5" s="8" t="s">
        <v>35</v>
      </c>
      <c r="D5" s="8" t="s">
        <v>36</v>
      </c>
      <c r="E5" s="9">
        <v>95</v>
      </c>
      <c r="F5" s="10">
        <v>43627.875</v>
      </c>
      <c r="G5" s="11">
        <v>1450000</v>
      </c>
      <c r="H5" s="11">
        <v>4800000</v>
      </c>
      <c r="I5" s="11">
        <v>1500</v>
      </c>
      <c r="J5" s="11">
        <v>3200</v>
      </c>
      <c r="K5" s="11">
        <v>2400</v>
      </c>
      <c r="L5" s="11">
        <v>6000</v>
      </c>
    </row>
    <row r="6" spans="2:12" x14ac:dyDescent="0.25">
      <c r="B6" s="12" t="s">
        <v>37</v>
      </c>
      <c r="C6" s="12" t="s">
        <v>38</v>
      </c>
      <c r="D6" s="12" t="s">
        <v>39</v>
      </c>
      <c r="E6" s="13">
        <v>140</v>
      </c>
      <c r="F6" s="14">
        <v>44257.875</v>
      </c>
      <c r="G6" s="15">
        <v>3200000</v>
      </c>
      <c r="H6" s="15">
        <v>7500000</v>
      </c>
      <c r="I6" s="15">
        <v>3500</v>
      </c>
      <c r="J6" s="15">
        <v>6800</v>
      </c>
      <c r="K6" s="15">
        <v>5200</v>
      </c>
      <c r="L6" s="15">
        <v>12000</v>
      </c>
    </row>
    <row r="7" spans="2:12" x14ac:dyDescent="0.25">
      <c r="B7" s="8" t="s">
        <v>40</v>
      </c>
      <c r="C7" s="8" t="s">
        <v>41</v>
      </c>
      <c r="D7" s="8" t="s">
        <v>42</v>
      </c>
      <c r="E7" s="9">
        <v>60</v>
      </c>
      <c r="F7" s="10">
        <v>43027.875</v>
      </c>
      <c r="G7" s="11">
        <v>980000</v>
      </c>
      <c r="H7" s="11">
        <v>5200000</v>
      </c>
      <c r="I7" s="11">
        <v>1200</v>
      </c>
      <c r="J7" s="11">
        <v>7400</v>
      </c>
      <c r="K7" s="11">
        <v>3100</v>
      </c>
      <c r="L7" s="11">
        <v>4500</v>
      </c>
    </row>
    <row r="8" spans="2:12" x14ac:dyDescent="0.25">
      <c r="B8" s="12"/>
      <c r="C8" s="12"/>
      <c r="D8" s="12"/>
      <c r="E8" s="13"/>
      <c r="F8" s="14"/>
      <c r="G8" s="15"/>
      <c r="H8" s="15"/>
      <c r="I8" s="15"/>
      <c r="J8" s="15"/>
      <c r="K8" s="15"/>
      <c r="L8" s="15"/>
    </row>
    <row r="9" spans="2:12" x14ac:dyDescent="0.25">
      <c r="B9" s="8"/>
      <c r="C9" s="8"/>
      <c r="D9" s="8"/>
      <c r="E9" s="9"/>
      <c r="F9" s="10"/>
      <c r="G9" s="11"/>
      <c r="H9" s="11"/>
      <c r="I9" s="11"/>
      <c r="J9" s="11"/>
      <c r="K9" s="11"/>
      <c r="L9" s="11"/>
    </row>
    <row r="10" spans="2:12" x14ac:dyDescent="0.25">
      <c r="B10" s="12"/>
      <c r="C10" s="12"/>
      <c r="D10" s="12"/>
      <c r="E10" s="13"/>
      <c r="F10" s="14"/>
      <c r="G10" s="15"/>
      <c r="H10" s="15"/>
      <c r="I10" s="15"/>
      <c r="J10" s="15"/>
      <c r="K10" s="15"/>
      <c r="L10" s="15"/>
    </row>
    <row r="11" spans="2:12" x14ac:dyDescent="0.25">
      <c r="B11" s="8"/>
      <c r="C11" s="8"/>
      <c r="D11" s="8"/>
      <c r="E11" s="9"/>
      <c r="F11" s="10"/>
      <c r="G11" s="11"/>
      <c r="H11" s="11"/>
      <c r="I11" s="11"/>
      <c r="J11" s="11"/>
      <c r="K11" s="11"/>
      <c r="L11" s="11"/>
    </row>
    <row r="12" spans="2:12" x14ac:dyDescent="0.25">
      <c r="B12" s="12"/>
      <c r="C12" s="12"/>
      <c r="D12" s="12"/>
      <c r="E12" s="13"/>
      <c r="F12" s="14"/>
      <c r="G12" s="15"/>
      <c r="H12" s="15"/>
      <c r="I12" s="15"/>
      <c r="J12" s="15"/>
      <c r="K12" s="15"/>
      <c r="L12" s="15"/>
    </row>
    <row r="13" spans="2:12" x14ac:dyDescent="0.25">
      <c r="B13" s="8"/>
      <c r="C13" s="8"/>
      <c r="D13" s="8"/>
      <c r="E13" s="9"/>
      <c r="F13" s="10"/>
      <c r="G13" s="11"/>
      <c r="H13" s="11"/>
      <c r="I13" s="11"/>
      <c r="J13" s="11"/>
      <c r="K13" s="11"/>
      <c r="L13" s="11"/>
    </row>
    <row r="14" spans="2:12" x14ac:dyDescent="0.25">
      <c r="B14" s="12"/>
      <c r="C14" s="12"/>
      <c r="D14" s="12"/>
      <c r="E14" s="13"/>
      <c r="F14" s="14"/>
      <c r="G14" s="15"/>
      <c r="H14" s="15"/>
      <c r="I14" s="15"/>
      <c r="J14" s="15"/>
      <c r="K14" s="15"/>
      <c r="L14" s="15"/>
    </row>
    <row r="15" spans="2:12" x14ac:dyDescent="0.25">
      <c r="B15" s="8"/>
      <c r="C15" s="8"/>
      <c r="D15" s="8"/>
      <c r="E15" s="9"/>
      <c r="F15" s="10"/>
      <c r="G15" s="11"/>
      <c r="H15" s="11"/>
      <c r="I15" s="11"/>
      <c r="J15" s="11"/>
      <c r="K15" s="11"/>
      <c r="L15" s="11"/>
    </row>
    <row r="16" spans="2:12" x14ac:dyDescent="0.25">
      <c r="B16" s="12"/>
      <c r="C16" s="12"/>
      <c r="D16" s="12"/>
      <c r="E16" s="13"/>
      <c r="F16" s="14"/>
      <c r="G16" s="15"/>
      <c r="H16" s="15"/>
      <c r="I16" s="15"/>
      <c r="J16" s="15"/>
      <c r="K16" s="15"/>
      <c r="L16" s="15"/>
    </row>
    <row r="17" spans="2:12" x14ac:dyDescent="0.25">
      <c r="B17" s="8"/>
      <c r="C17" s="8"/>
      <c r="D17" s="8"/>
      <c r="E17" s="9"/>
      <c r="F17" s="10"/>
      <c r="G17" s="11"/>
      <c r="H17" s="11"/>
      <c r="I17" s="11"/>
      <c r="J17" s="11"/>
      <c r="K17" s="11"/>
      <c r="L17" s="11"/>
    </row>
    <row r="18" spans="2:12" x14ac:dyDescent="0.25">
      <c r="B18" s="12"/>
      <c r="C18" s="12"/>
      <c r="D18" s="12"/>
      <c r="E18" s="13"/>
      <c r="F18" s="14"/>
      <c r="G18" s="15"/>
      <c r="H18" s="15"/>
      <c r="I18" s="15"/>
      <c r="J18" s="15"/>
      <c r="K18" s="15"/>
      <c r="L18" s="15"/>
    </row>
    <row r="19" spans="2:12" x14ac:dyDescent="0.25">
      <c r="B19" s="8"/>
      <c r="C19" s="8"/>
      <c r="D19" s="8"/>
      <c r="E19" s="9"/>
      <c r="F19" s="10"/>
      <c r="G19" s="11"/>
      <c r="H19" s="11"/>
      <c r="I19" s="11"/>
      <c r="J19" s="11"/>
      <c r="K19" s="11"/>
      <c r="L19" s="11"/>
    </row>
    <row r="20" spans="2:12" x14ac:dyDescent="0.25">
      <c r="B20" s="12"/>
      <c r="C20" s="12"/>
      <c r="D20" s="12"/>
      <c r="E20" s="13"/>
      <c r="F20" s="14"/>
      <c r="G20" s="15"/>
      <c r="H20" s="15"/>
      <c r="I20" s="15"/>
      <c r="J20" s="15"/>
      <c r="K20" s="15"/>
      <c r="L20" s="15"/>
    </row>
    <row r="21" spans="2:12" x14ac:dyDescent="0.25">
      <c r="B21" s="8"/>
      <c r="C21" s="8"/>
      <c r="D21" s="8"/>
      <c r="E21" s="9"/>
      <c r="F21" s="10"/>
      <c r="G21" s="11"/>
      <c r="H21" s="11"/>
      <c r="I21" s="11"/>
      <c r="J21" s="11"/>
      <c r="K21" s="11"/>
      <c r="L21" s="11"/>
    </row>
    <row r="22" spans="2:12" x14ac:dyDescent="0.25">
      <c r="B22" s="12"/>
      <c r="C22" s="12"/>
      <c r="D22" s="12"/>
      <c r="E22" s="13"/>
      <c r="F22" s="14"/>
      <c r="G22" s="15"/>
      <c r="H22" s="15"/>
      <c r="I22" s="15"/>
      <c r="J22" s="15"/>
      <c r="K22" s="15"/>
      <c r="L22" s="15"/>
    </row>
    <row r="23" spans="2:12" x14ac:dyDescent="0.25">
      <c r="B23" s="8"/>
      <c r="C23" s="8"/>
      <c r="D23" s="8"/>
      <c r="E23" s="9"/>
      <c r="F23" s="10"/>
      <c r="G23" s="11"/>
      <c r="H23" s="11"/>
      <c r="I23" s="11"/>
      <c r="J23" s="11"/>
      <c r="K23" s="11"/>
      <c r="L23" s="11"/>
    </row>
    <row r="24" spans="2:12" x14ac:dyDescent="0.25">
      <c r="B24" s="12"/>
      <c r="C24" s="12"/>
      <c r="D24" s="12"/>
      <c r="E24" s="13"/>
      <c r="F24" s="14"/>
      <c r="G24" s="15"/>
      <c r="H24" s="15"/>
      <c r="I24" s="15"/>
      <c r="J24" s="15"/>
      <c r="K24" s="15"/>
      <c r="L24" s="15"/>
    </row>
    <row r="25" spans="2:12" x14ac:dyDescent="0.25">
      <c r="B25" s="8"/>
      <c r="C25" s="8"/>
      <c r="D25" s="8"/>
      <c r="E25" s="9"/>
      <c r="F25" s="10"/>
      <c r="G25" s="11"/>
      <c r="H25" s="11"/>
      <c r="I25" s="11"/>
      <c r="J25" s="11"/>
      <c r="K25" s="11"/>
      <c r="L25" s="11"/>
    </row>
    <row r="26" spans="2:12" x14ac:dyDescent="0.25">
      <c r="B26" s="12"/>
      <c r="C26" s="12"/>
      <c r="D26" s="12"/>
      <c r="E26" s="13"/>
      <c r="F26" s="14"/>
      <c r="G26" s="15"/>
      <c r="H26" s="15"/>
      <c r="I26" s="15"/>
      <c r="J26" s="15"/>
      <c r="K26" s="15"/>
      <c r="L26" s="15"/>
    </row>
    <row r="27" spans="2:12" x14ac:dyDescent="0.25">
      <c r="B27" s="8"/>
      <c r="C27" s="8"/>
      <c r="D27" s="8"/>
      <c r="E27" s="9"/>
      <c r="F27" s="10"/>
      <c r="G27" s="11"/>
      <c r="H27" s="11"/>
      <c r="I27" s="11"/>
      <c r="J27" s="11"/>
      <c r="K27" s="11"/>
      <c r="L27" s="11"/>
    </row>
    <row r="28" spans="2:12" x14ac:dyDescent="0.25">
      <c r="B28" s="12"/>
      <c r="C28" s="12"/>
      <c r="D28" s="12"/>
      <c r="E28" s="13"/>
      <c r="F28" s="14"/>
      <c r="G28" s="15"/>
      <c r="H28" s="15"/>
      <c r="I28" s="15"/>
      <c r="J28" s="15"/>
      <c r="K28" s="15"/>
      <c r="L28" s="15"/>
    </row>
    <row r="29" spans="2:12" x14ac:dyDescent="0.25">
      <c r="B29" s="8"/>
      <c r="C29" s="8"/>
      <c r="D29" s="8"/>
      <c r="E29" s="9"/>
      <c r="F29" s="10"/>
      <c r="G29" s="11"/>
      <c r="H29" s="11"/>
      <c r="I29" s="11"/>
      <c r="J29" s="11"/>
      <c r="K29" s="11"/>
      <c r="L29" s="11"/>
    </row>
    <row r="30" spans="2:12" x14ac:dyDescent="0.25">
      <c r="B30" s="12"/>
      <c r="C30" s="12"/>
      <c r="D30" s="12"/>
      <c r="E30" s="13"/>
      <c r="F30" s="14"/>
      <c r="G30" s="15"/>
      <c r="H30" s="15"/>
      <c r="I30" s="15"/>
      <c r="J30" s="15"/>
      <c r="K30" s="15"/>
      <c r="L30" s="15"/>
    </row>
    <row r="31" spans="2:12" x14ac:dyDescent="0.25">
      <c r="B31" s="8"/>
      <c r="C31" s="8"/>
      <c r="D31" s="8"/>
      <c r="E31" s="9"/>
      <c r="F31" s="10"/>
      <c r="G31" s="11"/>
      <c r="H31" s="11"/>
      <c r="I31" s="11"/>
      <c r="J31" s="11"/>
      <c r="K31" s="11"/>
      <c r="L31" s="11"/>
    </row>
    <row r="32" spans="2:12" x14ac:dyDescent="0.25">
      <c r="B32" s="12"/>
      <c r="C32" s="12"/>
      <c r="D32" s="12"/>
      <c r="E32" s="13"/>
      <c r="F32" s="14"/>
      <c r="G32" s="15"/>
      <c r="H32" s="15"/>
      <c r="I32" s="15"/>
      <c r="J32" s="15"/>
      <c r="K32" s="15"/>
      <c r="L32" s="15"/>
    </row>
    <row r="33" spans="2:12" x14ac:dyDescent="0.25">
      <c r="B33" s="8"/>
      <c r="C33" s="8"/>
      <c r="D33" s="8"/>
      <c r="E33" s="9"/>
      <c r="F33" s="10"/>
      <c r="G33" s="11"/>
      <c r="H33" s="11"/>
      <c r="I33" s="11"/>
      <c r="J33" s="11"/>
      <c r="K33" s="11"/>
      <c r="L33" s="11"/>
    </row>
    <row r="34" spans="2:12" x14ac:dyDescent="0.25">
      <c r="B34" s="12"/>
      <c r="C34" s="12"/>
      <c r="D34" s="12"/>
      <c r="E34" s="13"/>
      <c r="F34" s="14"/>
      <c r="G34" s="15"/>
      <c r="H34" s="15"/>
      <c r="I34" s="15"/>
      <c r="J34" s="15"/>
      <c r="K34" s="15"/>
      <c r="L34" s="15"/>
    </row>
    <row r="35" spans="2:12" x14ac:dyDescent="0.25">
      <c r="B35" s="8"/>
      <c r="C35" s="8"/>
      <c r="D35" s="8"/>
      <c r="E35" s="9"/>
      <c r="F35" s="10"/>
      <c r="G35" s="11"/>
      <c r="H35" s="11"/>
      <c r="I35" s="11"/>
      <c r="J35" s="11"/>
      <c r="K35" s="11"/>
      <c r="L35" s="11"/>
    </row>
    <row r="36" spans="2:12" x14ac:dyDescent="0.25">
      <c r="B36" s="12"/>
      <c r="C36" s="12"/>
      <c r="D36" s="12"/>
      <c r="E36" s="13"/>
      <c r="F36" s="14"/>
      <c r="G36" s="15"/>
      <c r="H36" s="15"/>
      <c r="I36" s="15"/>
      <c r="J36" s="15"/>
      <c r="K36" s="15"/>
      <c r="L36" s="15"/>
    </row>
    <row r="37" spans="2:12" x14ac:dyDescent="0.25">
      <c r="B37" s="8"/>
      <c r="C37" s="8"/>
      <c r="D37" s="8"/>
      <c r="E37" s="9"/>
      <c r="F37" s="10"/>
      <c r="G37" s="11"/>
      <c r="H37" s="11"/>
      <c r="I37" s="11"/>
      <c r="J37" s="11"/>
      <c r="K37" s="11"/>
      <c r="L37" s="11"/>
    </row>
    <row r="38" spans="2:12" x14ac:dyDescent="0.25">
      <c r="B38" s="12"/>
      <c r="C38" s="12"/>
      <c r="D38" s="12"/>
      <c r="E38" s="13"/>
      <c r="F38" s="14"/>
      <c r="G38" s="15"/>
      <c r="H38" s="15"/>
      <c r="I38" s="15"/>
      <c r="J38" s="15"/>
      <c r="K38" s="15"/>
      <c r="L38" s="15"/>
    </row>
    <row r="39" spans="2:12" x14ac:dyDescent="0.25">
      <c r="B39" s="8"/>
      <c r="C39" s="8"/>
      <c r="D39" s="8"/>
      <c r="E39" s="9"/>
      <c r="F39" s="10"/>
      <c r="G39" s="11"/>
      <c r="H39" s="11"/>
      <c r="I39" s="11"/>
      <c r="J39" s="11"/>
      <c r="K39" s="11"/>
      <c r="L39" s="11"/>
    </row>
    <row r="40" spans="2:12" x14ac:dyDescent="0.25">
      <c r="B40" s="12"/>
      <c r="C40" s="12"/>
      <c r="D40" s="12"/>
      <c r="E40" s="13"/>
      <c r="F40" s="14"/>
      <c r="G40" s="15"/>
      <c r="H40" s="15"/>
      <c r="I40" s="15"/>
      <c r="J40" s="15"/>
      <c r="K40" s="15"/>
      <c r="L40" s="15"/>
    </row>
    <row r="41" spans="2:12" x14ac:dyDescent="0.25">
      <c r="B41" s="8"/>
      <c r="C41" s="8"/>
      <c r="D41" s="8"/>
      <c r="E41" s="9"/>
      <c r="F41" s="10"/>
      <c r="G41" s="11"/>
      <c r="H41" s="11"/>
      <c r="I41" s="11"/>
      <c r="J41" s="11"/>
      <c r="K41" s="11"/>
      <c r="L41" s="11"/>
    </row>
    <row r="42" spans="2:12" x14ac:dyDescent="0.25">
      <c r="B42" s="12"/>
      <c r="C42" s="12"/>
      <c r="D42" s="12"/>
      <c r="E42" s="13"/>
      <c r="F42" s="14"/>
      <c r="G42" s="15"/>
      <c r="H42" s="15"/>
      <c r="I42" s="15"/>
      <c r="J42" s="15"/>
      <c r="K42" s="15"/>
      <c r="L42" s="15"/>
    </row>
    <row r="43" spans="2:12" x14ac:dyDescent="0.25">
      <c r="B43" s="8"/>
      <c r="C43" s="8"/>
      <c r="D43" s="8"/>
      <c r="E43" s="9"/>
      <c r="F43" s="10"/>
      <c r="G43" s="11"/>
      <c r="H43" s="11"/>
      <c r="I43" s="11"/>
      <c r="J43" s="11"/>
      <c r="K43" s="11"/>
      <c r="L43" s="11"/>
    </row>
    <row r="44" spans="2:12" x14ac:dyDescent="0.25">
      <c r="B44" s="12"/>
      <c r="C44" s="12"/>
      <c r="D44" s="12"/>
      <c r="E44" s="13"/>
      <c r="F44" s="14"/>
      <c r="G44" s="15"/>
      <c r="H44" s="15"/>
      <c r="I44" s="15"/>
      <c r="J44" s="15"/>
      <c r="K44" s="15"/>
      <c r="L44" s="15"/>
    </row>
    <row r="45" spans="2:12" x14ac:dyDescent="0.25">
      <c r="B45" s="8"/>
      <c r="C45" s="8"/>
      <c r="D45" s="8"/>
      <c r="E45" s="9"/>
      <c r="F45" s="10"/>
      <c r="G45" s="11"/>
      <c r="H45" s="11"/>
      <c r="I45" s="11"/>
      <c r="J45" s="11"/>
      <c r="K45" s="11"/>
      <c r="L45" s="11"/>
    </row>
    <row r="46" spans="2:12" x14ac:dyDescent="0.25">
      <c r="B46" s="12"/>
      <c r="C46" s="12"/>
      <c r="D46" s="12"/>
      <c r="E46" s="13"/>
      <c r="F46" s="14"/>
      <c r="G46" s="15"/>
      <c r="H46" s="15"/>
      <c r="I46" s="15"/>
      <c r="J46" s="15"/>
      <c r="K46" s="15"/>
      <c r="L46" s="15"/>
    </row>
    <row r="47" spans="2:12" x14ac:dyDescent="0.25">
      <c r="B47" s="8"/>
      <c r="C47" s="8"/>
      <c r="D47" s="8"/>
      <c r="E47" s="9"/>
      <c r="F47" s="10"/>
      <c r="G47" s="11"/>
      <c r="H47" s="11"/>
      <c r="I47" s="11"/>
      <c r="J47" s="11"/>
      <c r="K47" s="11"/>
      <c r="L47" s="11"/>
    </row>
    <row r="48" spans="2:12" x14ac:dyDescent="0.25">
      <c r="B48" s="12"/>
      <c r="C48" s="12"/>
      <c r="D48" s="12"/>
      <c r="E48" s="13"/>
      <c r="F48" s="14"/>
      <c r="G48" s="15"/>
      <c r="H48" s="15"/>
      <c r="I48" s="15"/>
      <c r="J48" s="15"/>
      <c r="K48" s="15"/>
      <c r="L48" s="15"/>
    </row>
    <row r="49" spans="2:12" x14ac:dyDescent="0.25">
      <c r="B49" s="8"/>
      <c r="C49" s="8"/>
      <c r="D49" s="8"/>
      <c r="E49" s="9"/>
      <c r="F49" s="10"/>
      <c r="G49" s="11"/>
      <c r="H49" s="11"/>
      <c r="I49" s="11"/>
      <c r="J49" s="11"/>
      <c r="K49" s="11"/>
      <c r="L49" s="11"/>
    </row>
    <row r="50" spans="2:12" x14ac:dyDescent="0.25">
      <c r="B50" s="12"/>
      <c r="C50" s="12"/>
      <c r="D50" s="12"/>
      <c r="E50" s="13"/>
      <c r="F50" s="14"/>
      <c r="G50" s="15"/>
      <c r="H50" s="15"/>
      <c r="I50" s="15"/>
      <c r="J50" s="15"/>
      <c r="K50" s="15"/>
      <c r="L50" s="15"/>
    </row>
    <row r="51" spans="2:12" x14ac:dyDescent="0.25">
      <c r="B51" s="8"/>
      <c r="C51" s="8"/>
      <c r="D51" s="8"/>
      <c r="E51" s="9"/>
      <c r="F51" s="10"/>
      <c r="G51" s="11"/>
      <c r="H51" s="11"/>
      <c r="I51" s="11"/>
      <c r="J51" s="11"/>
      <c r="K51" s="11"/>
      <c r="L51" s="11"/>
    </row>
    <row r="52" spans="2:12" x14ac:dyDescent="0.25">
      <c r="B52" s="12"/>
      <c r="C52" s="12"/>
      <c r="D52" s="12"/>
      <c r="E52" s="13"/>
      <c r="F52" s="14"/>
      <c r="G52" s="15"/>
      <c r="H52" s="15"/>
      <c r="I52" s="15"/>
      <c r="J52" s="15"/>
      <c r="K52" s="15"/>
      <c r="L52" s="15"/>
    </row>
    <row r="53" spans="2:12" x14ac:dyDescent="0.25">
      <c r="B53" s="8"/>
      <c r="C53" s="8"/>
      <c r="D53" s="8"/>
      <c r="E53" s="9"/>
      <c r="F53" s="10"/>
      <c r="G53" s="11"/>
      <c r="H53" s="11"/>
      <c r="I53" s="11"/>
      <c r="J53" s="11"/>
      <c r="K53" s="11"/>
      <c r="L53" s="11"/>
    </row>
    <row r="54" spans="2:12" x14ac:dyDescent="0.25">
      <c r="B54" s="12"/>
      <c r="C54" s="12"/>
      <c r="D54" s="12"/>
      <c r="E54" s="13"/>
      <c r="F54" s="14"/>
      <c r="G54" s="15"/>
      <c r="H54" s="15"/>
      <c r="I54" s="15"/>
      <c r="J54" s="15"/>
      <c r="K54" s="15"/>
      <c r="L54" s="15"/>
    </row>
  </sheetData>
  <mergeCells count="2">
    <mergeCell ref="A1:L1"/>
    <mergeCell ref="A2:L2"/>
  </mergeCells>
  <dataValidations count="1">
    <dataValidation type="list" allowBlank="1" sqref="D5:D54">
      <formula1>=MulkTipleri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K1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14" customWidth="1"/>
    <col min="4" max="4" width="26" customWidth="1"/>
    <col min="5" max="5" width="18" customWidth="1"/>
    <col min="6" max="8" width="16" customWidth="1"/>
    <col min="9" max="9" width="14" customWidth="1"/>
    <col min="10" max="11" width="12" customWidth="1"/>
  </cols>
  <sheetData>
    <row r="1" ht="34" customHeight="1" spans="1:11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7" t="s">
        <v>22</v>
      </c>
      <c r="B4" s="7" t="s">
        <v>45</v>
      </c>
      <c r="C4" s="7" t="s">
        <v>23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</row>
    <row r="5" spans="2:11" x14ac:dyDescent="0.25">
      <c r="B5" s="8" t="s">
        <v>54</v>
      </c>
      <c r="C5" s="8" t="s">
        <v>34</v>
      </c>
      <c r="D5" s="8" t="s">
        <v>55</v>
      </c>
      <c r="E5" s="8" t="s">
        <v>56</v>
      </c>
      <c r="F5" s="10">
        <v>45808.875</v>
      </c>
      <c r="G5" s="10">
        <v>46172.875</v>
      </c>
      <c r="H5" s="11">
        <v>24000</v>
      </c>
      <c r="I5" s="11">
        <v>48000</v>
      </c>
      <c r="J5" s="16">
        <v>0.25</v>
      </c>
      <c r="K5" s="8" t="s">
        <v>57</v>
      </c>
    </row>
    <row r="6" spans="2:11" x14ac:dyDescent="0.25">
      <c r="B6" s="12" t="s">
        <v>58</v>
      </c>
      <c r="C6" s="12" t="s">
        <v>37</v>
      </c>
      <c r="D6" s="12" t="s">
        <v>59</v>
      </c>
      <c r="E6" s="12" t="s">
        <v>60</v>
      </c>
      <c r="F6" s="14">
        <v>45535.875</v>
      </c>
      <c r="G6" s="14">
        <v>46629.875</v>
      </c>
      <c r="H6" s="15">
        <v>65000</v>
      </c>
      <c r="I6" s="15">
        <v>130000</v>
      </c>
      <c r="J6" s="17">
        <v>0.3</v>
      </c>
      <c r="K6" s="12" t="s">
        <v>57</v>
      </c>
    </row>
    <row r="7" spans="2:11" x14ac:dyDescent="0.25">
      <c r="B7" s="8" t="s">
        <v>61</v>
      </c>
      <c r="C7" s="8" t="s">
        <v>40</v>
      </c>
      <c r="D7" s="8" t="s">
        <v>62</v>
      </c>
      <c r="E7" s="8" t="s">
        <v>63</v>
      </c>
      <c r="F7" s="10">
        <v>44940.875</v>
      </c>
      <c r="G7" s="10">
        <v>46765.875</v>
      </c>
      <c r="H7" s="11">
        <v>38000</v>
      </c>
      <c r="I7" s="11">
        <v>76000</v>
      </c>
      <c r="J7" s="16">
        <v>0.25</v>
      </c>
      <c r="K7" s="8" t="s">
        <v>57</v>
      </c>
    </row>
    <row r="8" spans="2:11" x14ac:dyDescent="0.25">
      <c r="B8" s="12"/>
      <c r="C8" s="12"/>
      <c r="D8" s="12"/>
      <c r="E8" s="12"/>
      <c r="F8" s="14"/>
      <c r="G8" s="14"/>
      <c r="H8" s="15"/>
      <c r="I8" s="15"/>
      <c r="J8" s="17"/>
      <c r="K8" s="12"/>
    </row>
    <row r="9" spans="2:11" x14ac:dyDescent="0.25">
      <c r="B9" s="8"/>
      <c r="C9" s="8"/>
      <c r="D9" s="8"/>
      <c r="E9" s="8"/>
      <c r="F9" s="10"/>
      <c r="G9" s="10"/>
      <c r="H9" s="11"/>
      <c r="I9" s="11"/>
      <c r="J9" s="16"/>
      <c r="K9" s="8"/>
    </row>
    <row r="10" spans="2:11" x14ac:dyDescent="0.25">
      <c r="B10" s="12"/>
      <c r="C10" s="12"/>
      <c r="D10" s="12"/>
      <c r="E10" s="12"/>
      <c r="F10" s="14"/>
      <c r="G10" s="14"/>
      <c r="H10" s="15"/>
      <c r="I10" s="15"/>
      <c r="J10" s="17"/>
      <c r="K10" s="12"/>
    </row>
    <row r="11" spans="2:11" x14ac:dyDescent="0.25">
      <c r="B11" s="8"/>
      <c r="C11" s="8"/>
      <c r="D11" s="8"/>
      <c r="E11" s="8"/>
      <c r="F11" s="10"/>
      <c r="G11" s="10"/>
      <c r="H11" s="11"/>
      <c r="I11" s="11"/>
      <c r="J11" s="16"/>
      <c r="K11" s="8"/>
    </row>
    <row r="12" spans="2:11" x14ac:dyDescent="0.25">
      <c r="B12" s="12"/>
      <c r="C12" s="12"/>
      <c r="D12" s="12"/>
      <c r="E12" s="12"/>
      <c r="F12" s="14"/>
      <c r="G12" s="14"/>
      <c r="H12" s="15"/>
      <c r="I12" s="15"/>
      <c r="J12" s="17"/>
      <c r="K12" s="12"/>
    </row>
    <row r="13" spans="2:11" x14ac:dyDescent="0.25">
      <c r="B13" s="8"/>
      <c r="C13" s="8"/>
      <c r="D13" s="8"/>
      <c r="E13" s="8"/>
      <c r="F13" s="10"/>
      <c r="G13" s="10"/>
      <c r="H13" s="11"/>
      <c r="I13" s="11"/>
      <c r="J13" s="16"/>
      <c r="K13" s="8"/>
    </row>
    <row r="14" spans="2:11" x14ac:dyDescent="0.25">
      <c r="B14" s="12"/>
      <c r="C14" s="12"/>
      <c r="D14" s="12"/>
      <c r="E14" s="12"/>
      <c r="F14" s="14"/>
      <c r="G14" s="14"/>
      <c r="H14" s="15"/>
      <c r="I14" s="15"/>
      <c r="J14" s="17"/>
      <c r="K14" s="12"/>
    </row>
    <row r="15" spans="2:11" x14ac:dyDescent="0.25">
      <c r="B15" s="8"/>
      <c r="C15" s="8"/>
      <c r="D15" s="8"/>
      <c r="E15" s="8"/>
      <c r="F15" s="10"/>
      <c r="G15" s="10"/>
      <c r="H15" s="11"/>
      <c r="I15" s="11"/>
      <c r="J15" s="16"/>
      <c r="K15" s="8"/>
    </row>
    <row r="16" spans="2:11" x14ac:dyDescent="0.25">
      <c r="B16" s="12"/>
      <c r="C16" s="12"/>
      <c r="D16" s="12"/>
      <c r="E16" s="12"/>
      <c r="F16" s="14"/>
      <c r="G16" s="14"/>
      <c r="H16" s="15"/>
      <c r="I16" s="15"/>
      <c r="J16" s="17"/>
      <c r="K16" s="12"/>
    </row>
    <row r="17" spans="2:11" x14ac:dyDescent="0.25">
      <c r="B17" s="8"/>
      <c r="C17" s="8"/>
      <c r="D17" s="8"/>
      <c r="E17" s="8"/>
      <c r="F17" s="10"/>
      <c r="G17" s="10"/>
      <c r="H17" s="11"/>
      <c r="I17" s="11"/>
      <c r="J17" s="16"/>
      <c r="K17" s="8"/>
    </row>
    <row r="18" spans="2:11" x14ac:dyDescent="0.25">
      <c r="B18" s="12"/>
      <c r="C18" s="12"/>
      <c r="D18" s="12"/>
      <c r="E18" s="12"/>
      <c r="F18" s="14"/>
      <c r="G18" s="14"/>
      <c r="H18" s="15"/>
      <c r="I18" s="15"/>
      <c r="J18" s="17"/>
      <c r="K18" s="12"/>
    </row>
    <row r="19" spans="2:11" x14ac:dyDescent="0.25">
      <c r="B19" s="8"/>
      <c r="C19" s="8"/>
      <c r="D19" s="8"/>
      <c r="E19" s="8"/>
      <c r="F19" s="10"/>
      <c r="G19" s="10"/>
      <c r="H19" s="11"/>
      <c r="I19" s="11"/>
      <c r="J19" s="16"/>
      <c r="K19" s="8"/>
    </row>
    <row r="20" spans="2:11" x14ac:dyDescent="0.25">
      <c r="B20" s="12"/>
      <c r="C20" s="12"/>
      <c r="D20" s="12"/>
      <c r="E20" s="12"/>
      <c r="F20" s="14"/>
      <c r="G20" s="14"/>
      <c r="H20" s="15"/>
      <c r="I20" s="15"/>
      <c r="J20" s="17"/>
      <c r="K20" s="12"/>
    </row>
    <row r="21" spans="2:11" x14ac:dyDescent="0.25">
      <c r="B21" s="8"/>
      <c r="C21" s="8"/>
      <c r="D21" s="8"/>
      <c r="E21" s="8"/>
      <c r="F21" s="10"/>
      <c r="G21" s="10"/>
      <c r="H21" s="11"/>
      <c r="I21" s="11"/>
      <c r="J21" s="16"/>
      <c r="K21" s="8"/>
    </row>
    <row r="22" spans="2:11" x14ac:dyDescent="0.25">
      <c r="B22" s="12"/>
      <c r="C22" s="12"/>
      <c r="D22" s="12"/>
      <c r="E22" s="12"/>
      <c r="F22" s="14"/>
      <c r="G22" s="14"/>
      <c r="H22" s="15"/>
      <c r="I22" s="15"/>
      <c r="J22" s="17"/>
      <c r="K22" s="12"/>
    </row>
    <row r="23" spans="2:11" x14ac:dyDescent="0.25">
      <c r="B23" s="8"/>
      <c r="C23" s="8"/>
      <c r="D23" s="8"/>
      <c r="E23" s="8"/>
      <c r="F23" s="10"/>
      <c r="G23" s="10"/>
      <c r="H23" s="11"/>
      <c r="I23" s="11"/>
      <c r="J23" s="16"/>
      <c r="K23" s="8"/>
    </row>
    <row r="24" spans="2:11" x14ac:dyDescent="0.25">
      <c r="B24" s="12"/>
      <c r="C24" s="12"/>
      <c r="D24" s="12"/>
      <c r="E24" s="12"/>
      <c r="F24" s="14"/>
      <c r="G24" s="14"/>
      <c r="H24" s="15"/>
      <c r="I24" s="15"/>
      <c r="J24" s="17"/>
      <c r="K24" s="12"/>
    </row>
    <row r="25" spans="2:11" x14ac:dyDescent="0.25">
      <c r="B25" s="8"/>
      <c r="C25" s="8"/>
      <c r="D25" s="8"/>
      <c r="E25" s="8"/>
      <c r="F25" s="10"/>
      <c r="G25" s="10"/>
      <c r="H25" s="11"/>
      <c r="I25" s="11"/>
      <c r="J25" s="16"/>
      <c r="K25" s="8"/>
    </row>
    <row r="26" spans="2:11" x14ac:dyDescent="0.25">
      <c r="B26" s="12"/>
      <c r="C26" s="12"/>
      <c r="D26" s="12"/>
      <c r="E26" s="12"/>
      <c r="F26" s="14"/>
      <c r="G26" s="14"/>
      <c r="H26" s="15"/>
      <c r="I26" s="15"/>
      <c r="J26" s="17"/>
      <c r="K26" s="12"/>
    </row>
    <row r="27" spans="2:11" x14ac:dyDescent="0.25">
      <c r="B27" s="8"/>
      <c r="C27" s="8"/>
      <c r="D27" s="8"/>
      <c r="E27" s="8"/>
      <c r="F27" s="10"/>
      <c r="G27" s="10"/>
      <c r="H27" s="11"/>
      <c r="I27" s="11"/>
      <c r="J27" s="16"/>
      <c r="K27" s="8"/>
    </row>
    <row r="28" spans="2:11" x14ac:dyDescent="0.25">
      <c r="B28" s="12"/>
      <c r="C28" s="12"/>
      <c r="D28" s="12"/>
      <c r="E28" s="12"/>
      <c r="F28" s="14"/>
      <c r="G28" s="14"/>
      <c r="H28" s="15"/>
      <c r="I28" s="15"/>
      <c r="J28" s="17"/>
      <c r="K28" s="12"/>
    </row>
    <row r="29" spans="2:11" x14ac:dyDescent="0.25">
      <c r="B29" s="8"/>
      <c r="C29" s="8"/>
      <c r="D29" s="8"/>
      <c r="E29" s="8"/>
      <c r="F29" s="10"/>
      <c r="G29" s="10"/>
      <c r="H29" s="11"/>
      <c r="I29" s="11"/>
      <c r="J29" s="16"/>
      <c r="K29" s="8"/>
    </row>
    <row r="30" spans="2:11" x14ac:dyDescent="0.25">
      <c r="B30" s="12"/>
      <c r="C30" s="12"/>
      <c r="D30" s="12"/>
      <c r="E30" s="12"/>
      <c r="F30" s="14"/>
      <c r="G30" s="14"/>
      <c r="H30" s="15"/>
      <c r="I30" s="15"/>
      <c r="J30" s="17"/>
      <c r="K30" s="12"/>
    </row>
    <row r="31" spans="2:11" x14ac:dyDescent="0.25">
      <c r="B31" s="8"/>
      <c r="C31" s="8"/>
      <c r="D31" s="8"/>
      <c r="E31" s="8"/>
      <c r="F31" s="10"/>
      <c r="G31" s="10"/>
      <c r="H31" s="11"/>
      <c r="I31" s="11"/>
      <c r="J31" s="16"/>
      <c r="K31" s="8"/>
    </row>
    <row r="32" spans="2:11" x14ac:dyDescent="0.25">
      <c r="B32" s="12"/>
      <c r="C32" s="12"/>
      <c r="D32" s="12"/>
      <c r="E32" s="12"/>
      <c r="F32" s="14"/>
      <c r="G32" s="14"/>
      <c r="H32" s="15"/>
      <c r="I32" s="15"/>
      <c r="J32" s="17"/>
      <c r="K32" s="12"/>
    </row>
    <row r="33" spans="2:11" x14ac:dyDescent="0.25">
      <c r="B33" s="8"/>
      <c r="C33" s="8"/>
      <c r="D33" s="8"/>
      <c r="E33" s="8"/>
      <c r="F33" s="10"/>
      <c r="G33" s="10"/>
      <c r="H33" s="11"/>
      <c r="I33" s="11"/>
      <c r="J33" s="16"/>
      <c r="K33" s="8"/>
    </row>
    <row r="34" spans="2:11" x14ac:dyDescent="0.25">
      <c r="B34" s="12"/>
      <c r="C34" s="12"/>
      <c r="D34" s="12"/>
      <c r="E34" s="12"/>
      <c r="F34" s="14"/>
      <c r="G34" s="14"/>
      <c r="H34" s="15"/>
      <c r="I34" s="15"/>
      <c r="J34" s="17"/>
      <c r="K34" s="12"/>
    </row>
    <row r="35" spans="2:11" x14ac:dyDescent="0.25">
      <c r="B35" s="8"/>
      <c r="C35" s="8"/>
      <c r="D35" s="8"/>
      <c r="E35" s="8"/>
      <c r="F35" s="10"/>
      <c r="G35" s="10"/>
      <c r="H35" s="11"/>
      <c r="I35" s="11"/>
      <c r="J35" s="16"/>
      <c r="K35" s="8"/>
    </row>
    <row r="36" spans="2:11" x14ac:dyDescent="0.25">
      <c r="B36" s="12"/>
      <c r="C36" s="12"/>
      <c r="D36" s="12"/>
      <c r="E36" s="12"/>
      <c r="F36" s="14"/>
      <c r="G36" s="14"/>
      <c r="H36" s="15"/>
      <c r="I36" s="15"/>
      <c r="J36" s="17"/>
      <c r="K36" s="12"/>
    </row>
    <row r="37" spans="2:11" x14ac:dyDescent="0.25">
      <c r="B37" s="8"/>
      <c r="C37" s="8"/>
      <c r="D37" s="8"/>
      <c r="E37" s="8"/>
      <c r="F37" s="10"/>
      <c r="G37" s="10"/>
      <c r="H37" s="11"/>
      <c r="I37" s="11"/>
      <c r="J37" s="16"/>
      <c r="K37" s="8"/>
    </row>
    <row r="38" spans="2:11" x14ac:dyDescent="0.25">
      <c r="B38" s="12"/>
      <c r="C38" s="12"/>
      <c r="D38" s="12"/>
      <c r="E38" s="12"/>
      <c r="F38" s="14"/>
      <c r="G38" s="14"/>
      <c r="H38" s="15"/>
      <c r="I38" s="15"/>
      <c r="J38" s="17"/>
      <c r="K38" s="12"/>
    </row>
    <row r="39" spans="2:11" x14ac:dyDescent="0.25">
      <c r="B39" s="8"/>
      <c r="C39" s="8"/>
      <c r="D39" s="8"/>
      <c r="E39" s="8"/>
      <c r="F39" s="10"/>
      <c r="G39" s="10"/>
      <c r="H39" s="11"/>
      <c r="I39" s="11"/>
      <c r="J39" s="16"/>
      <c r="K39" s="8"/>
    </row>
    <row r="40" spans="2:11" x14ac:dyDescent="0.25">
      <c r="B40" s="12"/>
      <c r="C40" s="12"/>
      <c r="D40" s="12"/>
      <c r="E40" s="12"/>
      <c r="F40" s="14"/>
      <c r="G40" s="14"/>
      <c r="H40" s="15"/>
      <c r="I40" s="15"/>
      <c r="J40" s="17"/>
      <c r="K40" s="12"/>
    </row>
    <row r="41" spans="2:11" x14ac:dyDescent="0.25">
      <c r="B41" s="8"/>
      <c r="C41" s="8"/>
      <c r="D41" s="8"/>
      <c r="E41" s="8"/>
      <c r="F41" s="10"/>
      <c r="G41" s="10"/>
      <c r="H41" s="11"/>
      <c r="I41" s="11"/>
      <c r="J41" s="16"/>
      <c r="K41" s="8"/>
    </row>
    <row r="42" spans="2:11" x14ac:dyDescent="0.25">
      <c r="B42" s="12"/>
      <c r="C42" s="12"/>
      <c r="D42" s="12"/>
      <c r="E42" s="12"/>
      <c r="F42" s="14"/>
      <c r="G42" s="14"/>
      <c r="H42" s="15"/>
      <c r="I42" s="15"/>
      <c r="J42" s="17"/>
      <c r="K42" s="12"/>
    </row>
    <row r="43" spans="2:11" x14ac:dyDescent="0.25">
      <c r="B43" s="8"/>
      <c r="C43" s="8"/>
      <c r="D43" s="8"/>
      <c r="E43" s="8"/>
      <c r="F43" s="10"/>
      <c r="G43" s="10"/>
      <c r="H43" s="11"/>
      <c r="I43" s="11"/>
      <c r="J43" s="16"/>
      <c r="K43" s="8"/>
    </row>
    <row r="44" spans="2:11" x14ac:dyDescent="0.25">
      <c r="B44" s="12"/>
      <c r="C44" s="12"/>
      <c r="D44" s="12"/>
      <c r="E44" s="12"/>
      <c r="F44" s="14"/>
      <c r="G44" s="14"/>
      <c r="H44" s="15"/>
      <c r="I44" s="15"/>
      <c r="J44" s="17"/>
      <c r="K44" s="12"/>
    </row>
    <row r="45" spans="2:11" x14ac:dyDescent="0.25">
      <c r="B45" s="8"/>
      <c r="C45" s="8"/>
      <c r="D45" s="8"/>
      <c r="E45" s="8"/>
      <c r="F45" s="10"/>
      <c r="G45" s="10"/>
      <c r="H45" s="11"/>
      <c r="I45" s="11"/>
      <c r="J45" s="16"/>
      <c r="K45" s="8"/>
    </row>
    <row r="46" spans="2:11" x14ac:dyDescent="0.25">
      <c r="B46" s="12"/>
      <c r="C46" s="12"/>
      <c r="D46" s="12"/>
      <c r="E46" s="12"/>
      <c r="F46" s="14"/>
      <c r="G46" s="14"/>
      <c r="H46" s="15"/>
      <c r="I46" s="15"/>
      <c r="J46" s="17"/>
      <c r="K46" s="12"/>
    </row>
    <row r="47" spans="2:11" x14ac:dyDescent="0.25">
      <c r="B47" s="8"/>
      <c r="C47" s="8"/>
      <c r="D47" s="8"/>
      <c r="E47" s="8"/>
      <c r="F47" s="10"/>
      <c r="G47" s="10"/>
      <c r="H47" s="11"/>
      <c r="I47" s="11"/>
      <c r="J47" s="16"/>
      <c r="K47" s="8"/>
    </row>
    <row r="48" spans="2:11" x14ac:dyDescent="0.25">
      <c r="B48" s="12"/>
      <c r="C48" s="12"/>
      <c r="D48" s="12"/>
      <c r="E48" s="12"/>
      <c r="F48" s="14"/>
      <c r="G48" s="14"/>
      <c r="H48" s="15"/>
      <c r="I48" s="15"/>
      <c r="J48" s="17"/>
      <c r="K48" s="12"/>
    </row>
    <row r="49" spans="2:11" x14ac:dyDescent="0.25">
      <c r="B49" s="8"/>
      <c r="C49" s="8"/>
      <c r="D49" s="8"/>
      <c r="E49" s="8"/>
      <c r="F49" s="10"/>
      <c r="G49" s="10"/>
      <c r="H49" s="11"/>
      <c r="I49" s="11"/>
      <c r="J49" s="16"/>
      <c r="K49" s="8"/>
    </row>
    <row r="50" spans="2:11" x14ac:dyDescent="0.25">
      <c r="B50" s="12"/>
      <c r="C50" s="12"/>
      <c r="D50" s="12"/>
      <c r="E50" s="12"/>
      <c r="F50" s="14"/>
      <c r="G50" s="14"/>
      <c r="H50" s="15"/>
      <c r="I50" s="15"/>
      <c r="J50" s="17"/>
      <c r="K50" s="12"/>
    </row>
    <row r="51" spans="2:11" x14ac:dyDescent="0.25">
      <c r="B51" s="8"/>
      <c r="C51" s="8"/>
      <c r="D51" s="8"/>
      <c r="E51" s="8"/>
      <c r="F51" s="10"/>
      <c r="G51" s="10"/>
      <c r="H51" s="11"/>
      <c r="I51" s="11"/>
      <c r="J51" s="16"/>
      <c r="K51" s="8"/>
    </row>
    <row r="52" spans="2:11" x14ac:dyDescent="0.25">
      <c r="B52" s="12"/>
      <c r="C52" s="12"/>
      <c r="D52" s="12"/>
      <c r="E52" s="12"/>
      <c r="F52" s="14"/>
      <c r="G52" s="14"/>
      <c r="H52" s="15"/>
      <c r="I52" s="15"/>
      <c r="J52" s="17"/>
      <c r="K52" s="12"/>
    </row>
    <row r="53" spans="2:11" x14ac:dyDescent="0.25">
      <c r="B53" s="8"/>
      <c r="C53" s="8"/>
      <c r="D53" s="8"/>
      <c r="E53" s="8"/>
      <c r="F53" s="10"/>
      <c r="G53" s="10"/>
      <c r="H53" s="11"/>
      <c r="I53" s="11"/>
      <c r="J53" s="16"/>
      <c r="K53" s="8"/>
    </row>
    <row r="54" spans="2:11" x14ac:dyDescent="0.25">
      <c r="B54" s="12"/>
      <c r="C54" s="12"/>
      <c r="D54" s="12"/>
      <c r="E54" s="12"/>
      <c r="F54" s="14"/>
      <c r="G54" s="14"/>
      <c r="H54" s="15"/>
      <c r="I54" s="15"/>
      <c r="J54" s="17"/>
      <c r="K54" s="12"/>
    </row>
    <row r="55" spans="2:11" x14ac:dyDescent="0.25">
      <c r="B55" s="8"/>
      <c r="C55" s="8"/>
      <c r="D55" s="8"/>
      <c r="E55" s="8"/>
      <c r="F55" s="10"/>
      <c r="G55" s="10"/>
      <c r="H55" s="11"/>
      <c r="I55" s="11"/>
      <c r="J55" s="16"/>
      <c r="K55" s="8"/>
    </row>
    <row r="56" spans="2:11" x14ac:dyDescent="0.25">
      <c r="B56" s="12"/>
      <c r="C56" s="12"/>
      <c r="D56" s="12"/>
      <c r="E56" s="12"/>
      <c r="F56" s="14"/>
      <c r="G56" s="14"/>
      <c r="H56" s="15"/>
      <c r="I56" s="15"/>
      <c r="J56" s="17"/>
      <c r="K56" s="12"/>
    </row>
    <row r="57" spans="2:11" x14ac:dyDescent="0.25">
      <c r="B57" s="8"/>
      <c r="C57" s="8"/>
      <c r="D57" s="8"/>
      <c r="E57" s="8"/>
      <c r="F57" s="10"/>
      <c r="G57" s="10"/>
      <c r="H57" s="11"/>
      <c r="I57" s="11"/>
      <c r="J57" s="16"/>
      <c r="K57" s="8"/>
    </row>
    <row r="58" spans="2:11" x14ac:dyDescent="0.25">
      <c r="B58" s="12"/>
      <c r="C58" s="12"/>
      <c r="D58" s="12"/>
      <c r="E58" s="12"/>
      <c r="F58" s="14"/>
      <c r="G58" s="14"/>
      <c r="H58" s="15"/>
      <c r="I58" s="15"/>
      <c r="J58" s="17"/>
      <c r="K58" s="12"/>
    </row>
    <row r="59" spans="2:11" x14ac:dyDescent="0.25">
      <c r="B59" s="8"/>
      <c r="C59" s="8"/>
      <c r="D59" s="8"/>
      <c r="E59" s="8"/>
      <c r="F59" s="10"/>
      <c r="G59" s="10"/>
      <c r="H59" s="11"/>
      <c r="I59" s="11"/>
      <c r="J59" s="16"/>
      <c r="K59" s="8"/>
    </row>
    <row r="60" spans="2:11" x14ac:dyDescent="0.25">
      <c r="B60" s="12"/>
      <c r="C60" s="12"/>
      <c r="D60" s="12"/>
      <c r="E60" s="12"/>
      <c r="F60" s="14"/>
      <c r="G60" s="14"/>
      <c r="H60" s="15"/>
      <c r="I60" s="15"/>
      <c r="J60" s="17"/>
      <c r="K60" s="12"/>
    </row>
    <row r="61" spans="2:11" x14ac:dyDescent="0.25">
      <c r="B61" s="8"/>
      <c r="C61" s="8"/>
      <c r="D61" s="8"/>
      <c r="E61" s="8"/>
      <c r="F61" s="10"/>
      <c r="G61" s="10"/>
      <c r="H61" s="11"/>
      <c r="I61" s="11"/>
      <c r="J61" s="16"/>
      <c r="K61" s="8"/>
    </row>
    <row r="62" spans="2:11" x14ac:dyDescent="0.25">
      <c r="B62" s="12"/>
      <c r="C62" s="12"/>
      <c r="D62" s="12"/>
      <c r="E62" s="12"/>
      <c r="F62" s="14"/>
      <c r="G62" s="14"/>
      <c r="H62" s="15"/>
      <c r="I62" s="15"/>
      <c r="J62" s="17"/>
      <c r="K62" s="12"/>
    </row>
    <row r="63" spans="2:11" x14ac:dyDescent="0.25">
      <c r="B63" s="8"/>
      <c r="C63" s="8"/>
      <c r="D63" s="8"/>
      <c r="E63" s="8"/>
      <c r="F63" s="10"/>
      <c r="G63" s="10"/>
      <c r="H63" s="11"/>
      <c r="I63" s="11"/>
      <c r="J63" s="16"/>
      <c r="K63" s="8"/>
    </row>
    <row r="64" spans="2:11" x14ac:dyDescent="0.25">
      <c r="B64" s="12"/>
      <c r="C64" s="12"/>
      <c r="D64" s="12"/>
      <c r="E64" s="12"/>
      <c r="F64" s="14"/>
      <c r="G64" s="14"/>
      <c r="H64" s="15"/>
      <c r="I64" s="15"/>
      <c r="J64" s="17"/>
      <c r="K64" s="12"/>
    </row>
    <row r="65" spans="2:11" x14ac:dyDescent="0.25">
      <c r="B65" s="8"/>
      <c r="C65" s="8"/>
      <c r="D65" s="8"/>
      <c r="E65" s="8"/>
      <c r="F65" s="10"/>
      <c r="G65" s="10"/>
      <c r="H65" s="11"/>
      <c r="I65" s="11"/>
      <c r="J65" s="16"/>
      <c r="K65" s="8"/>
    </row>
    <row r="66" spans="2:11" x14ac:dyDescent="0.25">
      <c r="B66" s="12"/>
      <c r="C66" s="12"/>
      <c r="D66" s="12"/>
      <c r="E66" s="12"/>
      <c r="F66" s="14"/>
      <c r="G66" s="14"/>
      <c r="H66" s="15"/>
      <c r="I66" s="15"/>
      <c r="J66" s="17"/>
      <c r="K66" s="12"/>
    </row>
    <row r="67" spans="2:11" x14ac:dyDescent="0.25">
      <c r="B67" s="8"/>
      <c r="C67" s="8"/>
      <c r="D67" s="8"/>
      <c r="E67" s="8"/>
      <c r="F67" s="10"/>
      <c r="G67" s="10"/>
      <c r="H67" s="11"/>
      <c r="I67" s="11"/>
      <c r="J67" s="16"/>
      <c r="K67" s="8"/>
    </row>
    <row r="68" spans="2:11" x14ac:dyDescent="0.25">
      <c r="B68" s="12"/>
      <c r="C68" s="12"/>
      <c r="D68" s="12"/>
      <c r="E68" s="12"/>
      <c r="F68" s="14"/>
      <c r="G68" s="14"/>
      <c r="H68" s="15"/>
      <c r="I68" s="15"/>
      <c r="J68" s="17"/>
      <c r="K68" s="12"/>
    </row>
    <row r="69" spans="2:11" x14ac:dyDescent="0.25">
      <c r="B69" s="8"/>
      <c r="C69" s="8"/>
      <c r="D69" s="8"/>
      <c r="E69" s="8"/>
      <c r="F69" s="10"/>
      <c r="G69" s="10"/>
      <c r="H69" s="11"/>
      <c r="I69" s="11"/>
      <c r="J69" s="16"/>
      <c r="K69" s="8"/>
    </row>
    <row r="70" spans="2:11" x14ac:dyDescent="0.25">
      <c r="B70" s="12"/>
      <c r="C70" s="12"/>
      <c r="D70" s="12"/>
      <c r="E70" s="12"/>
      <c r="F70" s="14"/>
      <c r="G70" s="14"/>
      <c r="H70" s="15"/>
      <c r="I70" s="15"/>
      <c r="J70" s="17"/>
      <c r="K70" s="12"/>
    </row>
    <row r="71" spans="2:11" x14ac:dyDescent="0.25">
      <c r="B71" s="8"/>
      <c r="C71" s="8"/>
      <c r="D71" s="8"/>
      <c r="E71" s="8"/>
      <c r="F71" s="10"/>
      <c r="G71" s="10"/>
      <c r="H71" s="11"/>
      <c r="I71" s="11"/>
      <c r="J71" s="16"/>
      <c r="K71" s="8"/>
    </row>
    <row r="72" spans="2:11" x14ac:dyDescent="0.25">
      <c r="B72" s="12"/>
      <c r="C72" s="12"/>
      <c r="D72" s="12"/>
      <c r="E72" s="12"/>
      <c r="F72" s="14"/>
      <c r="G72" s="14"/>
      <c r="H72" s="15"/>
      <c r="I72" s="15"/>
      <c r="J72" s="17"/>
      <c r="K72" s="12"/>
    </row>
    <row r="73" spans="2:11" x14ac:dyDescent="0.25">
      <c r="B73" s="8"/>
      <c r="C73" s="8"/>
      <c r="D73" s="8"/>
      <c r="E73" s="8"/>
      <c r="F73" s="10"/>
      <c r="G73" s="10"/>
      <c r="H73" s="11"/>
      <c r="I73" s="11"/>
      <c r="J73" s="16"/>
      <c r="K73" s="8"/>
    </row>
    <row r="74" spans="2:11" x14ac:dyDescent="0.25">
      <c r="B74" s="12"/>
      <c r="C74" s="12"/>
      <c r="D74" s="12"/>
      <c r="E74" s="12"/>
      <c r="F74" s="14"/>
      <c r="G74" s="14"/>
      <c r="H74" s="15"/>
      <c r="I74" s="15"/>
      <c r="J74" s="17"/>
      <c r="K74" s="12"/>
    </row>
    <row r="75" spans="2:11" x14ac:dyDescent="0.25">
      <c r="B75" s="8"/>
      <c r="C75" s="8"/>
      <c r="D75" s="8"/>
      <c r="E75" s="8"/>
      <c r="F75" s="10"/>
      <c r="G75" s="10"/>
      <c r="H75" s="11"/>
      <c r="I75" s="11"/>
      <c r="J75" s="16"/>
      <c r="K75" s="8"/>
    </row>
    <row r="76" spans="2:11" x14ac:dyDescent="0.25">
      <c r="B76" s="12"/>
      <c r="C76" s="12"/>
      <c r="D76" s="12"/>
      <c r="E76" s="12"/>
      <c r="F76" s="14"/>
      <c r="G76" s="14"/>
      <c r="H76" s="15"/>
      <c r="I76" s="15"/>
      <c r="J76" s="17"/>
      <c r="K76" s="12"/>
    </row>
    <row r="77" spans="2:11" x14ac:dyDescent="0.25">
      <c r="B77" s="8"/>
      <c r="C77" s="8"/>
      <c r="D77" s="8"/>
      <c r="E77" s="8"/>
      <c r="F77" s="10"/>
      <c r="G77" s="10"/>
      <c r="H77" s="11"/>
      <c r="I77" s="11"/>
      <c r="J77" s="16"/>
      <c r="K77" s="8"/>
    </row>
    <row r="78" spans="2:11" x14ac:dyDescent="0.25">
      <c r="B78" s="12"/>
      <c r="C78" s="12"/>
      <c r="D78" s="12"/>
      <c r="E78" s="12"/>
      <c r="F78" s="14"/>
      <c r="G78" s="14"/>
      <c r="H78" s="15"/>
      <c r="I78" s="15"/>
      <c r="J78" s="17"/>
      <c r="K78" s="12"/>
    </row>
    <row r="79" spans="2:11" x14ac:dyDescent="0.25">
      <c r="B79" s="8"/>
      <c r="C79" s="8"/>
      <c r="D79" s="8"/>
      <c r="E79" s="8"/>
      <c r="F79" s="10"/>
      <c r="G79" s="10"/>
      <c r="H79" s="11"/>
      <c r="I79" s="11"/>
      <c r="J79" s="16"/>
      <c r="K79" s="8"/>
    </row>
    <row r="80" spans="2:11" x14ac:dyDescent="0.25">
      <c r="B80" s="12"/>
      <c r="C80" s="12"/>
      <c r="D80" s="12"/>
      <c r="E80" s="12"/>
      <c r="F80" s="14"/>
      <c r="G80" s="14"/>
      <c r="H80" s="15"/>
      <c r="I80" s="15"/>
      <c r="J80" s="17"/>
      <c r="K80" s="12"/>
    </row>
    <row r="81" spans="2:11" x14ac:dyDescent="0.25">
      <c r="B81" s="8"/>
      <c r="C81" s="8"/>
      <c r="D81" s="8"/>
      <c r="E81" s="8"/>
      <c r="F81" s="10"/>
      <c r="G81" s="10"/>
      <c r="H81" s="11"/>
      <c r="I81" s="11"/>
      <c r="J81" s="16"/>
      <c r="K81" s="8"/>
    </row>
    <row r="82" spans="2:11" x14ac:dyDescent="0.25">
      <c r="B82" s="12"/>
      <c r="C82" s="12"/>
      <c r="D82" s="12"/>
      <c r="E82" s="12"/>
      <c r="F82" s="14"/>
      <c r="G82" s="14"/>
      <c r="H82" s="15"/>
      <c r="I82" s="15"/>
      <c r="J82" s="17"/>
      <c r="K82" s="12"/>
    </row>
    <row r="83" spans="2:11" x14ac:dyDescent="0.25">
      <c r="B83" s="8"/>
      <c r="C83" s="8"/>
      <c r="D83" s="8"/>
      <c r="E83" s="8"/>
      <c r="F83" s="10"/>
      <c r="G83" s="10"/>
      <c r="H83" s="11"/>
      <c r="I83" s="11"/>
      <c r="J83" s="16"/>
      <c r="K83" s="8"/>
    </row>
    <row r="84" spans="2:11" x14ac:dyDescent="0.25">
      <c r="B84" s="12"/>
      <c r="C84" s="12"/>
      <c r="D84" s="12"/>
      <c r="E84" s="12"/>
      <c r="F84" s="14"/>
      <c r="G84" s="14"/>
      <c r="H84" s="15"/>
      <c r="I84" s="15"/>
      <c r="J84" s="17"/>
      <c r="K84" s="12"/>
    </row>
    <row r="85" spans="2:11" x14ac:dyDescent="0.25">
      <c r="B85" s="8"/>
      <c r="C85" s="8"/>
      <c r="D85" s="8"/>
      <c r="E85" s="8"/>
      <c r="F85" s="10"/>
      <c r="G85" s="10"/>
      <c r="H85" s="11"/>
      <c r="I85" s="11"/>
      <c r="J85" s="16"/>
      <c r="K85" s="8"/>
    </row>
    <row r="86" spans="2:11" x14ac:dyDescent="0.25">
      <c r="B86" s="12"/>
      <c r="C86" s="12"/>
      <c r="D86" s="12"/>
      <c r="E86" s="12"/>
      <c r="F86" s="14"/>
      <c r="G86" s="14"/>
      <c r="H86" s="15"/>
      <c r="I86" s="15"/>
      <c r="J86" s="17"/>
      <c r="K86" s="12"/>
    </row>
    <row r="87" spans="2:11" x14ac:dyDescent="0.25">
      <c r="B87" s="8"/>
      <c r="C87" s="8"/>
      <c r="D87" s="8"/>
      <c r="E87" s="8"/>
      <c r="F87" s="10"/>
      <c r="G87" s="10"/>
      <c r="H87" s="11"/>
      <c r="I87" s="11"/>
      <c r="J87" s="16"/>
      <c r="K87" s="8"/>
    </row>
    <row r="88" spans="2:11" x14ac:dyDescent="0.25">
      <c r="B88" s="12"/>
      <c r="C88" s="12"/>
      <c r="D88" s="12"/>
      <c r="E88" s="12"/>
      <c r="F88" s="14"/>
      <c r="G88" s="14"/>
      <c r="H88" s="15"/>
      <c r="I88" s="15"/>
      <c r="J88" s="17"/>
      <c r="K88" s="12"/>
    </row>
    <row r="89" spans="2:11" x14ac:dyDescent="0.25">
      <c r="B89" s="8"/>
      <c r="C89" s="8"/>
      <c r="D89" s="8"/>
      <c r="E89" s="8"/>
      <c r="F89" s="10"/>
      <c r="G89" s="10"/>
      <c r="H89" s="11"/>
      <c r="I89" s="11"/>
      <c r="J89" s="16"/>
      <c r="K89" s="8"/>
    </row>
    <row r="90" spans="2:11" x14ac:dyDescent="0.25">
      <c r="B90" s="12"/>
      <c r="C90" s="12"/>
      <c r="D90" s="12"/>
      <c r="E90" s="12"/>
      <c r="F90" s="14"/>
      <c r="G90" s="14"/>
      <c r="H90" s="15"/>
      <c r="I90" s="15"/>
      <c r="J90" s="17"/>
      <c r="K90" s="12"/>
    </row>
    <row r="91" spans="2:11" x14ac:dyDescent="0.25">
      <c r="B91" s="8"/>
      <c r="C91" s="8"/>
      <c r="D91" s="8"/>
      <c r="E91" s="8"/>
      <c r="F91" s="10"/>
      <c r="G91" s="10"/>
      <c r="H91" s="11"/>
      <c r="I91" s="11"/>
      <c r="J91" s="16"/>
      <c r="K91" s="8"/>
    </row>
    <row r="92" spans="2:11" x14ac:dyDescent="0.25">
      <c r="B92" s="12"/>
      <c r="C92" s="12"/>
      <c r="D92" s="12"/>
      <c r="E92" s="12"/>
      <c r="F92" s="14"/>
      <c r="G92" s="14"/>
      <c r="H92" s="15"/>
      <c r="I92" s="15"/>
      <c r="J92" s="17"/>
      <c r="K92" s="12"/>
    </row>
    <row r="93" spans="2:11" x14ac:dyDescent="0.25">
      <c r="B93" s="8"/>
      <c r="C93" s="8"/>
      <c r="D93" s="8"/>
      <c r="E93" s="8"/>
      <c r="F93" s="10"/>
      <c r="G93" s="10"/>
      <c r="H93" s="11"/>
      <c r="I93" s="11"/>
      <c r="J93" s="16"/>
      <c r="K93" s="8"/>
    </row>
    <row r="94" spans="2:11" x14ac:dyDescent="0.25">
      <c r="B94" s="12"/>
      <c r="C94" s="12"/>
      <c r="D94" s="12"/>
      <c r="E94" s="12"/>
      <c r="F94" s="14"/>
      <c r="G94" s="14"/>
      <c r="H94" s="15"/>
      <c r="I94" s="15"/>
      <c r="J94" s="17"/>
      <c r="K94" s="12"/>
    </row>
    <row r="95" spans="2:11" x14ac:dyDescent="0.25">
      <c r="B95" s="8"/>
      <c r="C95" s="8"/>
      <c r="D95" s="8"/>
      <c r="E95" s="8"/>
      <c r="F95" s="10"/>
      <c r="G95" s="10"/>
      <c r="H95" s="11"/>
      <c r="I95" s="11"/>
      <c r="J95" s="16"/>
      <c r="K95" s="8"/>
    </row>
    <row r="96" spans="2:11" x14ac:dyDescent="0.25">
      <c r="B96" s="12"/>
      <c r="C96" s="12"/>
      <c r="D96" s="12"/>
      <c r="E96" s="12"/>
      <c r="F96" s="14"/>
      <c r="G96" s="14"/>
      <c r="H96" s="15"/>
      <c r="I96" s="15"/>
      <c r="J96" s="17"/>
      <c r="K96" s="12"/>
    </row>
    <row r="97" spans="2:11" x14ac:dyDescent="0.25">
      <c r="B97" s="8"/>
      <c r="C97" s="8"/>
      <c r="D97" s="8"/>
      <c r="E97" s="8"/>
      <c r="F97" s="10"/>
      <c r="G97" s="10"/>
      <c r="H97" s="11"/>
      <c r="I97" s="11"/>
      <c r="J97" s="16"/>
      <c r="K97" s="8"/>
    </row>
    <row r="98" spans="2:11" x14ac:dyDescent="0.25">
      <c r="B98" s="12"/>
      <c r="C98" s="12"/>
      <c r="D98" s="12"/>
      <c r="E98" s="12"/>
      <c r="F98" s="14"/>
      <c r="G98" s="14"/>
      <c r="H98" s="15"/>
      <c r="I98" s="15"/>
      <c r="J98" s="17"/>
      <c r="K98" s="12"/>
    </row>
    <row r="99" spans="2:11" x14ac:dyDescent="0.25">
      <c r="B99" s="8"/>
      <c r="C99" s="8"/>
      <c r="D99" s="8"/>
      <c r="E99" s="8"/>
      <c r="F99" s="10"/>
      <c r="G99" s="10"/>
      <c r="H99" s="11"/>
      <c r="I99" s="11"/>
      <c r="J99" s="16"/>
      <c r="K99" s="8"/>
    </row>
    <row r="100" spans="2:11" x14ac:dyDescent="0.25">
      <c r="B100" s="12"/>
      <c r="C100" s="12"/>
      <c r="D100" s="12"/>
      <c r="E100" s="12"/>
      <c r="F100" s="14"/>
      <c r="G100" s="14"/>
      <c r="H100" s="15"/>
      <c r="I100" s="15"/>
      <c r="J100" s="17"/>
      <c r="K100" s="12"/>
    </row>
    <row r="101" spans="2:11" x14ac:dyDescent="0.25">
      <c r="B101" s="8"/>
      <c r="C101" s="8"/>
      <c r="D101" s="8"/>
      <c r="E101" s="8"/>
      <c r="F101" s="10"/>
      <c r="G101" s="10"/>
      <c r="H101" s="11"/>
      <c r="I101" s="11"/>
      <c r="J101" s="16"/>
      <c r="K101" s="8"/>
    </row>
    <row r="102" spans="2:11" x14ac:dyDescent="0.25">
      <c r="B102" s="12"/>
      <c r="C102" s="12"/>
      <c r="D102" s="12"/>
      <c r="E102" s="12"/>
      <c r="F102" s="14"/>
      <c r="G102" s="14"/>
      <c r="H102" s="15"/>
      <c r="I102" s="15"/>
      <c r="J102" s="17"/>
      <c r="K102" s="12"/>
    </row>
    <row r="103" spans="2:11" x14ac:dyDescent="0.25">
      <c r="B103" s="8"/>
      <c r="C103" s="8"/>
      <c r="D103" s="8"/>
      <c r="E103" s="8"/>
      <c r="F103" s="10"/>
      <c r="G103" s="10"/>
      <c r="H103" s="11"/>
      <c r="I103" s="11"/>
      <c r="J103" s="16"/>
      <c r="K103" s="8"/>
    </row>
    <row r="104" spans="2:11" x14ac:dyDescent="0.25">
      <c r="B104" s="12"/>
      <c r="C104" s="12"/>
      <c r="D104" s="12"/>
      <c r="E104" s="12"/>
      <c r="F104" s="14"/>
      <c r="G104" s="14"/>
      <c r="H104" s="15"/>
      <c r="I104" s="15"/>
      <c r="J104" s="17"/>
      <c r="K104" s="12"/>
    </row>
  </sheetData>
  <mergeCells count="2">
    <mergeCell ref="A1:K1"/>
    <mergeCell ref="A2:K2"/>
  </mergeCells>
  <dataValidations count="2">
    <dataValidation type="list" allowBlank="1" sqref="C5:C104">
      <formula1>=MulkKodlari</formula1>
    </dataValidation>
    <dataValidation type="list" allowBlank="1" sqref="K5:K104">
      <formula1>=Durumlar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S104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24" customWidth="1"/>
    <col min="4" max="4" width="14" customWidth="1"/>
    <col min="17" max="18" width="14" customWidth="1"/>
  </cols>
  <sheetData>
    <row r="1" ht="34" customHeight="1" spans="1:19" x14ac:dyDescent="0.2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0" customHeight="1" spans="1:19" x14ac:dyDescent="0.25">
      <c r="A2" s="2" t="s">
        <v>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30" customHeight="1" spans="1:18" x14ac:dyDescent="0.25">
      <c r="A4" s="7" t="s">
        <v>22</v>
      </c>
      <c r="B4" s="7" t="s">
        <v>45</v>
      </c>
      <c r="C4" s="7" t="s">
        <v>46</v>
      </c>
      <c r="D4" s="7" t="s">
        <v>50</v>
      </c>
      <c r="E4" s="7" t="s">
        <v>66</v>
      </c>
      <c r="F4" s="7" t="s">
        <v>67</v>
      </c>
      <c r="G4" s="7" t="s">
        <v>68</v>
      </c>
      <c r="H4" s="7" t="s">
        <v>69</v>
      </c>
      <c r="I4" s="7" t="s">
        <v>70</v>
      </c>
      <c r="J4" s="7" t="s">
        <v>71</v>
      </c>
      <c r="K4" s="7" t="s">
        <v>72</v>
      </c>
      <c r="L4" s="7" t="s">
        <v>73</v>
      </c>
      <c r="M4" s="7" t="s">
        <v>74</v>
      </c>
      <c r="N4" s="7" t="s">
        <v>75</v>
      </c>
      <c r="O4" s="7" t="s">
        <v>76</v>
      </c>
      <c r="P4" s="7" t="s">
        <v>77</v>
      </c>
      <c r="Q4" s="7" t="s">
        <v>78</v>
      </c>
      <c r="R4" s="7" t="s">
        <v>79</v>
      </c>
    </row>
    <row r="5" spans="2:18" x14ac:dyDescent="0.25">
      <c r="B5" s="18">
        <f>IF('Kiracı Kartları'!B5="","",'Kiracı Kartları'!B5)</f>
      </c>
      <c r="C5" s="18">
        <f>IF('Kiracı Kartları'!D5="","",'Kiracı Kartları'!D5)</f>
      </c>
      <c r="D5" s="19">
        <f>IF($B5="",0,'Kiracı Kartları'!H5)</f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9">
        <f>IF($B5="","",SUM(E5:P5)*$D5)</f>
      </c>
      <c r="R5" s="20">
        <f>IF($B5="","",SUM(E5:P5)/12)</f>
      </c>
    </row>
    <row r="6" spans="2:18" x14ac:dyDescent="0.25">
      <c r="B6" s="18">
        <f>IF('Kiracı Kartları'!B6="","",'Kiracı Kartları'!B6)</f>
      </c>
      <c r="C6" s="18">
        <f>IF('Kiracı Kartları'!D6="","",'Kiracı Kartları'!D6)</f>
      </c>
      <c r="D6" s="19">
        <f>IF($B6="",0,'Kiracı Kartları'!H6)</f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9">
        <f>IF($B6="","",SUM(E6:P6)*$D6)</f>
      </c>
      <c r="R6" s="20">
        <f>IF($B6="","",SUM(E6:P6)/12)</f>
      </c>
    </row>
    <row r="7" spans="2:18" x14ac:dyDescent="0.25">
      <c r="B7" s="18">
        <f>IF('Kiracı Kartları'!B7="","",'Kiracı Kartları'!B7)</f>
      </c>
      <c r="C7" s="18">
        <f>IF('Kiracı Kartları'!D7="","",'Kiracı Kartları'!D7)</f>
      </c>
      <c r="D7" s="19">
        <f>IF($B7="",0,'Kiracı Kartları'!H7)</f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9">
        <f>IF($B7="","",SUM(E7:P7)*$D7)</f>
      </c>
      <c r="R7" s="20">
        <f>IF($B7="","",SUM(E7:P7)/12)</f>
      </c>
    </row>
    <row r="8" spans="2:18" x14ac:dyDescent="0.25">
      <c r="B8" s="18">
        <f>IF('Kiracı Kartları'!B8="","",'Kiracı Kartları'!B8)</f>
      </c>
      <c r="C8" s="18">
        <f>IF('Kiracı Kartları'!D8="","",'Kiracı Kartları'!D8)</f>
      </c>
      <c r="D8" s="19">
        <f>IF($B8="",0,'Kiracı Kartları'!H8)</f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9">
        <f>IF($B8="","",SUM(E8:P8)*$D8)</f>
      </c>
      <c r="R8" s="20">
        <f>IF($B8="","",SUM(E8:P8)/12)</f>
      </c>
    </row>
    <row r="9" spans="2:18" x14ac:dyDescent="0.25">
      <c r="B9" s="18">
        <f>IF('Kiracı Kartları'!B9="","",'Kiracı Kartları'!B9)</f>
      </c>
      <c r="C9" s="18">
        <f>IF('Kiracı Kartları'!D9="","",'Kiracı Kartları'!D9)</f>
      </c>
      <c r="D9" s="19">
        <f>IF($B9="",0,'Kiracı Kartları'!H9)</f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9">
        <f>IF($B9="","",SUM(E9:P9)*$D9)</f>
      </c>
      <c r="R9" s="20">
        <f>IF($B9="","",SUM(E9:P9)/12)</f>
      </c>
    </row>
    <row r="10" spans="2:18" x14ac:dyDescent="0.25">
      <c r="B10" s="18">
        <f>IF('Kiracı Kartları'!B10="","",'Kiracı Kartları'!B10)</f>
      </c>
      <c r="C10" s="18">
        <f>IF('Kiracı Kartları'!D10="","",'Kiracı Kartları'!D10)</f>
      </c>
      <c r="D10" s="19">
        <f>IF($B10="",0,'Kiracı Kartları'!H10)</f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9">
        <f>IF($B10="","",SUM(E10:P10)*$D10)</f>
      </c>
      <c r="R10" s="20">
        <f>IF($B10="","",SUM(E10:P10)/12)</f>
      </c>
    </row>
    <row r="11" spans="2:18" x14ac:dyDescent="0.25">
      <c r="B11" s="18">
        <f>IF('Kiracı Kartları'!B11="","",'Kiracı Kartları'!B11)</f>
      </c>
      <c r="C11" s="18">
        <f>IF('Kiracı Kartları'!D11="","",'Kiracı Kartları'!D11)</f>
      </c>
      <c r="D11" s="19">
        <f>IF($B11="",0,'Kiracı Kartları'!H11)</f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9">
        <f>IF($B11="","",SUM(E11:P11)*$D11)</f>
      </c>
      <c r="R11" s="20">
        <f>IF($B11="","",SUM(E11:P11)/12)</f>
      </c>
    </row>
    <row r="12" spans="2:18" x14ac:dyDescent="0.25">
      <c r="B12" s="18">
        <f>IF('Kiracı Kartları'!B12="","",'Kiracı Kartları'!B12)</f>
      </c>
      <c r="C12" s="18">
        <f>IF('Kiracı Kartları'!D12="","",'Kiracı Kartları'!D12)</f>
      </c>
      <c r="D12" s="19">
        <f>IF($B12="",0,'Kiracı Kartları'!H12)</f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9">
        <f>IF($B12="","",SUM(E12:P12)*$D12)</f>
      </c>
      <c r="R12" s="20">
        <f>IF($B12="","",SUM(E12:P12)/12)</f>
      </c>
    </row>
    <row r="13" spans="2:18" x14ac:dyDescent="0.25">
      <c r="B13" s="18">
        <f>IF('Kiracı Kartları'!B13="","",'Kiracı Kartları'!B13)</f>
      </c>
      <c r="C13" s="18">
        <f>IF('Kiracı Kartları'!D13="","",'Kiracı Kartları'!D13)</f>
      </c>
      <c r="D13" s="19">
        <f>IF($B13="",0,'Kiracı Kartları'!H13)</f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9">
        <f>IF($B13="","",SUM(E13:P13)*$D13)</f>
      </c>
      <c r="R13" s="20">
        <f>IF($B13="","",SUM(E13:P13)/12)</f>
      </c>
    </row>
    <row r="14" spans="2:18" x14ac:dyDescent="0.25">
      <c r="B14" s="18">
        <f>IF('Kiracı Kartları'!B14="","",'Kiracı Kartları'!B14)</f>
      </c>
      <c r="C14" s="18">
        <f>IF('Kiracı Kartları'!D14="","",'Kiracı Kartları'!D14)</f>
      </c>
      <c r="D14" s="19">
        <f>IF($B14="",0,'Kiracı Kartları'!H14)</f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9">
        <f>IF($B14="","",SUM(E14:P14)*$D14)</f>
      </c>
      <c r="R14" s="20">
        <f>IF($B14="","",SUM(E14:P14)/12)</f>
      </c>
    </row>
    <row r="15" spans="2:18" x14ac:dyDescent="0.25">
      <c r="B15" s="18">
        <f>IF('Kiracı Kartları'!B15="","",'Kiracı Kartları'!B15)</f>
      </c>
      <c r="C15" s="18">
        <f>IF('Kiracı Kartları'!D15="","",'Kiracı Kartları'!D15)</f>
      </c>
      <c r="D15" s="19">
        <f>IF($B15="",0,'Kiracı Kartları'!H15)</f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9">
        <f>IF($B15="","",SUM(E15:P15)*$D15)</f>
      </c>
      <c r="R15" s="20">
        <f>IF($B15="","",SUM(E15:P15)/12)</f>
      </c>
    </row>
    <row r="16" spans="2:18" x14ac:dyDescent="0.25">
      <c r="B16" s="18">
        <f>IF('Kiracı Kartları'!B16="","",'Kiracı Kartları'!B16)</f>
      </c>
      <c r="C16" s="18">
        <f>IF('Kiracı Kartları'!D16="","",'Kiracı Kartları'!D16)</f>
      </c>
      <c r="D16" s="19">
        <f>IF($B16="",0,'Kiracı Kartları'!H16)</f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9">
        <f>IF($B16="","",SUM(E16:P16)*$D16)</f>
      </c>
      <c r="R16" s="20">
        <f>IF($B16="","",SUM(E16:P16)/12)</f>
      </c>
    </row>
    <row r="17" spans="2:18" x14ac:dyDescent="0.25">
      <c r="B17" s="18">
        <f>IF('Kiracı Kartları'!B17="","",'Kiracı Kartları'!B17)</f>
      </c>
      <c r="C17" s="18">
        <f>IF('Kiracı Kartları'!D17="","",'Kiracı Kartları'!D17)</f>
      </c>
      <c r="D17" s="19">
        <f>IF($B17="",0,'Kiracı Kartları'!H17)</f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9">
        <f>IF($B17="","",SUM(E17:P17)*$D17)</f>
      </c>
      <c r="R17" s="20">
        <f>IF($B17="","",SUM(E17:P17)/12)</f>
      </c>
    </row>
    <row r="18" spans="2:18" x14ac:dyDescent="0.25">
      <c r="B18" s="18">
        <f>IF('Kiracı Kartları'!B18="","",'Kiracı Kartları'!B18)</f>
      </c>
      <c r="C18" s="18">
        <f>IF('Kiracı Kartları'!D18="","",'Kiracı Kartları'!D18)</f>
      </c>
      <c r="D18" s="19">
        <f>IF($B18="",0,'Kiracı Kartları'!H18)</f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9">
        <f>IF($B18="","",SUM(E18:P18)*$D18)</f>
      </c>
      <c r="R18" s="20">
        <f>IF($B18="","",SUM(E18:P18)/12)</f>
      </c>
    </row>
    <row r="19" spans="2:18" x14ac:dyDescent="0.25">
      <c r="B19" s="18">
        <f>IF('Kiracı Kartları'!B19="","",'Kiracı Kartları'!B19)</f>
      </c>
      <c r="C19" s="18">
        <f>IF('Kiracı Kartları'!D19="","",'Kiracı Kartları'!D19)</f>
      </c>
      <c r="D19" s="19">
        <f>IF($B19="",0,'Kiracı Kartları'!H19)</f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9">
        <f>IF($B19="","",SUM(E19:P19)*$D19)</f>
      </c>
      <c r="R19" s="20">
        <f>IF($B19="","",SUM(E19:P19)/12)</f>
      </c>
    </row>
    <row r="20" spans="2:18" x14ac:dyDescent="0.25">
      <c r="B20" s="18">
        <f>IF('Kiracı Kartları'!B20="","",'Kiracı Kartları'!B20)</f>
      </c>
      <c r="C20" s="18">
        <f>IF('Kiracı Kartları'!D20="","",'Kiracı Kartları'!D20)</f>
      </c>
      <c r="D20" s="19">
        <f>IF($B20="",0,'Kiracı Kartları'!H20)</f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9">
        <f>IF($B20="","",SUM(E20:P20)*$D20)</f>
      </c>
      <c r="R20" s="20">
        <f>IF($B20="","",SUM(E20:P20)/12)</f>
      </c>
    </row>
    <row r="21" spans="2:18" x14ac:dyDescent="0.25">
      <c r="B21" s="18">
        <f>IF('Kiracı Kartları'!B21="","",'Kiracı Kartları'!B21)</f>
      </c>
      <c r="C21" s="18">
        <f>IF('Kiracı Kartları'!D21="","",'Kiracı Kartları'!D21)</f>
      </c>
      <c r="D21" s="19">
        <f>IF($B21="",0,'Kiracı Kartları'!H21)</f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9">
        <f>IF($B21="","",SUM(E21:P21)*$D21)</f>
      </c>
      <c r="R21" s="20">
        <f>IF($B21="","",SUM(E21:P21)/12)</f>
      </c>
    </row>
    <row r="22" spans="2:18" x14ac:dyDescent="0.25">
      <c r="B22" s="18">
        <f>IF('Kiracı Kartları'!B22="","",'Kiracı Kartları'!B22)</f>
      </c>
      <c r="C22" s="18">
        <f>IF('Kiracı Kartları'!D22="","",'Kiracı Kartları'!D22)</f>
      </c>
      <c r="D22" s="19">
        <f>IF($B22="",0,'Kiracı Kartları'!H22)</f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9">
        <f>IF($B22="","",SUM(E22:P22)*$D22)</f>
      </c>
      <c r="R22" s="20">
        <f>IF($B22="","",SUM(E22:P22)/12)</f>
      </c>
    </row>
    <row r="23" spans="2:18" x14ac:dyDescent="0.25">
      <c r="B23" s="18">
        <f>IF('Kiracı Kartları'!B23="","",'Kiracı Kartları'!B23)</f>
      </c>
      <c r="C23" s="18">
        <f>IF('Kiracı Kartları'!D23="","",'Kiracı Kartları'!D23)</f>
      </c>
      <c r="D23" s="19">
        <f>IF($B23="",0,'Kiracı Kartları'!H23)</f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9">
        <f>IF($B23="","",SUM(E23:P23)*$D23)</f>
      </c>
      <c r="R23" s="20">
        <f>IF($B23="","",SUM(E23:P23)/12)</f>
      </c>
    </row>
    <row r="24" spans="2:18" x14ac:dyDescent="0.25">
      <c r="B24" s="18">
        <f>IF('Kiracı Kartları'!B24="","",'Kiracı Kartları'!B24)</f>
      </c>
      <c r="C24" s="18">
        <f>IF('Kiracı Kartları'!D24="","",'Kiracı Kartları'!D24)</f>
      </c>
      <c r="D24" s="19">
        <f>IF($B24="",0,'Kiracı Kartları'!H24)</f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9">
        <f>IF($B24="","",SUM(E24:P24)*$D24)</f>
      </c>
      <c r="R24" s="20">
        <f>IF($B24="","",SUM(E24:P24)/12)</f>
      </c>
    </row>
    <row r="25" spans="2:18" x14ac:dyDescent="0.25">
      <c r="B25" s="18">
        <f>IF('Kiracı Kartları'!B25="","",'Kiracı Kartları'!B25)</f>
      </c>
      <c r="C25" s="18">
        <f>IF('Kiracı Kartları'!D25="","",'Kiracı Kartları'!D25)</f>
      </c>
      <c r="D25" s="19">
        <f>IF($B25="",0,'Kiracı Kartları'!H25)</f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9">
        <f>IF($B25="","",SUM(E25:P25)*$D25)</f>
      </c>
      <c r="R25" s="20">
        <f>IF($B25="","",SUM(E25:P25)/12)</f>
      </c>
    </row>
    <row r="26" spans="2:18" x14ac:dyDescent="0.25">
      <c r="B26" s="18">
        <f>IF('Kiracı Kartları'!B26="","",'Kiracı Kartları'!B26)</f>
      </c>
      <c r="C26" s="18">
        <f>IF('Kiracı Kartları'!D26="","",'Kiracı Kartları'!D26)</f>
      </c>
      <c r="D26" s="19">
        <f>IF($B26="",0,'Kiracı Kartları'!H26)</f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9">
        <f>IF($B26="","",SUM(E26:P26)*$D26)</f>
      </c>
      <c r="R26" s="20">
        <f>IF($B26="","",SUM(E26:P26)/12)</f>
      </c>
    </row>
    <row r="27" spans="2:18" x14ac:dyDescent="0.25">
      <c r="B27" s="18">
        <f>IF('Kiracı Kartları'!B27="","",'Kiracı Kartları'!B27)</f>
      </c>
      <c r="C27" s="18">
        <f>IF('Kiracı Kartları'!D27="","",'Kiracı Kartları'!D27)</f>
      </c>
      <c r="D27" s="19">
        <f>IF($B27="",0,'Kiracı Kartları'!H27)</f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9">
        <f>IF($B27="","",SUM(E27:P27)*$D27)</f>
      </c>
      <c r="R27" s="20">
        <f>IF($B27="","",SUM(E27:P27)/12)</f>
      </c>
    </row>
    <row r="28" spans="2:18" x14ac:dyDescent="0.25">
      <c r="B28" s="18">
        <f>IF('Kiracı Kartları'!B28="","",'Kiracı Kartları'!B28)</f>
      </c>
      <c r="C28" s="18">
        <f>IF('Kiracı Kartları'!D28="","",'Kiracı Kartları'!D28)</f>
      </c>
      <c r="D28" s="19">
        <f>IF($B28="",0,'Kiracı Kartları'!H28)</f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9">
        <f>IF($B28="","",SUM(E28:P28)*$D28)</f>
      </c>
      <c r="R28" s="20">
        <f>IF($B28="","",SUM(E28:P28)/12)</f>
      </c>
    </row>
    <row r="29" spans="2:18" x14ac:dyDescent="0.25">
      <c r="B29" s="18">
        <f>IF('Kiracı Kartları'!B29="","",'Kiracı Kartları'!B29)</f>
      </c>
      <c r="C29" s="18">
        <f>IF('Kiracı Kartları'!D29="","",'Kiracı Kartları'!D29)</f>
      </c>
      <c r="D29" s="19">
        <f>IF($B29="",0,'Kiracı Kartları'!H29)</f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9">
        <f>IF($B29="","",SUM(E29:P29)*$D29)</f>
      </c>
      <c r="R29" s="20">
        <f>IF($B29="","",SUM(E29:P29)/12)</f>
      </c>
    </row>
    <row r="30" spans="2:18" x14ac:dyDescent="0.25">
      <c r="B30" s="18">
        <f>IF('Kiracı Kartları'!B30="","",'Kiracı Kartları'!B30)</f>
      </c>
      <c r="C30" s="18">
        <f>IF('Kiracı Kartları'!D30="","",'Kiracı Kartları'!D30)</f>
      </c>
      <c r="D30" s="19">
        <f>IF($B30="",0,'Kiracı Kartları'!H30)</f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9">
        <f>IF($B30="","",SUM(E30:P30)*$D30)</f>
      </c>
      <c r="R30" s="20">
        <f>IF($B30="","",SUM(E30:P30)/12)</f>
      </c>
    </row>
    <row r="31" spans="2:18" x14ac:dyDescent="0.25">
      <c r="B31" s="18">
        <f>IF('Kiracı Kartları'!B31="","",'Kiracı Kartları'!B31)</f>
      </c>
      <c r="C31" s="18">
        <f>IF('Kiracı Kartları'!D31="","",'Kiracı Kartları'!D31)</f>
      </c>
      <c r="D31" s="19">
        <f>IF($B31="",0,'Kiracı Kartları'!H31)</f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9">
        <f>IF($B31="","",SUM(E31:P31)*$D31)</f>
      </c>
      <c r="R31" s="20">
        <f>IF($B31="","",SUM(E31:P31)/12)</f>
      </c>
    </row>
    <row r="32" spans="2:18" x14ac:dyDescent="0.25">
      <c r="B32" s="18">
        <f>IF('Kiracı Kartları'!B32="","",'Kiracı Kartları'!B32)</f>
      </c>
      <c r="C32" s="18">
        <f>IF('Kiracı Kartları'!D32="","",'Kiracı Kartları'!D32)</f>
      </c>
      <c r="D32" s="19">
        <f>IF($B32="",0,'Kiracı Kartları'!H32)</f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9">
        <f>IF($B32="","",SUM(E32:P32)*$D32)</f>
      </c>
      <c r="R32" s="20">
        <f>IF($B32="","",SUM(E32:P32)/12)</f>
      </c>
    </row>
    <row r="33" spans="2:18" x14ac:dyDescent="0.25">
      <c r="B33" s="18">
        <f>IF('Kiracı Kartları'!B33="","",'Kiracı Kartları'!B33)</f>
      </c>
      <c r="C33" s="18">
        <f>IF('Kiracı Kartları'!D33="","",'Kiracı Kartları'!D33)</f>
      </c>
      <c r="D33" s="19">
        <f>IF($B33="",0,'Kiracı Kartları'!H33)</f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9">
        <f>IF($B33="","",SUM(E33:P33)*$D33)</f>
      </c>
      <c r="R33" s="20">
        <f>IF($B33="","",SUM(E33:P33)/12)</f>
      </c>
    </row>
    <row r="34" spans="2:18" x14ac:dyDescent="0.25">
      <c r="B34" s="18">
        <f>IF('Kiracı Kartları'!B34="","",'Kiracı Kartları'!B34)</f>
      </c>
      <c r="C34" s="18">
        <f>IF('Kiracı Kartları'!D34="","",'Kiracı Kartları'!D34)</f>
      </c>
      <c r="D34" s="19">
        <f>IF($B34="",0,'Kiracı Kartları'!H34)</f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9">
        <f>IF($B34="","",SUM(E34:P34)*$D34)</f>
      </c>
      <c r="R34" s="20">
        <f>IF($B34="","",SUM(E34:P34)/12)</f>
      </c>
    </row>
    <row r="35" spans="2:18" x14ac:dyDescent="0.25">
      <c r="B35" s="18">
        <f>IF('Kiracı Kartları'!B35="","",'Kiracı Kartları'!B35)</f>
      </c>
      <c r="C35" s="18">
        <f>IF('Kiracı Kartları'!D35="","",'Kiracı Kartları'!D35)</f>
      </c>
      <c r="D35" s="19">
        <f>IF($B35="",0,'Kiracı Kartları'!H35)</f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9">
        <f>IF($B35="","",SUM(E35:P35)*$D35)</f>
      </c>
      <c r="R35" s="20">
        <f>IF($B35="","",SUM(E35:P35)/12)</f>
      </c>
    </row>
    <row r="36" spans="2:18" x14ac:dyDescent="0.25">
      <c r="B36" s="18">
        <f>IF('Kiracı Kartları'!B36="","",'Kiracı Kartları'!B36)</f>
      </c>
      <c r="C36" s="18">
        <f>IF('Kiracı Kartları'!D36="","",'Kiracı Kartları'!D36)</f>
      </c>
      <c r="D36" s="19">
        <f>IF($B36="",0,'Kiracı Kartları'!H36)</f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9">
        <f>IF($B36="","",SUM(E36:P36)*$D36)</f>
      </c>
      <c r="R36" s="20">
        <f>IF($B36="","",SUM(E36:P36)/12)</f>
      </c>
    </row>
    <row r="37" spans="2:18" x14ac:dyDescent="0.25">
      <c r="B37" s="18">
        <f>IF('Kiracı Kartları'!B37="","",'Kiracı Kartları'!B37)</f>
      </c>
      <c r="C37" s="18">
        <f>IF('Kiracı Kartları'!D37="","",'Kiracı Kartları'!D37)</f>
      </c>
      <c r="D37" s="19">
        <f>IF($B37="",0,'Kiracı Kartları'!H37)</f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9">
        <f>IF($B37="","",SUM(E37:P37)*$D37)</f>
      </c>
      <c r="R37" s="20">
        <f>IF($B37="","",SUM(E37:P37)/12)</f>
      </c>
    </row>
    <row r="38" spans="2:18" x14ac:dyDescent="0.25">
      <c r="B38" s="18">
        <f>IF('Kiracı Kartları'!B38="","",'Kiracı Kartları'!B38)</f>
      </c>
      <c r="C38" s="18">
        <f>IF('Kiracı Kartları'!D38="","",'Kiracı Kartları'!D38)</f>
      </c>
      <c r="D38" s="19">
        <f>IF($B38="",0,'Kiracı Kartları'!H38)</f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9">
        <f>IF($B38="","",SUM(E38:P38)*$D38)</f>
      </c>
      <c r="R38" s="20">
        <f>IF($B38="","",SUM(E38:P38)/12)</f>
      </c>
    </row>
    <row r="39" spans="2:18" x14ac:dyDescent="0.25">
      <c r="B39" s="18">
        <f>IF('Kiracı Kartları'!B39="","",'Kiracı Kartları'!B39)</f>
      </c>
      <c r="C39" s="18">
        <f>IF('Kiracı Kartları'!D39="","",'Kiracı Kartları'!D39)</f>
      </c>
      <c r="D39" s="19">
        <f>IF($B39="",0,'Kiracı Kartları'!H39)</f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9">
        <f>IF($B39="","",SUM(E39:P39)*$D39)</f>
      </c>
      <c r="R39" s="20">
        <f>IF($B39="","",SUM(E39:P39)/12)</f>
      </c>
    </row>
    <row r="40" spans="2:18" x14ac:dyDescent="0.25">
      <c r="B40" s="18">
        <f>IF('Kiracı Kartları'!B40="","",'Kiracı Kartları'!B40)</f>
      </c>
      <c r="C40" s="18">
        <f>IF('Kiracı Kartları'!D40="","",'Kiracı Kartları'!D40)</f>
      </c>
      <c r="D40" s="19">
        <f>IF($B40="",0,'Kiracı Kartları'!H40)</f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9">
        <f>IF($B40="","",SUM(E40:P40)*$D40)</f>
      </c>
      <c r="R40" s="20">
        <f>IF($B40="","",SUM(E40:P40)/12)</f>
      </c>
    </row>
    <row r="41" spans="2:18" x14ac:dyDescent="0.25">
      <c r="B41" s="18">
        <f>IF('Kiracı Kartları'!B41="","",'Kiracı Kartları'!B41)</f>
      </c>
      <c r="C41" s="18">
        <f>IF('Kiracı Kartları'!D41="","",'Kiracı Kartları'!D41)</f>
      </c>
      <c r="D41" s="19">
        <f>IF($B41="",0,'Kiracı Kartları'!H41)</f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9">
        <f>IF($B41="","",SUM(E41:P41)*$D41)</f>
      </c>
      <c r="R41" s="20">
        <f>IF($B41="","",SUM(E41:P41)/12)</f>
      </c>
    </row>
    <row r="42" spans="2:18" x14ac:dyDescent="0.25">
      <c r="B42" s="18">
        <f>IF('Kiracı Kartları'!B42="","",'Kiracı Kartları'!B42)</f>
      </c>
      <c r="C42" s="18">
        <f>IF('Kiracı Kartları'!D42="","",'Kiracı Kartları'!D42)</f>
      </c>
      <c r="D42" s="19">
        <f>IF($B42="",0,'Kiracı Kartları'!H42)</f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9">
        <f>IF($B42="","",SUM(E42:P42)*$D42)</f>
      </c>
      <c r="R42" s="20">
        <f>IF($B42="","",SUM(E42:P42)/12)</f>
      </c>
    </row>
    <row r="43" spans="2:18" x14ac:dyDescent="0.25">
      <c r="B43" s="18">
        <f>IF('Kiracı Kartları'!B43="","",'Kiracı Kartları'!B43)</f>
      </c>
      <c r="C43" s="18">
        <f>IF('Kiracı Kartları'!D43="","",'Kiracı Kartları'!D43)</f>
      </c>
      <c r="D43" s="19">
        <f>IF($B43="",0,'Kiracı Kartları'!H43)</f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9">
        <f>IF($B43="","",SUM(E43:P43)*$D43)</f>
      </c>
      <c r="R43" s="20">
        <f>IF($B43="","",SUM(E43:P43)/12)</f>
      </c>
    </row>
    <row r="44" spans="2:18" x14ac:dyDescent="0.25">
      <c r="B44" s="18">
        <f>IF('Kiracı Kartları'!B44="","",'Kiracı Kartları'!B44)</f>
      </c>
      <c r="C44" s="18">
        <f>IF('Kiracı Kartları'!D44="","",'Kiracı Kartları'!D44)</f>
      </c>
      <c r="D44" s="19">
        <f>IF($B44="",0,'Kiracı Kartları'!H44)</f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9">
        <f>IF($B44="","",SUM(E44:P44)*$D44)</f>
      </c>
      <c r="R44" s="20">
        <f>IF($B44="","",SUM(E44:P44)/12)</f>
      </c>
    </row>
    <row r="45" spans="2:18" x14ac:dyDescent="0.25">
      <c r="B45" s="18">
        <f>IF('Kiracı Kartları'!B45="","",'Kiracı Kartları'!B45)</f>
      </c>
      <c r="C45" s="18">
        <f>IF('Kiracı Kartları'!D45="","",'Kiracı Kartları'!D45)</f>
      </c>
      <c r="D45" s="19">
        <f>IF($B45="",0,'Kiracı Kartları'!H45)</f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9">
        <f>IF($B45="","",SUM(E45:P45)*$D45)</f>
      </c>
      <c r="R45" s="20">
        <f>IF($B45="","",SUM(E45:P45)/12)</f>
      </c>
    </row>
    <row r="46" spans="2:18" x14ac:dyDescent="0.25">
      <c r="B46" s="18">
        <f>IF('Kiracı Kartları'!B46="","",'Kiracı Kartları'!B46)</f>
      </c>
      <c r="C46" s="18">
        <f>IF('Kiracı Kartları'!D46="","",'Kiracı Kartları'!D46)</f>
      </c>
      <c r="D46" s="19">
        <f>IF($B46="",0,'Kiracı Kartları'!H46)</f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9">
        <f>IF($B46="","",SUM(E46:P46)*$D46)</f>
      </c>
      <c r="R46" s="20">
        <f>IF($B46="","",SUM(E46:P46)/12)</f>
      </c>
    </row>
    <row r="47" spans="2:18" x14ac:dyDescent="0.25">
      <c r="B47" s="18">
        <f>IF('Kiracı Kartları'!B47="","",'Kiracı Kartları'!B47)</f>
      </c>
      <c r="C47" s="18">
        <f>IF('Kiracı Kartları'!D47="","",'Kiracı Kartları'!D47)</f>
      </c>
      <c r="D47" s="19">
        <f>IF($B47="",0,'Kiracı Kartları'!H47)</f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9">
        <f>IF($B47="","",SUM(E47:P47)*$D47)</f>
      </c>
      <c r="R47" s="20">
        <f>IF($B47="","",SUM(E47:P47)/12)</f>
      </c>
    </row>
    <row r="48" spans="2:18" x14ac:dyDescent="0.25">
      <c r="B48" s="18">
        <f>IF('Kiracı Kartları'!B48="","",'Kiracı Kartları'!B48)</f>
      </c>
      <c r="C48" s="18">
        <f>IF('Kiracı Kartları'!D48="","",'Kiracı Kartları'!D48)</f>
      </c>
      <c r="D48" s="19">
        <f>IF($B48="",0,'Kiracı Kartları'!H48)</f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9">
        <f>IF($B48="","",SUM(E48:P48)*$D48)</f>
      </c>
      <c r="R48" s="20">
        <f>IF($B48="","",SUM(E48:P48)/12)</f>
      </c>
    </row>
    <row r="49" spans="2:18" x14ac:dyDescent="0.25">
      <c r="B49" s="18">
        <f>IF('Kiracı Kartları'!B49="","",'Kiracı Kartları'!B49)</f>
      </c>
      <c r="C49" s="18">
        <f>IF('Kiracı Kartları'!D49="","",'Kiracı Kartları'!D49)</f>
      </c>
      <c r="D49" s="19">
        <f>IF($B49="",0,'Kiracı Kartları'!H49)</f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9">
        <f>IF($B49="","",SUM(E49:P49)*$D49)</f>
      </c>
      <c r="R49" s="20">
        <f>IF($B49="","",SUM(E49:P49)/12)</f>
      </c>
    </row>
    <row r="50" spans="2:18" x14ac:dyDescent="0.25">
      <c r="B50" s="18">
        <f>IF('Kiracı Kartları'!B50="","",'Kiracı Kartları'!B50)</f>
      </c>
      <c r="C50" s="18">
        <f>IF('Kiracı Kartları'!D50="","",'Kiracı Kartları'!D50)</f>
      </c>
      <c r="D50" s="19">
        <f>IF($B50="",0,'Kiracı Kartları'!H50)</f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9">
        <f>IF($B50="","",SUM(E50:P50)*$D50)</f>
      </c>
      <c r="R50" s="20">
        <f>IF($B50="","",SUM(E50:P50)/12)</f>
      </c>
    </row>
    <row r="51" spans="2:18" x14ac:dyDescent="0.25">
      <c r="B51" s="18">
        <f>IF('Kiracı Kartları'!B51="","",'Kiracı Kartları'!B51)</f>
      </c>
      <c r="C51" s="18">
        <f>IF('Kiracı Kartları'!D51="","",'Kiracı Kartları'!D51)</f>
      </c>
      <c r="D51" s="19">
        <f>IF($B51="",0,'Kiracı Kartları'!H51)</f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9">
        <f>IF($B51="","",SUM(E51:P51)*$D51)</f>
      </c>
      <c r="R51" s="20">
        <f>IF($B51="","",SUM(E51:P51)/12)</f>
      </c>
    </row>
    <row r="52" spans="2:18" x14ac:dyDescent="0.25">
      <c r="B52" s="18">
        <f>IF('Kiracı Kartları'!B52="","",'Kiracı Kartları'!B52)</f>
      </c>
      <c r="C52" s="18">
        <f>IF('Kiracı Kartları'!D52="","",'Kiracı Kartları'!D52)</f>
      </c>
      <c r="D52" s="19">
        <f>IF($B52="",0,'Kiracı Kartları'!H52)</f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9">
        <f>IF($B52="","",SUM(E52:P52)*$D52)</f>
      </c>
      <c r="R52" s="20">
        <f>IF($B52="","",SUM(E52:P52)/12)</f>
      </c>
    </row>
    <row r="53" spans="2:18" x14ac:dyDescent="0.25">
      <c r="B53" s="18">
        <f>IF('Kiracı Kartları'!B53="","",'Kiracı Kartları'!B53)</f>
      </c>
      <c r="C53" s="18">
        <f>IF('Kiracı Kartları'!D53="","",'Kiracı Kartları'!D53)</f>
      </c>
      <c r="D53" s="19">
        <f>IF($B53="",0,'Kiracı Kartları'!H53)</f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9">
        <f>IF($B53="","",SUM(E53:P53)*$D53)</f>
      </c>
      <c r="R53" s="20">
        <f>IF($B53="","",SUM(E53:P53)/12)</f>
      </c>
    </row>
    <row r="54" spans="2:18" x14ac:dyDescent="0.25">
      <c r="B54" s="18">
        <f>IF('Kiracı Kartları'!B54="","",'Kiracı Kartları'!B54)</f>
      </c>
      <c r="C54" s="18">
        <f>IF('Kiracı Kartları'!D54="","",'Kiracı Kartları'!D54)</f>
      </c>
      <c r="D54" s="19">
        <f>IF($B54="",0,'Kiracı Kartları'!H54)</f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9">
        <f>IF($B54="","",SUM(E54:P54)*$D54)</f>
      </c>
      <c r="R54" s="20">
        <f>IF($B54="","",SUM(E54:P54)/12)</f>
      </c>
    </row>
    <row r="55" spans="2:18" x14ac:dyDescent="0.25">
      <c r="B55" s="18">
        <f>IF('Kiracı Kartları'!B55="","",'Kiracı Kartları'!B55)</f>
      </c>
      <c r="C55" s="18">
        <f>IF('Kiracı Kartları'!D55="","",'Kiracı Kartları'!D55)</f>
      </c>
      <c r="D55" s="19">
        <f>IF($B55="",0,'Kiracı Kartları'!H55)</f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9">
        <f>IF($B55="","",SUM(E55:P55)*$D55)</f>
      </c>
      <c r="R55" s="20">
        <f>IF($B55="","",SUM(E55:P55)/12)</f>
      </c>
    </row>
    <row r="56" spans="2:18" x14ac:dyDescent="0.25">
      <c r="B56" s="18">
        <f>IF('Kiracı Kartları'!B56="","",'Kiracı Kartları'!B56)</f>
      </c>
      <c r="C56" s="18">
        <f>IF('Kiracı Kartları'!D56="","",'Kiracı Kartları'!D56)</f>
      </c>
      <c r="D56" s="19">
        <f>IF($B56="",0,'Kiracı Kartları'!H56)</f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9">
        <f>IF($B56="","",SUM(E56:P56)*$D56)</f>
      </c>
      <c r="R56" s="20">
        <f>IF($B56="","",SUM(E56:P56)/12)</f>
      </c>
    </row>
    <row r="57" spans="2:18" x14ac:dyDescent="0.25">
      <c r="B57" s="18">
        <f>IF('Kiracı Kartları'!B57="","",'Kiracı Kartları'!B57)</f>
      </c>
      <c r="C57" s="18">
        <f>IF('Kiracı Kartları'!D57="","",'Kiracı Kartları'!D57)</f>
      </c>
      <c r="D57" s="19">
        <f>IF($B57="",0,'Kiracı Kartları'!H57)</f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9">
        <f>IF($B57="","",SUM(E57:P57)*$D57)</f>
      </c>
      <c r="R57" s="20">
        <f>IF($B57="","",SUM(E57:P57)/12)</f>
      </c>
    </row>
    <row r="58" spans="2:18" x14ac:dyDescent="0.25">
      <c r="B58" s="18">
        <f>IF('Kiracı Kartları'!B58="","",'Kiracı Kartları'!B58)</f>
      </c>
      <c r="C58" s="18">
        <f>IF('Kiracı Kartları'!D58="","",'Kiracı Kartları'!D58)</f>
      </c>
      <c r="D58" s="19">
        <f>IF($B58="",0,'Kiracı Kartları'!H58)</f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9">
        <f>IF($B58="","",SUM(E58:P58)*$D58)</f>
      </c>
      <c r="R58" s="20">
        <f>IF($B58="","",SUM(E58:P58)/12)</f>
      </c>
    </row>
    <row r="59" spans="2:18" x14ac:dyDescent="0.25">
      <c r="B59" s="18">
        <f>IF('Kiracı Kartları'!B59="","",'Kiracı Kartları'!B59)</f>
      </c>
      <c r="C59" s="18">
        <f>IF('Kiracı Kartları'!D59="","",'Kiracı Kartları'!D59)</f>
      </c>
      <c r="D59" s="19">
        <f>IF($B59="",0,'Kiracı Kartları'!H59)</f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9">
        <f>IF($B59="","",SUM(E59:P59)*$D59)</f>
      </c>
      <c r="R59" s="20">
        <f>IF($B59="","",SUM(E59:P59)/12)</f>
      </c>
    </row>
    <row r="60" spans="2:18" x14ac:dyDescent="0.25">
      <c r="B60" s="18">
        <f>IF('Kiracı Kartları'!B60="","",'Kiracı Kartları'!B60)</f>
      </c>
      <c r="C60" s="18">
        <f>IF('Kiracı Kartları'!D60="","",'Kiracı Kartları'!D60)</f>
      </c>
      <c r="D60" s="19">
        <f>IF($B60="",0,'Kiracı Kartları'!H60)</f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9">
        <f>IF($B60="","",SUM(E60:P60)*$D60)</f>
      </c>
      <c r="R60" s="20">
        <f>IF($B60="","",SUM(E60:P60)/12)</f>
      </c>
    </row>
    <row r="61" spans="2:18" x14ac:dyDescent="0.25">
      <c r="B61" s="18">
        <f>IF('Kiracı Kartları'!B61="","",'Kiracı Kartları'!B61)</f>
      </c>
      <c r="C61" s="18">
        <f>IF('Kiracı Kartları'!D61="","",'Kiracı Kartları'!D61)</f>
      </c>
      <c r="D61" s="19">
        <f>IF($B61="",0,'Kiracı Kartları'!H61)</f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9">
        <f>IF($B61="","",SUM(E61:P61)*$D61)</f>
      </c>
      <c r="R61" s="20">
        <f>IF($B61="","",SUM(E61:P61)/12)</f>
      </c>
    </row>
    <row r="62" spans="2:18" x14ac:dyDescent="0.25">
      <c r="B62" s="18">
        <f>IF('Kiracı Kartları'!B62="","",'Kiracı Kartları'!B62)</f>
      </c>
      <c r="C62" s="18">
        <f>IF('Kiracı Kartları'!D62="","",'Kiracı Kartları'!D62)</f>
      </c>
      <c r="D62" s="19">
        <f>IF($B62="",0,'Kiracı Kartları'!H62)</f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9">
        <f>IF($B62="","",SUM(E62:P62)*$D62)</f>
      </c>
      <c r="R62" s="20">
        <f>IF($B62="","",SUM(E62:P62)/12)</f>
      </c>
    </row>
    <row r="63" spans="2:18" x14ac:dyDescent="0.25">
      <c r="B63" s="18">
        <f>IF('Kiracı Kartları'!B63="","",'Kiracı Kartları'!B63)</f>
      </c>
      <c r="C63" s="18">
        <f>IF('Kiracı Kartları'!D63="","",'Kiracı Kartları'!D63)</f>
      </c>
      <c r="D63" s="19">
        <f>IF($B63="",0,'Kiracı Kartları'!H63)</f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9">
        <f>IF($B63="","",SUM(E63:P63)*$D63)</f>
      </c>
      <c r="R63" s="20">
        <f>IF($B63="","",SUM(E63:P63)/12)</f>
      </c>
    </row>
    <row r="64" spans="2:18" x14ac:dyDescent="0.25">
      <c r="B64" s="18">
        <f>IF('Kiracı Kartları'!B64="","",'Kiracı Kartları'!B64)</f>
      </c>
      <c r="C64" s="18">
        <f>IF('Kiracı Kartları'!D64="","",'Kiracı Kartları'!D64)</f>
      </c>
      <c r="D64" s="19">
        <f>IF($B64="",0,'Kiracı Kartları'!H64)</f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9">
        <f>IF($B64="","",SUM(E64:P64)*$D64)</f>
      </c>
      <c r="R64" s="20">
        <f>IF($B64="","",SUM(E64:P64)/12)</f>
      </c>
    </row>
    <row r="65" spans="2:18" x14ac:dyDescent="0.25">
      <c r="B65" s="18">
        <f>IF('Kiracı Kartları'!B65="","",'Kiracı Kartları'!B65)</f>
      </c>
      <c r="C65" s="18">
        <f>IF('Kiracı Kartları'!D65="","",'Kiracı Kartları'!D65)</f>
      </c>
      <c r="D65" s="19">
        <f>IF($B65="",0,'Kiracı Kartları'!H65)</f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9">
        <f>IF($B65="","",SUM(E65:P65)*$D65)</f>
      </c>
      <c r="R65" s="20">
        <f>IF($B65="","",SUM(E65:P65)/12)</f>
      </c>
    </row>
    <row r="66" spans="2:18" x14ac:dyDescent="0.25">
      <c r="B66" s="18">
        <f>IF('Kiracı Kartları'!B66="","",'Kiracı Kartları'!B66)</f>
      </c>
      <c r="C66" s="18">
        <f>IF('Kiracı Kartları'!D66="","",'Kiracı Kartları'!D66)</f>
      </c>
      <c r="D66" s="19">
        <f>IF($B66="",0,'Kiracı Kartları'!H66)</f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9">
        <f>IF($B66="","",SUM(E66:P66)*$D66)</f>
      </c>
      <c r="R66" s="20">
        <f>IF($B66="","",SUM(E66:P66)/12)</f>
      </c>
    </row>
    <row r="67" spans="2:18" x14ac:dyDescent="0.25">
      <c r="B67" s="18">
        <f>IF('Kiracı Kartları'!B67="","",'Kiracı Kartları'!B67)</f>
      </c>
      <c r="C67" s="18">
        <f>IF('Kiracı Kartları'!D67="","",'Kiracı Kartları'!D67)</f>
      </c>
      <c r="D67" s="19">
        <f>IF($B67="",0,'Kiracı Kartları'!H67)</f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9">
        <f>IF($B67="","",SUM(E67:P67)*$D67)</f>
      </c>
      <c r="R67" s="20">
        <f>IF($B67="","",SUM(E67:P67)/12)</f>
      </c>
    </row>
    <row r="68" spans="2:18" x14ac:dyDescent="0.25">
      <c r="B68" s="18">
        <f>IF('Kiracı Kartları'!B68="","",'Kiracı Kartları'!B68)</f>
      </c>
      <c r="C68" s="18">
        <f>IF('Kiracı Kartları'!D68="","",'Kiracı Kartları'!D68)</f>
      </c>
      <c r="D68" s="19">
        <f>IF($B68="",0,'Kiracı Kartları'!H68)</f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9">
        <f>IF($B68="","",SUM(E68:P68)*$D68)</f>
      </c>
      <c r="R68" s="20">
        <f>IF($B68="","",SUM(E68:P68)/12)</f>
      </c>
    </row>
    <row r="69" spans="2:18" x14ac:dyDescent="0.25">
      <c r="B69" s="18">
        <f>IF('Kiracı Kartları'!B69="","",'Kiracı Kartları'!B69)</f>
      </c>
      <c r="C69" s="18">
        <f>IF('Kiracı Kartları'!D69="","",'Kiracı Kartları'!D69)</f>
      </c>
      <c r="D69" s="19">
        <f>IF($B69="",0,'Kiracı Kartları'!H69)</f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9">
        <f>IF($B69="","",SUM(E69:P69)*$D69)</f>
      </c>
      <c r="R69" s="20">
        <f>IF($B69="","",SUM(E69:P69)/12)</f>
      </c>
    </row>
    <row r="70" spans="2:18" x14ac:dyDescent="0.25">
      <c r="B70" s="18">
        <f>IF('Kiracı Kartları'!B70="","",'Kiracı Kartları'!B70)</f>
      </c>
      <c r="C70" s="18">
        <f>IF('Kiracı Kartları'!D70="","",'Kiracı Kartları'!D70)</f>
      </c>
      <c r="D70" s="19">
        <f>IF($B70="",0,'Kiracı Kartları'!H70)</f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9">
        <f>IF($B70="","",SUM(E70:P70)*$D70)</f>
      </c>
      <c r="R70" s="20">
        <f>IF($B70="","",SUM(E70:P70)/12)</f>
      </c>
    </row>
    <row r="71" spans="2:18" x14ac:dyDescent="0.25">
      <c r="B71" s="18">
        <f>IF('Kiracı Kartları'!B71="","",'Kiracı Kartları'!B71)</f>
      </c>
      <c r="C71" s="18">
        <f>IF('Kiracı Kartları'!D71="","",'Kiracı Kartları'!D71)</f>
      </c>
      <c r="D71" s="19">
        <f>IF($B71="",0,'Kiracı Kartları'!H71)</f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9">
        <f>IF($B71="","",SUM(E71:P71)*$D71)</f>
      </c>
      <c r="R71" s="20">
        <f>IF($B71="","",SUM(E71:P71)/12)</f>
      </c>
    </row>
    <row r="72" spans="2:18" x14ac:dyDescent="0.25">
      <c r="B72" s="18">
        <f>IF('Kiracı Kartları'!B72="","",'Kiracı Kartları'!B72)</f>
      </c>
      <c r="C72" s="18">
        <f>IF('Kiracı Kartları'!D72="","",'Kiracı Kartları'!D72)</f>
      </c>
      <c r="D72" s="19">
        <f>IF($B72="",0,'Kiracı Kartları'!H72)</f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9">
        <f>IF($B72="","",SUM(E72:P72)*$D72)</f>
      </c>
      <c r="R72" s="20">
        <f>IF($B72="","",SUM(E72:P72)/12)</f>
      </c>
    </row>
    <row r="73" spans="2:18" x14ac:dyDescent="0.25">
      <c r="B73" s="18">
        <f>IF('Kiracı Kartları'!B73="","",'Kiracı Kartları'!B73)</f>
      </c>
      <c r="C73" s="18">
        <f>IF('Kiracı Kartları'!D73="","",'Kiracı Kartları'!D73)</f>
      </c>
      <c r="D73" s="19">
        <f>IF($B73="",0,'Kiracı Kartları'!H73)</f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9">
        <f>IF($B73="","",SUM(E73:P73)*$D73)</f>
      </c>
      <c r="R73" s="20">
        <f>IF($B73="","",SUM(E73:P73)/12)</f>
      </c>
    </row>
    <row r="74" spans="2:18" x14ac:dyDescent="0.25">
      <c r="B74" s="18">
        <f>IF('Kiracı Kartları'!B74="","",'Kiracı Kartları'!B74)</f>
      </c>
      <c r="C74" s="18">
        <f>IF('Kiracı Kartları'!D74="","",'Kiracı Kartları'!D74)</f>
      </c>
      <c r="D74" s="19">
        <f>IF($B74="",0,'Kiracı Kartları'!H74)</f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9">
        <f>IF($B74="","",SUM(E74:P74)*$D74)</f>
      </c>
      <c r="R74" s="20">
        <f>IF($B74="","",SUM(E74:P74)/12)</f>
      </c>
    </row>
    <row r="75" spans="2:18" x14ac:dyDescent="0.25">
      <c r="B75" s="18">
        <f>IF('Kiracı Kartları'!B75="","",'Kiracı Kartları'!B75)</f>
      </c>
      <c r="C75" s="18">
        <f>IF('Kiracı Kartları'!D75="","",'Kiracı Kartları'!D75)</f>
      </c>
      <c r="D75" s="19">
        <f>IF($B75="",0,'Kiracı Kartları'!H75)</f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9">
        <f>IF($B75="","",SUM(E75:P75)*$D75)</f>
      </c>
      <c r="R75" s="20">
        <f>IF($B75="","",SUM(E75:P75)/12)</f>
      </c>
    </row>
    <row r="76" spans="2:18" x14ac:dyDescent="0.25">
      <c r="B76" s="18">
        <f>IF('Kiracı Kartları'!B76="","",'Kiracı Kartları'!B76)</f>
      </c>
      <c r="C76" s="18">
        <f>IF('Kiracı Kartları'!D76="","",'Kiracı Kartları'!D76)</f>
      </c>
      <c r="D76" s="19">
        <f>IF($B76="",0,'Kiracı Kartları'!H76)</f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9">
        <f>IF($B76="","",SUM(E76:P76)*$D76)</f>
      </c>
      <c r="R76" s="20">
        <f>IF($B76="","",SUM(E76:P76)/12)</f>
      </c>
    </row>
    <row r="77" spans="2:18" x14ac:dyDescent="0.25">
      <c r="B77" s="18">
        <f>IF('Kiracı Kartları'!B77="","",'Kiracı Kartları'!B77)</f>
      </c>
      <c r="C77" s="18">
        <f>IF('Kiracı Kartları'!D77="","",'Kiracı Kartları'!D77)</f>
      </c>
      <c r="D77" s="19">
        <f>IF($B77="",0,'Kiracı Kartları'!H77)</f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9">
        <f>IF($B77="","",SUM(E77:P77)*$D77)</f>
      </c>
      <c r="R77" s="20">
        <f>IF($B77="","",SUM(E77:P77)/12)</f>
      </c>
    </row>
    <row r="78" spans="2:18" x14ac:dyDescent="0.25">
      <c r="B78" s="18">
        <f>IF('Kiracı Kartları'!B78="","",'Kiracı Kartları'!B78)</f>
      </c>
      <c r="C78" s="18">
        <f>IF('Kiracı Kartları'!D78="","",'Kiracı Kartları'!D78)</f>
      </c>
      <c r="D78" s="19">
        <f>IF($B78="",0,'Kiracı Kartları'!H78)</f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9">
        <f>IF($B78="","",SUM(E78:P78)*$D78)</f>
      </c>
      <c r="R78" s="20">
        <f>IF($B78="","",SUM(E78:P78)/12)</f>
      </c>
    </row>
    <row r="79" spans="2:18" x14ac:dyDescent="0.25">
      <c r="B79" s="18">
        <f>IF('Kiracı Kartları'!B79="","",'Kiracı Kartları'!B79)</f>
      </c>
      <c r="C79" s="18">
        <f>IF('Kiracı Kartları'!D79="","",'Kiracı Kartları'!D79)</f>
      </c>
      <c r="D79" s="19">
        <f>IF($B79="",0,'Kiracı Kartları'!H79)</f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9">
        <f>IF($B79="","",SUM(E79:P79)*$D79)</f>
      </c>
      <c r="R79" s="20">
        <f>IF($B79="","",SUM(E79:P79)/12)</f>
      </c>
    </row>
    <row r="80" spans="2:18" x14ac:dyDescent="0.25">
      <c r="B80" s="18">
        <f>IF('Kiracı Kartları'!B80="","",'Kiracı Kartları'!B80)</f>
      </c>
      <c r="C80" s="18">
        <f>IF('Kiracı Kartları'!D80="","",'Kiracı Kartları'!D80)</f>
      </c>
      <c r="D80" s="19">
        <f>IF($B80="",0,'Kiracı Kartları'!H80)</f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9">
        <f>IF($B80="","",SUM(E80:P80)*$D80)</f>
      </c>
      <c r="R80" s="20">
        <f>IF($B80="","",SUM(E80:P80)/12)</f>
      </c>
    </row>
    <row r="81" spans="2:18" x14ac:dyDescent="0.25">
      <c r="B81" s="18">
        <f>IF('Kiracı Kartları'!B81="","",'Kiracı Kartları'!B81)</f>
      </c>
      <c r="C81" s="18">
        <f>IF('Kiracı Kartları'!D81="","",'Kiracı Kartları'!D81)</f>
      </c>
      <c r="D81" s="19">
        <f>IF($B81="",0,'Kiracı Kartları'!H81)</f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9">
        <f>IF($B81="","",SUM(E81:P81)*$D81)</f>
      </c>
      <c r="R81" s="20">
        <f>IF($B81="","",SUM(E81:P81)/12)</f>
      </c>
    </row>
    <row r="82" spans="2:18" x14ac:dyDescent="0.25">
      <c r="B82" s="18">
        <f>IF('Kiracı Kartları'!B82="","",'Kiracı Kartları'!B82)</f>
      </c>
      <c r="C82" s="18">
        <f>IF('Kiracı Kartları'!D82="","",'Kiracı Kartları'!D82)</f>
      </c>
      <c r="D82" s="19">
        <f>IF($B82="",0,'Kiracı Kartları'!H82)</f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9">
        <f>IF($B82="","",SUM(E82:P82)*$D82)</f>
      </c>
      <c r="R82" s="20">
        <f>IF($B82="","",SUM(E82:P82)/12)</f>
      </c>
    </row>
    <row r="83" spans="2:18" x14ac:dyDescent="0.25">
      <c r="B83" s="18">
        <f>IF('Kiracı Kartları'!B83="","",'Kiracı Kartları'!B83)</f>
      </c>
      <c r="C83" s="18">
        <f>IF('Kiracı Kartları'!D83="","",'Kiracı Kartları'!D83)</f>
      </c>
      <c r="D83" s="19">
        <f>IF($B83="",0,'Kiracı Kartları'!H83)</f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9">
        <f>IF($B83="","",SUM(E83:P83)*$D83)</f>
      </c>
      <c r="R83" s="20">
        <f>IF($B83="","",SUM(E83:P83)/12)</f>
      </c>
    </row>
    <row r="84" spans="2:18" x14ac:dyDescent="0.25">
      <c r="B84" s="18">
        <f>IF('Kiracı Kartları'!B84="","",'Kiracı Kartları'!B84)</f>
      </c>
      <c r="C84" s="18">
        <f>IF('Kiracı Kartları'!D84="","",'Kiracı Kartları'!D84)</f>
      </c>
      <c r="D84" s="19">
        <f>IF($B84="",0,'Kiracı Kartları'!H84)</f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9">
        <f>IF($B84="","",SUM(E84:P84)*$D84)</f>
      </c>
      <c r="R84" s="20">
        <f>IF($B84="","",SUM(E84:P84)/12)</f>
      </c>
    </row>
    <row r="85" spans="2:18" x14ac:dyDescent="0.25">
      <c r="B85" s="18">
        <f>IF('Kiracı Kartları'!B85="","",'Kiracı Kartları'!B85)</f>
      </c>
      <c r="C85" s="18">
        <f>IF('Kiracı Kartları'!D85="","",'Kiracı Kartları'!D85)</f>
      </c>
      <c r="D85" s="19">
        <f>IF($B85="",0,'Kiracı Kartları'!H85)</f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9">
        <f>IF($B85="","",SUM(E85:P85)*$D85)</f>
      </c>
      <c r="R85" s="20">
        <f>IF($B85="","",SUM(E85:P85)/12)</f>
      </c>
    </row>
    <row r="86" spans="2:18" x14ac:dyDescent="0.25">
      <c r="B86" s="18">
        <f>IF('Kiracı Kartları'!B86="","",'Kiracı Kartları'!B86)</f>
      </c>
      <c r="C86" s="18">
        <f>IF('Kiracı Kartları'!D86="","",'Kiracı Kartları'!D86)</f>
      </c>
      <c r="D86" s="19">
        <f>IF($B86="",0,'Kiracı Kartları'!H86)</f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9">
        <f>IF($B86="","",SUM(E86:P86)*$D86)</f>
      </c>
      <c r="R86" s="20">
        <f>IF($B86="","",SUM(E86:P86)/12)</f>
      </c>
    </row>
    <row r="87" spans="2:18" x14ac:dyDescent="0.25">
      <c r="B87" s="18">
        <f>IF('Kiracı Kartları'!B87="","",'Kiracı Kartları'!B87)</f>
      </c>
      <c r="C87" s="18">
        <f>IF('Kiracı Kartları'!D87="","",'Kiracı Kartları'!D87)</f>
      </c>
      <c r="D87" s="19">
        <f>IF($B87="",0,'Kiracı Kartları'!H87)</f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9">
        <f>IF($B87="","",SUM(E87:P87)*$D87)</f>
      </c>
      <c r="R87" s="20">
        <f>IF($B87="","",SUM(E87:P87)/12)</f>
      </c>
    </row>
    <row r="88" spans="2:18" x14ac:dyDescent="0.25">
      <c r="B88" s="18">
        <f>IF('Kiracı Kartları'!B88="","",'Kiracı Kartları'!B88)</f>
      </c>
      <c r="C88" s="18">
        <f>IF('Kiracı Kartları'!D88="","",'Kiracı Kartları'!D88)</f>
      </c>
      <c r="D88" s="19">
        <f>IF($B88="",0,'Kiracı Kartları'!H88)</f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9">
        <f>IF($B88="","",SUM(E88:P88)*$D88)</f>
      </c>
      <c r="R88" s="20">
        <f>IF($B88="","",SUM(E88:P88)/12)</f>
      </c>
    </row>
    <row r="89" spans="2:18" x14ac:dyDescent="0.25">
      <c r="B89" s="18">
        <f>IF('Kiracı Kartları'!B89="","",'Kiracı Kartları'!B89)</f>
      </c>
      <c r="C89" s="18">
        <f>IF('Kiracı Kartları'!D89="","",'Kiracı Kartları'!D89)</f>
      </c>
      <c r="D89" s="19">
        <f>IF($B89="",0,'Kiracı Kartları'!H89)</f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9">
        <f>IF($B89="","",SUM(E89:P89)*$D89)</f>
      </c>
      <c r="R89" s="20">
        <f>IF($B89="","",SUM(E89:P89)/12)</f>
      </c>
    </row>
    <row r="90" spans="2:18" x14ac:dyDescent="0.25">
      <c r="B90" s="18">
        <f>IF('Kiracı Kartları'!B90="","",'Kiracı Kartları'!B90)</f>
      </c>
      <c r="C90" s="18">
        <f>IF('Kiracı Kartları'!D90="","",'Kiracı Kartları'!D90)</f>
      </c>
      <c r="D90" s="19">
        <f>IF($B90="",0,'Kiracı Kartları'!H90)</f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9">
        <f>IF($B90="","",SUM(E90:P90)*$D90)</f>
      </c>
      <c r="R90" s="20">
        <f>IF($B90="","",SUM(E90:P90)/12)</f>
      </c>
    </row>
    <row r="91" spans="2:18" x14ac:dyDescent="0.25">
      <c r="B91" s="18">
        <f>IF('Kiracı Kartları'!B91="","",'Kiracı Kartları'!B91)</f>
      </c>
      <c r="C91" s="18">
        <f>IF('Kiracı Kartları'!D91="","",'Kiracı Kartları'!D91)</f>
      </c>
      <c r="D91" s="19">
        <f>IF($B91="",0,'Kiracı Kartları'!H91)</f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9">
        <f>IF($B91="","",SUM(E91:P91)*$D91)</f>
      </c>
      <c r="R91" s="20">
        <f>IF($B91="","",SUM(E91:P91)/12)</f>
      </c>
    </row>
    <row r="92" spans="2:18" x14ac:dyDescent="0.25">
      <c r="B92" s="18">
        <f>IF('Kiracı Kartları'!B92="","",'Kiracı Kartları'!B92)</f>
      </c>
      <c r="C92" s="18">
        <f>IF('Kiracı Kartları'!D92="","",'Kiracı Kartları'!D92)</f>
      </c>
      <c r="D92" s="19">
        <f>IF($B92="",0,'Kiracı Kartları'!H92)</f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9">
        <f>IF($B92="","",SUM(E92:P92)*$D92)</f>
      </c>
      <c r="R92" s="20">
        <f>IF($B92="","",SUM(E92:P92)/12)</f>
      </c>
    </row>
    <row r="93" spans="2:18" x14ac:dyDescent="0.25">
      <c r="B93" s="18">
        <f>IF('Kiracı Kartları'!B93="","",'Kiracı Kartları'!B93)</f>
      </c>
      <c r="C93" s="18">
        <f>IF('Kiracı Kartları'!D93="","",'Kiracı Kartları'!D93)</f>
      </c>
      <c r="D93" s="19">
        <f>IF($B93="",0,'Kiracı Kartları'!H93)</f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9">
        <f>IF($B93="","",SUM(E93:P93)*$D93)</f>
      </c>
      <c r="R93" s="20">
        <f>IF($B93="","",SUM(E93:P93)/12)</f>
      </c>
    </row>
    <row r="94" spans="2:18" x14ac:dyDescent="0.25">
      <c r="B94" s="18">
        <f>IF('Kiracı Kartları'!B94="","",'Kiracı Kartları'!B94)</f>
      </c>
      <c r="C94" s="18">
        <f>IF('Kiracı Kartları'!D94="","",'Kiracı Kartları'!D94)</f>
      </c>
      <c r="D94" s="19">
        <f>IF($B94="",0,'Kiracı Kartları'!H94)</f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9">
        <f>IF($B94="","",SUM(E94:P94)*$D94)</f>
      </c>
      <c r="R94" s="20">
        <f>IF($B94="","",SUM(E94:P94)/12)</f>
      </c>
    </row>
    <row r="95" spans="2:18" x14ac:dyDescent="0.25">
      <c r="B95" s="18">
        <f>IF('Kiracı Kartları'!B95="","",'Kiracı Kartları'!B95)</f>
      </c>
      <c r="C95" s="18">
        <f>IF('Kiracı Kartları'!D95="","",'Kiracı Kartları'!D95)</f>
      </c>
      <c r="D95" s="19">
        <f>IF($B95="",0,'Kiracı Kartları'!H95)</f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9">
        <f>IF($B95="","",SUM(E95:P95)*$D95)</f>
      </c>
      <c r="R95" s="20">
        <f>IF($B95="","",SUM(E95:P95)/12)</f>
      </c>
    </row>
    <row r="96" spans="2:18" x14ac:dyDescent="0.25">
      <c r="B96" s="18">
        <f>IF('Kiracı Kartları'!B96="","",'Kiracı Kartları'!B96)</f>
      </c>
      <c r="C96" s="18">
        <f>IF('Kiracı Kartları'!D96="","",'Kiracı Kartları'!D96)</f>
      </c>
      <c r="D96" s="19">
        <f>IF($B96="",0,'Kiracı Kartları'!H96)</f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9">
        <f>IF($B96="","",SUM(E96:P96)*$D96)</f>
      </c>
      <c r="R96" s="20">
        <f>IF($B96="","",SUM(E96:P96)/12)</f>
      </c>
    </row>
    <row r="97" spans="2:18" x14ac:dyDescent="0.25">
      <c r="B97" s="18">
        <f>IF('Kiracı Kartları'!B97="","",'Kiracı Kartları'!B97)</f>
      </c>
      <c r="C97" s="18">
        <f>IF('Kiracı Kartları'!D97="","",'Kiracı Kartları'!D97)</f>
      </c>
      <c r="D97" s="19">
        <f>IF($B97="",0,'Kiracı Kartları'!H97)</f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9">
        <f>IF($B97="","",SUM(E97:P97)*$D97)</f>
      </c>
      <c r="R97" s="20">
        <f>IF($B97="","",SUM(E97:P97)/12)</f>
      </c>
    </row>
    <row r="98" spans="2:18" x14ac:dyDescent="0.25">
      <c r="B98" s="18">
        <f>IF('Kiracı Kartları'!B98="","",'Kiracı Kartları'!B98)</f>
      </c>
      <c r="C98" s="18">
        <f>IF('Kiracı Kartları'!D98="","",'Kiracı Kartları'!D98)</f>
      </c>
      <c r="D98" s="19">
        <f>IF($B98="",0,'Kiracı Kartları'!H98)</f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9">
        <f>IF($B98="","",SUM(E98:P98)*$D98)</f>
      </c>
      <c r="R98" s="20">
        <f>IF($B98="","",SUM(E98:P98)/12)</f>
      </c>
    </row>
    <row r="99" spans="2:18" x14ac:dyDescent="0.25">
      <c r="B99" s="18">
        <f>IF('Kiracı Kartları'!B99="","",'Kiracı Kartları'!B99)</f>
      </c>
      <c r="C99" s="18">
        <f>IF('Kiracı Kartları'!D99="","",'Kiracı Kartları'!D99)</f>
      </c>
      <c r="D99" s="19">
        <f>IF($B99="",0,'Kiracı Kartları'!H99)</f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9">
        <f>IF($B99="","",SUM(E99:P99)*$D99)</f>
      </c>
      <c r="R99" s="20">
        <f>IF($B99="","",SUM(E99:P99)/12)</f>
      </c>
    </row>
    <row r="100" spans="2:18" x14ac:dyDescent="0.25">
      <c r="B100" s="18">
        <f>IF('Kiracı Kartları'!B100="","",'Kiracı Kartları'!B100)</f>
      </c>
      <c r="C100" s="18">
        <f>IF('Kiracı Kartları'!D100="","",'Kiracı Kartları'!D100)</f>
      </c>
      <c r="D100" s="19">
        <f>IF($B100="",0,'Kiracı Kartları'!H100)</f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9">
        <f>IF($B100="","",SUM(E100:P100)*$D100)</f>
      </c>
      <c r="R100" s="20">
        <f>IF($B100="","",SUM(E100:P100)/12)</f>
      </c>
    </row>
    <row r="101" spans="2:18" x14ac:dyDescent="0.25">
      <c r="B101" s="18">
        <f>IF('Kiracı Kartları'!B101="","",'Kiracı Kartları'!B101)</f>
      </c>
      <c r="C101" s="18">
        <f>IF('Kiracı Kartları'!D101="","",'Kiracı Kartları'!D101)</f>
      </c>
      <c r="D101" s="19">
        <f>IF($B101="",0,'Kiracı Kartları'!H101)</f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9">
        <f>IF($B101="","",SUM(E101:P101)*$D101)</f>
      </c>
      <c r="R101" s="20">
        <f>IF($B101="","",SUM(E101:P101)/12)</f>
      </c>
    </row>
    <row r="102" spans="2:18" x14ac:dyDescent="0.25">
      <c r="B102" s="18">
        <f>IF('Kiracı Kartları'!B102="","",'Kiracı Kartları'!B102)</f>
      </c>
      <c r="C102" s="18">
        <f>IF('Kiracı Kartları'!D102="","",'Kiracı Kartları'!D102)</f>
      </c>
      <c r="D102" s="19">
        <f>IF($B102="",0,'Kiracı Kartları'!H102)</f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9">
        <f>IF($B102="","",SUM(E102:P102)*$D102)</f>
      </c>
      <c r="R102" s="20">
        <f>IF($B102="","",SUM(E102:P102)/12)</f>
      </c>
    </row>
    <row r="103" spans="2:18" x14ac:dyDescent="0.25">
      <c r="B103" s="18">
        <f>IF('Kiracı Kartları'!B103="","",'Kiracı Kartları'!B103)</f>
      </c>
      <c r="C103" s="18">
        <f>IF('Kiracı Kartları'!D103="","",'Kiracı Kartları'!D103)</f>
      </c>
      <c r="D103" s="19">
        <f>IF($B103="",0,'Kiracı Kartları'!H103)</f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9">
        <f>IF($B103="","",SUM(E103:P103)*$D103)</f>
      </c>
      <c r="R103" s="20">
        <f>IF($B103="","",SUM(E103:P103)/12)</f>
      </c>
    </row>
    <row r="104" spans="2:18" x14ac:dyDescent="0.25">
      <c r="B104" s="18">
        <f>IF('Kiracı Kartları'!B104="","",'Kiracı Kartları'!B104)</f>
      </c>
      <c r="C104" s="18">
        <f>IF('Kiracı Kartları'!D104="","",'Kiracı Kartları'!D104)</f>
      </c>
      <c r="D104" s="19">
        <f>IF($B104="",0,'Kiracı Kartları'!H104)</f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9">
        <f>IF($B104="","",SUM(E104:P104)*$D104)</f>
      </c>
      <c r="R104" s="20">
        <f>IF($B104="","",SUM(E104:P104)/12)</f>
      </c>
    </row>
  </sheetData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K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2" customWidth="1"/>
    <col min="3" max="3" width="30" customWidth="1"/>
    <col min="4" max="8" width="16" customWidth="1"/>
    <col min="9" max="10" width="14" customWidth="1"/>
    <col min="11" max="11" width="16" customWidth="1"/>
  </cols>
  <sheetData>
    <row r="1" ht="34" customHeight="1" spans="1:11" x14ac:dyDescent="0.25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7" t="s">
        <v>22</v>
      </c>
      <c r="B4" s="7" t="s">
        <v>23</v>
      </c>
      <c r="C4" s="7" t="s">
        <v>24</v>
      </c>
      <c r="D4" s="7" t="s">
        <v>29</v>
      </c>
      <c r="E4" s="7" t="s">
        <v>82</v>
      </c>
      <c r="F4" s="7" t="s">
        <v>83</v>
      </c>
      <c r="G4" s="7" t="s">
        <v>84</v>
      </c>
      <c r="H4" s="7" t="s">
        <v>85</v>
      </c>
      <c r="I4" s="7" t="s">
        <v>86</v>
      </c>
      <c r="J4" s="7" t="s">
        <v>87</v>
      </c>
      <c r="K4" s="7" t="s">
        <v>88</v>
      </c>
    </row>
    <row r="5" spans="2:11" x14ac:dyDescent="0.25">
      <c r="B5" s="18">
        <f>IF('Mülk Kartları'!B5="","",'Mülk Kartları'!B5)</f>
      </c>
      <c r="C5" s="18">
        <f>IF('Mülk Kartları'!C5="","",'Mülk Kartları'!C5)</f>
      </c>
      <c r="D5" s="19">
        <f>IF($B5="",0,'Mülk Kartları'!H5)</f>
      </c>
      <c r="E5" s="19">
        <f>IF($B5="",0,SUMIF('Kiracı Kartları'!$C$5:$C$104,$B5,'Kiracı Kartları'!$H$5:$H$104)*12)</f>
      </c>
      <c r="F5" s="19">
        <f>IF($B5="",0,'Mülk Kartları'!I5*12+'Mülk Kartları'!J5+'Mülk Kartları'!K5+'Mülk Kartları'!L5)</f>
      </c>
      <c r="G5" s="21">
        <f>IF($B5="","",$E5-$F5)</f>
      </c>
      <c r="H5" s="19">
        <f>IF($B5="",0,'Mülk Kartları'!H5-'Mülk Kartları'!G5)</f>
      </c>
      <c r="I5" s="22">
        <f>IF(OR($B5="",$D5=0),"",$E5/$D5)</f>
      </c>
      <c r="J5" s="23">
        <f>IF(OR($B5="",$D5=0),"",$G5/$D5)</f>
      </c>
      <c r="K5" s="24">
        <f>IF(OR($B5="",$G5&lt;=0),"",$D5/$G5)</f>
      </c>
    </row>
    <row r="6" spans="2:11" x14ac:dyDescent="0.25">
      <c r="B6" s="18">
        <f>IF('Mülk Kartları'!B6="","",'Mülk Kartları'!B6)</f>
      </c>
      <c r="C6" s="18">
        <f>IF('Mülk Kartları'!C6="","",'Mülk Kartları'!C6)</f>
      </c>
      <c r="D6" s="19">
        <f>IF($B6="",0,'Mülk Kartları'!H6)</f>
      </c>
      <c r="E6" s="19">
        <f>IF($B6="",0,SUMIF('Kiracı Kartları'!$C$5:$C$104,$B6,'Kiracı Kartları'!$H$5:$H$104)*12)</f>
      </c>
      <c r="F6" s="19">
        <f>IF($B6="",0,'Mülk Kartları'!I6*12+'Mülk Kartları'!J6+'Mülk Kartları'!K6+'Mülk Kartları'!L6)</f>
      </c>
      <c r="G6" s="21">
        <f>IF($B6="","",$E6-$F6)</f>
      </c>
      <c r="H6" s="19">
        <f>IF($B6="",0,'Mülk Kartları'!H6-'Mülk Kartları'!G6)</f>
      </c>
      <c r="I6" s="22">
        <f>IF(OR($B6="",$D6=0),"",$E6/$D6)</f>
      </c>
      <c r="J6" s="23">
        <f>IF(OR($B6="",$D6=0),"",$G6/$D6)</f>
      </c>
      <c r="K6" s="24">
        <f>IF(OR($B6="",$G6&lt;=0),"",$D6/$G6)</f>
      </c>
    </row>
    <row r="7" spans="2:11" x14ac:dyDescent="0.25">
      <c r="B7" s="18">
        <f>IF('Mülk Kartları'!B7="","",'Mülk Kartları'!B7)</f>
      </c>
      <c r="C7" s="18">
        <f>IF('Mülk Kartları'!C7="","",'Mülk Kartları'!C7)</f>
      </c>
      <c r="D7" s="19">
        <f>IF($B7="",0,'Mülk Kartları'!H7)</f>
      </c>
      <c r="E7" s="19">
        <f>IF($B7="",0,SUMIF('Kiracı Kartları'!$C$5:$C$104,$B7,'Kiracı Kartları'!$H$5:$H$104)*12)</f>
      </c>
      <c r="F7" s="19">
        <f>IF($B7="",0,'Mülk Kartları'!I7*12+'Mülk Kartları'!J7+'Mülk Kartları'!K7+'Mülk Kartları'!L7)</f>
      </c>
      <c r="G7" s="21">
        <f>IF($B7="","",$E7-$F7)</f>
      </c>
      <c r="H7" s="19">
        <f>IF($B7="",0,'Mülk Kartları'!H7-'Mülk Kartları'!G7)</f>
      </c>
      <c r="I7" s="22">
        <f>IF(OR($B7="",$D7=0),"",$E7/$D7)</f>
      </c>
      <c r="J7" s="23">
        <f>IF(OR($B7="",$D7=0),"",$G7/$D7)</f>
      </c>
      <c r="K7" s="24">
        <f>IF(OR($B7="",$G7&lt;=0),"",$D7/$G7)</f>
      </c>
    </row>
    <row r="8" spans="2:11" x14ac:dyDescent="0.25">
      <c r="B8" s="18">
        <f>IF('Mülk Kartları'!B8="","",'Mülk Kartları'!B8)</f>
      </c>
      <c r="C8" s="18">
        <f>IF('Mülk Kartları'!C8="","",'Mülk Kartları'!C8)</f>
      </c>
      <c r="D8" s="19">
        <f>IF($B8="",0,'Mülk Kartları'!H8)</f>
      </c>
      <c r="E8" s="19">
        <f>IF($B8="",0,SUMIF('Kiracı Kartları'!$C$5:$C$104,$B8,'Kiracı Kartları'!$H$5:$H$104)*12)</f>
      </c>
      <c r="F8" s="19">
        <f>IF($B8="",0,'Mülk Kartları'!I8*12+'Mülk Kartları'!J8+'Mülk Kartları'!K8+'Mülk Kartları'!L8)</f>
      </c>
      <c r="G8" s="21">
        <f>IF($B8="","",$E8-$F8)</f>
      </c>
      <c r="H8" s="19">
        <f>IF($B8="",0,'Mülk Kartları'!H8-'Mülk Kartları'!G8)</f>
      </c>
      <c r="I8" s="22">
        <f>IF(OR($B8="",$D8=0),"",$E8/$D8)</f>
      </c>
      <c r="J8" s="23">
        <f>IF(OR($B8="",$D8=0),"",$G8/$D8)</f>
      </c>
      <c r="K8" s="24">
        <f>IF(OR($B8="",$G8&lt;=0),"",$D8/$G8)</f>
      </c>
    </row>
    <row r="9" spans="2:11" x14ac:dyDescent="0.25">
      <c r="B9" s="18">
        <f>IF('Mülk Kartları'!B9="","",'Mülk Kartları'!B9)</f>
      </c>
      <c r="C9" s="18">
        <f>IF('Mülk Kartları'!C9="","",'Mülk Kartları'!C9)</f>
      </c>
      <c r="D9" s="19">
        <f>IF($B9="",0,'Mülk Kartları'!H9)</f>
      </c>
      <c r="E9" s="19">
        <f>IF($B9="",0,SUMIF('Kiracı Kartları'!$C$5:$C$104,$B9,'Kiracı Kartları'!$H$5:$H$104)*12)</f>
      </c>
      <c r="F9" s="19">
        <f>IF($B9="",0,'Mülk Kartları'!I9*12+'Mülk Kartları'!J9+'Mülk Kartları'!K9+'Mülk Kartları'!L9)</f>
      </c>
      <c r="G9" s="21">
        <f>IF($B9="","",$E9-$F9)</f>
      </c>
      <c r="H9" s="19">
        <f>IF($B9="",0,'Mülk Kartları'!H9-'Mülk Kartları'!G9)</f>
      </c>
      <c r="I9" s="22">
        <f>IF(OR($B9="",$D9=0),"",$E9/$D9)</f>
      </c>
      <c r="J9" s="23">
        <f>IF(OR($B9="",$D9=0),"",$G9/$D9)</f>
      </c>
      <c r="K9" s="24">
        <f>IF(OR($B9="",$G9&lt;=0),"",$D9/$G9)</f>
      </c>
    </row>
    <row r="10" spans="2:11" x14ac:dyDescent="0.25">
      <c r="B10" s="18">
        <f>IF('Mülk Kartları'!B10="","",'Mülk Kartları'!B10)</f>
      </c>
      <c r="C10" s="18">
        <f>IF('Mülk Kartları'!C10="","",'Mülk Kartları'!C10)</f>
      </c>
      <c r="D10" s="19">
        <f>IF($B10="",0,'Mülk Kartları'!H10)</f>
      </c>
      <c r="E10" s="19">
        <f>IF($B10="",0,SUMIF('Kiracı Kartları'!$C$5:$C$104,$B10,'Kiracı Kartları'!$H$5:$H$104)*12)</f>
      </c>
      <c r="F10" s="19">
        <f>IF($B10="",0,'Mülk Kartları'!I10*12+'Mülk Kartları'!J10+'Mülk Kartları'!K10+'Mülk Kartları'!L10)</f>
      </c>
      <c r="G10" s="21">
        <f>IF($B10="","",$E10-$F10)</f>
      </c>
      <c r="H10" s="19">
        <f>IF($B10="",0,'Mülk Kartları'!H10-'Mülk Kartları'!G10)</f>
      </c>
      <c r="I10" s="22">
        <f>IF(OR($B10="",$D10=0),"",$E10/$D10)</f>
      </c>
      <c r="J10" s="23">
        <f>IF(OR($B10="",$D10=0),"",$G10/$D10)</f>
      </c>
      <c r="K10" s="24">
        <f>IF(OR($B10="",$G10&lt;=0),"",$D10/$G10)</f>
      </c>
    </row>
    <row r="11" spans="2:11" x14ac:dyDescent="0.25">
      <c r="B11" s="18">
        <f>IF('Mülk Kartları'!B11="","",'Mülk Kartları'!B11)</f>
      </c>
      <c r="C11" s="18">
        <f>IF('Mülk Kartları'!C11="","",'Mülk Kartları'!C11)</f>
      </c>
      <c r="D11" s="19">
        <f>IF($B11="",0,'Mülk Kartları'!H11)</f>
      </c>
      <c r="E11" s="19">
        <f>IF($B11="",0,SUMIF('Kiracı Kartları'!$C$5:$C$104,$B11,'Kiracı Kartları'!$H$5:$H$104)*12)</f>
      </c>
      <c r="F11" s="19">
        <f>IF($B11="",0,'Mülk Kartları'!I11*12+'Mülk Kartları'!J11+'Mülk Kartları'!K11+'Mülk Kartları'!L11)</f>
      </c>
      <c r="G11" s="21">
        <f>IF($B11="","",$E11-$F11)</f>
      </c>
      <c r="H11" s="19">
        <f>IF($B11="",0,'Mülk Kartları'!H11-'Mülk Kartları'!G11)</f>
      </c>
      <c r="I11" s="22">
        <f>IF(OR($B11="",$D11=0),"",$E11/$D11)</f>
      </c>
      <c r="J11" s="23">
        <f>IF(OR($B11="",$D11=0),"",$G11/$D11)</f>
      </c>
      <c r="K11" s="24">
        <f>IF(OR($B11="",$G11&lt;=0),"",$D11/$G11)</f>
      </c>
    </row>
    <row r="12" spans="2:11" x14ac:dyDescent="0.25">
      <c r="B12" s="18">
        <f>IF('Mülk Kartları'!B12="","",'Mülk Kartları'!B12)</f>
      </c>
      <c r="C12" s="18">
        <f>IF('Mülk Kartları'!C12="","",'Mülk Kartları'!C12)</f>
      </c>
      <c r="D12" s="19">
        <f>IF($B12="",0,'Mülk Kartları'!H12)</f>
      </c>
      <c r="E12" s="19">
        <f>IF($B12="",0,SUMIF('Kiracı Kartları'!$C$5:$C$104,$B12,'Kiracı Kartları'!$H$5:$H$104)*12)</f>
      </c>
      <c r="F12" s="19">
        <f>IF($B12="",0,'Mülk Kartları'!I12*12+'Mülk Kartları'!J12+'Mülk Kartları'!K12+'Mülk Kartları'!L12)</f>
      </c>
      <c r="G12" s="21">
        <f>IF($B12="","",$E12-$F12)</f>
      </c>
      <c r="H12" s="19">
        <f>IF($B12="",0,'Mülk Kartları'!H12-'Mülk Kartları'!G12)</f>
      </c>
      <c r="I12" s="22">
        <f>IF(OR($B12="",$D12=0),"",$E12/$D12)</f>
      </c>
      <c r="J12" s="23">
        <f>IF(OR($B12="",$D12=0),"",$G12/$D12)</f>
      </c>
      <c r="K12" s="24">
        <f>IF(OR($B12="",$G12&lt;=0),"",$D12/$G12)</f>
      </c>
    </row>
    <row r="13" spans="2:11" x14ac:dyDescent="0.25">
      <c r="B13" s="18">
        <f>IF('Mülk Kartları'!B13="","",'Mülk Kartları'!B13)</f>
      </c>
      <c r="C13" s="18">
        <f>IF('Mülk Kartları'!C13="","",'Mülk Kartları'!C13)</f>
      </c>
      <c r="D13" s="19">
        <f>IF($B13="",0,'Mülk Kartları'!H13)</f>
      </c>
      <c r="E13" s="19">
        <f>IF($B13="",0,SUMIF('Kiracı Kartları'!$C$5:$C$104,$B13,'Kiracı Kartları'!$H$5:$H$104)*12)</f>
      </c>
      <c r="F13" s="19">
        <f>IF($B13="",0,'Mülk Kartları'!I13*12+'Mülk Kartları'!J13+'Mülk Kartları'!K13+'Mülk Kartları'!L13)</f>
      </c>
      <c r="G13" s="21">
        <f>IF($B13="","",$E13-$F13)</f>
      </c>
      <c r="H13" s="19">
        <f>IF($B13="",0,'Mülk Kartları'!H13-'Mülk Kartları'!G13)</f>
      </c>
      <c r="I13" s="22">
        <f>IF(OR($B13="",$D13=0),"",$E13/$D13)</f>
      </c>
      <c r="J13" s="23">
        <f>IF(OR($B13="",$D13=0),"",$G13/$D13)</f>
      </c>
      <c r="K13" s="24">
        <f>IF(OR($B13="",$G13&lt;=0),"",$D13/$G13)</f>
      </c>
    </row>
    <row r="14" spans="2:11" x14ac:dyDescent="0.25">
      <c r="B14" s="18">
        <f>IF('Mülk Kartları'!B14="","",'Mülk Kartları'!B14)</f>
      </c>
      <c r="C14" s="18">
        <f>IF('Mülk Kartları'!C14="","",'Mülk Kartları'!C14)</f>
      </c>
      <c r="D14" s="19">
        <f>IF($B14="",0,'Mülk Kartları'!H14)</f>
      </c>
      <c r="E14" s="19">
        <f>IF($B14="",0,SUMIF('Kiracı Kartları'!$C$5:$C$104,$B14,'Kiracı Kartları'!$H$5:$H$104)*12)</f>
      </c>
      <c r="F14" s="19">
        <f>IF($B14="",0,'Mülk Kartları'!I14*12+'Mülk Kartları'!J14+'Mülk Kartları'!K14+'Mülk Kartları'!L14)</f>
      </c>
      <c r="G14" s="21">
        <f>IF($B14="","",$E14-$F14)</f>
      </c>
      <c r="H14" s="19">
        <f>IF($B14="",0,'Mülk Kartları'!H14-'Mülk Kartları'!G14)</f>
      </c>
      <c r="I14" s="22">
        <f>IF(OR($B14="",$D14=0),"",$E14/$D14)</f>
      </c>
      <c r="J14" s="23">
        <f>IF(OR($B14="",$D14=0),"",$G14/$D14)</f>
      </c>
      <c r="K14" s="24">
        <f>IF(OR($B14="",$G14&lt;=0),"",$D14/$G14)</f>
      </c>
    </row>
    <row r="15" spans="2:11" x14ac:dyDescent="0.25">
      <c r="B15" s="18">
        <f>IF('Mülk Kartları'!B15="","",'Mülk Kartları'!B15)</f>
      </c>
      <c r="C15" s="18">
        <f>IF('Mülk Kartları'!C15="","",'Mülk Kartları'!C15)</f>
      </c>
      <c r="D15" s="19">
        <f>IF($B15="",0,'Mülk Kartları'!H15)</f>
      </c>
      <c r="E15" s="19">
        <f>IF($B15="",0,SUMIF('Kiracı Kartları'!$C$5:$C$104,$B15,'Kiracı Kartları'!$H$5:$H$104)*12)</f>
      </c>
      <c r="F15" s="19">
        <f>IF($B15="",0,'Mülk Kartları'!I15*12+'Mülk Kartları'!J15+'Mülk Kartları'!K15+'Mülk Kartları'!L15)</f>
      </c>
      <c r="G15" s="21">
        <f>IF($B15="","",$E15-$F15)</f>
      </c>
      <c r="H15" s="19">
        <f>IF($B15="",0,'Mülk Kartları'!H15-'Mülk Kartları'!G15)</f>
      </c>
      <c r="I15" s="22">
        <f>IF(OR($B15="",$D15=0),"",$E15/$D15)</f>
      </c>
      <c r="J15" s="23">
        <f>IF(OR($B15="",$D15=0),"",$G15/$D15)</f>
      </c>
      <c r="K15" s="24">
        <f>IF(OR($B15="",$G15&lt;=0),"",$D15/$G15)</f>
      </c>
    </row>
    <row r="16" spans="2:11" x14ac:dyDescent="0.25">
      <c r="B16" s="18">
        <f>IF('Mülk Kartları'!B16="","",'Mülk Kartları'!B16)</f>
      </c>
      <c r="C16" s="18">
        <f>IF('Mülk Kartları'!C16="","",'Mülk Kartları'!C16)</f>
      </c>
      <c r="D16" s="19">
        <f>IF($B16="",0,'Mülk Kartları'!H16)</f>
      </c>
      <c r="E16" s="19">
        <f>IF($B16="",0,SUMIF('Kiracı Kartları'!$C$5:$C$104,$B16,'Kiracı Kartları'!$H$5:$H$104)*12)</f>
      </c>
      <c r="F16" s="19">
        <f>IF($B16="",0,'Mülk Kartları'!I16*12+'Mülk Kartları'!J16+'Mülk Kartları'!K16+'Mülk Kartları'!L16)</f>
      </c>
      <c r="G16" s="21">
        <f>IF($B16="","",$E16-$F16)</f>
      </c>
      <c r="H16" s="19">
        <f>IF($B16="",0,'Mülk Kartları'!H16-'Mülk Kartları'!G16)</f>
      </c>
      <c r="I16" s="22">
        <f>IF(OR($B16="",$D16=0),"",$E16/$D16)</f>
      </c>
      <c r="J16" s="23">
        <f>IF(OR($B16="",$D16=0),"",$G16/$D16)</f>
      </c>
      <c r="K16" s="24">
        <f>IF(OR($B16="",$G16&lt;=0),"",$D16/$G16)</f>
      </c>
    </row>
    <row r="17" spans="2:11" x14ac:dyDescent="0.25">
      <c r="B17" s="18">
        <f>IF('Mülk Kartları'!B17="","",'Mülk Kartları'!B17)</f>
      </c>
      <c r="C17" s="18">
        <f>IF('Mülk Kartları'!C17="","",'Mülk Kartları'!C17)</f>
      </c>
      <c r="D17" s="19">
        <f>IF($B17="",0,'Mülk Kartları'!H17)</f>
      </c>
      <c r="E17" s="19">
        <f>IF($B17="",0,SUMIF('Kiracı Kartları'!$C$5:$C$104,$B17,'Kiracı Kartları'!$H$5:$H$104)*12)</f>
      </c>
      <c r="F17" s="19">
        <f>IF($B17="",0,'Mülk Kartları'!I17*12+'Mülk Kartları'!J17+'Mülk Kartları'!K17+'Mülk Kartları'!L17)</f>
      </c>
      <c r="G17" s="21">
        <f>IF($B17="","",$E17-$F17)</f>
      </c>
      <c r="H17" s="19">
        <f>IF($B17="",0,'Mülk Kartları'!H17-'Mülk Kartları'!G17)</f>
      </c>
      <c r="I17" s="22">
        <f>IF(OR($B17="",$D17=0),"",$E17/$D17)</f>
      </c>
      <c r="J17" s="23">
        <f>IF(OR($B17="",$D17=0),"",$G17/$D17)</f>
      </c>
      <c r="K17" s="24">
        <f>IF(OR($B17="",$G17&lt;=0),"",$D17/$G17)</f>
      </c>
    </row>
    <row r="18" spans="2:11" x14ac:dyDescent="0.25">
      <c r="B18" s="18">
        <f>IF('Mülk Kartları'!B18="","",'Mülk Kartları'!B18)</f>
      </c>
      <c r="C18" s="18">
        <f>IF('Mülk Kartları'!C18="","",'Mülk Kartları'!C18)</f>
      </c>
      <c r="D18" s="19">
        <f>IF($B18="",0,'Mülk Kartları'!H18)</f>
      </c>
      <c r="E18" s="19">
        <f>IF($B18="",0,SUMIF('Kiracı Kartları'!$C$5:$C$104,$B18,'Kiracı Kartları'!$H$5:$H$104)*12)</f>
      </c>
      <c r="F18" s="19">
        <f>IF($B18="",0,'Mülk Kartları'!I18*12+'Mülk Kartları'!J18+'Mülk Kartları'!K18+'Mülk Kartları'!L18)</f>
      </c>
      <c r="G18" s="21">
        <f>IF($B18="","",$E18-$F18)</f>
      </c>
      <c r="H18" s="19">
        <f>IF($B18="",0,'Mülk Kartları'!H18-'Mülk Kartları'!G18)</f>
      </c>
      <c r="I18" s="22">
        <f>IF(OR($B18="",$D18=0),"",$E18/$D18)</f>
      </c>
      <c r="J18" s="23">
        <f>IF(OR($B18="",$D18=0),"",$G18/$D18)</f>
      </c>
      <c r="K18" s="24">
        <f>IF(OR($B18="",$G18&lt;=0),"",$D18/$G18)</f>
      </c>
    </row>
    <row r="19" spans="2:11" x14ac:dyDescent="0.25">
      <c r="B19" s="18">
        <f>IF('Mülk Kartları'!B19="","",'Mülk Kartları'!B19)</f>
      </c>
      <c r="C19" s="18">
        <f>IF('Mülk Kartları'!C19="","",'Mülk Kartları'!C19)</f>
      </c>
      <c r="D19" s="19">
        <f>IF($B19="",0,'Mülk Kartları'!H19)</f>
      </c>
      <c r="E19" s="19">
        <f>IF($B19="",0,SUMIF('Kiracı Kartları'!$C$5:$C$104,$B19,'Kiracı Kartları'!$H$5:$H$104)*12)</f>
      </c>
      <c r="F19" s="19">
        <f>IF($B19="",0,'Mülk Kartları'!I19*12+'Mülk Kartları'!J19+'Mülk Kartları'!K19+'Mülk Kartları'!L19)</f>
      </c>
      <c r="G19" s="21">
        <f>IF($B19="","",$E19-$F19)</f>
      </c>
      <c r="H19" s="19">
        <f>IF($B19="",0,'Mülk Kartları'!H19-'Mülk Kartları'!G19)</f>
      </c>
      <c r="I19" s="22">
        <f>IF(OR($B19="",$D19=0),"",$E19/$D19)</f>
      </c>
      <c r="J19" s="23">
        <f>IF(OR($B19="",$D19=0),"",$G19/$D19)</f>
      </c>
      <c r="K19" s="24">
        <f>IF(OR($B19="",$G19&lt;=0),"",$D19/$G19)</f>
      </c>
    </row>
    <row r="20" spans="2:11" x14ac:dyDescent="0.25">
      <c r="B20" s="18">
        <f>IF('Mülk Kartları'!B20="","",'Mülk Kartları'!B20)</f>
      </c>
      <c r="C20" s="18">
        <f>IF('Mülk Kartları'!C20="","",'Mülk Kartları'!C20)</f>
      </c>
      <c r="D20" s="19">
        <f>IF($B20="",0,'Mülk Kartları'!H20)</f>
      </c>
      <c r="E20" s="19">
        <f>IF($B20="",0,SUMIF('Kiracı Kartları'!$C$5:$C$104,$B20,'Kiracı Kartları'!$H$5:$H$104)*12)</f>
      </c>
      <c r="F20" s="19">
        <f>IF($B20="",0,'Mülk Kartları'!I20*12+'Mülk Kartları'!J20+'Mülk Kartları'!K20+'Mülk Kartları'!L20)</f>
      </c>
      <c r="G20" s="21">
        <f>IF($B20="","",$E20-$F20)</f>
      </c>
      <c r="H20" s="19">
        <f>IF($B20="",0,'Mülk Kartları'!H20-'Mülk Kartları'!G20)</f>
      </c>
      <c r="I20" s="22">
        <f>IF(OR($B20="",$D20=0),"",$E20/$D20)</f>
      </c>
      <c r="J20" s="23">
        <f>IF(OR($B20="",$D20=0),"",$G20/$D20)</f>
      </c>
      <c r="K20" s="24">
        <f>IF(OR($B20="",$G20&lt;=0),"",$D20/$G20)</f>
      </c>
    </row>
    <row r="21" spans="2:11" x14ac:dyDescent="0.25">
      <c r="B21" s="18">
        <f>IF('Mülk Kartları'!B21="","",'Mülk Kartları'!B21)</f>
      </c>
      <c r="C21" s="18">
        <f>IF('Mülk Kartları'!C21="","",'Mülk Kartları'!C21)</f>
      </c>
      <c r="D21" s="19">
        <f>IF($B21="",0,'Mülk Kartları'!H21)</f>
      </c>
      <c r="E21" s="19">
        <f>IF($B21="",0,SUMIF('Kiracı Kartları'!$C$5:$C$104,$B21,'Kiracı Kartları'!$H$5:$H$104)*12)</f>
      </c>
      <c r="F21" s="19">
        <f>IF($B21="",0,'Mülk Kartları'!I21*12+'Mülk Kartları'!J21+'Mülk Kartları'!K21+'Mülk Kartları'!L21)</f>
      </c>
      <c r="G21" s="21">
        <f>IF($B21="","",$E21-$F21)</f>
      </c>
      <c r="H21" s="19">
        <f>IF($B21="",0,'Mülk Kartları'!H21-'Mülk Kartları'!G21)</f>
      </c>
      <c r="I21" s="22">
        <f>IF(OR($B21="",$D21=0),"",$E21/$D21)</f>
      </c>
      <c r="J21" s="23">
        <f>IF(OR($B21="",$D21=0),"",$G21/$D21)</f>
      </c>
      <c r="K21" s="24">
        <f>IF(OR($B21="",$G21&lt;=0),"",$D21/$G21)</f>
      </c>
    </row>
    <row r="22" spans="2:11" x14ac:dyDescent="0.25">
      <c r="B22" s="18">
        <f>IF('Mülk Kartları'!B22="","",'Mülk Kartları'!B22)</f>
      </c>
      <c r="C22" s="18">
        <f>IF('Mülk Kartları'!C22="","",'Mülk Kartları'!C22)</f>
      </c>
      <c r="D22" s="19">
        <f>IF($B22="",0,'Mülk Kartları'!H22)</f>
      </c>
      <c r="E22" s="19">
        <f>IF($B22="",0,SUMIF('Kiracı Kartları'!$C$5:$C$104,$B22,'Kiracı Kartları'!$H$5:$H$104)*12)</f>
      </c>
      <c r="F22" s="19">
        <f>IF($B22="",0,'Mülk Kartları'!I22*12+'Mülk Kartları'!J22+'Mülk Kartları'!K22+'Mülk Kartları'!L22)</f>
      </c>
      <c r="G22" s="21">
        <f>IF($B22="","",$E22-$F22)</f>
      </c>
      <c r="H22" s="19">
        <f>IF($B22="",0,'Mülk Kartları'!H22-'Mülk Kartları'!G22)</f>
      </c>
      <c r="I22" s="22">
        <f>IF(OR($B22="",$D22=0),"",$E22/$D22)</f>
      </c>
      <c r="J22" s="23">
        <f>IF(OR($B22="",$D22=0),"",$G22/$D22)</f>
      </c>
      <c r="K22" s="24">
        <f>IF(OR($B22="",$G22&lt;=0),"",$D22/$G22)</f>
      </c>
    </row>
    <row r="23" spans="2:11" x14ac:dyDescent="0.25">
      <c r="B23" s="18">
        <f>IF('Mülk Kartları'!B23="","",'Mülk Kartları'!B23)</f>
      </c>
      <c r="C23" s="18">
        <f>IF('Mülk Kartları'!C23="","",'Mülk Kartları'!C23)</f>
      </c>
      <c r="D23" s="19">
        <f>IF($B23="",0,'Mülk Kartları'!H23)</f>
      </c>
      <c r="E23" s="19">
        <f>IF($B23="",0,SUMIF('Kiracı Kartları'!$C$5:$C$104,$B23,'Kiracı Kartları'!$H$5:$H$104)*12)</f>
      </c>
      <c r="F23" s="19">
        <f>IF($B23="",0,'Mülk Kartları'!I23*12+'Mülk Kartları'!J23+'Mülk Kartları'!K23+'Mülk Kartları'!L23)</f>
      </c>
      <c r="G23" s="21">
        <f>IF($B23="","",$E23-$F23)</f>
      </c>
      <c r="H23" s="19">
        <f>IF($B23="",0,'Mülk Kartları'!H23-'Mülk Kartları'!G23)</f>
      </c>
      <c r="I23" s="22">
        <f>IF(OR($B23="",$D23=0),"",$E23/$D23)</f>
      </c>
      <c r="J23" s="23">
        <f>IF(OR($B23="",$D23=0),"",$G23/$D23)</f>
      </c>
      <c r="K23" s="24">
        <f>IF(OR($B23="",$G23&lt;=0),"",$D23/$G23)</f>
      </c>
    </row>
    <row r="24" spans="2:11" x14ac:dyDescent="0.25">
      <c r="B24" s="18">
        <f>IF('Mülk Kartları'!B24="","",'Mülk Kartları'!B24)</f>
      </c>
      <c r="C24" s="18">
        <f>IF('Mülk Kartları'!C24="","",'Mülk Kartları'!C24)</f>
      </c>
      <c r="D24" s="19">
        <f>IF($B24="",0,'Mülk Kartları'!H24)</f>
      </c>
      <c r="E24" s="19">
        <f>IF($B24="",0,SUMIF('Kiracı Kartları'!$C$5:$C$104,$B24,'Kiracı Kartları'!$H$5:$H$104)*12)</f>
      </c>
      <c r="F24" s="19">
        <f>IF($B24="",0,'Mülk Kartları'!I24*12+'Mülk Kartları'!J24+'Mülk Kartları'!K24+'Mülk Kartları'!L24)</f>
      </c>
      <c r="G24" s="21">
        <f>IF($B24="","",$E24-$F24)</f>
      </c>
      <c r="H24" s="19">
        <f>IF($B24="",0,'Mülk Kartları'!H24-'Mülk Kartları'!G24)</f>
      </c>
      <c r="I24" s="22">
        <f>IF(OR($B24="",$D24=0),"",$E24/$D24)</f>
      </c>
      <c r="J24" s="23">
        <f>IF(OR($B24="",$D24=0),"",$G24/$D24)</f>
      </c>
      <c r="K24" s="24">
        <f>IF(OR($B24="",$G24&lt;=0),"",$D24/$G24)</f>
      </c>
    </row>
    <row r="25" spans="2:11" x14ac:dyDescent="0.25">
      <c r="B25" s="18">
        <f>IF('Mülk Kartları'!B25="","",'Mülk Kartları'!B25)</f>
      </c>
      <c r="C25" s="18">
        <f>IF('Mülk Kartları'!C25="","",'Mülk Kartları'!C25)</f>
      </c>
      <c r="D25" s="19">
        <f>IF($B25="",0,'Mülk Kartları'!H25)</f>
      </c>
      <c r="E25" s="19">
        <f>IF($B25="",0,SUMIF('Kiracı Kartları'!$C$5:$C$104,$B25,'Kiracı Kartları'!$H$5:$H$104)*12)</f>
      </c>
      <c r="F25" s="19">
        <f>IF($B25="",0,'Mülk Kartları'!I25*12+'Mülk Kartları'!J25+'Mülk Kartları'!K25+'Mülk Kartları'!L25)</f>
      </c>
      <c r="G25" s="21">
        <f>IF($B25="","",$E25-$F25)</f>
      </c>
      <c r="H25" s="19">
        <f>IF($B25="",0,'Mülk Kartları'!H25-'Mülk Kartları'!G25)</f>
      </c>
      <c r="I25" s="22">
        <f>IF(OR($B25="",$D25=0),"",$E25/$D25)</f>
      </c>
      <c r="J25" s="23">
        <f>IF(OR($B25="",$D25=0),"",$G25/$D25)</f>
      </c>
      <c r="K25" s="24">
        <f>IF(OR($B25="",$G25&lt;=0),"",$D25/$G25)</f>
      </c>
    </row>
    <row r="26" spans="2:11" x14ac:dyDescent="0.25">
      <c r="B26" s="18">
        <f>IF('Mülk Kartları'!B26="","",'Mülk Kartları'!B26)</f>
      </c>
      <c r="C26" s="18">
        <f>IF('Mülk Kartları'!C26="","",'Mülk Kartları'!C26)</f>
      </c>
      <c r="D26" s="19">
        <f>IF($B26="",0,'Mülk Kartları'!H26)</f>
      </c>
      <c r="E26" s="19">
        <f>IF($B26="",0,SUMIF('Kiracı Kartları'!$C$5:$C$104,$B26,'Kiracı Kartları'!$H$5:$H$104)*12)</f>
      </c>
      <c r="F26" s="19">
        <f>IF($B26="",0,'Mülk Kartları'!I26*12+'Mülk Kartları'!J26+'Mülk Kartları'!K26+'Mülk Kartları'!L26)</f>
      </c>
      <c r="G26" s="21">
        <f>IF($B26="","",$E26-$F26)</f>
      </c>
      <c r="H26" s="19">
        <f>IF($B26="",0,'Mülk Kartları'!H26-'Mülk Kartları'!G26)</f>
      </c>
      <c r="I26" s="22">
        <f>IF(OR($B26="",$D26=0),"",$E26/$D26)</f>
      </c>
      <c r="J26" s="23">
        <f>IF(OR($B26="",$D26=0),"",$G26/$D26)</f>
      </c>
      <c r="K26" s="24">
        <f>IF(OR($B26="",$G26&lt;=0),"",$D26/$G26)</f>
      </c>
    </row>
    <row r="27" spans="2:11" x14ac:dyDescent="0.25">
      <c r="B27" s="18">
        <f>IF('Mülk Kartları'!B27="","",'Mülk Kartları'!B27)</f>
      </c>
      <c r="C27" s="18">
        <f>IF('Mülk Kartları'!C27="","",'Mülk Kartları'!C27)</f>
      </c>
      <c r="D27" s="19">
        <f>IF($B27="",0,'Mülk Kartları'!H27)</f>
      </c>
      <c r="E27" s="19">
        <f>IF($B27="",0,SUMIF('Kiracı Kartları'!$C$5:$C$104,$B27,'Kiracı Kartları'!$H$5:$H$104)*12)</f>
      </c>
      <c r="F27" s="19">
        <f>IF($B27="",0,'Mülk Kartları'!I27*12+'Mülk Kartları'!J27+'Mülk Kartları'!K27+'Mülk Kartları'!L27)</f>
      </c>
      <c r="G27" s="21">
        <f>IF($B27="","",$E27-$F27)</f>
      </c>
      <c r="H27" s="19">
        <f>IF($B27="",0,'Mülk Kartları'!H27-'Mülk Kartları'!G27)</f>
      </c>
      <c r="I27" s="22">
        <f>IF(OR($B27="",$D27=0),"",$E27/$D27)</f>
      </c>
      <c r="J27" s="23">
        <f>IF(OR($B27="",$D27=0),"",$G27/$D27)</f>
      </c>
      <c r="K27" s="24">
        <f>IF(OR($B27="",$G27&lt;=0),"",$D27/$G27)</f>
      </c>
    </row>
    <row r="28" spans="2:11" x14ac:dyDescent="0.25">
      <c r="B28" s="18">
        <f>IF('Mülk Kartları'!B28="","",'Mülk Kartları'!B28)</f>
      </c>
      <c r="C28" s="18">
        <f>IF('Mülk Kartları'!C28="","",'Mülk Kartları'!C28)</f>
      </c>
      <c r="D28" s="19">
        <f>IF($B28="",0,'Mülk Kartları'!H28)</f>
      </c>
      <c r="E28" s="19">
        <f>IF($B28="",0,SUMIF('Kiracı Kartları'!$C$5:$C$104,$B28,'Kiracı Kartları'!$H$5:$H$104)*12)</f>
      </c>
      <c r="F28" s="19">
        <f>IF($B28="",0,'Mülk Kartları'!I28*12+'Mülk Kartları'!J28+'Mülk Kartları'!K28+'Mülk Kartları'!L28)</f>
      </c>
      <c r="G28" s="21">
        <f>IF($B28="","",$E28-$F28)</f>
      </c>
      <c r="H28" s="19">
        <f>IF($B28="",0,'Mülk Kartları'!H28-'Mülk Kartları'!G28)</f>
      </c>
      <c r="I28" s="22">
        <f>IF(OR($B28="",$D28=0),"",$E28/$D28)</f>
      </c>
      <c r="J28" s="23">
        <f>IF(OR($B28="",$D28=0),"",$G28/$D28)</f>
      </c>
      <c r="K28" s="24">
        <f>IF(OR($B28="",$G28&lt;=0),"",$D28/$G28)</f>
      </c>
    </row>
    <row r="29" spans="2:11" x14ac:dyDescent="0.25">
      <c r="B29" s="18">
        <f>IF('Mülk Kartları'!B29="","",'Mülk Kartları'!B29)</f>
      </c>
      <c r="C29" s="18">
        <f>IF('Mülk Kartları'!C29="","",'Mülk Kartları'!C29)</f>
      </c>
      <c r="D29" s="19">
        <f>IF($B29="",0,'Mülk Kartları'!H29)</f>
      </c>
      <c r="E29" s="19">
        <f>IF($B29="",0,SUMIF('Kiracı Kartları'!$C$5:$C$104,$B29,'Kiracı Kartları'!$H$5:$H$104)*12)</f>
      </c>
      <c r="F29" s="19">
        <f>IF($B29="",0,'Mülk Kartları'!I29*12+'Mülk Kartları'!J29+'Mülk Kartları'!K29+'Mülk Kartları'!L29)</f>
      </c>
      <c r="G29" s="21">
        <f>IF($B29="","",$E29-$F29)</f>
      </c>
      <c r="H29" s="19">
        <f>IF($B29="",0,'Mülk Kartları'!H29-'Mülk Kartları'!G29)</f>
      </c>
      <c r="I29" s="22">
        <f>IF(OR($B29="",$D29=0),"",$E29/$D29)</f>
      </c>
      <c r="J29" s="23">
        <f>IF(OR($B29="",$D29=0),"",$G29/$D29)</f>
      </c>
      <c r="K29" s="24">
        <f>IF(OR($B29="",$G29&lt;=0),"",$D29/$G29)</f>
      </c>
    </row>
    <row r="30" spans="2:11" x14ac:dyDescent="0.25">
      <c r="B30" s="18">
        <f>IF('Mülk Kartları'!B30="","",'Mülk Kartları'!B30)</f>
      </c>
      <c r="C30" s="18">
        <f>IF('Mülk Kartları'!C30="","",'Mülk Kartları'!C30)</f>
      </c>
      <c r="D30" s="19">
        <f>IF($B30="",0,'Mülk Kartları'!H30)</f>
      </c>
      <c r="E30" s="19">
        <f>IF($B30="",0,SUMIF('Kiracı Kartları'!$C$5:$C$104,$B30,'Kiracı Kartları'!$H$5:$H$104)*12)</f>
      </c>
      <c r="F30" s="19">
        <f>IF($B30="",0,'Mülk Kartları'!I30*12+'Mülk Kartları'!J30+'Mülk Kartları'!K30+'Mülk Kartları'!L30)</f>
      </c>
      <c r="G30" s="21">
        <f>IF($B30="","",$E30-$F30)</f>
      </c>
      <c r="H30" s="19">
        <f>IF($B30="",0,'Mülk Kartları'!H30-'Mülk Kartları'!G30)</f>
      </c>
      <c r="I30" s="22">
        <f>IF(OR($B30="",$D30=0),"",$E30/$D30)</f>
      </c>
      <c r="J30" s="23">
        <f>IF(OR($B30="",$D30=0),"",$G30/$D30)</f>
      </c>
      <c r="K30" s="24">
        <f>IF(OR($B30="",$G30&lt;=0),"",$D30/$G30)</f>
      </c>
    </row>
    <row r="31" spans="2:11" x14ac:dyDescent="0.25">
      <c r="B31" s="18">
        <f>IF('Mülk Kartları'!B31="","",'Mülk Kartları'!B31)</f>
      </c>
      <c r="C31" s="18">
        <f>IF('Mülk Kartları'!C31="","",'Mülk Kartları'!C31)</f>
      </c>
      <c r="D31" s="19">
        <f>IF($B31="",0,'Mülk Kartları'!H31)</f>
      </c>
      <c r="E31" s="19">
        <f>IF($B31="",0,SUMIF('Kiracı Kartları'!$C$5:$C$104,$B31,'Kiracı Kartları'!$H$5:$H$104)*12)</f>
      </c>
      <c r="F31" s="19">
        <f>IF($B31="",0,'Mülk Kartları'!I31*12+'Mülk Kartları'!J31+'Mülk Kartları'!K31+'Mülk Kartları'!L31)</f>
      </c>
      <c r="G31" s="21">
        <f>IF($B31="","",$E31-$F31)</f>
      </c>
      <c r="H31" s="19">
        <f>IF($B31="",0,'Mülk Kartları'!H31-'Mülk Kartları'!G31)</f>
      </c>
      <c r="I31" s="22">
        <f>IF(OR($B31="",$D31=0),"",$E31/$D31)</f>
      </c>
      <c r="J31" s="23">
        <f>IF(OR($B31="",$D31=0),"",$G31/$D31)</f>
      </c>
      <c r="K31" s="24">
        <f>IF(OR($B31="",$G31&lt;=0),"",$D31/$G31)</f>
      </c>
    </row>
    <row r="32" spans="2:11" x14ac:dyDescent="0.25">
      <c r="B32" s="18">
        <f>IF('Mülk Kartları'!B32="","",'Mülk Kartları'!B32)</f>
      </c>
      <c r="C32" s="18">
        <f>IF('Mülk Kartları'!C32="","",'Mülk Kartları'!C32)</f>
      </c>
      <c r="D32" s="19">
        <f>IF($B32="",0,'Mülk Kartları'!H32)</f>
      </c>
      <c r="E32" s="19">
        <f>IF($B32="",0,SUMIF('Kiracı Kartları'!$C$5:$C$104,$B32,'Kiracı Kartları'!$H$5:$H$104)*12)</f>
      </c>
      <c r="F32" s="19">
        <f>IF($B32="",0,'Mülk Kartları'!I32*12+'Mülk Kartları'!J32+'Mülk Kartları'!K32+'Mülk Kartları'!L32)</f>
      </c>
      <c r="G32" s="21">
        <f>IF($B32="","",$E32-$F32)</f>
      </c>
      <c r="H32" s="19">
        <f>IF($B32="",0,'Mülk Kartları'!H32-'Mülk Kartları'!G32)</f>
      </c>
      <c r="I32" s="22">
        <f>IF(OR($B32="",$D32=0),"",$E32/$D32)</f>
      </c>
      <c r="J32" s="23">
        <f>IF(OR($B32="",$D32=0),"",$G32/$D32)</f>
      </c>
      <c r="K32" s="24">
        <f>IF(OR($B32="",$G32&lt;=0),"",$D32/$G32)</f>
      </c>
    </row>
    <row r="33" spans="2:11" x14ac:dyDescent="0.25">
      <c r="B33" s="18">
        <f>IF('Mülk Kartları'!B33="","",'Mülk Kartları'!B33)</f>
      </c>
      <c r="C33" s="18">
        <f>IF('Mülk Kartları'!C33="","",'Mülk Kartları'!C33)</f>
      </c>
      <c r="D33" s="19">
        <f>IF($B33="",0,'Mülk Kartları'!H33)</f>
      </c>
      <c r="E33" s="19">
        <f>IF($B33="",0,SUMIF('Kiracı Kartları'!$C$5:$C$104,$B33,'Kiracı Kartları'!$H$5:$H$104)*12)</f>
      </c>
      <c r="F33" s="19">
        <f>IF($B33="",0,'Mülk Kartları'!I33*12+'Mülk Kartları'!J33+'Mülk Kartları'!K33+'Mülk Kartları'!L33)</f>
      </c>
      <c r="G33" s="21">
        <f>IF($B33="","",$E33-$F33)</f>
      </c>
      <c r="H33" s="19">
        <f>IF($B33="",0,'Mülk Kartları'!H33-'Mülk Kartları'!G33)</f>
      </c>
      <c r="I33" s="22">
        <f>IF(OR($B33="",$D33=0),"",$E33/$D33)</f>
      </c>
      <c r="J33" s="23">
        <f>IF(OR($B33="",$D33=0),"",$G33/$D33)</f>
      </c>
      <c r="K33" s="24">
        <f>IF(OR($B33="",$G33&lt;=0),"",$D33/$G33)</f>
      </c>
    </row>
    <row r="34" spans="2:11" x14ac:dyDescent="0.25">
      <c r="B34" s="18">
        <f>IF('Mülk Kartları'!B34="","",'Mülk Kartları'!B34)</f>
      </c>
      <c r="C34" s="18">
        <f>IF('Mülk Kartları'!C34="","",'Mülk Kartları'!C34)</f>
      </c>
      <c r="D34" s="19">
        <f>IF($B34="",0,'Mülk Kartları'!H34)</f>
      </c>
      <c r="E34" s="19">
        <f>IF($B34="",0,SUMIF('Kiracı Kartları'!$C$5:$C$104,$B34,'Kiracı Kartları'!$H$5:$H$104)*12)</f>
      </c>
      <c r="F34" s="19">
        <f>IF($B34="",0,'Mülk Kartları'!I34*12+'Mülk Kartları'!J34+'Mülk Kartları'!K34+'Mülk Kartları'!L34)</f>
      </c>
      <c r="G34" s="21">
        <f>IF($B34="","",$E34-$F34)</f>
      </c>
      <c r="H34" s="19">
        <f>IF($B34="",0,'Mülk Kartları'!H34-'Mülk Kartları'!G34)</f>
      </c>
      <c r="I34" s="22">
        <f>IF(OR($B34="",$D34=0),"",$E34/$D34)</f>
      </c>
      <c r="J34" s="23">
        <f>IF(OR($B34="",$D34=0),"",$G34/$D34)</f>
      </c>
      <c r="K34" s="24">
        <f>IF(OR($B34="",$G34&lt;=0),"",$D34/$G34)</f>
      </c>
    </row>
    <row r="35" spans="2:11" x14ac:dyDescent="0.25">
      <c r="B35" s="18">
        <f>IF('Mülk Kartları'!B35="","",'Mülk Kartları'!B35)</f>
      </c>
      <c r="C35" s="18">
        <f>IF('Mülk Kartları'!C35="","",'Mülk Kartları'!C35)</f>
      </c>
      <c r="D35" s="19">
        <f>IF($B35="",0,'Mülk Kartları'!H35)</f>
      </c>
      <c r="E35" s="19">
        <f>IF($B35="",0,SUMIF('Kiracı Kartları'!$C$5:$C$104,$B35,'Kiracı Kartları'!$H$5:$H$104)*12)</f>
      </c>
      <c r="F35" s="19">
        <f>IF($B35="",0,'Mülk Kartları'!I35*12+'Mülk Kartları'!J35+'Mülk Kartları'!K35+'Mülk Kartları'!L35)</f>
      </c>
      <c r="G35" s="21">
        <f>IF($B35="","",$E35-$F35)</f>
      </c>
      <c r="H35" s="19">
        <f>IF($B35="",0,'Mülk Kartları'!H35-'Mülk Kartları'!G35)</f>
      </c>
      <c r="I35" s="22">
        <f>IF(OR($B35="",$D35=0),"",$E35/$D35)</f>
      </c>
      <c r="J35" s="23">
        <f>IF(OR($B35="",$D35=0),"",$G35/$D35)</f>
      </c>
      <c r="K35" s="24">
        <f>IF(OR($B35="",$G35&lt;=0),"",$D35/$G35)</f>
      </c>
    </row>
    <row r="36" spans="2:11" x14ac:dyDescent="0.25">
      <c r="B36" s="18">
        <f>IF('Mülk Kartları'!B36="","",'Mülk Kartları'!B36)</f>
      </c>
      <c r="C36" s="18">
        <f>IF('Mülk Kartları'!C36="","",'Mülk Kartları'!C36)</f>
      </c>
      <c r="D36" s="19">
        <f>IF($B36="",0,'Mülk Kartları'!H36)</f>
      </c>
      <c r="E36" s="19">
        <f>IF($B36="",0,SUMIF('Kiracı Kartları'!$C$5:$C$104,$B36,'Kiracı Kartları'!$H$5:$H$104)*12)</f>
      </c>
      <c r="F36" s="19">
        <f>IF($B36="",0,'Mülk Kartları'!I36*12+'Mülk Kartları'!J36+'Mülk Kartları'!K36+'Mülk Kartları'!L36)</f>
      </c>
      <c r="G36" s="21">
        <f>IF($B36="","",$E36-$F36)</f>
      </c>
      <c r="H36" s="19">
        <f>IF($B36="",0,'Mülk Kartları'!H36-'Mülk Kartları'!G36)</f>
      </c>
      <c r="I36" s="22">
        <f>IF(OR($B36="",$D36=0),"",$E36/$D36)</f>
      </c>
      <c r="J36" s="23">
        <f>IF(OR($B36="",$D36=0),"",$G36/$D36)</f>
      </c>
      <c r="K36" s="24">
        <f>IF(OR($B36="",$G36&lt;=0),"",$D36/$G36)</f>
      </c>
    </row>
    <row r="37" spans="2:11" x14ac:dyDescent="0.25">
      <c r="B37" s="18">
        <f>IF('Mülk Kartları'!B37="","",'Mülk Kartları'!B37)</f>
      </c>
      <c r="C37" s="18">
        <f>IF('Mülk Kartları'!C37="","",'Mülk Kartları'!C37)</f>
      </c>
      <c r="D37" s="19">
        <f>IF($B37="",0,'Mülk Kartları'!H37)</f>
      </c>
      <c r="E37" s="19">
        <f>IF($B37="",0,SUMIF('Kiracı Kartları'!$C$5:$C$104,$B37,'Kiracı Kartları'!$H$5:$H$104)*12)</f>
      </c>
      <c r="F37" s="19">
        <f>IF($B37="",0,'Mülk Kartları'!I37*12+'Mülk Kartları'!J37+'Mülk Kartları'!K37+'Mülk Kartları'!L37)</f>
      </c>
      <c r="G37" s="21">
        <f>IF($B37="","",$E37-$F37)</f>
      </c>
      <c r="H37" s="19">
        <f>IF($B37="",0,'Mülk Kartları'!H37-'Mülk Kartları'!G37)</f>
      </c>
      <c r="I37" s="22">
        <f>IF(OR($B37="",$D37=0),"",$E37/$D37)</f>
      </c>
      <c r="J37" s="23">
        <f>IF(OR($B37="",$D37=0),"",$G37/$D37)</f>
      </c>
      <c r="K37" s="24">
        <f>IF(OR($B37="",$G37&lt;=0),"",$D37/$G37)</f>
      </c>
    </row>
    <row r="38" spans="2:11" x14ac:dyDescent="0.25">
      <c r="B38" s="18">
        <f>IF('Mülk Kartları'!B38="","",'Mülk Kartları'!B38)</f>
      </c>
      <c r="C38" s="18">
        <f>IF('Mülk Kartları'!C38="","",'Mülk Kartları'!C38)</f>
      </c>
      <c r="D38" s="19">
        <f>IF($B38="",0,'Mülk Kartları'!H38)</f>
      </c>
      <c r="E38" s="19">
        <f>IF($B38="",0,SUMIF('Kiracı Kartları'!$C$5:$C$104,$B38,'Kiracı Kartları'!$H$5:$H$104)*12)</f>
      </c>
      <c r="F38" s="19">
        <f>IF($B38="",0,'Mülk Kartları'!I38*12+'Mülk Kartları'!J38+'Mülk Kartları'!K38+'Mülk Kartları'!L38)</f>
      </c>
      <c r="G38" s="21">
        <f>IF($B38="","",$E38-$F38)</f>
      </c>
      <c r="H38" s="19">
        <f>IF($B38="",0,'Mülk Kartları'!H38-'Mülk Kartları'!G38)</f>
      </c>
      <c r="I38" s="22">
        <f>IF(OR($B38="",$D38=0),"",$E38/$D38)</f>
      </c>
      <c r="J38" s="23">
        <f>IF(OR($B38="",$D38=0),"",$G38/$D38)</f>
      </c>
      <c r="K38" s="24">
        <f>IF(OR($B38="",$G38&lt;=0),"",$D38/$G38)</f>
      </c>
    </row>
    <row r="39" spans="2:11" x14ac:dyDescent="0.25">
      <c r="B39" s="18">
        <f>IF('Mülk Kartları'!B39="","",'Mülk Kartları'!B39)</f>
      </c>
      <c r="C39" s="18">
        <f>IF('Mülk Kartları'!C39="","",'Mülk Kartları'!C39)</f>
      </c>
      <c r="D39" s="19">
        <f>IF($B39="",0,'Mülk Kartları'!H39)</f>
      </c>
      <c r="E39" s="19">
        <f>IF($B39="",0,SUMIF('Kiracı Kartları'!$C$5:$C$104,$B39,'Kiracı Kartları'!$H$5:$H$104)*12)</f>
      </c>
      <c r="F39" s="19">
        <f>IF($B39="",0,'Mülk Kartları'!I39*12+'Mülk Kartları'!J39+'Mülk Kartları'!K39+'Mülk Kartları'!L39)</f>
      </c>
      <c r="G39" s="21">
        <f>IF($B39="","",$E39-$F39)</f>
      </c>
      <c r="H39" s="19">
        <f>IF($B39="",0,'Mülk Kartları'!H39-'Mülk Kartları'!G39)</f>
      </c>
      <c r="I39" s="22">
        <f>IF(OR($B39="",$D39=0),"",$E39/$D39)</f>
      </c>
      <c r="J39" s="23">
        <f>IF(OR($B39="",$D39=0),"",$G39/$D39)</f>
      </c>
      <c r="K39" s="24">
        <f>IF(OR($B39="",$G39&lt;=0),"",$D39/$G39)</f>
      </c>
    </row>
    <row r="40" spans="2:11" x14ac:dyDescent="0.25">
      <c r="B40" s="18">
        <f>IF('Mülk Kartları'!B40="","",'Mülk Kartları'!B40)</f>
      </c>
      <c r="C40" s="18">
        <f>IF('Mülk Kartları'!C40="","",'Mülk Kartları'!C40)</f>
      </c>
      <c r="D40" s="19">
        <f>IF($B40="",0,'Mülk Kartları'!H40)</f>
      </c>
      <c r="E40" s="19">
        <f>IF($B40="",0,SUMIF('Kiracı Kartları'!$C$5:$C$104,$B40,'Kiracı Kartları'!$H$5:$H$104)*12)</f>
      </c>
      <c r="F40" s="19">
        <f>IF($B40="",0,'Mülk Kartları'!I40*12+'Mülk Kartları'!J40+'Mülk Kartları'!K40+'Mülk Kartları'!L40)</f>
      </c>
      <c r="G40" s="21">
        <f>IF($B40="","",$E40-$F40)</f>
      </c>
      <c r="H40" s="19">
        <f>IF($B40="",0,'Mülk Kartları'!H40-'Mülk Kartları'!G40)</f>
      </c>
      <c r="I40" s="22">
        <f>IF(OR($B40="",$D40=0),"",$E40/$D40)</f>
      </c>
      <c r="J40" s="23">
        <f>IF(OR($B40="",$D40=0),"",$G40/$D40)</f>
      </c>
      <c r="K40" s="24">
        <f>IF(OR($B40="",$G40&lt;=0),"",$D40/$G40)</f>
      </c>
    </row>
    <row r="41" spans="2:11" x14ac:dyDescent="0.25">
      <c r="B41" s="18">
        <f>IF('Mülk Kartları'!B41="","",'Mülk Kartları'!B41)</f>
      </c>
      <c r="C41" s="18">
        <f>IF('Mülk Kartları'!C41="","",'Mülk Kartları'!C41)</f>
      </c>
      <c r="D41" s="19">
        <f>IF($B41="",0,'Mülk Kartları'!H41)</f>
      </c>
      <c r="E41" s="19">
        <f>IF($B41="",0,SUMIF('Kiracı Kartları'!$C$5:$C$104,$B41,'Kiracı Kartları'!$H$5:$H$104)*12)</f>
      </c>
      <c r="F41" s="19">
        <f>IF($B41="",0,'Mülk Kartları'!I41*12+'Mülk Kartları'!J41+'Mülk Kartları'!K41+'Mülk Kartları'!L41)</f>
      </c>
      <c r="G41" s="21">
        <f>IF($B41="","",$E41-$F41)</f>
      </c>
      <c r="H41" s="19">
        <f>IF($B41="",0,'Mülk Kartları'!H41-'Mülk Kartları'!G41)</f>
      </c>
      <c r="I41" s="22">
        <f>IF(OR($B41="",$D41=0),"",$E41/$D41)</f>
      </c>
      <c r="J41" s="23">
        <f>IF(OR($B41="",$D41=0),"",$G41/$D41)</f>
      </c>
      <c r="K41" s="24">
        <f>IF(OR($B41="",$G41&lt;=0),"",$D41/$G41)</f>
      </c>
    </row>
    <row r="42" spans="2:11" x14ac:dyDescent="0.25">
      <c r="B42" s="18">
        <f>IF('Mülk Kartları'!B42="","",'Mülk Kartları'!B42)</f>
      </c>
      <c r="C42" s="18">
        <f>IF('Mülk Kartları'!C42="","",'Mülk Kartları'!C42)</f>
      </c>
      <c r="D42" s="19">
        <f>IF($B42="",0,'Mülk Kartları'!H42)</f>
      </c>
      <c r="E42" s="19">
        <f>IF($B42="",0,SUMIF('Kiracı Kartları'!$C$5:$C$104,$B42,'Kiracı Kartları'!$H$5:$H$104)*12)</f>
      </c>
      <c r="F42" s="19">
        <f>IF($B42="",0,'Mülk Kartları'!I42*12+'Mülk Kartları'!J42+'Mülk Kartları'!K42+'Mülk Kartları'!L42)</f>
      </c>
      <c r="G42" s="21">
        <f>IF($B42="","",$E42-$F42)</f>
      </c>
      <c r="H42" s="19">
        <f>IF($B42="",0,'Mülk Kartları'!H42-'Mülk Kartları'!G42)</f>
      </c>
      <c r="I42" s="22">
        <f>IF(OR($B42="",$D42=0),"",$E42/$D42)</f>
      </c>
      <c r="J42" s="23">
        <f>IF(OR($B42="",$D42=0),"",$G42/$D42)</f>
      </c>
      <c r="K42" s="24">
        <f>IF(OR($B42="",$G42&lt;=0),"",$D42/$G42)</f>
      </c>
    </row>
    <row r="43" spans="2:11" x14ac:dyDescent="0.25">
      <c r="B43" s="18">
        <f>IF('Mülk Kartları'!B43="","",'Mülk Kartları'!B43)</f>
      </c>
      <c r="C43" s="18">
        <f>IF('Mülk Kartları'!C43="","",'Mülk Kartları'!C43)</f>
      </c>
      <c r="D43" s="19">
        <f>IF($B43="",0,'Mülk Kartları'!H43)</f>
      </c>
      <c r="E43" s="19">
        <f>IF($B43="",0,SUMIF('Kiracı Kartları'!$C$5:$C$104,$B43,'Kiracı Kartları'!$H$5:$H$104)*12)</f>
      </c>
      <c r="F43" s="19">
        <f>IF($B43="",0,'Mülk Kartları'!I43*12+'Mülk Kartları'!J43+'Mülk Kartları'!K43+'Mülk Kartları'!L43)</f>
      </c>
      <c r="G43" s="21">
        <f>IF($B43="","",$E43-$F43)</f>
      </c>
      <c r="H43" s="19">
        <f>IF($B43="",0,'Mülk Kartları'!H43-'Mülk Kartları'!G43)</f>
      </c>
      <c r="I43" s="22">
        <f>IF(OR($B43="",$D43=0),"",$E43/$D43)</f>
      </c>
      <c r="J43" s="23">
        <f>IF(OR($B43="",$D43=0),"",$G43/$D43)</f>
      </c>
      <c r="K43" s="24">
        <f>IF(OR($B43="",$G43&lt;=0),"",$D43/$G43)</f>
      </c>
    </row>
    <row r="44" spans="2:11" x14ac:dyDescent="0.25">
      <c r="B44" s="18">
        <f>IF('Mülk Kartları'!B44="","",'Mülk Kartları'!B44)</f>
      </c>
      <c r="C44" s="18">
        <f>IF('Mülk Kartları'!C44="","",'Mülk Kartları'!C44)</f>
      </c>
      <c r="D44" s="19">
        <f>IF($B44="",0,'Mülk Kartları'!H44)</f>
      </c>
      <c r="E44" s="19">
        <f>IF($B44="",0,SUMIF('Kiracı Kartları'!$C$5:$C$104,$B44,'Kiracı Kartları'!$H$5:$H$104)*12)</f>
      </c>
      <c r="F44" s="19">
        <f>IF($B44="",0,'Mülk Kartları'!I44*12+'Mülk Kartları'!J44+'Mülk Kartları'!K44+'Mülk Kartları'!L44)</f>
      </c>
      <c r="G44" s="21">
        <f>IF($B44="","",$E44-$F44)</f>
      </c>
      <c r="H44" s="19">
        <f>IF($B44="",0,'Mülk Kartları'!H44-'Mülk Kartları'!G44)</f>
      </c>
      <c r="I44" s="22">
        <f>IF(OR($B44="",$D44=0),"",$E44/$D44)</f>
      </c>
      <c r="J44" s="23">
        <f>IF(OR($B44="",$D44=0),"",$G44/$D44)</f>
      </c>
      <c r="K44" s="24">
        <f>IF(OR($B44="",$G44&lt;=0),"",$D44/$G44)</f>
      </c>
    </row>
    <row r="45" spans="2:11" x14ac:dyDescent="0.25">
      <c r="B45" s="18">
        <f>IF('Mülk Kartları'!B45="","",'Mülk Kartları'!B45)</f>
      </c>
      <c r="C45" s="18">
        <f>IF('Mülk Kartları'!C45="","",'Mülk Kartları'!C45)</f>
      </c>
      <c r="D45" s="19">
        <f>IF($B45="",0,'Mülk Kartları'!H45)</f>
      </c>
      <c r="E45" s="19">
        <f>IF($B45="",0,SUMIF('Kiracı Kartları'!$C$5:$C$104,$B45,'Kiracı Kartları'!$H$5:$H$104)*12)</f>
      </c>
      <c r="F45" s="19">
        <f>IF($B45="",0,'Mülk Kartları'!I45*12+'Mülk Kartları'!J45+'Mülk Kartları'!K45+'Mülk Kartları'!L45)</f>
      </c>
      <c r="G45" s="21">
        <f>IF($B45="","",$E45-$F45)</f>
      </c>
      <c r="H45" s="19">
        <f>IF($B45="",0,'Mülk Kartları'!H45-'Mülk Kartları'!G45)</f>
      </c>
      <c r="I45" s="22">
        <f>IF(OR($B45="",$D45=0),"",$E45/$D45)</f>
      </c>
      <c r="J45" s="23">
        <f>IF(OR($B45="",$D45=0),"",$G45/$D45)</f>
      </c>
      <c r="K45" s="24">
        <f>IF(OR($B45="",$G45&lt;=0),"",$D45/$G45)</f>
      </c>
    </row>
    <row r="46" spans="2:11" x14ac:dyDescent="0.25">
      <c r="B46" s="18">
        <f>IF('Mülk Kartları'!B46="","",'Mülk Kartları'!B46)</f>
      </c>
      <c r="C46" s="18">
        <f>IF('Mülk Kartları'!C46="","",'Mülk Kartları'!C46)</f>
      </c>
      <c r="D46" s="19">
        <f>IF($B46="",0,'Mülk Kartları'!H46)</f>
      </c>
      <c r="E46" s="19">
        <f>IF($B46="",0,SUMIF('Kiracı Kartları'!$C$5:$C$104,$B46,'Kiracı Kartları'!$H$5:$H$104)*12)</f>
      </c>
      <c r="F46" s="19">
        <f>IF($B46="",0,'Mülk Kartları'!I46*12+'Mülk Kartları'!J46+'Mülk Kartları'!K46+'Mülk Kartları'!L46)</f>
      </c>
      <c r="G46" s="21">
        <f>IF($B46="","",$E46-$F46)</f>
      </c>
      <c r="H46" s="19">
        <f>IF($B46="",0,'Mülk Kartları'!H46-'Mülk Kartları'!G46)</f>
      </c>
      <c r="I46" s="22">
        <f>IF(OR($B46="",$D46=0),"",$E46/$D46)</f>
      </c>
      <c r="J46" s="23">
        <f>IF(OR($B46="",$D46=0),"",$G46/$D46)</f>
      </c>
      <c r="K46" s="24">
        <f>IF(OR($B46="",$G46&lt;=0),"",$D46/$G46)</f>
      </c>
    </row>
    <row r="47" spans="2:11" x14ac:dyDescent="0.25">
      <c r="B47" s="18">
        <f>IF('Mülk Kartları'!B47="","",'Mülk Kartları'!B47)</f>
      </c>
      <c r="C47" s="18">
        <f>IF('Mülk Kartları'!C47="","",'Mülk Kartları'!C47)</f>
      </c>
      <c r="D47" s="19">
        <f>IF($B47="",0,'Mülk Kartları'!H47)</f>
      </c>
      <c r="E47" s="19">
        <f>IF($B47="",0,SUMIF('Kiracı Kartları'!$C$5:$C$104,$B47,'Kiracı Kartları'!$H$5:$H$104)*12)</f>
      </c>
      <c r="F47" s="19">
        <f>IF($B47="",0,'Mülk Kartları'!I47*12+'Mülk Kartları'!J47+'Mülk Kartları'!K47+'Mülk Kartları'!L47)</f>
      </c>
      <c r="G47" s="21">
        <f>IF($B47="","",$E47-$F47)</f>
      </c>
      <c r="H47" s="19">
        <f>IF($B47="",0,'Mülk Kartları'!H47-'Mülk Kartları'!G47)</f>
      </c>
      <c r="I47" s="22">
        <f>IF(OR($B47="",$D47=0),"",$E47/$D47)</f>
      </c>
      <c r="J47" s="23">
        <f>IF(OR($B47="",$D47=0),"",$G47/$D47)</f>
      </c>
      <c r="K47" s="24">
        <f>IF(OR($B47="",$G47&lt;=0),"",$D47/$G47)</f>
      </c>
    </row>
    <row r="48" spans="2:11" x14ac:dyDescent="0.25">
      <c r="B48" s="18">
        <f>IF('Mülk Kartları'!B48="","",'Mülk Kartları'!B48)</f>
      </c>
      <c r="C48" s="18">
        <f>IF('Mülk Kartları'!C48="","",'Mülk Kartları'!C48)</f>
      </c>
      <c r="D48" s="19">
        <f>IF($B48="",0,'Mülk Kartları'!H48)</f>
      </c>
      <c r="E48" s="19">
        <f>IF($B48="",0,SUMIF('Kiracı Kartları'!$C$5:$C$104,$B48,'Kiracı Kartları'!$H$5:$H$104)*12)</f>
      </c>
      <c r="F48" s="19">
        <f>IF($B48="",0,'Mülk Kartları'!I48*12+'Mülk Kartları'!J48+'Mülk Kartları'!K48+'Mülk Kartları'!L48)</f>
      </c>
      <c r="G48" s="21">
        <f>IF($B48="","",$E48-$F48)</f>
      </c>
      <c r="H48" s="19">
        <f>IF($B48="",0,'Mülk Kartları'!H48-'Mülk Kartları'!G48)</f>
      </c>
      <c r="I48" s="22">
        <f>IF(OR($B48="",$D48=0),"",$E48/$D48)</f>
      </c>
      <c r="J48" s="23">
        <f>IF(OR($B48="",$D48=0),"",$G48/$D48)</f>
      </c>
      <c r="K48" s="24">
        <f>IF(OR($B48="",$G48&lt;=0),"",$D48/$G48)</f>
      </c>
    </row>
    <row r="49" spans="2:11" x14ac:dyDescent="0.25">
      <c r="B49" s="18">
        <f>IF('Mülk Kartları'!B49="","",'Mülk Kartları'!B49)</f>
      </c>
      <c r="C49" s="18">
        <f>IF('Mülk Kartları'!C49="","",'Mülk Kartları'!C49)</f>
      </c>
      <c r="D49" s="19">
        <f>IF($B49="",0,'Mülk Kartları'!H49)</f>
      </c>
      <c r="E49" s="19">
        <f>IF($B49="",0,SUMIF('Kiracı Kartları'!$C$5:$C$104,$B49,'Kiracı Kartları'!$H$5:$H$104)*12)</f>
      </c>
      <c r="F49" s="19">
        <f>IF($B49="",0,'Mülk Kartları'!I49*12+'Mülk Kartları'!J49+'Mülk Kartları'!K49+'Mülk Kartları'!L49)</f>
      </c>
      <c r="G49" s="21">
        <f>IF($B49="","",$E49-$F49)</f>
      </c>
      <c r="H49" s="19">
        <f>IF($B49="",0,'Mülk Kartları'!H49-'Mülk Kartları'!G49)</f>
      </c>
      <c r="I49" s="22">
        <f>IF(OR($B49="",$D49=0),"",$E49/$D49)</f>
      </c>
      <c r="J49" s="23">
        <f>IF(OR($B49="",$D49=0),"",$G49/$D49)</f>
      </c>
      <c r="K49" s="24">
        <f>IF(OR($B49="",$G49&lt;=0),"",$D49/$G49)</f>
      </c>
    </row>
    <row r="50" spans="2:11" x14ac:dyDescent="0.25">
      <c r="B50" s="18">
        <f>IF('Mülk Kartları'!B50="","",'Mülk Kartları'!B50)</f>
      </c>
      <c r="C50" s="18">
        <f>IF('Mülk Kartları'!C50="","",'Mülk Kartları'!C50)</f>
      </c>
      <c r="D50" s="19">
        <f>IF($B50="",0,'Mülk Kartları'!H50)</f>
      </c>
      <c r="E50" s="19">
        <f>IF($B50="",0,SUMIF('Kiracı Kartları'!$C$5:$C$104,$B50,'Kiracı Kartları'!$H$5:$H$104)*12)</f>
      </c>
      <c r="F50" s="19">
        <f>IF($B50="",0,'Mülk Kartları'!I50*12+'Mülk Kartları'!J50+'Mülk Kartları'!K50+'Mülk Kartları'!L50)</f>
      </c>
      <c r="G50" s="21">
        <f>IF($B50="","",$E50-$F50)</f>
      </c>
      <c r="H50" s="19">
        <f>IF($B50="",0,'Mülk Kartları'!H50-'Mülk Kartları'!G50)</f>
      </c>
      <c r="I50" s="22">
        <f>IF(OR($B50="",$D50=0),"",$E50/$D50)</f>
      </c>
      <c r="J50" s="23">
        <f>IF(OR($B50="",$D50=0),"",$G50/$D50)</f>
      </c>
      <c r="K50" s="24">
        <f>IF(OR($B50="",$G50&lt;=0),"",$D50/$G50)</f>
      </c>
    </row>
    <row r="51" spans="2:11" x14ac:dyDescent="0.25">
      <c r="B51" s="18">
        <f>IF('Mülk Kartları'!B51="","",'Mülk Kartları'!B51)</f>
      </c>
      <c r="C51" s="18">
        <f>IF('Mülk Kartları'!C51="","",'Mülk Kartları'!C51)</f>
      </c>
      <c r="D51" s="19">
        <f>IF($B51="",0,'Mülk Kartları'!H51)</f>
      </c>
      <c r="E51" s="19">
        <f>IF($B51="",0,SUMIF('Kiracı Kartları'!$C$5:$C$104,$B51,'Kiracı Kartları'!$H$5:$H$104)*12)</f>
      </c>
      <c r="F51" s="19">
        <f>IF($B51="",0,'Mülk Kartları'!I51*12+'Mülk Kartları'!J51+'Mülk Kartları'!K51+'Mülk Kartları'!L51)</f>
      </c>
      <c r="G51" s="21">
        <f>IF($B51="","",$E51-$F51)</f>
      </c>
      <c r="H51" s="19">
        <f>IF($B51="",0,'Mülk Kartları'!H51-'Mülk Kartları'!G51)</f>
      </c>
      <c r="I51" s="22">
        <f>IF(OR($B51="",$D51=0),"",$E51/$D51)</f>
      </c>
      <c r="J51" s="23">
        <f>IF(OR($B51="",$D51=0),"",$G51/$D51)</f>
      </c>
      <c r="K51" s="24">
        <f>IF(OR($B51="",$G51&lt;=0),"",$D51/$G51)</f>
      </c>
    </row>
    <row r="52" spans="2:11" x14ac:dyDescent="0.25">
      <c r="B52" s="18">
        <f>IF('Mülk Kartları'!B52="","",'Mülk Kartları'!B52)</f>
      </c>
      <c r="C52" s="18">
        <f>IF('Mülk Kartları'!C52="","",'Mülk Kartları'!C52)</f>
      </c>
      <c r="D52" s="19">
        <f>IF($B52="",0,'Mülk Kartları'!H52)</f>
      </c>
      <c r="E52" s="19">
        <f>IF($B52="",0,SUMIF('Kiracı Kartları'!$C$5:$C$104,$B52,'Kiracı Kartları'!$H$5:$H$104)*12)</f>
      </c>
      <c r="F52" s="19">
        <f>IF($B52="",0,'Mülk Kartları'!I52*12+'Mülk Kartları'!J52+'Mülk Kartları'!K52+'Mülk Kartları'!L52)</f>
      </c>
      <c r="G52" s="21">
        <f>IF($B52="","",$E52-$F52)</f>
      </c>
      <c r="H52" s="19">
        <f>IF($B52="",0,'Mülk Kartları'!H52-'Mülk Kartları'!G52)</f>
      </c>
      <c r="I52" s="22">
        <f>IF(OR($B52="",$D52=0),"",$E52/$D52)</f>
      </c>
      <c r="J52" s="23">
        <f>IF(OR($B52="",$D52=0),"",$G52/$D52)</f>
      </c>
      <c r="K52" s="24">
        <f>IF(OR($B52="",$G52&lt;=0),"",$D52/$G52)</f>
      </c>
    </row>
    <row r="53" spans="2:11" x14ac:dyDescent="0.25">
      <c r="B53" s="18">
        <f>IF('Mülk Kartları'!B53="","",'Mülk Kartları'!B53)</f>
      </c>
      <c r="C53" s="18">
        <f>IF('Mülk Kartları'!C53="","",'Mülk Kartları'!C53)</f>
      </c>
      <c r="D53" s="19">
        <f>IF($B53="",0,'Mülk Kartları'!H53)</f>
      </c>
      <c r="E53" s="19">
        <f>IF($B53="",0,SUMIF('Kiracı Kartları'!$C$5:$C$104,$B53,'Kiracı Kartları'!$H$5:$H$104)*12)</f>
      </c>
      <c r="F53" s="19">
        <f>IF($B53="",0,'Mülk Kartları'!I53*12+'Mülk Kartları'!J53+'Mülk Kartları'!K53+'Mülk Kartları'!L53)</f>
      </c>
      <c r="G53" s="21">
        <f>IF($B53="","",$E53-$F53)</f>
      </c>
      <c r="H53" s="19">
        <f>IF($B53="",0,'Mülk Kartları'!H53-'Mülk Kartları'!G53)</f>
      </c>
      <c r="I53" s="22">
        <f>IF(OR($B53="",$D53=0),"",$E53/$D53)</f>
      </c>
      <c r="J53" s="23">
        <f>IF(OR($B53="",$D53=0),"",$G53/$D53)</f>
      </c>
      <c r="K53" s="24">
        <f>IF(OR($B53="",$G53&lt;=0),"",$D53/$G53)</f>
      </c>
    </row>
    <row r="54" spans="2:11" x14ac:dyDescent="0.25">
      <c r="B54" s="18">
        <f>IF('Mülk Kartları'!B54="","",'Mülk Kartları'!B54)</f>
      </c>
      <c r="C54" s="18">
        <f>IF('Mülk Kartları'!C54="","",'Mülk Kartları'!C54)</f>
      </c>
      <c r="D54" s="19">
        <f>IF($B54="",0,'Mülk Kartları'!H54)</f>
      </c>
      <c r="E54" s="19">
        <f>IF($B54="",0,SUMIF('Kiracı Kartları'!$C$5:$C$104,$B54,'Kiracı Kartları'!$H$5:$H$104)*12)</f>
      </c>
      <c r="F54" s="19">
        <f>IF($B54="",0,'Mülk Kartları'!I54*12+'Mülk Kartları'!J54+'Mülk Kartları'!K54+'Mülk Kartları'!L54)</f>
      </c>
      <c r="G54" s="21">
        <f>IF($B54="","",$E54-$F54)</f>
      </c>
      <c r="H54" s="19">
        <f>IF($B54="",0,'Mülk Kartları'!H54-'Mülk Kartları'!G54)</f>
      </c>
      <c r="I54" s="22">
        <f>IF(OR($B54="",$D54=0),"",$E54/$D54)</f>
      </c>
      <c r="J54" s="23">
        <f>IF(OR($B54="",$D54=0),"",$G54/$D54)</f>
      </c>
      <c r="K54" s="24">
        <f>IF(OR($B54="",$G54&lt;=0),"",$D54/$G54)</f>
      </c>
    </row>
    <row r="56" spans="3:8" x14ac:dyDescent="0.25">
      <c r="C56" s="25" t="s">
        <v>89</v>
      </c>
      <c r="D56" s="26">
        <f>SUM(D5:D54)</f>
      </c>
      <c r="E56" s="26">
        <f>SUM(E5:E54)</f>
      </c>
      <c r="F56" s="26">
        <f>SUM(F5:F54)</f>
      </c>
      <c r="G56" s="26">
        <f>SUM(G5:G54)</f>
      </c>
      <c r="H56" s="26">
        <f>SUM(H5:H54)</f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F14"/>
  <sheetFormatPr defaultRowHeight="15" outlineLevelRow="0" outlineLevelCol="0" x14ac:dyDescent="55"/>
  <cols>
    <col min="1" max="1" width="3" customWidth="1"/>
    <col min="2" max="2" width="30" customWidth="1"/>
    <col min="3" max="3" width="20" customWidth="1"/>
    <col min="4" max="4" width="4" customWidth="1"/>
    <col min="5" max="5" width="30" customWidth="1"/>
    <col min="6" max="6" width="20" customWidth="1"/>
  </cols>
  <sheetData>
    <row r="1" ht="34" customHeight="1" spans="1:6" x14ac:dyDescent="0.25">
      <c r="A1" s="1" t="s">
        <v>90</v>
      </c>
      <c r="B1" s="1"/>
      <c r="C1" s="1"/>
      <c r="D1" s="1"/>
      <c r="E1" s="1"/>
      <c r="F1" s="1"/>
    </row>
    <row r="2" ht="20" customHeight="1" spans="1:6" x14ac:dyDescent="0.25">
      <c r="A2" s="2" t="s">
        <v>91</v>
      </c>
      <c r="B2" s="2"/>
      <c r="C2" s="2"/>
      <c r="D2" s="2"/>
      <c r="E2" s="2"/>
      <c r="F2" s="2"/>
    </row>
    <row r="4" spans="2:6" x14ac:dyDescent="0.25">
      <c r="B4" s="27" t="s">
        <v>92</v>
      </c>
      <c r="C4" s="28">
        <f>'Getiri Analizi'!D56</f>
      </c>
      <c r="E4" s="27" t="s">
        <v>93</v>
      </c>
      <c r="F4" s="29">
        <f>IF('Getiri Analizi'!D56=0,0,'Getiri Analizi'!G56/'Getiri Analizi'!D56)</f>
      </c>
    </row>
    <row r="5" spans="2:6" x14ac:dyDescent="0.25">
      <c r="B5" s="27" t="s">
        <v>94</v>
      </c>
      <c r="C5" s="28">
        <f>'Getiri Analizi'!E56</f>
      </c>
      <c r="E5" s="27" t="s">
        <v>95</v>
      </c>
      <c r="F5" s="28">
        <f>'Getiri Analizi'!H56</f>
      </c>
    </row>
    <row r="6" spans="2:6" x14ac:dyDescent="0.25">
      <c r="B6" s="27" t="s">
        <v>96</v>
      </c>
      <c r="C6" s="28">
        <f>'Getiri Analizi'!F56</f>
      </c>
      <c r="E6" s="27" t="s">
        <v>97</v>
      </c>
      <c r="F6" s="30">
        <f>COUNTA('Mülk Kartları'!$B$5:$B$54)</f>
      </c>
    </row>
    <row r="7" spans="2:6" x14ac:dyDescent="0.25">
      <c r="B7" s="27" t="s">
        <v>98</v>
      </c>
      <c r="C7" s="28">
        <f>'Getiri Analizi'!G56</f>
      </c>
      <c r="E7" s="27" t="s">
        <v>99</v>
      </c>
      <c r="F7" s="30">
        <f>COUNTIF('Kiracı Kartları'!$K$5:$K$104,"Aktif")</f>
      </c>
    </row>
    <row r="9" spans="2:6" x14ac:dyDescent="0.25">
      <c r="B9" s="27" t="s">
        <v>100</v>
      </c>
      <c r="C9" s="28">
        <f>SUM('Kira Tahsilat'!$Q$5:$Q$104)</f>
      </c>
      <c r="E9" s="27" t="s">
        <v>101</v>
      </c>
      <c r="F9" s="31">
        <f>IFERROR(AVERAGEIF('Kira Tahsilat'!$R$5:$R$104,"&gt;0"),0)</f>
      </c>
    </row>
    <row r="10" spans="2:6" x14ac:dyDescent="0.25">
      <c r="B10" s="27" t="s">
        <v>102</v>
      </c>
      <c r="C10" s="28">
        <f>MAX('Getiri Analizi'!E56-SUM('Kira Tahsilat'!$Q$5:$Q$104),0)</f>
      </c>
      <c r="E10" s="27" t="s">
        <v>103</v>
      </c>
      <c r="F10" s="32">
        <f>IFERROR(AVERAGEIF('Getiri Analizi'!$K$5:$K$54,"&gt;0"),0)</f>
      </c>
    </row>
    <row r="12" spans="2:6" x14ac:dyDescent="0.25">
      <c r="B12" s="33" t="s">
        <v>104</v>
      </c>
      <c r="C12" s="33"/>
      <c r="D12" s="33"/>
      <c r="E12" s="33"/>
      <c r="F12" s="33"/>
    </row>
    <row r="13" spans="2:6" x14ac:dyDescent="0.25">
      <c r="B13" s="33"/>
      <c r="C13" s="33"/>
      <c r="D13" s="33"/>
      <c r="E13" s="33"/>
      <c r="F13" s="33"/>
    </row>
    <row r="14" spans="2:6" x14ac:dyDescent="0.25">
      <c r="B14" s="33"/>
      <c r="C14" s="33"/>
      <c r="D14" s="33"/>
      <c r="E14" s="33"/>
      <c r="F14" s="33"/>
    </row>
  </sheetData>
  <mergeCells count="3">
    <mergeCell ref="A1:F1"/>
    <mergeCell ref="A2:F2"/>
    <mergeCell ref="B12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C10"/>
  <sheetFormatPr defaultRowHeight="15" outlineLevelRow="0" outlineLevelCol="0" x14ac:dyDescent="55"/>
  <cols>
    <col min="1" max="1" width="3" customWidth="1"/>
    <col min="2" max="3" width="20" customWidth="1"/>
  </cols>
  <sheetData>
    <row r="1" ht="34" customHeight="1" spans="1:3" x14ac:dyDescent="0.25">
      <c r="A1" s="1" t="s">
        <v>105</v>
      </c>
      <c r="B1" s="1"/>
      <c r="C1" s="1"/>
    </row>
    <row r="2" ht="20" customHeight="1" spans="1:3" x14ac:dyDescent="0.25">
      <c r="A2" s="2" t="s">
        <v>106</v>
      </c>
      <c r="B2" s="2"/>
      <c r="C2" s="2"/>
    </row>
    <row r="4" ht="30" customHeight="1" spans="1:3" x14ac:dyDescent="0.25">
      <c r="A4" s="7" t="s">
        <v>22</v>
      </c>
      <c r="B4" s="7" t="s">
        <v>107</v>
      </c>
      <c r="C4" s="7" t="s">
        <v>53</v>
      </c>
    </row>
    <row r="5" spans="2:3" x14ac:dyDescent="0.25">
      <c r="B5" s="34" t="s">
        <v>36</v>
      </c>
      <c r="C5" s="34" t="s">
        <v>57</v>
      </c>
    </row>
    <row r="6" spans="2:3" x14ac:dyDescent="0.25">
      <c r="B6" s="34" t="s">
        <v>42</v>
      </c>
      <c r="C6" s="34" t="s">
        <v>108</v>
      </c>
    </row>
    <row r="7" spans="2:3" x14ac:dyDescent="0.25">
      <c r="B7" s="34" t="s">
        <v>39</v>
      </c>
      <c r="C7" s="34" t="s">
        <v>109</v>
      </c>
    </row>
    <row r="8" spans="2:2" x14ac:dyDescent="0.25">
      <c r="B8" s="34" t="s">
        <v>110</v>
      </c>
    </row>
    <row r="9" spans="2:2" x14ac:dyDescent="0.25">
      <c r="B9" s="34" t="s">
        <v>111</v>
      </c>
    </row>
    <row r="10" spans="2:2" x14ac:dyDescent="0.25">
      <c r="B10" s="34" t="s">
        <v>112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Nasıl Kullanılır</vt:lpstr>
      <vt:lpstr>Mülk Kartları</vt:lpstr>
      <vt:lpstr>Kiracı Kartları</vt:lpstr>
      <vt:lpstr>Kira Tahsilat</vt:lpstr>
      <vt:lpstr>Getiri Analizi</vt:lpstr>
      <vt:lpstr>Dashboard</vt:lpstr>
      <vt:lpstr>Listeler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2026-09-11T07:41:18Z</dcterms:created>
  <dcterms:modified xsi:type="dcterms:W3CDTF">2026-09-11T07:41:18Z</dcterms:modified>
</cp:coreProperties>
</file>