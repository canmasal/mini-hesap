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sıl Kullanılır" state="visible" r:id="rId4"/>
    <sheet sheetId="2" name="Parametreler" state="visible" r:id="rId5"/>
    <sheet sheetId="3" name="Müşteri Kartları" state="visible" r:id="rId6"/>
    <sheet sheetId="4" name="Makbuzlar" state="visible" r:id="rId7"/>
    <sheet sheetId="5" name="Giderler" state="visible" r:id="rId8"/>
    <sheet sheetId="6" name="Geçici Vergi" state="visible" r:id="rId9"/>
    <sheet sheetId="7" name="Listeler" state="visible" r:id="rId10"/>
  </sheets>
  <definedNames>
    <definedName name="MusteriKodlari">'Müşteri Kartları'!$B$5:$B$104</definedName>
    <definedName name="GiderKategorileri">Listeler!$B$5:$B$18</definedName>
  </definedNames>
  <calcPr calcId="171027"/>
</workbook>
</file>

<file path=xl/sharedStrings.xml><?xml version="1.0" encoding="utf-8"?>
<sst xmlns="http://schemas.openxmlformats.org/spreadsheetml/2006/main" count="128" uniqueCount="114">
  <si>
    <t>Nasıl Kullanılır?</t>
  </si>
  <si>
    <t>MiniHesap · minihesap.net</t>
  </si>
  <si>
    <t>Bu dosya ne işe yarar?</t>
  </si>
  <si>
    <t>Serbest meslek erbabı (avukat, mali müşavir, doktor, danışman, yazılımcı) için makbuz, gider ve vergi takibi yapar. Çeyrek dönemlerde ödeyeceğiniz geçici vergiyi önceden hesaplar.</t>
  </si>
  <si>
    <t>Adım adım</t>
  </si>
  <si>
    <t>1. PARAMETRELER sayfasına stopaj, KDV ve geçici vergi oranlarını girin.</t>
  </si>
  <si>
    <t>2. MÜŞTERİ KARTLARI sayfasına müşterilerinizi ekleyin.</t>
  </si>
  <si>
    <t>3. MAKBUZLAR sayfasına kestiğiniz her serbest meslek makbuzunu işleyin.</t>
  </si>
  <si>
    <t>4. GİDERLER sayfasına mesleki giderlerinizi girin.</t>
  </si>
  <si>
    <t>5. GEÇİCİ VERGİ sayfası çeyrek bazında ödeyeceğiniz vergiyi gösterir.</t>
  </si>
  <si>
    <t>Serbest meslek makbuzu nasıl çalışır?</t>
  </si>
  <si>
    <t>Brüt tutar üzerinden %20 stopaj kesilir (kurumsal müşterilerde). Ayrıca %20 KDV eklenir.</t>
  </si>
  <si>
    <t>Elinize geçen = brüt - stopaj + KDV. KDV sizin geliriniz değildir, beyanla devlete ödersiniz.</t>
  </si>
  <si>
    <t>Yıl içinde kesilen stopajlar, geçici vergi ve yıllık beyanda mahsup edilir.</t>
  </si>
  <si>
    <t>Bireysel müşterilerde stopaj kesilmez; MAKBUZLAR sayfasında Stopaj Var sütununa 0 yazın.</t>
  </si>
  <si>
    <t>Geçici vergi</t>
  </si>
  <si>
    <t>Çeyrek dönemlerde (Ocak-Mart, Nisan-Haziran, Temmuz-Eylül) kazanç üzerinden ödenir.</t>
  </si>
  <si>
    <t>Kazanç = hasılat - mesleki gider. Vergi = kazanç x oran - önceki dönemlerde ödenen - kesilen stopaj.</t>
  </si>
  <si>
    <t>SARI hücreler sizin dolduracağınız alanlardır. GRİ ve YEŞİL hücreler formüllüdür, üzerlerine yazmayın.</t>
  </si>
  <si>
    <t>Bu dosyadaki hesaplamalar bilgilendirme amaçlıdır; resmî defter, bordro veya mali müşavir hizmeti yerine geçmez. © MiniHesap</t>
  </si>
  <si>
    <t>Parametreler</t>
  </si>
  <si>
    <t>Oranları dönemsel olarak güncelleyin</t>
  </si>
  <si>
    <t>Stopaj Oranı</t>
  </si>
  <si>
    <t>KDV Oranı</t>
  </si>
  <si>
    <t>Geçici Vergi Oranı</t>
  </si>
  <si>
    <t>Vergi Yılı</t>
  </si>
  <si>
    <t>Oranlar mevzuata göre değişir. Güncel oranları mali müşavirinizden teyit edin.</t>
  </si>
  <si>
    <t>Müşteri Kartları</t>
  </si>
  <si>
    <t>Makbuz keserken listeden seçilir</t>
  </si>
  <si>
    <t/>
  </si>
  <si>
    <t>Kod</t>
  </si>
  <si>
    <t>Unvan / Ad Soyad</t>
  </si>
  <si>
    <t>Tip</t>
  </si>
  <si>
    <t>Vergi No / TCKN</t>
  </si>
  <si>
    <t>E-posta</t>
  </si>
  <si>
    <t>Stopaj Var</t>
  </si>
  <si>
    <t>MS01</t>
  </si>
  <si>
    <t>Alfa Teknoloji A.Ş.</t>
  </si>
  <si>
    <t>Kurumsal</t>
  </si>
  <si>
    <t>1112223334</t>
  </si>
  <si>
    <t>muhasebe@alfa.com</t>
  </si>
  <si>
    <t>MS02</t>
  </si>
  <si>
    <t>Beta Danışmanlık Ltd.</t>
  </si>
  <si>
    <t>2223334445</t>
  </si>
  <si>
    <t>info@beta.com</t>
  </si>
  <si>
    <t>MS03</t>
  </si>
  <si>
    <t>Ahmet Yılmaz</t>
  </si>
  <si>
    <t>Bireysel</t>
  </si>
  <si>
    <t>11111111111</t>
  </si>
  <si>
    <t>Serbest Meslek Makbuzları</t>
  </si>
  <si>
    <t>Müşteriyi listeden seçin · stopaj ve KDV otomatik</t>
  </si>
  <si>
    <t>Tarih</t>
  </si>
  <si>
    <t>Makbuz No</t>
  </si>
  <si>
    <t>Müşteri Kodu</t>
  </si>
  <si>
    <t>Müşteri</t>
  </si>
  <si>
    <t>Brüt Tutar</t>
  </si>
  <si>
    <t>Stopaj</t>
  </si>
  <si>
    <t>KDV</t>
  </si>
  <si>
    <t>Tahsil Edilen</t>
  </si>
  <si>
    <t>Net Gelir (matrah)</t>
  </si>
  <si>
    <t>Tahsil</t>
  </si>
  <si>
    <t>Açıklama</t>
  </si>
  <si>
    <t>SMM2026001</t>
  </si>
  <si>
    <t>Ocak danışmanlık</t>
  </si>
  <si>
    <t>SMM2026002</t>
  </si>
  <si>
    <t>Proje bedeli</t>
  </si>
  <si>
    <t>SMM2026003</t>
  </si>
  <si>
    <t>Bireysel danışmanlık</t>
  </si>
  <si>
    <t>Mesleki Giderler</t>
  </si>
  <si>
    <t>Kazançtan düşülecek giderler</t>
  </si>
  <si>
    <t>Kategori</t>
  </si>
  <si>
    <t>Tutar (KDV hariç)</t>
  </si>
  <si>
    <t>KDV Tutarı</t>
  </si>
  <si>
    <t>Toplam</t>
  </si>
  <si>
    <t>Belge No</t>
  </si>
  <si>
    <t>Ofis Kirası</t>
  </si>
  <si>
    <t>Ocak kirası</t>
  </si>
  <si>
    <t>KR2026-01</t>
  </si>
  <si>
    <t>Yazılım / Abonelik</t>
  </si>
  <si>
    <t>Tasarım aracı</t>
  </si>
  <si>
    <t>ABN001</t>
  </si>
  <si>
    <t>Geçici Vergi Hesabı</t>
  </si>
  <si>
    <t>Çeyrek dönem bazında · kümülatif hesaplanır</t>
  </si>
  <si>
    <t>Dönem</t>
  </si>
  <si>
    <t>1. Çeyrek</t>
  </si>
  <si>
    <t>2. Çeyrek</t>
  </si>
  <si>
    <t>3. Çeyrek</t>
  </si>
  <si>
    <t>YIL TOPLAMI</t>
  </si>
  <si>
    <t>Hasılat (KDV hariç)</t>
  </si>
  <si>
    <t>Mesleki Gider</t>
  </si>
  <si>
    <t>KAZANÇ</t>
  </si>
  <si>
    <t>Geçici Vergi (brüt)</t>
  </si>
  <si>
    <t>Kesilen Stopaj</t>
  </si>
  <si>
    <t>ÖDENECEK GEÇİCİ VERGİ</t>
  </si>
  <si>
    <t>TOPLAM TAHSİL EDİLEN</t>
  </si>
  <si>
    <t>TAHSİL EDİLEN KDV</t>
  </si>
  <si>
    <t>TAHSİL EDİLMEMİŞ</t>
  </si>
  <si>
    <t>İNDİRİLECEK KDV</t>
  </si>
  <si>
    <t>Geçici vergi beyanı 4. çeyrek için verilmez; yıl sonu gelir vergisi beyannamesiyle kapatılır. Bu tablo tahmini bir hesaptır, beyan öncesi mali müşavirinizle doğrulayın.</t>
  </si>
  <si>
    <t>Listeler</t>
  </si>
  <si>
    <t>Açılır menüleri besler</t>
  </si>
  <si>
    <t>Gider Kategorileri</t>
  </si>
  <si>
    <t>Aidat</t>
  </si>
  <si>
    <t>Elektrik / Su / Doğalgaz</t>
  </si>
  <si>
    <t>İnternet / Telefon</t>
  </si>
  <si>
    <t>Ulaşım / Akaryakıt</t>
  </si>
  <si>
    <t>Kırtasiye</t>
  </si>
  <si>
    <t>Mesleki Eğitim</t>
  </si>
  <si>
    <t>Oda / Baro Aidatı</t>
  </si>
  <si>
    <t>Muhasebe Ücreti</t>
  </si>
  <si>
    <t>Sigorta</t>
  </si>
  <si>
    <t>Amortisman</t>
  </si>
  <si>
    <t>Temsil / Ağırlama</t>
  </si>
  <si>
    <t>Diğer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</si>
</sst>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"/>
    <numFmt numFmtId="165" formatCode="#,##0.00\ &quot;₺&quot;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617066"/>
      <sz val="10"/>
    </font>
    <font>
      <b/>
      <color rgb="FF166534"/>
      <sz val="12"/>
    </font>
    <font>
      <i/>
      <color rgb="FF854D0E"/>
      <sz val="10"/>
    </font>
    <font>
      <i/>
      <color rgb="FF617066"/>
      <sz val="9"/>
    </font>
    <font>
      <b/>
      <color rgb="FF10231A"/>
      <sz val="10"/>
    </font>
    <font>
      <b/>
      <color rgb="FFFFFFFF"/>
      <sz val="10"/>
    </font>
    <font>
      <b/>
      <color rgb="FF405248"/>
      <sz val="10"/>
    </font>
    <font>
      <b/>
      <color rgb="FF166534"/>
      <sz val="11"/>
    </font>
    <font>
      <b/>
      <color rgb="FF617066"/>
      <sz val="9"/>
    </font>
    <font>
      <b/>
      <color rgb="FF166534"/>
      <sz val="14"/>
    </font>
  </fonts>
  <fills count="8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166534"/>
      </patternFill>
    </fill>
    <fill>
      <patternFill patternType="solid">
        <fgColor rgb="FFFFFDF2"/>
      </patternFill>
    </fill>
    <fill>
      <patternFill patternType="solid">
        <fgColor rgb="FFF8FAF9"/>
      </patternFill>
    </fill>
  </fills>
  <borders count="3">
    <border>
      <left/>
      <right/>
      <top/>
      <bottom/>
      <diagonal/>
    </border>
    <border>
      <left style="hair">
        <color rgb="FFDCE7DF"/>
      </left>
      <right style="hair">
        <color rgb="FFDCE7DF"/>
      </right>
      <top style="hair">
        <color rgb="FFDCE7DF"/>
      </top>
      <bottom style="hair">
        <color rgb="FFDCE7DF"/>
      </bottom>
      <diagonal/>
    </border>
    <border>
      <left style="thin">
        <color rgb="FFDCE7DF"/>
      </left>
      <right style="thin">
        <color rgb="FFDCE7DF"/>
      </right>
      <top style="thin">
        <color rgb="FFDCE7DF"/>
      </top>
      <bottom style="thin">
        <color rgb="FFDCE7D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9" fontId="0" fillId="4" borderId="1" xfId="0" applyNumberFormat="1" applyFill="1" applyBorder="1"/>
    <xf numFmtId="3" fontId="0" fillId="4" borderId="1" xfId="0" applyNumberFormat="1" applyFill="1" applyBorder="1"/>
    <xf numFmtId="0" fontId="5" fillId="0" borderId="0" xfId="0" applyFont="1" applyAlignment="1">
      <alignment vertical="top" wrapText="1"/>
    </xf>
    <xf numFmtId="0" fontId="7" fillId="5" borderId="2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6" borderId="1" xfId="0" applyFill="1" applyBorder="1"/>
    <xf numFmtId="3" fontId="0" fillId="6" borderId="1" xfId="0" applyNumberFormat="1" applyFill="1" applyBorder="1"/>
    <xf numFmtId="164" fontId="0" fillId="4" borderId="1" xfId="0" applyNumberFormat="1" applyFill="1" applyBorder="1"/>
    <xf numFmtId="0" fontId="8" fillId="7" borderId="1" xfId="0" applyFont="1" applyFill="1" applyBorder="1"/>
    <xf numFmtId="165" fontId="0" fillId="4" borderId="1" xfId="0" applyNumberFormat="1" applyFill="1" applyBorder="1"/>
    <xf numFmtId="165" fontId="8" fillId="7" borderId="1" xfId="0" applyNumberFormat="1" applyFont="1" applyFill="1" applyBorder="1"/>
    <xf numFmtId="165" fontId="9" fillId="7" borderId="1" xfId="0" applyNumberFormat="1" applyFont="1" applyFill="1" applyBorder="1"/>
    <xf numFmtId="164" fontId="0" fillId="6" borderId="1" xfId="0" applyNumberFormat="1" applyFill="1" applyBorder="1"/>
    <xf numFmtId="165" fontId="0" fillId="6" borderId="1" xfId="0" applyNumberFormat="1" applyFill="1" applyBorder="1"/>
    <xf numFmtId="9" fontId="0" fillId="6" borderId="1" xfId="0" applyNumberFormat="1" applyFill="1" applyBorder="1"/>
    <xf numFmtId="165" fontId="9" fillId="3" borderId="1" xfId="0" applyNumberFormat="1" applyFont="1" applyFill="1" applyBorder="1"/>
    <xf numFmtId="165" fontId="3" fillId="3" borderId="1" xfId="0" applyNumberFormat="1" applyFont="1" applyFill="1" applyBorder="1"/>
    <xf numFmtId="0" fontId="10" fillId="0" borderId="0" xfId="0" applyFont="1" applyAlignment="1">
      <alignment vertical="center"/>
    </xf>
    <xf numFmtId="165" fontId="11" fillId="3" borderId="2" xfId="0" applyNumberFormat="1" applyFont="1" applyFill="1" applyBorder="1" applyAlignment="1">
      <alignment horizontal="right" vertical="center" inden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B26"/>
  <sheetFormatPr defaultRowHeight="15" outlineLevelRow="0" outlineLevelCol="0" x14ac:dyDescent="55"/>
  <cols>
    <col min="1" max="1" width="4" customWidth="1"/>
    <col min="2" max="2" width="112" customWidth="1"/>
  </cols>
  <sheetData>
    <row r="1" ht="34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spans="2:2" x14ac:dyDescent="0.25">
      <c r="B4" s="3" t="s">
        <v>2</v>
      </c>
    </row>
    <row r="5" ht="32" customHeight="1" spans="2:2" x14ac:dyDescent="0.25">
      <c r="B5" s="4" t="s">
        <v>3</v>
      </c>
    </row>
    <row r="7" spans="2:2" x14ac:dyDescent="0.25">
      <c r="B7" s="3" t="s">
        <v>4</v>
      </c>
    </row>
    <row r="8" ht="18" customHeight="1" spans="2:2" x14ac:dyDescent="0.25">
      <c r="B8" s="4" t="s">
        <v>5</v>
      </c>
    </row>
    <row r="9" ht="18" customHeight="1" spans="2:2" x14ac:dyDescent="0.25">
      <c r="B9" s="4" t="s">
        <v>6</v>
      </c>
    </row>
    <row r="10" ht="18" customHeight="1" spans="2:2" x14ac:dyDescent="0.25">
      <c r="B10" s="4" t="s">
        <v>7</v>
      </c>
    </row>
    <row r="11" ht="18" customHeight="1" spans="2:2" x14ac:dyDescent="0.25">
      <c r="B11" s="4" t="s">
        <v>8</v>
      </c>
    </row>
    <row r="12" ht="18" customHeight="1" spans="2:2" x14ac:dyDescent="0.25">
      <c r="B12" s="4" t="s">
        <v>9</v>
      </c>
    </row>
    <row r="14" spans="2:2" x14ac:dyDescent="0.25">
      <c r="B14" s="3" t="s">
        <v>10</v>
      </c>
    </row>
    <row r="15" ht="18" customHeight="1" spans="2:2" x14ac:dyDescent="0.25">
      <c r="B15" s="4" t="s">
        <v>11</v>
      </c>
    </row>
    <row r="16" ht="18" customHeight="1" spans="2:2" x14ac:dyDescent="0.25">
      <c r="B16" s="4" t="s">
        <v>12</v>
      </c>
    </row>
    <row r="17" ht="18" customHeight="1" spans="2:2" x14ac:dyDescent="0.25">
      <c r="B17" s="4" t="s">
        <v>13</v>
      </c>
    </row>
    <row r="18" ht="18" customHeight="1" spans="2:2" x14ac:dyDescent="0.25">
      <c r="B18" s="4" t="s">
        <v>14</v>
      </c>
    </row>
    <row r="20" spans="2:2" x14ac:dyDescent="0.25">
      <c r="B20" s="3" t="s">
        <v>15</v>
      </c>
    </row>
    <row r="21" ht="18" customHeight="1" spans="2:2" x14ac:dyDescent="0.25">
      <c r="B21" s="4" t="s">
        <v>16</v>
      </c>
    </row>
    <row r="22" ht="32" customHeight="1" spans="2:2" x14ac:dyDescent="0.25">
      <c r="B22" s="4" t="s">
        <v>17</v>
      </c>
    </row>
    <row r="24" spans="2:2" x14ac:dyDescent="0.25">
      <c r="B24" s="5" t="s">
        <v>18</v>
      </c>
    </row>
    <row r="26" spans="2:2" x14ac:dyDescent="0.25">
      <c r="B26" s="6" t="s">
        <v>19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9A"/>
  </sheetPr>
  <dimension ref="A1:C11"/>
  <sheetFormatPr defaultRowHeight="15" outlineLevelRow="0" outlineLevelCol="0" x14ac:dyDescent="55"/>
  <cols>
    <col min="1" max="1" width="3" customWidth="1"/>
    <col min="2" max="2" width="34" customWidth="1"/>
    <col min="3" max="3" width="18" customWidth="1"/>
  </cols>
  <sheetData>
    <row r="1" ht="34" customHeight="1" spans="1:3" x14ac:dyDescent="0.25">
      <c r="A1" s="1" t="s">
        <v>20</v>
      </c>
      <c r="B1" s="1"/>
      <c r="C1" s="1"/>
    </row>
    <row r="2" ht="20" customHeight="1" spans="1:3" x14ac:dyDescent="0.25">
      <c r="A2" s="2" t="s">
        <v>21</v>
      </c>
      <c r="B2" s="2"/>
      <c r="C2" s="2"/>
    </row>
    <row r="4" spans="2:3" x14ac:dyDescent="0.25">
      <c r="B4" s="7" t="s">
        <v>22</v>
      </c>
      <c r="C4" s="8">
        <v>0.2</v>
      </c>
    </row>
    <row r="5" spans="2:3" x14ac:dyDescent="0.25">
      <c r="B5" s="7" t="s">
        <v>23</v>
      </c>
      <c r="C5" s="8">
        <v>0.2</v>
      </c>
    </row>
    <row r="6" spans="2:3" x14ac:dyDescent="0.25">
      <c r="B6" s="7" t="s">
        <v>24</v>
      </c>
      <c r="C6" s="8">
        <v>0.15</v>
      </c>
    </row>
    <row r="7" spans="2:3" x14ac:dyDescent="0.25">
      <c r="B7" s="7" t="s">
        <v>25</v>
      </c>
      <c r="C7" s="9">
        <v>2026</v>
      </c>
    </row>
    <row r="9" spans="2:3" x14ac:dyDescent="0.25">
      <c r="B9" s="10" t="s">
        <v>26</v>
      </c>
      <c r="C9" s="10"/>
    </row>
    <row r="10" spans="2:3" x14ac:dyDescent="0.25">
      <c r="B10" s="10"/>
      <c r="C10" s="10"/>
    </row>
    <row r="11" spans="2:3" x14ac:dyDescent="0.25">
      <c r="B11" s="10"/>
      <c r="C11" s="10"/>
    </row>
  </sheetData>
  <mergeCells count="3">
    <mergeCell ref="A1:C1"/>
    <mergeCell ref="A2:C2"/>
    <mergeCell ref="B9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G1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34" customWidth="1"/>
    <col min="4" max="4" width="16" customWidth="1"/>
    <col min="5" max="5" width="18" customWidth="1"/>
    <col min="6" max="6" width="24" customWidth="1"/>
    <col min="7" max="7" width="14" customWidth="1"/>
  </cols>
  <sheetData>
    <row r="1" ht="34" customHeight="1" spans="1:7" x14ac:dyDescent="0.25">
      <c r="A1" s="1" t="s">
        <v>27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28</v>
      </c>
      <c r="B2" s="2"/>
      <c r="C2" s="2"/>
      <c r="D2" s="2"/>
      <c r="E2" s="2"/>
      <c r="F2" s="2"/>
      <c r="G2" s="2"/>
    </row>
    <row r="4" ht="30" customHeight="1" spans="1:7" x14ac:dyDescent="0.25">
      <c r="A4" s="11" t="s">
        <v>29</v>
      </c>
      <c r="B4" s="11" t="s">
        <v>30</v>
      </c>
      <c r="C4" s="11" t="s">
        <v>31</v>
      </c>
      <c r="D4" s="11" t="s">
        <v>32</v>
      </c>
      <c r="E4" s="11" t="s">
        <v>33</v>
      </c>
      <c r="F4" s="11" t="s">
        <v>34</v>
      </c>
      <c r="G4" s="11" t="s">
        <v>35</v>
      </c>
    </row>
    <row r="5" spans="2:7" x14ac:dyDescent="0.25">
      <c r="B5" s="12" t="s">
        <v>36</v>
      </c>
      <c r="C5" s="12" t="s">
        <v>37</v>
      </c>
      <c r="D5" s="12" t="s">
        <v>38</v>
      </c>
      <c r="E5" s="12" t="s">
        <v>39</v>
      </c>
      <c r="F5" s="12" t="s">
        <v>40</v>
      </c>
      <c r="G5" s="9">
        <v>1</v>
      </c>
    </row>
    <row r="6" spans="2:7" x14ac:dyDescent="0.25">
      <c r="B6" s="13" t="s">
        <v>41</v>
      </c>
      <c r="C6" s="13" t="s">
        <v>42</v>
      </c>
      <c r="D6" s="13" t="s">
        <v>38</v>
      </c>
      <c r="E6" s="13" t="s">
        <v>43</v>
      </c>
      <c r="F6" s="13" t="s">
        <v>44</v>
      </c>
      <c r="G6" s="14">
        <v>1</v>
      </c>
    </row>
    <row r="7" spans="2:7" x14ac:dyDescent="0.25">
      <c r="B7" s="12" t="s">
        <v>45</v>
      </c>
      <c r="C7" s="12" t="s">
        <v>46</v>
      </c>
      <c r="D7" s="12" t="s">
        <v>47</v>
      </c>
      <c r="E7" s="12" t="s">
        <v>48</v>
      </c>
      <c r="F7" s="12" t="s">
        <v>29</v>
      </c>
      <c r="G7" s="9">
        <v>0</v>
      </c>
    </row>
    <row r="8" spans="2:7" x14ac:dyDescent="0.25">
      <c r="B8" s="13"/>
      <c r="C8" s="13"/>
      <c r="D8" s="13"/>
      <c r="E8" s="13"/>
      <c r="F8" s="13"/>
      <c r="G8" s="14"/>
    </row>
    <row r="9" spans="2:7" x14ac:dyDescent="0.25">
      <c r="B9" s="12"/>
      <c r="C9" s="12"/>
      <c r="D9" s="12"/>
      <c r="E9" s="12"/>
      <c r="F9" s="12"/>
      <c r="G9" s="9"/>
    </row>
    <row r="10" spans="2:7" x14ac:dyDescent="0.25">
      <c r="B10" s="13"/>
      <c r="C10" s="13"/>
      <c r="D10" s="13"/>
      <c r="E10" s="13"/>
      <c r="F10" s="13"/>
      <c r="G10" s="14"/>
    </row>
    <row r="11" spans="2:7" x14ac:dyDescent="0.25">
      <c r="B11" s="12"/>
      <c r="C11" s="12"/>
      <c r="D11" s="12"/>
      <c r="E11" s="12"/>
      <c r="F11" s="12"/>
      <c r="G11" s="9"/>
    </row>
    <row r="12" spans="2:7" x14ac:dyDescent="0.25">
      <c r="B12" s="13"/>
      <c r="C12" s="13"/>
      <c r="D12" s="13"/>
      <c r="E12" s="13"/>
      <c r="F12" s="13"/>
      <c r="G12" s="14"/>
    </row>
    <row r="13" spans="2:7" x14ac:dyDescent="0.25">
      <c r="B13" s="12"/>
      <c r="C13" s="12"/>
      <c r="D13" s="12"/>
      <c r="E13" s="12"/>
      <c r="F13" s="12"/>
      <c r="G13" s="9"/>
    </row>
    <row r="14" spans="2:7" x14ac:dyDescent="0.25">
      <c r="B14" s="13"/>
      <c r="C14" s="13"/>
      <c r="D14" s="13"/>
      <c r="E14" s="13"/>
      <c r="F14" s="13"/>
      <c r="G14" s="14"/>
    </row>
    <row r="15" spans="2:7" x14ac:dyDescent="0.25">
      <c r="B15" s="12"/>
      <c r="C15" s="12"/>
      <c r="D15" s="12"/>
      <c r="E15" s="12"/>
      <c r="F15" s="12"/>
      <c r="G15" s="9"/>
    </row>
    <row r="16" spans="2:7" x14ac:dyDescent="0.25">
      <c r="B16" s="13"/>
      <c r="C16" s="13"/>
      <c r="D16" s="13"/>
      <c r="E16" s="13"/>
      <c r="F16" s="13"/>
      <c r="G16" s="14"/>
    </row>
    <row r="17" spans="2:7" x14ac:dyDescent="0.25">
      <c r="B17" s="12"/>
      <c r="C17" s="12"/>
      <c r="D17" s="12"/>
      <c r="E17" s="12"/>
      <c r="F17" s="12"/>
      <c r="G17" s="9"/>
    </row>
    <row r="18" spans="2:7" x14ac:dyDescent="0.25">
      <c r="B18" s="13"/>
      <c r="C18" s="13"/>
      <c r="D18" s="13"/>
      <c r="E18" s="13"/>
      <c r="F18" s="13"/>
      <c r="G18" s="14"/>
    </row>
    <row r="19" spans="2:7" x14ac:dyDescent="0.25">
      <c r="B19" s="12"/>
      <c r="C19" s="12"/>
      <c r="D19" s="12"/>
      <c r="E19" s="12"/>
      <c r="F19" s="12"/>
      <c r="G19" s="9"/>
    </row>
    <row r="20" spans="2:7" x14ac:dyDescent="0.25">
      <c r="B20" s="13"/>
      <c r="C20" s="13"/>
      <c r="D20" s="13"/>
      <c r="E20" s="13"/>
      <c r="F20" s="13"/>
      <c r="G20" s="14"/>
    </row>
    <row r="21" spans="2:7" x14ac:dyDescent="0.25">
      <c r="B21" s="12"/>
      <c r="C21" s="12"/>
      <c r="D21" s="12"/>
      <c r="E21" s="12"/>
      <c r="F21" s="12"/>
      <c r="G21" s="9"/>
    </row>
    <row r="22" spans="2:7" x14ac:dyDescent="0.25">
      <c r="B22" s="13"/>
      <c r="C22" s="13"/>
      <c r="D22" s="13"/>
      <c r="E22" s="13"/>
      <c r="F22" s="13"/>
      <c r="G22" s="14"/>
    </row>
    <row r="23" spans="2:7" x14ac:dyDescent="0.25">
      <c r="B23" s="12"/>
      <c r="C23" s="12"/>
      <c r="D23" s="12"/>
      <c r="E23" s="12"/>
      <c r="F23" s="12"/>
      <c r="G23" s="9"/>
    </row>
    <row r="24" spans="2:7" x14ac:dyDescent="0.25">
      <c r="B24" s="13"/>
      <c r="C24" s="13"/>
      <c r="D24" s="13"/>
      <c r="E24" s="13"/>
      <c r="F24" s="13"/>
      <c r="G24" s="14"/>
    </row>
    <row r="25" spans="2:7" x14ac:dyDescent="0.25">
      <c r="B25" s="12"/>
      <c r="C25" s="12"/>
      <c r="D25" s="12"/>
      <c r="E25" s="12"/>
      <c r="F25" s="12"/>
      <c r="G25" s="9"/>
    </row>
    <row r="26" spans="2:7" x14ac:dyDescent="0.25">
      <c r="B26" s="13"/>
      <c r="C26" s="13"/>
      <c r="D26" s="13"/>
      <c r="E26" s="13"/>
      <c r="F26" s="13"/>
      <c r="G26" s="14"/>
    </row>
    <row r="27" spans="2:7" x14ac:dyDescent="0.25">
      <c r="B27" s="12"/>
      <c r="C27" s="12"/>
      <c r="D27" s="12"/>
      <c r="E27" s="12"/>
      <c r="F27" s="12"/>
      <c r="G27" s="9"/>
    </row>
    <row r="28" spans="2:7" x14ac:dyDescent="0.25">
      <c r="B28" s="13"/>
      <c r="C28" s="13"/>
      <c r="D28" s="13"/>
      <c r="E28" s="13"/>
      <c r="F28" s="13"/>
      <c r="G28" s="14"/>
    </row>
    <row r="29" spans="2:7" x14ac:dyDescent="0.25">
      <c r="B29" s="12"/>
      <c r="C29" s="12"/>
      <c r="D29" s="12"/>
      <c r="E29" s="12"/>
      <c r="F29" s="12"/>
      <c r="G29" s="9"/>
    </row>
    <row r="30" spans="2:7" x14ac:dyDescent="0.25">
      <c r="B30" s="13"/>
      <c r="C30" s="13"/>
      <c r="D30" s="13"/>
      <c r="E30" s="13"/>
      <c r="F30" s="13"/>
      <c r="G30" s="14"/>
    </row>
    <row r="31" spans="2:7" x14ac:dyDescent="0.25">
      <c r="B31" s="12"/>
      <c r="C31" s="12"/>
      <c r="D31" s="12"/>
      <c r="E31" s="12"/>
      <c r="F31" s="12"/>
      <c r="G31" s="9"/>
    </row>
    <row r="32" spans="2:7" x14ac:dyDescent="0.25">
      <c r="B32" s="13"/>
      <c r="C32" s="13"/>
      <c r="D32" s="13"/>
      <c r="E32" s="13"/>
      <c r="F32" s="13"/>
      <c r="G32" s="14"/>
    </row>
    <row r="33" spans="2:7" x14ac:dyDescent="0.25">
      <c r="B33" s="12"/>
      <c r="C33" s="12"/>
      <c r="D33" s="12"/>
      <c r="E33" s="12"/>
      <c r="F33" s="12"/>
      <c r="G33" s="9"/>
    </row>
    <row r="34" spans="2:7" x14ac:dyDescent="0.25">
      <c r="B34" s="13"/>
      <c r="C34" s="13"/>
      <c r="D34" s="13"/>
      <c r="E34" s="13"/>
      <c r="F34" s="13"/>
      <c r="G34" s="14"/>
    </row>
    <row r="35" spans="2:7" x14ac:dyDescent="0.25">
      <c r="B35" s="12"/>
      <c r="C35" s="12"/>
      <c r="D35" s="12"/>
      <c r="E35" s="12"/>
      <c r="F35" s="12"/>
      <c r="G35" s="9"/>
    </row>
    <row r="36" spans="2:7" x14ac:dyDescent="0.25">
      <c r="B36" s="13"/>
      <c r="C36" s="13"/>
      <c r="D36" s="13"/>
      <c r="E36" s="13"/>
      <c r="F36" s="13"/>
      <c r="G36" s="14"/>
    </row>
    <row r="37" spans="2:7" x14ac:dyDescent="0.25">
      <c r="B37" s="12"/>
      <c r="C37" s="12"/>
      <c r="D37" s="12"/>
      <c r="E37" s="12"/>
      <c r="F37" s="12"/>
      <c r="G37" s="9"/>
    </row>
    <row r="38" spans="2:7" x14ac:dyDescent="0.25">
      <c r="B38" s="13"/>
      <c r="C38" s="13"/>
      <c r="D38" s="13"/>
      <c r="E38" s="13"/>
      <c r="F38" s="13"/>
      <c r="G38" s="14"/>
    </row>
    <row r="39" spans="2:7" x14ac:dyDescent="0.25">
      <c r="B39" s="12"/>
      <c r="C39" s="12"/>
      <c r="D39" s="12"/>
      <c r="E39" s="12"/>
      <c r="F39" s="12"/>
      <c r="G39" s="9"/>
    </row>
    <row r="40" spans="2:7" x14ac:dyDescent="0.25">
      <c r="B40" s="13"/>
      <c r="C40" s="13"/>
      <c r="D40" s="13"/>
      <c r="E40" s="13"/>
      <c r="F40" s="13"/>
      <c r="G40" s="14"/>
    </row>
    <row r="41" spans="2:7" x14ac:dyDescent="0.25">
      <c r="B41" s="12"/>
      <c r="C41" s="12"/>
      <c r="D41" s="12"/>
      <c r="E41" s="12"/>
      <c r="F41" s="12"/>
      <c r="G41" s="9"/>
    </row>
    <row r="42" spans="2:7" x14ac:dyDescent="0.25">
      <c r="B42" s="13"/>
      <c r="C42" s="13"/>
      <c r="D42" s="13"/>
      <c r="E42" s="13"/>
      <c r="F42" s="13"/>
      <c r="G42" s="14"/>
    </row>
    <row r="43" spans="2:7" x14ac:dyDescent="0.25">
      <c r="B43" s="12"/>
      <c r="C43" s="12"/>
      <c r="D43" s="12"/>
      <c r="E43" s="12"/>
      <c r="F43" s="12"/>
      <c r="G43" s="9"/>
    </row>
    <row r="44" spans="2:7" x14ac:dyDescent="0.25">
      <c r="B44" s="13"/>
      <c r="C44" s="13"/>
      <c r="D44" s="13"/>
      <c r="E44" s="13"/>
      <c r="F44" s="13"/>
      <c r="G44" s="14"/>
    </row>
    <row r="45" spans="2:7" x14ac:dyDescent="0.25">
      <c r="B45" s="12"/>
      <c r="C45" s="12"/>
      <c r="D45" s="12"/>
      <c r="E45" s="12"/>
      <c r="F45" s="12"/>
      <c r="G45" s="9"/>
    </row>
    <row r="46" spans="2:7" x14ac:dyDescent="0.25">
      <c r="B46" s="13"/>
      <c r="C46" s="13"/>
      <c r="D46" s="13"/>
      <c r="E46" s="13"/>
      <c r="F46" s="13"/>
      <c r="G46" s="14"/>
    </row>
    <row r="47" spans="2:7" x14ac:dyDescent="0.25">
      <c r="B47" s="12"/>
      <c r="C47" s="12"/>
      <c r="D47" s="12"/>
      <c r="E47" s="12"/>
      <c r="F47" s="12"/>
      <c r="G47" s="9"/>
    </row>
    <row r="48" spans="2:7" x14ac:dyDescent="0.25">
      <c r="B48" s="13"/>
      <c r="C48" s="13"/>
      <c r="D48" s="13"/>
      <c r="E48" s="13"/>
      <c r="F48" s="13"/>
      <c r="G48" s="14"/>
    </row>
    <row r="49" spans="2:7" x14ac:dyDescent="0.25">
      <c r="B49" s="12"/>
      <c r="C49" s="12"/>
      <c r="D49" s="12"/>
      <c r="E49" s="12"/>
      <c r="F49" s="12"/>
      <c r="G49" s="9"/>
    </row>
    <row r="50" spans="2:7" x14ac:dyDescent="0.25">
      <c r="B50" s="13"/>
      <c r="C50" s="13"/>
      <c r="D50" s="13"/>
      <c r="E50" s="13"/>
      <c r="F50" s="13"/>
      <c r="G50" s="14"/>
    </row>
    <row r="51" spans="2:7" x14ac:dyDescent="0.25">
      <c r="B51" s="12"/>
      <c r="C51" s="12"/>
      <c r="D51" s="12"/>
      <c r="E51" s="12"/>
      <c r="F51" s="12"/>
      <c r="G51" s="9"/>
    </row>
    <row r="52" spans="2:7" x14ac:dyDescent="0.25">
      <c r="B52" s="13"/>
      <c r="C52" s="13"/>
      <c r="D52" s="13"/>
      <c r="E52" s="13"/>
      <c r="F52" s="13"/>
      <c r="G52" s="14"/>
    </row>
    <row r="53" spans="2:7" x14ac:dyDescent="0.25">
      <c r="B53" s="12"/>
      <c r="C53" s="12"/>
      <c r="D53" s="12"/>
      <c r="E53" s="12"/>
      <c r="F53" s="12"/>
      <c r="G53" s="9"/>
    </row>
    <row r="54" spans="2:7" x14ac:dyDescent="0.25">
      <c r="B54" s="13"/>
      <c r="C54" s="13"/>
      <c r="D54" s="13"/>
      <c r="E54" s="13"/>
      <c r="F54" s="13"/>
      <c r="G54" s="14"/>
    </row>
    <row r="55" spans="2:7" x14ac:dyDescent="0.25">
      <c r="B55" s="12"/>
      <c r="C55" s="12"/>
      <c r="D55" s="12"/>
      <c r="E55" s="12"/>
      <c r="F55" s="12"/>
      <c r="G55" s="9"/>
    </row>
    <row r="56" spans="2:7" x14ac:dyDescent="0.25">
      <c r="B56" s="13"/>
      <c r="C56" s="13"/>
      <c r="D56" s="13"/>
      <c r="E56" s="13"/>
      <c r="F56" s="13"/>
      <c r="G56" s="14"/>
    </row>
    <row r="57" spans="2:7" x14ac:dyDescent="0.25">
      <c r="B57" s="12"/>
      <c r="C57" s="12"/>
      <c r="D57" s="12"/>
      <c r="E57" s="12"/>
      <c r="F57" s="12"/>
      <c r="G57" s="9"/>
    </row>
    <row r="58" spans="2:7" x14ac:dyDescent="0.25">
      <c r="B58" s="13"/>
      <c r="C58" s="13"/>
      <c r="D58" s="13"/>
      <c r="E58" s="13"/>
      <c r="F58" s="13"/>
      <c r="G58" s="14"/>
    </row>
    <row r="59" spans="2:7" x14ac:dyDescent="0.25">
      <c r="B59" s="12"/>
      <c r="C59" s="12"/>
      <c r="D59" s="12"/>
      <c r="E59" s="12"/>
      <c r="F59" s="12"/>
      <c r="G59" s="9"/>
    </row>
    <row r="60" spans="2:7" x14ac:dyDescent="0.25">
      <c r="B60" s="13"/>
      <c r="C60" s="13"/>
      <c r="D60" s="13"/>
      <c r="E60" s="13"/>
      <c r="F60" s="13"/>
      <c r="G60" s="14"/>
    </row>
    <row r="61" spans="2:7" x14ac:dyDescent="0.25">
      <c r="B61" s="12"/>
      <c r="C61" s="12"/>
      <c r="D61" s="12"/>
      <c r="E61" s="12"/>
      <c r="F61" s="12"/>
      <c r="G61" s="9"/>
    </row>
    <row r="62" spans="2:7" x14ac:dyDescent="0.25">
      <c r="B62" s="13"/>
      <c r="C62" s="13"/>
      <c r="D62" s="13"/>
      <c r="E62" s="13"/>
      <c r="F62" s="13"/>
      <c r="G62" s="14"/>
    </row>
    <row r="63" spans="2:7" x14ac:dyDescent="0.25">
      <c r="B63" s="12"/>
      <c r="C63" s="12"/>
      <c r="D63" s="12"/>
      <c r="E63" s="12"/>
      <c r="F63" s="12"/>
      <c r="G63" s="9"/>
    </row>
    <row r="64" spans="2:7" x14ac:dyDescent="0.25">
      <c r="B64" s="13"/>
      <c r="C64" s="13"/>
      <c r="D64" s="13"/>
      <c r="E64" s="13"/>
      <c r="F64" s="13"/>
      <c r="G64" s="14"/>
    </row>
    <row r="65" spans="2:7" x14ac:dyDescent="0.25">
      <c r="B65" s="12"/>
      <c r="C65" s="12"/>
      <c r="D65" s="12"/>
      <c r="E65" s="12"/>
      <c r="F65" s="12"/>
      <c r="G65" s="9"/>
    </row>
    <row r="66" spans="2:7" x14ac:dyDescent="0.25">
      <c r="B66" s="13"/>
      <c r="C66" s="13"/>
      <c r="D66" s="13"/>
      <c r="E66" s="13"/>
      <c r="F66" s="13"/>
      <c r="G66" s="14"/>
    </row>
    <row r="67" spans="2:7" x14ac:dyDescent="0.25">
      <c r="B67" s="12"/>
      <c r="C67" s="12"/>
      <c r="D67" s="12"/>
      <c r="E67" s="12"/>
      <c r="F67" s="12"/>
      <c r="G67" s="9"/>
    </row>
    <row r="68" spans="2:7" x14ac:dyDescent="0.25">
      <c r="B68" s="13"/>
      <c r="C68" s="13"/>
      <c r="D68" s="13"/>
      <c r="E68" s="13"/>
      <c r="F68" s="13"/>
      <c r="G68" s="14"/>
    </row>
    <row r="69" spans="2:7" x14ac:dyDescent="0.25">
      <c r="B69" s="12"/>
      <c r="C69" s="12"/>
      <c r="D69" s="12"/>
      <c r="E69" s="12"/>
      <c r="F69" s="12"/>
      <c r="G69" s="9"/>
    </row>
    <row r="70" spans="2:7" x14ac:dyDescent="0.25">
      <c r="B70" s="13"/>
      <c r="C70" s="13"/>
      <c r="D70" s="13"/>
      <c r="E70" s="13"/>
      <c r="F70" s="13"/>
      <c r="G70" s="14"/>
    </row>
    <row r="71" spans="2:7" x14ac:dyDescent="0.25">
      <c r="B71" s="12"/>
      <c r="C71" s="12"/>
      <c r="D71" s="12"/>
      <c r="E71" s="12"/>
      <c r="F71" s="12"/>
      <c r="G71" s="9"/>
    </row>
    <row r="72" spans="2:7" x14ac:dyDescent="0.25">
      <c r="B72" s="13"/>
      <c r="C72" s="13"/>
      <c r="D72" s="13"/>
      <c r="E72" s="13"/>
      <c r="F72" s="13"/>
      <c r="G72" s="14"/>
    </row>
    <row r="73" spans="2:7" x14ac:dyDescent="0.25">
      <c r="B73" s="12"/>
      <c r="C73" s="12"/>
      <c r="D73" s="12"/>
      <c r="E73" s="12"/>
      <c r="F73" s="12"/>
      <c r="G73" s="9"/>
    </row>
    <row r="74" spans="2:7" x14ac:dyDescent="0.25">
      <c r="B74" s="13"/>
      <c r="C74" s="13"/>
      <c r="D74" s="13"/>
      <c r="E74" s="13"/>
      <c r="F74" s="13"/>
      <c r="G74" s="14"/>
    </row>
    <row r="75" spans="2:7" x14ac:dyDescent="0.25">
      <c r="B75" s="12"/>
      <c r="C75" s="12"/>
      <c r="D75" s="12"/>
      <c r="E75" s="12"/>
      <c r="F75" s="12"/>
      <c r="G75" s="9"/>
    </row>
    <row r="76" spans="2:7" x14ac:dyDescent="0.25">
      <c r="B76" s="13"/>
      <c r="C76" s="13"/>
      <c r="D76" s="13"/>
      <c r="E76" s="13"/>
      <c r="F76" s="13"/>
      <c r="G76" s="14"/>
    </row>
    <row r="77" spans="2:7" x14ac:dyDescent="0.25">
      <c r="B77" s="12"/>
      <c r="C77" s="12"/>
      <c r="D77" s="12"/>
      <c r="E77" s="12"/>
      <c r="F77" s="12"/>
      <c r="G77" s="9"/>
    </row>
    <row r="78" spans="2:7" x14ac:dyDescent="0.25">
      <c r="B78" s="13"/>
      <c r="C78" s="13"/>
      <c r="D78" s="13"/>
      <c r="E78" s="13"/>
      <c r="F78" s="13"/>
      <c r="G78" s="14"/>
    </row>
    <row r="79" spans="2:7" x14ac:dyDescent="0.25">
      <c r="B79" s="12"/>
      <c r="C79" s="12"/>
      <c r="D79" s="12"/>
      <c r="E79" s="12"/>
      <c r="F79" s="12"/>
      <c r="G79" s="9"/>
    </row>
    <row r="80" spans="2:7" x14ac:dyDescent="0.25">
      <c r="B80" s="13"/>
      <c r="C80" s="13"/>
      <c r="D80" s="13"/>
      <c r="E80" s="13"/>
      <c r="F80" s="13"/>
      <c r="G80" s="14"/>
    </row>
    <row r="81" spans="2:7" x14ac:dyDescent="0.25">
      <c r="B81" s="12"/>
      <c r="C81" s="12"/>
      <c r="D81" s="12"/>
      <c r="E81" s="12"/>
      <c r="F81" s="12"/>
      <c r="G81" s="9"/>
    </row>
    <row r="82" spans="2:7" x14ac:dyDescent="0.25">
      <c r="B82" s="13"/>
      <c r="C82" s="13"/>
      <c r="D82" s="13"/>
      <c r="E82" s="13"/>
      <c r="F82" s="13"/>
      <c r="G82" s="14"/>
    </row>
    <row r="83" spans="2:7" x14ac:dyDescent="0.25">
      <c r="B83" s="12"/>
      <c r="C83" s="12"/>
      <c r="D83" s="12"/>
      <c r="E83" s="12"/>
      <c r="F83" s="12"/>
      <c r="G83" s="9"/>
    </row>
    <row r="84" spans="2:7" x14ac:dyDescent="0.25">
      <c r="B84" s="13"/>
      <c r="C84" s="13"/>
      <c r="D84" s="13"/>
      <c r="E84" s="13"/>
      <c r="F84" s="13"/>
      <c r="G84" s="14"/>
    </row>
    <row r="85" spans="2:7" x14ac:dyDescent="0.25">
      <c r="B85" s="12"/>
      <c r="C85" s="12"/>
      <c r="D85" s="12"/>
      <c r="E85" s="12"/>
      <c r="F85" s="12"/>
      <c r="G85" s="9"/>
    </row>
    <row r="86" spans="2:7" x14ac:dyDescent="0.25">
      <c r="B86" s="13"/>
      <c r="C86" s="13"/>
      <c r="D86" s="13"/>
      <c r="E86" s="13"/>
      <c r="F86" s="13"/>
      <c r="G86" s="14"/>
    </row>
    <row r="87" spans="2:7" x14ac:dyDescent="0.25">
      <c r="B87" s="12"/>
      <c r="C87" s="12"/>
      <c r="D87" s="12"/>
      <c r="E87" s="12"/>
      <c r="F87" s="12"/>
      <c r="G87" s="9"/>
    </row>
    <row r="88" spans="2:7" x14ac:dyDescent="0.25">
      <c r="B88" s="13"/>
      <c r="C88" s="13"/>
      <c r="D88" s="13"/>
      <c r="E88" s="13"/>
      <c r="F88" s="13"/>
      <c r="G88" s="14"/>
    </row>
    <row r="89" spans="2:7" x14ac:dyDescent="0.25">
      <c r="B89" s="12"/>
      <c r="C89" s="12"/>
      <c r="D89" s="12"/>
      <c r="E89" s="12"/>
      <c r="F89" s="12"/>
      <c r="G89" s="9"/>
    </row>
    <row r="90" spans="2:7" x14ac:dyDescent="0.25">
      <c r="B90" s="13"/>
      <c r="C90" s="13"/>
      <c r="D90" s="13"/>
      <c r="E90" s="13"/>
      <c r="F90" s="13"/>
      <c r="G90" s="14"/>
    </row>
    <row r="91" spans="2:7" x14ac:dyDescent="0.25">
      <c r="B91" s="12"/>
      <c r="C91" s="12"/>
      <c r="D91" s="12"/>
      <c r="E91" s="12"/>
      <c r="F91" s="12"/>
      <c r="G91" s="9"/>
    </row>
    <row r="92" spans="2:7" x14ac:dyDescent="0.25">
      <c r="B92" s="13"/>
      <c r="C92" s="13"/>
      <c r="D92" s="13"/>
      <c r="E92" s="13"/>
      <c r="F92" s="13"/>
      <c r="G92" s="14"/>
    </row>
    <row r="93" spans="2:7" x14ac:dyDescent="0.25">
      <c r="B93" s="12"/>
      <c r="C93" s="12"/>
      <c r="D93" s="12"/>
      <c r="E93" s="12"/>
      <c r="F93" s="12"/>
      <c r="G93" s="9"/>
    </row>
    <row r="94" spans="2:7" x14ac:dyDescent="0.25">
      <c r="B94" s="13"/>
      <c r="C94" s="13"/>
      <c r="D94" s="13"/>
      <c r="E94" s="13"/>
      <c r="F94" s="13"/>
      <c r="G94" s="14"/>
    </row>
    <row r="95" spans="2:7" x14ac:dyDescent="0.25">
      <c r="B95" s="12"/>
      <c r="C95" s="12"/>
      <c r="D95" s="12"/>
      <c r="E95" s="12"/>
      <c r="F95" s="12"/>
      <c r="G95" s="9"/>
    </row>
    <row r="96" spans="2:7" x14ac:dyDescent="0.25">
      <c r="B96" s="13"/>
      <c r="C96" s="13"/>
      <c r="D96" s="13"/>
      <c r="E96" s="13"/>
      <c r="F96" s="13"/>
      <c r="G96" s="14"/>
    </row>
    <row r="97" spans="2:7" x14ac:dyDescent="0.25">
      <c r="B97" s="12"/>
      <c r="C97" s="12"/>
      <c r="D97" s="12"/>
      <c r="E97" s="12"/>
      <c r="F97" s="12"/>
      <c r="G97" s="9"/>
    </row>
    <row r="98" spans="2:7" x14ac:dyDescent="0.25">
      <c r="B98" s="13"/>
      <c r="C98" s="13"/>
      <c r="D98" s="13"/>
      <c r="E98" s="13"/>
      <c r="F98" s="13"/>
      <c r="G98" s="14"/>
    </row>
    <row r="99" spans="2:7" x14ac:dyDescent="0.25">
      <c r="B99" s="12"/>
      <c r="C99" s="12"/>
      <c r="D99" s="12"/>
      <c r="E99" s="12"/>
      <c r="F99" s="12"/>
      <c r="G99" s="9"/>
    </row>
    <row r="100" spans="2:7" x14ac:dyDescent="0.25">
      <c r="B100" s="13"/>
      <c r="C100" s="13"/>
      <c r="D100" s="13"/>
      <c r="E100" s="13"/>
      <c r="F100" s="13"/>
      <c r="G100" s="14"/>
    </row>
    <row r="101" spans="2:7" x14ac:dyDescent="0.25">
      <c r="B101" s="12"/>
      <c r="C101" s="12"/>
      <c r="D101" s="12"/>
      <c r="E101" s="12"/>
      <c r="F101" s="12"/>
      <c r="G101" s="9"/>
    </row>
    <row r="102" spans="2:7" x14ac:dyDescent="0.25">
      <c r="B102" s="13"/>
      <c r="C102" s="13"/>
      <c r="D102" s="13"/>
      <c r="E102" s="13"/>
      <c r="F102" s="13"/>
      <c r="G102" s="14"/>
    </row>
    <row r="103" spans="2:7" x14ac:dyDescent="0.25">
      <c r="B103" s="12"/>
      <c r="C103" s="12"/>
      <c r="D103" s="12"/>
      <c r="E103" s="12"/>
      <c r="F103" s="12"/>
      <c r="G103" s="9"/>
    </row>
    <row r="104" spans="2:7" x14ac:dyDescent="0.25">
      <c r="B104" s="13"/>
      <c r="C104" s="13"/>
      <c r="D104" s="13"/>
      <c r="E104" s="13"/>
      <c r="F104" s="13"/>
      <c r="G104" s="14"/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L404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13" customWidth="1"/>
    <col min="3" max="3" width="14" customWidth="1"/>
    <col min="4" max="4" width="16" customWidth="1"/>
    <col min="5" max="5" width="30" customWidth="1"/>
    <col min="6" max="9" width="16" customWidth="1"/>
    <col min="10" max="10" width="18" customWidth="1"/>
    <col min="11" max="11" width="10" customWidth="1"/>
    <col min="12" max="12" width="22" customWidth="1"/>
  </cols>
  <sheetData>
    <row r="1" ht="34" customHeight="1" spans="1:12" x14ac:dyDescent="0.25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30" customHeight="1" spans="1:12" x14ac:dyDescent="0.25">
      <c r="A4" s="11" t="s">
        <v>29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  <c r="I4" s="11" t="s">
        <v>58</v>
      </c>
      <c r="J4" s="11" t="s">
        <v>59</v>
      </c>
      <c r="K4" s="11" t="s">
        <v>60</v>
      </c>
      <c r="L4" s="11" t="s">
        <v>61</v>
      </c>
    </row>
    <row r="5" spans="2:12" x14ac:dyDescent="0.25">
      <c r="B5" s="15">
        <v>46036.875</v>
      </c>
      <c r="C5" s="12" t="s">
        <v>62</v>
      </c>
      <c r="D5" s="12" t="s">
        <v>36</v>
      </c>
      <c r="E5" s="16">
        <f>IFERROR(IF($D5="","",VLOOKUP($D5,'Müşteri Kartları'!$B$5:$C$104,2,FALSE)),"— tanımsız —")</f>
      </c>
      <c r="F5" s="17">
        <v>60000</v>
      </c>
      <c r="G5" s="18">
        <f>IFERROR(IF($D5="",0,$F5*Parametreler!$C$4*VLOOKUP($D5,'Müşteri Kartları'!$B$5:$G$104,6,FALSE)),0)</f>
      </c>
      <c r="H5" s="18">
        <f>IF($F5="",0,$F5*Parametreler!$C$5)</f>
      </c>
      <c r="I5" s="19">
        <f>IF($F5="","",$F5-$G5+$H5)</f>
      </c>
      <c r="J5" s="18">
        <f>IF($F5="",0,$F5)</f>
      </c>
      <c r="K5" s="9">
        <v>1</v>
      </c>
      <c r="L5" s="12" t="s">
        <v>63</v>
      </c>
    </row>
    <row r="6" spans="2:12" x14ac:dyDescent="0.25">
      <c r="B6" s="20">
        <v>46121.875</v>
      </c>
      <c r="C6" s="13" t="s">
        <v>64</v>
      </c>
      <c r="D6" s="13" t="s">
        <v>41</v>
      </c>
      <c r="E6" s="16">
        <f>IFERROR(IF($D6="","",VLOOKUP($D6,'Müşteri Kartları'!$B$5:$C$104,2,FALSE)),"— tanımsız —")</f>
      </c>
      <c r="F6" s="21">
        <v>45000</v>
      </c>
      <c r="G6" s="18">
        <f>IFERROR(IF($D6="",0,$F6*Parametreler!$C$4*VLOOKUP($D6,'Müşteri Kartları'!$B$5:$G$104,6,FALSE)),0)</f>
      </c>
      <c r="H6" s="18">
        <f>IF($F6="",0,$F6*Parametreler!$C$5)</f>
      </c>
      <c r="I6" s="19">
        <f>IF($F6="","",$F6-$G6+$H6)</f>
      </c>
      <c r="J6" s="18">
        <f>IF($F6="",0,$F6)</f>
      </c>
      <c r="K6" s="14">
        <v>1</v>
      </c>
      <c r="L6" s="13" t="s">
        <v>65</v>
      </c>
    </row>
    <row r="7" spans="2:12" x14ac:dyDescent="0.25">
      <c r="B7" s="15">
        <v>46224.875</v>
      </c>
      <c r="C7" s="12" t="s">
        <v>66</v>
      </c>
      <c r="D7" s="12" t="s">
        <v>45</v>
      </c>
      <c r="E7" s="16">
        <f>IFERROR(IF($D7="","",VLOOKUP($D7,'Müşteri Kartları'!$B$5:$C$104,2,FALSE)),"— tanımsız —")</f>
      </c>
      <c r="F7" s="17">
        <v>18000</v>
      </c>
      <c r="G7" s="18">
        <f>IFERROR(IF($D7="",0,$F7*Parametreler!$C$4*VLOOKUP($D7,'Müşteri Kartları'!$B$5:$G$104,6,FALSE)),0)</f>
      </c>
      <c r="H7" s="18">
        <f>IF($F7="",0,$F7*Parametreler!$C$5)</f>
      </c>
      <c r="I7" s="19">
        <f>IF($F7="","",$F7-$G7+$H7)</f>
      </c>
      <c r="J7" s="18">
        <f>IF($F7="",0,$F7)</f>
      </c>
      <c r="K7" s="9">
        <v>1</v>
      </c>
      <c r="L7" s="12" t="s">
        <v>67</v>
      </c>
    </row>
    <row r="8" spans="2:12" x14ac:dyDescent="0.25">
      <c r="B8" s="20"/>
      <c r="C8" s="13"/>
      <c r="D8" s="13"/>
      <c r="E8" s="16">
        <f>IFERROR(IF($D8="","",VLOOKUP($D8,'Müşteri Kartları'!$B$5:$C$104,2,FALSE)),"— tanımsız —")</f>
      </c>
      <c r="F8" s="21"/>
      <c r="G8" s="18">
        <f>IFERROR(IF($D8="",0,$F8*Parametreler!$C$4*VLOOKUP($D8,'Müşteri Kartları'!$B$5:$G$104,6,FALSE)),0)</f>
      </c>
      <c r="H8" s="18">
        <f>IF($F8="",0,$F8*Parametreler!$C$5)</f>
      </c>
      <c r="I8" s="19">
        <f>IF($F8="","",$F8-$G8+$H8)</f>
      </c>
      <c r="J8" s="18">
        <f>IF($F8="",0,$F8)</f>
      </c>
      <c r="K8" s="14"/>
      <c r="L8" s="13"/>
    </row>
    <row r="9" spans="2:12" x14ac:dyDescent="0.25">
      <c r="B9" s="15"/>
      <c r="C9" s="12"/>
      <c r="D9" s="12"/>
      <c r="E9" s="16">
        <f>IFERROR(IF($D9="","",VLOOKUP($D9,'Müşteri Kartları'!$B$5:$C$104,2,FALSE)),"— tanımsız —")</f>
      </c>
      <c r="F9" s="17"/>
      <c r="G9" s="18">
        <f>IFERROR(IF($D9="",0,$F9*Parametreler!$C$4*VLOOKUP($D9,'Müşteri Kartları'!$B$5:$G$104,6,FALSE)),0)</f>
      </c>
      <c r="H9" s="18">
        <f>IF($F9="",0,$F9*Parametreler!$C$5)</f>
      </c>
      <c r="I9" s="19">
        <f>IF($F9="","",$F9-$G9+$H9)</f>
      </c>
      <c r="J9" s="18">
        <f>IF($F9="",0,$F9)</f>
      </c>
      <c r="K9" s="9"/>
      <c r="L9" s="12"/>
    </row>
    <row r="10" spans="2:12" x14ac:dyDescent="0.25">
      <c r="B10" s="20"/>
      <c r="C10" s="13"/>
      <c r="D10" s="13"/>
      <c r="E10" s="16">
        <f>IFERROR(IF($D10="","",VLOOKUP($D10,'Müşteri Kartları'!$B$5:$C$104,2,FALSE)),"— tanımsız —")</f>
      </c>
      <c r="F10" s="21"/>
      <c r="G10" s="18">
        <f>IFERROR(IF($D10="",0,$F10*Parametreler!$C$4*VLOOKUP($D10,'Müşteri Kartları'!$B$5:$G$104,6,FALSE)),0)</f>
      </c>
      <c r="H10" s="18">
        <f>IF($F10="",0,$F10*Parametreler!$C$5)</f>
      </c>
      <c r="I10" s="19">
        <f>IF($F10="","",$F10-$G10+$H10)</f>
      </c>
      <c r="J10" s="18">
        <f>IF($F10="",0,$F10)</f>
      </c>
      <c r="K10" s="14"/>
      <c r="L10" s="13"/>
    </row>
    <row r="11" spans="2:12" x14ac:dyDescent="0.25">
      <c r="B11" s="15"/>
      <c r="C11" s="12"/>
      <c r="D11" s="12"/>
      <c r="E11" s="16">
        <f>IFERROR(IF($D11="","",VLOOKUP($D11,'Müşteri Kartları'!$B$5:$C$104,2,FALSE)),"— tanımsız —")</f>
      </c>
      <c r="F11" s="17"/>
      <c r="G11" s="18">
        <f>IFERROR(IF($D11="",0,$F11*Parametreler!$C$4*VLOOKUP($D11,'Müşteri Kartları'!$B$5:$G$104,6,FALSE)),0)</f>
      </c>
      <c r="H11" s="18">
        <f>IF($F11="",0,$F11*Parametreler!$C$5)</f>
      </c>
      <c r="I11" s="19">
        <f>IF($F11="","",$F11-$G11+$H11)</f>
      </c>
      <c r="J11" s="18">
        <f>IF($F11="",0,$F11)</f>
      </c>
      <c r="K11" s="9"/>
      <c r="L11" s="12"/>
    </row>
    <row r="12" spans="2:12" x14ac:dyDescent="0.25">
      <c r="B12" s="20"/>
      <c r="C12" s="13"/>
      <c r="D12" s="13"/>
      <c r="E12" s="16">
        <f>IFERROR(IF($D12="","",VLOOKUP($D12,'Müşteri Kartları'!$B$5:$C$104,2,FALSE)),"— tanımsız —")</f>
      </c>
      <c r="F12" s="21"/>
      <c r="G12" s="18">
        <f>IFERROR(IF($D12="",0,$F12*Parametreler!$C$4*VLOOKUP($D12,'Müşteri Kartları'!$B$5:$G$104,6,FALSE)),0)</f>
      </c>
      <c r="H12" s="18">
        <f>IF($F12="",0,$F12*Parametreler!$C$5)</f>
      </c>
      <c r="I12" s="19">
        <f>IF($F12="","",$F12-$G12+$H12)</f>
      </c>
      <c r="J12" s="18">
        <f>IF($F12="",0,$F12)</f>
      </c>
      <c r="K12" s="14"/>
      <c r="L12" s="13"/>
    </row>
    <row r="13" spans="2:12" x14ac:dyDescent="0.25">
      <c r="B13" s="15"/>
      <c r="C13" s="12"/>
      <c r="D13" s="12"/>
      <c r="E13" s="16">
        <f>IFERROR(IF($D13="","",VLOOKUP($D13,'Müşteri Kartları'!$B$5:$C$104,2,FALSE)),"— tanımsız —")</f>
      </c>
      <c r="F13" s="17"/>
      <c r="G13" s="18">
        <f>IFERROR(IF($D13="",0,$F13*Parametreler!$C$4*VLOOKUP($D13,'Müşteri Kartları'!$B$5:$G$104,6,FALSE)),0)</f>
      </c>
      <c r="H13" s="18">
        <f>IF($F13="",0,$F13*Parametreler!$C$5)</f>
      </c>
      <c r="I13" s="19">
        <f>IF($F13="","",$F13-$G13+$H13)</f>
      </c>
      <c r="J13" s="18">
        <f>IF($F13="",0,$F13)</f>
      </c>
      <c r="K13" s="9"/>
      <c r="L13" s="12"/>
    </row>
    <row r="14" spans="2:12" x14ac:dyDescent="0.25">
      <c r="B14" s="20"/>
      <c r="C14" s="13"/>
      <c r="D14" s="13"/>
      <c r="E14" s="16">
        <f>IFERROR(IF($D14="","",VLOOKUP($D14,'Müşteri Kartları'!$B$5:$C$104,2,FALSE)),"— tanımsız —")</f>
      </c>
      <c r="F14" s="21"/>
      <c r="G14" s="18">
        <f>IFERROR(IF($D14="",0,$F14*Parametreler!$C$4*VLOOKUP($D14,'Müşteri Kartları'!$B$5:$G$104,6,FALSE)),0)</f>
      </c>
      <c r="H14" s="18">
        <f>IF($F14="",0,$F14*Parametreler!$C$5)</f>
      </c>
      <c r="I14" s="19">
        <f>IF($F14="","",$F14-$G14+$H14)</f>
      </c>
      <c r="J14" s="18">
        <f>IF($F14="",0,$F14)</f>
      </c>
      <c r="K14" s="14"/>
      <c r="L14" s="13"/>
    </row>
    <row r="15" spans="2:12" x14ac:dyDescent="0.25">
      <c r="B15" s="15"/>
      <c r="C15" s="12"/>
      <c r="D15" s="12"/>
      <c r="E15" s="16">
        <f>IFERROR(IF($D15="","",VLOOKUP($D15,'Müşteri Kartları'!$B$5:$C$104,2,FALSE)),"— tanımsız —")</f>
      </c>
      <c r="F15" s="17"/>
      <c r="G15" s="18">
        <f>IFERROR(IF($D15="",0,$F15*Parametreler!$C$4*VLOOKUP($D15,'Müşteri Kartları'!$B$5:$G$104,6,FALSE)),0)</f>
      </c>
      <c r="H15" s="18">
        <f>IF($F15="",0,$F15*Parametreler!$C$5)</f>
      </c>
      <c r="I15" s="19">
        <f>IF($F15="","",$F15-$G15+$H15)</f>
      </c>
      <c r="J15" s="18">
        <f>IF($F15="",0,$F15)</f>
      </c>
      <c r="K15" s="9"/>
      <c r="L15" s="12"/>
    </row>
    <row r="16" spans="2:12" x14ac:dyDescent="0.25">
      <c r="B16" s="20"/>
      <c r="C16" s="13"/>
      <c r="D16" s="13"/>
      <c r="E16" s="16">
        <f>IFERROR(IF($D16="","",VLOOKUP($D16,'Müşteri Kartları'!$B$5:$C$104,2,FALSE)),"— tanımsız —")</f>
      </c>
      <c r="F16" s="21"/>
      <c r="G16" s="18">
        <f>IFERROR(IF($D16="",0,$F16*Parametreler!$C$4*VLOOKUP($D16,'Müşteri Kartları'!$B$5:$G$104,6,FALSE)),0)</f>
      </c>
      <c r="H16" s="18">
        <f>IF($F16="",0,$F16*Parametreler!$C$5)</f>
      </c>
      <c r="I16" s="19">
        <f>IF($F16="","",$F16-$G16+$H16)</f>
      </c>
      <c r="J16" s="18">
        <f>IF($F16="",0,$F16)</f>
      </c>
      <c r="K16" s="14"/>
      <c r="L16" s="13"/>
    </row>
    <row r="17" spans="2:12" x14ac:dyDescent="0.25">
      <c r="B17" s="15"/>
      <c r="C17" s="12"/>
      <c r="D17" s="12"/>
      <c r="E17" s="16">
        <f>IFERROR(IF($D17="","",VLOOKUP($D17,'Müşteri Kartları'!$B$5:$C$104,2,FALSE)),"— tanımsız —")</f>
      </c>
      <c r="F17" s="17"/>
      <c r="G17" s="18">
        <f>IFERROR(IF($D17="",0,$F17*Parametreler!$C$4*VLOOKUP($D17,'Müşteri Kartları'!$B$5:$G$104,6,FALSE)),0)</f>
      </c>
      <c r="H17" s="18">
        <f>IF($F17="",0,$F17*Parametreler!$C$5)</f>
      </c>
      <c r="I17" s="19">
        <f>IF($F17="","",$F17-$G17+$H17)</f>
      </c>
      <c r="J17" s="18">
        <f>IF($F17="",0,$F17)</f>
      </c>
      <c r="K17" s="9"/>
      <c r="L17" s="12"/>
    </row>
    <row r="18" spans="2:12" x14ac:dyDescent="0.25">
      <c r="B18" s="20"/>
      <c r="C18" s="13"/>
      <c r="D18" s="13"/>
      <c r="E18" s="16">
        <f>IFERROR(IF($D18="","",VLOOKUP($D18,'Müşteri Kartları'!$B$5:$C$104,2,FALSE)),"— tanımsız —")</f>
      </c>
      <c r="F18" s="21"/>
      <c r="G18" s="18">
        <f>IFERROR(IF($D18="",0,$F18*Parametreler!$C$4*VLOOKUP($D18,'Müşteri Kartları'!$B$5:$G$104,6,FALSE)),0)</f>
      </c>
      <c r="H18" s="18">
        <f>IF($F18="",0,$F18*Parametreler!$C$5)</f>
      </c>
      <c r="I18" s="19">
        <f>IF($F18="","",$F18-$G18+$H18)</f>
      </c>
      <c r="J18" s="18">
        <f>IF($F18="",0,$F18)</f>
      </c>
      <c r="K18" s="14"/>
      <c r="L18" s="13"/>
    </row>
    <row r="19" spans="2:12" x14ac:dyDescent="0.25">
      <c r="B19" s="15"/>
      <c r="C19" s="12"/>
      <c r="D19" s="12"/>
      <c r="E19" s="16">
        <f>IFERROR(IF($D19="","",VLOOKUP($D19,'Müşteri Kartları'!$B$5:$C$104,2,FALSE)),"— tanımsız —")</f>
      </c>
      <c r="F19" s="17"/>
      <c r="G19" s="18">
        <f>IFERROR(IF($D19="",0,$F19*Parametreler!$C$4*VLOOKUP($D19,'Müşteri Kartları'!$B$5:$G$104,6,FALSE)),0)</f>
      </c>
      <c r="H19" s="18">
        <f>IF($F19="",0,$F19*Parametreler!$C$5)</f>
      </c>
      <c r="I19" s="19">
        <f>IF($F19="","",$F19-$G19+$H19)</f>
      </c>
      <c r="J19" s="18">
        <f>IF($F19="",0,$F19)</f>
      </c>
      <c r="K19" s="9"/>
      <c r="L19" s="12"/>
    </row>
    <row r="20" spans="2:12" x14ac:dyDescent="0.25">
      <c r="B20" s="20"/>
      <c r="C20" s="13"/>
      <c r="D20" s="13"/>
      <c r="E20" s="16">
        <f>IFERROR(IF($D20="","",VLOOKUP($D20,'Müşteri Kartları'!$B$5:$C$104,2,FALSE)),"— tanımsız —")</f>
      </c>
      <c r="F20" s="21"/>
      <c r="G20" s="18">
        <f>IFERROR(IF($D20="",0,$F20*Parametreler!$C$4*VLOOKUP($D20,'Müşteri Kartları'!$B$5:$G$104,6,FALSE)),0)</f>
      </c>
      <c r="H20" s="18">
        <f>IF($F20="",0,$F20*Parametreler!$C$5)</f>
      </c>
      <c r="I20" s="19">
        <f>IF($F20="","",$F20-$G20+$H20)</f>
      </c>
      <c r="J20" s="18">
        <f>IF($F20="",0,$F20)</f>
      </c>
      <c r="K20" s="14"/>
      <c r="L20" s="13"/>
    </row>
    <row r="21" spans="2:12" x14ac:dyDescent="0.25">
      <c r="B21" s="15"/>
      <c r="C21" s="12"/>
      <c r="D21" s="12"/>
      <c r="E21" s="16">
        <f>IFERROR(IF($D21="","",VLOOKUP($D21,'Müşteri Kartları'!$B$5:$C$104,2,FALSE)),"— tanımsız —")</f>
      </c>
      <c r="F21" s="17"/>
      <c r="G21" s="18">
        <f>IFERROR(IF($D21="",0,$F21*Parametreler!$C$4*VLOOKUP($D21,'Müşteri Kartları'!$B$5:$G$104,6,FALSE)),0)</f>
      </c>
      <c r="H21" s="18">
        <f>IF($F21="",0,$F21*Parametreler!$C$5)</f>
      </c>
      <c r="I21" s="19">
        <f>IF($F21="","",$F21-$G21+$H21)</f>
      </c>
      <c r="J21" s="18">
        <f>IF($F21="",0,$F21)</f>
      </c>
      <c r="K21" s="9"/>
      <c r="L21" s="12"/>
    </row>
    <row r="22" spans="2:12" x14ac:dyDescent="0.25">
      <c r="B22" s="20"/>
      <c r="C22" s="13"/>
      <c r="D22" s="13"/>
      <c r="E22" s="16">
        <f>IFERROR(IF($D22="","",VLOOKUP($D22,'Müşteri Kartları'!$B$5:$C$104,2,FALSE)),"— tanımsız —")</f>
      </c>
      <c r="F22" s="21"/>
      <c r="G22" s="18">
        <f>IFERROR(IF($D22="",0,$F22*Parametreler!$C$4*VLOOKUP($D22,'Müşteri Kartları'!$B$5:$G$104,6,FALSE)),0)</f>
      </c>
      <c r="H22" s="18">
        <f>IF($F22="",0,$F22*Parametreler!$C$5)</f>
      </c>
      <c r="I22" s="19">
        <f>IF($F22="","",$F22-$G22+$H22)</f>
      </c>
      <c r="J22" s="18">
        <f>IF($F22="",0,$F22)</f>
      </c>
      <c r="K22" s="14"/>
      <c r="L22" s="13"/>
    </row>
    <row r="23" spans="2:12" x14ac:dyDescent="0.25">
      <c r="B23" s="15"/>
      <c r="C23" s="12"/>
      <c r="D23" s="12"/>
      <c r="E23" s="16">
        <f>IFERROR(IF($D23="","",VLOOKUP($D23,'Müşteri Kartları'!$B$5:$C$104,2,FALSE)),"— tanımsız —")</f>
      </c>
      <c r="F23" s="17"/>
      <c r="G23" s="18">
        <f>IFERROR(IF($D23="",0,$F23*Parametreler!$C$4*VLOOKUP($D23,'Müşteri Kartları'!$B$5:$G$104,6,FALSE)),0)</f>
      </c>
      <c r="H23" s="18">
        <f>IF($F23="",0,$F23*Parametreler!$C$5)</f>
      </c>
      <c r="I23" s="19">
        <f>IF($F23="","",$F23-$G23+$H23)</f>
      </c>
      <c r="J23" s="18">
        <f>IF($F23="",0,$F23)</f>
      </c>
      <c r="K23" s="9"/>
      <c r="L23" s="12"/>
    </row>
    <row r="24" spans="2:12" x14ac:dyDescent="0.25">
      <c r="B24" s="20"/>
      <c r="C24" s="13"/>
      <c r="D24" s="13"/>
      <c r="E24" s="16">
        <f>IFERROR(IF($D24="","",VLOOKUP($D24,'Müşteri Kartları'!$B$5:$C$104,2,FALSE)),"— tanımsız —")</f>
      </c>
      <c r="F24" s="21"/>
      <c r="G24" s="18">
        <f>IFERROR(IF($D24="",0,$F24*Parametreler!$C$4*VLOOKUP($D24,'Müşteri Kartları'!$B$5:$G$104,6,FALSE)),0)</f>
      </c>
      <c r="H24" s="18">
        <f>IF($F24="",0,$F24*Parametreler!$C$5)</f>
      </c>
      <c r="I24" s="19">
        <f>IF($F24="","",$F24-$G24+$H24)</f>
      </c>
      <c r="J24" s="18">
        <f>IF($F24="",0,$F24)</f>
      </c>
      <c r="K24" s="14"/>
      <c r="L24" s="13"/>
    </row>
    <row r="25" spans="2:12" x14ac:dyDescent="0.25">
      <c r="B25" s="15"/>
      <c r="C25" s="12"/>
      <c r="D25" s="12"/>
      <c r="E25" s="16">
        <f>IFERROR(IF($D25="","",VLOOKUP($D25,'Müşteri Kartları'!$B$5:$C$104,2,FALSE)),"— tanımsız —")</f>
      </c>
      <c r="F25" s="17"/>
      <c r="G25" s="18">
        <f>IFERROR(IF($D25="",0,$F25*Parametreler!$C$4*VLOOKUP($D25,'Müşteri Kartları'!$B$5:$G$104,6,FALSE)),0)</f>
      </c>
      <c r="H25" s="18">
        <f>IF($F25="",0,$F25*Parametreler!$C$5)</f>
      </c>
      <c r="I25" s="19">
        <f>IF($F25="","",$F25-$G25+$H25)</f>
      </c>
      <c r="J25" s="18">
        <f>IF($F25="",0,$F25)</f>
      </c>
      <c r="K25" s="9"/>
      <c r="L25" s="12"/>
    </row>
    <row r="26" spans="2:12" x14ac:dyDescent="0.25">
      <c r="B26" s="20"/>
      <c r="C26" s="13"/>
      <c r="D26" s="13"/>
      <c r="E26" s="16">
        <f>IFERROR(IF($D26="","",VLOOKUP($D26,'Müşteri Kartları'!$B$5:$C$104,2,FALSE)),"— tanımsız —")</f>
      </c>
      <c r="F26" s="21"/>
      <c r="G26" s="18">
        <f>IFERROR(IF($D26="",0,$F26*Parametreler!$C$4*VLOOKUP($D26,'Müşteri Kartları'!$B$5:$G$104,6,FALSE)),0)</f>
      </c>
      <c r="H26" s="18">
        <f>IF($F26="",0,$F26*Parametreler!$C$5)</f>
      </c>
      <c r="I26" s="19">
        <f>IF($F26="","",$F26-$G26+$H26)</f>
      </c>
      <c r="J26" s="18">
        <f>IF($F26="",0,$F26)</f>
      </c>
      <c r="K26" s="14"/>
      <c r="L26" s="13"/>
    </row>
    <row r="27" spans="2:12" x14ac:dyDescent="0.25">
      <c r="B27" s="15"/>
      <c r="C27" s="12"/>
      <c r="D27" s="12"/>
      <c r="E27" s="16">
        <f>IFERROR(IF($D27="","",VLOOKUP($D27,'Müşteri Kartları'!$B$5:$C$104,2,FALSE)),"— tanımsız —")</f>
      </c>
      <c r="F27" s="17"/>
      <c r="G27" s="18">
        <f>IFERROR(IF($D27="",0,$F27*Parametreler!$C$4*VLOOKUP($D27,'Müşteri Kartları'!$B$5:$G$104,6,FALSE)),0)</f>
      </c>
      <c r="H27" s="18">
        <f>IF($F27="",0,$F27*Parametreler!$C$5)</f>
      </c>
      <c r="I27" s="19">
        <f>IF($F27="","",$F27-$G27+$H27)</f>
      </c>
      <c r="J27" s="18">
        <f>IF($F27="",0,$F27)</f>
      </c>
      <c r="K27" s="9"/>
      <c r="L27" s="12"/>
    </row>
    <row r="28" spans="2:12" x14ac:dyDescent="0.25">
      <c r="B28" s="20"/>
      <c r="C28" s="13"/>
      <c r="D28" s="13"/>
      <c r="E28" s="16">
        <f>IFERROR(IF($D28="","",VLOOKUP($D28,'Müşteri Kartları'!$B$5:$C$104,2,FALSE)),"— tanımsız —")</f>
      </c>
      <c r="F28" s="21"/>
      <c r="G28" s="18">
        <f>IFERROR(IF($D28="",0,$F28*Parametreler!$C$4*VLOOKUP($D28,'Müşteri Kartları'!$B$5:$G$104,6,FALSE)),0)</f>
      </c>
      <c r="H28" s="18">
        <f>IF($F28="",0,$F28*Parametreler!$C$5)</f>
      </c>
      <c r="I28" s="19">
        <f>IF($F28="","",$F28-$G28+$H28)</f>
      </c>
      <c r="J28" s="18">
        <f>IF($F28="",0,$F28)</f>
      </c>
      <c r="K28" s="14"/>
      <c r="L28" s="13"/>
    </row>
    <row r="29" spans="2:12" x14ac:dyDescent="0.25">
      <c r="B29" s="15"/>
      <c r="C29" s="12"/>
      <c r="D29" s="12"/>
      <c r="E29" s="16">
        <f>IFERROR(IF($D29="","",VLOOKUP($D29,'Müşteri Kartları'!$B$5:$C$104,2,FALSE)),"— tanımsız —")</f>
      </c>
      <c r="F29" s="17"/>
      <c r="G29" s="18">
        <f>IFERROR(IF($D29="",0,$F29*Parametreler!$C$4*VLOOKUP($D29,'Müşteri Kartları'!$B$5:$G$104,6,FALSE)),0)</f>
      </c>
      <c r="H29" s="18">
        <f>IF($F29="",0,$F29*Parametreler!$C$5)</f>
      </c>
      <c r="I29" s="19">
        <f>IF($F29="","",$F29-$G29+$H29)</f>
      </c>
      <c r="J29" s="18">
        <f>IF($F29="",0,$F29)</f>
      </c>
      <c r="K29" s="9"/>
      <c r="L29" s="12"/>
    </row>
    <row r="30" spans="2:12" x14ac:dyDescent="0.25">
      <c r="B30" s="20"/>
      <c r="C30" s="13"/>
      <c r="D30" s="13"/>
      <c r="E30" s="16">
        <f>IFERROR(IF($D30="","",VLOOKUP($D30,'Müşteri Kartları'!$B$5:$C$104,2,FALSE)),"— tanımsız —")</f>
      </c>
      <c r="F30" s="21"/>
      <c r="G30" s="18">
        <f>IFERROR(IF($D30="",0,$F30*Parametreler!$C$4*VLOOKUP($D30,'Müşteri Kartları'!$B$5:$G$104,6,FALSE)),0)</f>
      </c>
      <c r="H30" s="18">
        <f>IF($F30="",0,$F30*Parametreler!$C$5)</f>
      </c>
      <c r="I30" s="19">
        <f>IF($F30="","",$F30-$G30+$H30)</f>
      </c>
      <c r="J30" s="18">
        <f>IF($F30="",0,$F30)</f>
      </c>
      <c r="K30" s="14"/>
      <c r="L30" s="13"/>
    </row>
    <row r="31" spans="2:12" x14ac:dyDescent="0.25">
      <c r="B31" s="15"/>
      <c r="C31" s="12"/>
      <c r="D31" s="12"/>
      <c r="E31" s="16">
        <f>IFERROR(IF($D31="","",VLOOKUP($D31,'Müşteri Kartları'!$B$5:$C$104,2,FALSE)),"— tanımsız —")</f>
      </c>
      <c r="F31" s="17"/>
      <c r="G31" s="18">
        <f>IFERROR(IF($D31="",0,$F31*Parametreler!$C$4*VLOOKUP($D31,'Müşteri Kartları'!$B$5:$G$104,6,FALSE)),0)</f>
      </c>
      <c r="H31" s="18">
        <f>IF($F31="",0,$F31*Parametreler!$C$5)</f>
      </c>
      <c r="I31" s="19">
        <f>IF($F31="","",$F31-$G31+$H31)</f>
      </c>
      <c r="J31" s="18">
        <f>IF($F31="",0,$F31)</f>
      </c>
      <c r="K31" s="9"/>
      <c r="L31" s="12"/>
    </row>
    <row r="32" spans="2:12" x14ac:dyDescent="0.25">
      <c r="B32" s="20"/>
      <c r="C32" s="13"/>
      <c r="D32" s="13"/>
      <c r="E32" s="16">
        <f>IFERROR(IF($D32="","",VLOOKUP($D32,'Müşteri Kartları'!$B$5:$C$104,2,FALSE)),"— tanımsız —")</f>
      </c>
      <c r="F32" s="21"/>
      <c r="G32" s="18">
        <f>IFERROR(IF($D32="",0,$F32*Parametreler!$C$4*VLOOKUP($D32,'Müşteri Kartları'!$B$5:$G$104,6,FALSE)),0)</f>
      </c>
      <c r="H32" s="18">
        <f>IF($F32="",0,$F32*Parametreler!$C$5)</f>
      </c>
      <c r="I32" s="19">
        <f>IF($F32="","",$F32-$G32+$H32)</f>
      </c>
      <c r="J32" s="18">
        <f>IF($F32="",0,$F32)</f>
      </c>
      <c r="K32" s="14"/>
      <c r="L32" s="13"/>
    </row>
    <row r="33" spans="2:12" x14ac:dyDescent="0.25">
      <c r="B33" s="15"/>
      <c r="C33" s="12"/>
      <c r="D33" s="12"/>
      <c r="E33" s="16">
        <f>IFERROR(IF($D33="","",VLOOKUP($D33,'Müşteri Kartları'!$B$5:$C$104,2,FALSE)),"— tanımsız —")</f>
      </c>
      <c r="F33" s="17"/>
      <c r="G33" s="18">
        <f>IFERROR(IF($D33="",0,$F33*Parametreler!$C$4*VLOOKUP($D33,'Müşteri Kartları'!$B$5:$G$104,6,FALSE)),0)</f>
      </c>
      <c r="H33" s="18">
        <f>IF($F33="",0,$F33*Parametreler!$C$5)</f>
      </c>
      <c r="I33" s="19">
        <f>IF($F33="","",$F33-$G33+$H33)</f>
      </c>
      <c r="J33" s="18">
        <f>IF($F33="",0,$F33)</f>
      </c>
      <c r="K33" s="9"/>
      <c r="L33" s="12"/>
    </row>
    <row r="34" spans="2:12" x14ac:dyDescent="0.25">
      <c r="B34" s="20"/>
      <c r="C34" s="13"/>
      <c r="D34" s="13"/>
      <c r="E34" s="16">
        <f>IFERROR(IF($D34="","",VLOOKUP($D34,'Müşteri Kartları'!$B$5:$C$104,2,FALSE)),"— tanımsız —")</f>
      </c>
      <c r="F34" s="21"/>
      <c r="G34" s="18">
        <f>IFERROR(IF($D34="",0,$F34*Parametreler!$C$4*VLOOKUP($D34,'Müşteri Kartları'!$B$5:$G$104,6,FALSE)),0)</f>
      </c>
      <c r="H34" s="18">
        <f>IF($F34="",0,$F34*Parametreler!$C$5)</f>
      </c>
      <c r="I34" s="19">
        <f>IF($F34="","",$F34-$G34+$H34)</f>
      </c>
      <c r="J34" s="18">
        <f>IF($F34="",0,$F34)</f>
      </c>
      <c r="K34" s="14"/>
      <c r="L34" s="13"/>
    </row>
    <row r="35" spans="2:12" x14ac:dyDescent="0.25">
      <c r="B35" s="15"/>
      <c r="C35" s="12"/>
      <c r="D35" s="12"/>
      <c r="E35" s="16">
        <f>IFERROR(IF($D35="","",VLOOKUP($D35,'Müşteri Kartları'!$B$5:$C$104,2,FALSE)),"— tanımsız —")</f>
      </c>
      <c r="F35" s="17"/>
      <c r="G35" s="18">
        <f>IFERROR(IF($D35="",0,$F35*Parametreler!$C$4*VLOOKUP($D35,'Müşteri Kartları'!$B$5:$G$104,6,FALSE)),0)</f>
      </c>
      <c r="H35" s="18">
        <f>IF($F35="",0,$F35*Parametreler!$C$5)</f>
      </c>
      <c r="I35" s="19">
        <f>IF($F35="","",$F35-$G35+$H35)</f>
      </c>
      <c r="J35" s="18">
        <f>IF($F35="",0,$F35)</f>
      </c>
      <c r="K35" s="9"/>
      <c r="L35" s="12"/>
    </row>
    <row r="36" spans="2:12" x14ac:dyDescent="0.25">
      <c r="B36" s="20"/>
      <c r="C36" s="13"/>
      <c r="D36" s="13"/>
      <c r="E36" s="16">
        <f>IFERROR(IF($D36="","",VLOOKUP($D36,'Müşteri Kartları'!$B$5:$C$104,2,FALSE)),"— tanımsız —")</f>
      </c>
      <c r="F36" s="21"/>
      <c r="G36" s="18">
        <f>IFERROR(IF($D36="",0,$F36*Parametreler!$C$4*VLOOKUP($D36,'Müşteri Kartları'!$B$5:$G$104,6,FALSE)),0)</f>
      </c>
      <c r="H36" s="18">
        <f>IF($F36="",0,$F36*Parametreler!$C$5)</f>
      </c>
      <c r="I36" s="19">
        <f>IF($F36="","",$F36-$G36+$H36)</f>
      </c>
      <c r="J36" s="18">
        <f>IF($F36="",0,$F36)</f>
      </c>
      <c r="K36" s="14"/>
      <c r="L36" s="13"/>
    </row>
    <row r="37" spans="2:12" x14ac:dyDescent="0.25">
      <c r="B37" s="15"/>
      <c r="C37" s="12"/>
      <c r="D37" s="12"/>
      <c r="E37" s="16">
        <f>IFERROR(IF($D37="","",VLOOKUP($D37,'Müşteri Kartları'!$B$5:$C$104,2,FALSE)),"— tanımsız —")</f>
      </c>
      <c r="F37" s="17"/>
      <c r="G37" s="18">
        <f>IFERROR(IF($D37="",0,$F37*Parametreler!$C$4*VLOOKUP($D37,'Müşteri Kartları'!$B$5:$G$104,6,FALSE)),0)</f>
      </c>
      <c r="H37" s="18">
        <f>IF($F37="",0,$F37*Parametreler!$C$5)</f>
      </c>
      <c r="I37" s="19">
        <f>IF($F37="","",$F37-$G37+$H37)</f>
      </c>
      <c r="J37" s="18">
        <f>IF($F37="",0,$F37)</f>
      </c>
      <c r="K37" s="9"/>
      <c r="L37" s="12"/>
    </row>
    <row r="38" spans="2:12" x14ac:dyDescent="0.25">
      <c r="B38" s="20"/>
      <c r="C38" s="13"/>
      <c r="D38" s="13"/>
      <c r="E38" s="16">
        <f>IFERROR(IF($D38="","",VLOOKUP($D38,'Müşteri Kartları'!$B$5:$C$104,2,FALSE)),"— tanımsız —")</f>
      </c>
      <c r="F38" s="21"/>
      <c r="G38" s="18">
        <f>IFERROR(IF($D38="",0,$F38*Parametreler!$C$4*VLOOKUP($D38,'Müşteri Kartları'!$B$5:$G$104,6,FALSE)),0)</f>
      </c>
      <c r="H38" s="18">
        <f>IF($F38="",0,$F38*Parametreler!$C$5)</f>
      </c>
      <c r="I38" s="19">
        <f>IF($F38="","",$F38-$G38+$H38)</f>
      </c>
      <c r="J38" s="18">
        <f>IF($F38="",0,$F38)</f>
      </c>
      <c r="K38" s="14"/>
      <c r="L38" s="13"/>
    </row>
    <row r="39" spans="2:12" x14ac:dyDescent="0.25">
      <c r="B39" s="15"/>
      <c r="C39" s="12"/>
      <c r="D39" s="12"/>
      <c r="E39" s="16">
        <f>IFERROR(IF($D39="","",VLOOKUP($D39,'Müşteri Kartları'!$B$5:$C$104,2,FALSE)),"— tanımsız —")</f>
      </c>
      <c r="F39" s="17"/>
      <c r="G39" s="18">
        <f>IFERROR(IF($D39="",0,$F39*Parametreler!$C$4*VLOOKUP($D39,'Müşteri Kartları'!$B$5:$G$104,6,FALSE)),0)</f>
      </c>
      <c r="H39" s="18">
        <f>IF($F39="",0,$F39*Parametreler!$C$5)</f>
      </c>
      <c r="I39" s="19">
        <f>IF($F39="","",$F39-$G39+$H39)</f>
      </c>
      <c r="J39" s="18">
        <f>IF($F39="",0,$F39)</f>
      </c>
      <c r="K39" s="9"/>
      <c r="L39" s="12"/>
    </row>
    <row r="40" spans="2:12" x14ac:dyDescent="0.25">
      <c r="B40" s="20"/>
      <c r="C40" s="13"/>
      <c r="D40" s="13"/>
      <c r="E40" s="16">
        <f>IFERROR(IF($D40="","",VLOOKUP($D40,'Müşteri Kartları'!$B$5:$C$104,2,FALSE)),"— tanımsız —")</f>
      </c>
      <c r="F40" s="21"/>
      <c r="G40" s="18">
        <f>IFERROR(IF($D40="",0,$F40*Parametreler!$C$4*VLOOKUP($D40,'Müşteri Kartları'!$B$5:$G$104,6,FALSE)),0)</f>
      </c>
      <c r="H40" s="18">
        <f>IF($F40="",0,$F40*Parametreler!$C$5)</f>
      </c>
      <c r="I40" s="19">
        <f>IF($F40="","",$F40-$G40+$H40)</f>
      </c>
      <c r="J40" s="18">
        <f>IF($F40="",0,$F40)</f>
      </c>
      <c r="K40" s="14"/>
      <c r="L40" s="13"/>
    </row>
    <row r="41" spans="2:12" x14ac:dyDescent="0.25">
      <c r="B41" s="15"/>
      <c r="C41" s="12"/>
      <c r="D41" s="12"/>
      <c r="E41" s="16">
        <f>IFERROR(IF($D41="","",VLOOKUP($D41,'Müşteri Kartları'!$B$5:$C$104,2,FALSE)),"— tanımsız —")</f>
      </c>
      <c r="F41" s="17"/>
      <c r="G41" s="18">
        <f>IFERROR(IF($D41="",0,$F41*Parametreler!$C$4*VLOOKUP($D41,'Müşteri Kartları'!$B$5:$G$104,6,FALSE)),0)</f>
      </c>
      <c r="H41" s="18">
        <f>IF($F41="",0,$F41*Parametreler!$C$5)</f>
      </c>
      <c r="I41" s="19">
        <f>IF($F41="","",$F41-$G41+$H41)</f>
      </c>
      <c r="J41" s="18">
        <f>IF($F41="",0,$F41)</f>
      </c>
      <c r="K41" s="9"/>
      <c r="L41" s="12"/>
    </row>
    <row r="42" spans="2:12" x14ac:dyDescent="0.25">
      <c r="B42" s="20"/>
      <c r="C42" s="13"/>
      <c r="D42" s="13"/>
      <c r="E42" s="16">
        <f>IFERROR(IF($D42="","",VLOOKUP($D42,'Müşteri Kartları'!$B$5:$C$104,2,FALSE)),"— tanımsız —")</f>
      </c>
      <c r="F42" s="21"/>
      <c r="G42" s="18">
        <f>IFERROR(IF($D42="",0,$F42*Parametreler!$C$4*VLOOKUP($D42,'Müşteri Kartları'!$B$5:$G$104,6,FALSE)),0)</f>
      </c>
      <c r="H42" s="18">
        <f>IF($F42="",0,$F42*Parametreler!$C$5)</f>
      </c>
      <c r="I42" s="19">
        <f>IF($F42="","",$F42-$G42+$H42)</f>
      </c>
      <c r="J42" s="18">
        <f>IF($F42="",0,$F42)</f>
      </c>
      <c r="K42" s="14"/>
      <c r="L42" s="13"/>
    </row>
    <row r="43" spans="2:12" x14ac:dyDescent="0.25">
      <c r="B43" s="15"/>
      <c r="C43" s="12"/>
      <c r="D43" s="12"/>
      <c r="E43" s="16">
        <f>IFERROR(IF($D43="","",VLOOKUP($D43,'Müşteri Kartları'!$B$5:$C$104,2,FALSE)),"— tanımsız —")</f>
      </c>
      <c r="F43" s="17"/>
      <c r="G43" s="18">
        <f>IFERROR(IF($D43="",0,$F43*Parametreler!$C$4*VLOOKUP($D43,'Müşteri Kartları'!$B$5:$G$104,6,FALSE)),0)</f>
      </c>
      <c r="H43" s="18">
        <f>IF($F43="",0,$F43*Parametreler!$C$5)</f>
      </c>
      <c r="I43" s="19">
        <f>IF($F43="","",$F43-$G43+$H43)</f>
      </c>
      <c r="J43" s="18">
        <f>IF($F43="",0,$F43)</f>
      </c>
      <c r="K43" s="9"/>
      <c r="L43" s="12"/>
    </row>
    <row r="44" spans="2:12" x14ac:dyDescent="0.25">
      <c r="B44" s="20"/>
      <c r="C44" s="13"/>
      <c r="D44" s="13"/>
      <c r="E44" s="16">
        <f>IFERROR(IF($D44="","",VLOOKUP($D44,'Müşteri Kartları'!$B$5:$C$104,2,FALSE)),"— tanımsız —")</f>
      </c>
      <c r="F44" s="21"/>
      <c r="G44" s="18">
        <f>IFERROR(IF($D44="",0,$F44*Parametreler!$C$4*VLOOKUP($D44,'Müşteri Kartları'!$B$5:$G$104,6,FALSE)),0)</f>
      </c>
      <c r="H44" s="18">
        <f>IF($F44="",0,$F44*Parametreler!$C$5)</f>
      </c>
      <c r="I44" s="19">
        <f>IF($F44="","",$F44-$G44+$H44)</f>
      </c>
      <c r="J44" s="18">
        <f>IF($F44="",0,$F44)</f>
      </c>
      <c r="K44" s="14"/>
      <c r="L44" s="13"/>
    </row>
    <row r="45" spans="2:12" x14ac:dyDescent="0.25">
      <c r="B45" s="15"/>
      <c r="C45" s="12"/>
      <c r="D45" s="12"/>
      <c r="E45" s="16">
        <f>IFERROR(IF($D45="","",VLOOKUP($D45,'Müşteri Kartları'!$B$5:$C$104,2,FALSE)),"— tanımsız —")</f>
      </c>
      <c r="F45" s="17"/>
      <c r="G45" s="18">
        <f>IFERROR(IF($D45="",0,$F45*Parametreler!$C$4*VLOOKUP($D45,'Müşteri Kartları'!$B$5:$G$104,6,FALSE)),0)</f>
      </c>
      <c r="H45" s="18">
        <f>IF($F45="",0,$F45*Parametreler!$C$5)</f>
      </c>
      <c r="I45" s="19">
        <f>IF($F45="","",$F45-$G45+$H45)</f>
      </c>
      <c r="J45" s="18">
        <f>IF($F45="",0,$F45)</f>
      </c>
      <c r="K45" s="9"/>
      <c r="L45" s="12"/>
    </row>
    <row r="46" spans="2:12" x14ac:dyDescent="0.25">
      <c r="B46" s="20"/>
      <c r="C46" s="13"/>
      <c r="D46" s="13"/>
      <c r="E46" s="16">
        <f>IFERROR(IF($D46="","",VLOOKUP($D46,'Müşteri Kartları'!$B$5:$C$104,2,FALSE)),"— tanımsız —")</f>
      </c>
      <c r="F46" s="21"/>
      <c r="G46" s="18">
        <f>IFERROR(IF($D46="",0,$F46*Parametreler!$C$4*VLOOKUP($D46,'Müşteri Kartları'!$B$5:$G$104,6,FALSE)),0)</f>
      </c>
      <c r="H46" s="18">
        <f>IF($F46="",0,$F46*Parametreler!$C$5)</f>
      </c>
      <c r="I46" s="19">
        <f>IF($F46="","",$F46-$G46+$H46)</f>
      </c>
      <c r="J46" s="18">
        <f>IF($F46="",0,$F46)</f>
      </c>
      <c r="K46" s="14"/>
      <c r="L46" s="13"/>
    </row>
    <row r="47" spans="2:12" x14ac:dyDescent="0.25">
      <c r="B47" s="15"/>
      <c r="C47" s="12"/>
      <c r="D47" s="12"/>
      <c r="E47" s="16">
        <f>IFERROR(IF($D47="","",VLOOKUP($D47,'Müşteri Kartları'!$B$5:$C$104,2,FALSE)),"— tanımsız —")</f>
      </c>
      <c r="F47" s="17"/>
      <c r="G47" s="18">
        <f>IFERROR(IF($D47="",0,$F47*Parametreler!$C$4*VLOOKUP($D47,'Müşteri Kartları'!$B$5:$G$104,6,FALSE)),0)</f>
      </c>
      <c r="H47" s="18">
        <f>IF($F47="",0,$F47*Parametreler!$C$5)</f>
      </c>
      <c r="I47" s="19">
        <f>IF($F47="","",$F47-$G47+$H47)</f>
      </c>
      <c r="J47" s="18">
        <f>IF($F47="",0,$F47)</f>
      </c>
      <c r="K47" s="9"/>
      <c r="L47" s="12"/>
    </row>
    <row r="48" spans="2:12" x14ac:dyDescent="0.25">
      <c r="B48" s="20"/>
      <c r="C48" s="13"/>
      <c r="D48" s="13"/>
      <c r="E48" s="16">
        <f>IFERROR(IF($D48="","",VLOOKUP($D48,'Müşteri Kartları'!$B$5:$C$104,2,FALSE)),"— tanımsız —")</f>
      </c>
      <c r="F48" s="21"/>
      <c r="G48" s="18">
        <f>IFERROR(IF($D48="",0,$F48*Parametreler!$C$4*VLOOKUP($D48,'Müşteri Kartları'!$B$5:$G$104,6,FALSE)),0)</f>
      </c>
      <c r="H48" s="18">
        <f>IF($F48="",0,$F48*Parametreler!$C$5)</f>
      </c>
      <c r="I48" s="19">
        <f>IF($F48="","",$F48-$G48+$H48)</f>
      </c>
      <c r="J48" s="18">
        <f>IF($F48="",0,$F48)</f>
      </c>
      <c r="K48" s="14"/>
      <c r="L48" s="13"/>
    </row>
    <row r="49" spans="2:12" x14ac:dyDescent="0.25">
      <c r="B49" s="15"/>
      <c r="C49" s="12"/>
      <c r="D49" s="12"/>
      <c r="E49" s="16">
        <f>IFERROR(IF($D49="","",VLOOKUP($D49,'Müşteri Kartları'!$B$5:$C$104,2,FALSE)),"— tanımsız —")</f>
      </c>
      <c r="F49" s="17"/>
      <c r="G49" s="18">
        <f>IFERROR(IF($D49="",0,$F49*Parametreler!$C$4*VLOOKUP($D49,'Müşteri Kartları'!$B$5:$G$104,6,FALSE)),0)</f>
      </c>
      <c r="H49" s="18">
        <f>IF($F49="",0,$F49*Parametreler!$C$5)</f>
      </c>
      <c r="I49" s="19">
        <f>IF($F49="","",$F49-$G49+$H49)</f>
      </c>
      <c r="J49" s="18">
        <f>IF($F49="",0,$F49)</f>
      </c>
      <c r="K49" s="9"/>
      <c r="L49" s="12"/>
    </row>
    <row r="50" spans="2:12" x14ac:dyDescent="0.25">
      <c r="B50" s="20"/>
      <c r="C50" s="13"/>
      <c r="D50" s="13"/>
      <c r="E50" s="16">
        <f>IFERROR(IF($D50="","",VLOOKUP($D50,'Müşteri Kartları'!$B$5:$C$104,2,FALSE)),"— tanımsız —")</f>
      </c>
      <c r="F50" s="21"/>
      <c r="G50" s="18">
        <f>IFERROR(IF($D50="",0,$F50*Parametreler!$C$4*VLOOKUP($D50,'Müşteri Kartları'!$B$5:$G$104,6,FALSE)),0)</f>
      </c>
      <c r="H50" s="18">
        <f>IF($F50="",0,$F50*Parametreler!$C$5)</f>
      </c>
      <c r="I50" s="19">
        <f>IF($F50="","",$F50-$G50+$H50)</f>
      </c>
      <c r="J50" s="18">
        <f>IF($F50="",0,$F50)</f>
      </c>
      <c r="K50" s="14"/>
      <c r="L50" s="13"/>
    </row>
    <row r="51" spans="2:12" x14ac:dyDescent="0.25">
      <c r="B51" s="15"/>
      <c r="C51" s="12"/>
      <c r="D51" s="12"/>
      <c r="E51" s="16">
        <f>IFERROR(IF($D51="","",VLOOKUP($D51,'Müşteri Kartları'!$B$5:$C$104,2,FALSE)),"— tanımsız —")</f>
      </c>
      <c r="F51" s="17"/>
      <c r="G51" s="18">
        <f>IFERROR(IF($D51="",0,$F51*Parametreler!$C$4*VLOOKUP($D51,'Müşteri Kartları'!$B$5:$G$104,6,FALSE)),0)</f>
      </c>
      <c r="H51" s="18">
        <f>IF($F51="",0,$F51*Parametreler!$C$5)</f>
      </c>
      <c r="I51" s="19">
        <f>IF($F51="","",$F51-$G51+$H51)</f>
      </c>
      <c r="J51" s="18">
        <f>IF($F51="",0,$F51)</f>
      </c>
      <c r="K51" s="9"/>
      <c r="L51" s="12"/>
    </row>
    <row r="52" spans="2:12" x14ac:dyDescent="0.25">
      <c r="B52" s="20"/>
      <c r="C52" s="13"/>
      <c r="D52" s="13"/>
      <c r="E52" s="16">
        <f>IFERROR(IF($D52="","",VLOOKUP($D52,'Müşteri Kartları'!$B$5:$C$104,2,FALSE)),"— tanımsız —")</f>
      </c>
      <c r="F52" s="21"/>
      <c r="G52" s="18">
        <f>IFERROR(IF($D52="",0,$F52*Parametreler!$C$4*VLOOKUP($D52,'Müşteri Kartları'!$B$5:$G$104,6,FALSE)),0)</f>
      </c>
      <c r="H52" s="18">
        <f>IF($F52="",0,$F52*Parametreler!$C$5)</f>
      </c>
      <c r="I52" s="19">
        <f>IF($F52="","",$F52-$G52+$H52)</f>
      </c>
      <c r="J52" s="18">
        <f>IF($F52="",0,$F52)</f>
      </c>
      <c r="K52" s="14"/>
      <c r="L52" s="13"/>
    </row>
    <row r="53" spans="2:12" x14ac:dyDescent="0.25">
      <c r="B53" s="15"/>
      <c r="C53" s="12"/>
      <c r="D53" s="12"/>
      <c r="E53" s="16">
        <f>IFERROR(IF($D53="","",VLOOKUP($D53,'Müşteri Kartları'!$B$5:$C$104,2,FALSE)),"— tanımsız —")</f>
      </c>
      <c r="F53" s="17"/>
      <c r="G53" s="18">
        <f>IFERROR(IF($D53="",0,$F53*Parametreler!$C$4*VLOOKUP($D53,'Müşteri Kartları'!$B$5:$G$104,6,FALSE)),0)</f>
      </c>
      <c r="H53" s="18">
        <f>IF($F53="",0,$F53*Parametreler!$C$5)</f>
      </c>
      <c r="I53" s="19">
        <f>IF($F53="","",$F53-$G53+$H53)</f>
      </c>
      <c r="J53" s="18">
        <f>IF($F53="",0,$F53)</f>
      </c>
      <c r="K53" s="9"/>
      <c r="L53" s="12"/>
    </row>
    <row r="54" spans="2:12" x14ac:dyDescent="0.25">
      <c r="B54" s="20"/>
      <c r="C54" s="13"/>
      <c r="D54" s="13"/>
      <c r="E54" s="16">
        <f>IFERROR(IF($D54="","",VLOOKUP($D54,'Müşteri Kartları'!$B$5:$C$104,2,FALSE)),"— tanımsız —")</f>
      </c>
      <c r="F54" s="21"/>
      <c r="G54" s="18">
        <f>IFERROR(IF($D54="",0,$F54*Parametreler!$C$4*VLOOKUP($D54,'Müşteri Kartları'!$B$5:$G$104,6,FALSE)),0)</f>
      </c>
      <c r="H54" s="18">
        <f>IF($F54="",0,$F54*Parametreler!$C$5)</f>
      </c>
      <c r="I54" s="19">
        <f>IF($F54="","",$F54-$G54+$H54)</f>
      </c>
      <c r="J54" s="18">
        <f>IF($F54="",0,$F54)</f>
      </c>
      <c r="K54" s="14"/>
      <c r="L54" s="13"/>
    </row>
    <row r="55" spans="2:12" x14ac:dyDescent="0.25">
      <c r="B55" s="15"/>
      <c r="C55" s="12"/>
      <c r="D55" s="12"/>
      <c r="E55" s="16">
        <f>IFERROR(IF($D55="","",VLOOKUP($D55,'Müşteri Kartları'!$B$5:$C$104,2,FALSE)),"— tanımsız —")</f>
      </c>
      <c r="F55" s="17"/>
      <c r="G55" s="18">
        <f>IFERROR(IF($D55="",0,$F55*Parametreler!$C$4*VLOOKUP($D55,'Müşteri Kartları'!$B$5:$G$104,6,FALSE)),0)</f>
      </c>
      <c r="H55" s="18">
        <f>IF($F55="",0,$F55*Parametreler!$C$5)</f>
      </c>
      <c r="I55" s="19">
        <f>IF($F55="","",$F55-$G55+$H55)</f>
      </c>
      <c r="J55" s="18">
        <f>IF($F55="",0,$F55)</f>
      </c>
      <c r="K55" s="9"/>
      <c r="L55" s="12"/>
    </row>
    <row r="56" spans="2:12" x14ac:dyDescent="0.25">
      <c r="B56" s="20"/>
      <c r="C56" s="13"/>
      <c r="D56" s="13"/>
      <c r="E56" s="16">
        <f>IFERROR(IF($D56="","",VLOOKUP($D56,'Müşteri Kartları'!$B$5:$C$104,2,FALSE)),"— tanımsız —")</f>
      </c>
      <c r="F56" s="21"/>
      <c r="G56" s="18">
        <f>IFERROR(IF($D56="",0,$F56*Parametreler!$C$4*VLOOKUP($D56,'Müşteri Kartları'!$B$5:$G$104,6,FALSE)),0)</f>
      </c>
      <c r="H56" s="18">
        <f>IF($F56="",0,$F56*Parametreler!$C$5)</f>
      </c>
      <c r="I56" s="19">
        <f>IF($F56="","",$F56-$G56+$H56)</f>
      </c>
      <c r="J56" s="18">
        <f>IF($F56="",0,$F56)</f>
      </c>
      <c r="K56" s="14"/>
      <c r="L56" s="13"/>
    </row>
    <row r="57" spans="2:12" x14ac:dyDescent="0.25">
      <c r="B57" s="15"/>
      <c r="C57" s="12"/>
      <c r="D57" s="12"/>
      <c r="E57" s="16">
        <f>IFERROR(IF($D57="","",VLOOKUP($D57,'Müşteri Kartları'!$B$5:$C$104,2,FALSE)),"— tanımsız —")</f>
      </c>
      <c r="F57" s="17"/>
      <c r="G57" s="18">
        <f>IFERROR(IF($D57="",0,$F57*Parametreler!$C$4*VLOOKUP($D57,'Müşteri Kartları'!$B$5:$G$104,6,FALSE)),0)</f>
      </c>
      <c r="H57" s="18">
        <f>IF($F57="",0,$F57*Parametreler!$C$5)</f>
      </c>
      <c r="I57" s="19">
        <f>IF($F57="","",$F57-$G57+$H57)</f>
      </c>
      <c r="J57" s="18">
        <f>IF($F57="",0,$F57)</f>
      </c>
      <c r="K57" s="9"/>
      <c r="L57" s="12"/>
    </row>
    <row r="58" spans="2:12" x14ac:dyDescent="0.25">
      <c r="B58" s="20"/>
      <c r="C58" s="13"/>
      <c r="D58" s="13"/>
      <c r="E58" s="16">
        <f>IFERROR(IF($D58="","",VLOOKUP($D58,'Müşteri Kartları'!$B$5:$C$104,2,FALSE)),"— tanımsız —")</f>
      </c>
      <c r="F58" s="21"/>
      <c r="G58" s="18">
        <f>IFERROR(IF($D58="",0,$F58*Parametreler!$C$4*VLOOKUP($D58,'Müşteri Kartları'!$B$5:$G$104,6,FALSE)),0)</f>
      </c>
      <c r="H58" s="18">
        <f>IF($F58="",0,$F58*Parametreler!$C$5)</f>
      </c>
      <c r="I58" s="19">
        <f>IF($F58="","",$F58-$G58+$H58)</f>
      </c>
      <c r="J58" s="18">
        <f>IF($F58="",0,$F58)</f>
      </c>
      <c r="K58" s="14"/>
      <c r="L58" s="13"/>
    </row>
    <row r="59" spans="2:12" x14ac:dyDescent="0.25">
      <c r="B59" s="15"/>
      <c r="C59" s="12"/>
      <c r="D59" s="12"/>
      <c r="E59" s="16">
        <f>IFERROR(IF($D59="","",VLOOKUP($D59,'Müşteri Kartları'!$B$5:$C$104,2,FALSE)),"— tanımsız —")</f>
      </c>
      <c r="F59" s="17"/>
      <c r="G59" s="18">
        <f>IFERROR(IF($D59="",0,$F59*Parametreler!$C$4*VLOOKUP($D59,'Müşteri Kartları'!$B$5:$G$104,6,FALSE)),0)</f>
      </c>
      <c r="H59" s="18">
        <f>IF($F59="",0,$F59*Parametreler!$C$5)</f>
      </c>
      <c r="I59" s="19">
        <f>IF($F59="","",$F59-$G59+$H59)</f>
      </c>
      <c r="J59" s="18">
        <f>IF($F59="",0,$F59)</f>
      </c>
      <c r="K59" s="9"/>
      <c r="L59" s="12"/>
    </row>
    <row r="60" spans="2:12" x14ac:dyDescent="0.25">
      <c r="B60" s="20"/>
      <c r="C60" s="13"/>
      <c r="D60" s="13"/>
      <c r="E60" s="16">
        <f>IFERROR(IF($D60="","",VLOOKUP($D60,'Müşteri Kartları'!$B$5:$C$104,2,FALSE)),"— tanımsız —")</f>
      </c>
      <c r="F60" s="21"/>
      <c r="G60" s="18">
        <f>IFERROR(IF($D60="",0,$F60*Parametreler!$C$4*VLOOKUP($D60,'Müşteri Kartları'!$B$5:$G$104,6,FALSE)),0)</f>
      </c>
      <c r="H60" s="18">
        <f>IF($F60="",0,$F60*Parametreler!$C$5)</f>
      </c>
      <c r="I60" s="19">
        <f>IF($F60="","",$F60-$G60+$H60)</f>
      </c>
      <c r="J60" s="18">
        <f>IF($F60="",0,$F60)</f>
      </c>
      <c r="K60" s="14"/>
      <c r="L60" s="13"/>
    </row>
    <row r="61" spans="2:12" x14ac:dyDescent="0.25">
      <c r="B61" s="15"/>
      <c r="C61" s="12"/>
      <c r="D61" s="12"/>
      <c r="E61" s="16">
        <f>IFERROR(IF($D61="","",VLOOKUP($D61,'Müşteri Kartları'!$B$5:$C$104,2,FALSE)),"— tanımsız —")</f>
      </c>
      <c r="F61" s="17"/>
      <c r="G61" s="18">
        <f>IFERROR(IF($D61="",0,$F61*Parametreler!$C$4*VLOOKUP($D61,'Müşteri Kartları'!$B$5:$G$104,6,FALSE)),0)</f>
      </c>
      <c r="H61" s="18">
        <f>IF($F61="",0,$F61*Parametreler!$C$5)</f>
      </c>
      <c r="I61" s="19">
        <f>IF($F61="","",$F61-$G61+$H61)</f>
      </c>
      <c r="J61" s="18">
        <f>IF($F61="",0,$F61)</f>
      </c>
      <c r="K61" s="9"/>
      <c r="L61" s="12"/>
    </row>
    <row r="62" spans="2:12" x14ac:dyDescent="0.25">
      <c r="B62" s="20"/>
      <c r="C62" s="13"/>
      <c r="D62" s="13"/>
      <c r="E62" s="16">
        <f>IFERROR(IF($D62="","",VLOOKUP($D62,'Müşteri Kartları'!$B$5:$C$104,2,FALSE)),"— tanımsız —")</f>
      </c>
      <c r="F62" s="21"/>
      <c r="G62" s="18">
        <f>IFERROR(IF($D62="",0,$F62*Parametreler!$C$4*VLOOKUP($D62,'Müşteri Kartları'!$B$5:$G$104,6,FALSE)),0)</f>
      </c>
      <c r="H62" s="18">
        <f>IF($F62="",0,$F62*Parametreler!$C$5)</f>
      </c>
      <c r="I62" s="19">
        <f>IF($F62="","",$F62-$G62+$H62)</f>
      </c>
      <c r="J62" s="18">
        <f>IF($F62="",0,$F62)</f>
      </c>
      <c r="K62" s="14"/>
      <c r="L62" s="13"/>
    </row>
    <row r="63" spans="2:12" x14ac:dyDescent="0.25">
      <c r="B63" s="15"/>
      <c r="C63" s="12"/>
      <c r="D63" s="12"/>
      <c r="E63" s="16">
        <f>IFERROR(IF($D63="","",VLOOKUP($D63,'Müşteri Kartları'!$B$5:$C$104,2,FALSE)),"— tanımsız —")</f>
      </c>
      <c r="F63" s="17"/>
      <c r="G63" s="18">
        <f>IFERROR(IF($D63="",0,$F63*Parametreler!$C$4*VLOOKUP($D63,'Müşteri Kartları'!$B$5:$G$104,6,FALSE)),0)</f>
      </c>
      <c r="H63" s="18">
        <f>IF($F63="",0,$F63*Parametreler!$C$5)</f>
      </c>
      <c r="I63" s="19">
        <f>IF($F63="","",$F63-$G63+$H63)</f>
      </c>
      <c r="J63" s="18">
        <f>IF($F63="",0,$F63)</f>
      </c>
      <c r="K63" s="9"/>
      <c r="L63" s="12"/>
    </row>
    <row r="64" spans="2:12" x14ac:dyDescent="0.25">
      <c r="B64" s="20"/>
      <c r="C64" s="13"/>
      <c r="D64" s="13"/>
      <c r="E64" s="16">
        <f>IFERROR(IF($D64="","",VLOOKUP($D64,'Müşteri Kartları'!$B$5:$C$104,2,FALSE)),"— tanımsız —")</f>
      </c>
      <c r="F64" s="21"/>
      <c r="G64" s="18">
        <f>IFERROR(IF($D64="",0,$F64*Parametreler!$C$4*VLOOKUP($D64,'Müşteri Kartları'!$B$5:$G$104,6,FALSE)),0)</f>
      </c>
      <c r="H64" s="18">
        <f>IF($F64="",0,$F64*Parametreler!$C$5)</f>
      </c>
      <c r="I64" s="19">
        <f>IF($F64="","",$F64-$G64+$H64)</f>
      </c>
      <c r="J64" s="18">
        <f>IF($F64="",0,$F64)</f>
      </c>
      <c r="K64" s="14"/>
      <c r="L64" s="13"/>
    </row>
    <row r="65" spans="2:12" x14ac:dyDescent="0.25">
      <c r="B65" s="15"/>
      <c r="C65" s="12"/>
      <c r="D65" s="12"/>
      <c r="E65" s="16">
        <f>IFERROR(IF($D65="","",VLOOKUP($D65,'Müşteri Kartları'!$B$5:$C$104,2,FALSE)),"— tanımsız —")</f>
      </c>
      <c r="F65" s="17"/>
      <c r="G65" s="18">
        <f>IFERROR(IF($D65="",0,$F65*Parametreler!$C$4*VLOOKUP($D65,'Müşteri Kartları'!$B$5:$G$104,6,FALSE)),0)</f>
      </c>
      <c r="H65" s="18">
        <f>IF($F65="",0,$F65*Parametreler!$C$5)</f>
      </c>
      <c r="I65" s="19">
        <f>IF($F65="","",$F65-$G65+$H65)</f>
      </c>
      <c r="J65" s="18">
        <f>IF($F65="",0,$F65)</f>
      </c>
      <c r="K65" s="9"/>
      <c r="L65" s="12"/>
    </row>
    <row r="66" spans="2:12" x14ac:dyDescent="0.25">
      <c r="B66" s="20"/>
      <c r="C66" s="13"/>
      <c r="D66" s="13"/>
      <c r="E66" s="16">
        <f>IFERROR(IF($D66="","",VLOOKUP($D66,'Müşteri Kartları'!$B$5:$C$104,2,FALSE)),"— tanımsız —")</f>
      </c>
      <c r="F66" s="21"/>
      <c r="G66" s="18">
        <f>IFERROR(IF($D66="",0,$F66*Parametreler!$C$4*VLOOKUP($D66,'Müşteri Kartları'!$B$5:$G$104,6,FALSE)),0)</f>
      </c>
      <c r="H66" s="18">
        <f>IF($F66="",0,$F66*Parametreler!$C$5)</f>
      </c>
      <c r="I66" s="19">
        <f>IF($F66="","",$F66-$G66+$H66)</f>
      </c>
      <c r="J66" s="18">
        <f>IF($F66="",0,$F66)</f>
      </c>
      <c r="K66" s="14"/>
      <c r="L66" s="13"/>
    </row>
    <row r="67" spans="2:12" x14ac:dyDescent="0.25">
      <c r="B67" s="15"/>
      <c r="C67" s="12"/>
      <c r="D67" s="12"/>
      <c r="E67" s="16">
        <f>IFERROR(IF($D67="","",VLOOKUP($D67,'Müşteri Kartları'!$B$5:$C$104,2,FALSE)),"— tanımsız —")</f>
      </c>
      <c r="F67" s="17"/>
      <c r="G67" s="18">
        <f>IFERROR(IF($D67="",0,$F67*Parametreler!$C$4*VLOOKUP($D67,'Müşteri Kartları'!$B$5:$G$104,6,FALSE)),0)</f>
      </c>
      <c r="H67" s="18">
        <f>IF($F67="",0,$F67*Parametreler!$C$5)</f>
      </c>
      <c r="I67" s="19">
        <f>IF($F67="","",$F67-$G67+$H67)</f>
      </c>
      <c r="J67" s="18">
        <f>IF($F67="",0,$F67)</f>
      </c>
      <c r="K67" s="9"/>
      <c r="L67" s="12"/>
    </row>
    <row r="68" spans="2:12" x14ac:dyDescent="0.25">
      <c r="B68" s="20"/>
      <c r="C68" s="13"/>
      <c r="D68" s="13"/>
      <c r="E68" s="16">
        <f>IFERROR(IF($D68="","",VLOOKUP($D68,'Müşteri Kartları'!$B$5:$C$104,2,FALSE)),"— tanımsız —")</f>
      </c>
      <c r="F68" s="21"/>
      <c r="G68" s="18">
        <f>IFERROR(IF($D68="",0,$F68*Parametreler!$C$4*VLOOKUP($D68,'Müşteri Kartları'!$B$5:$G$104,6,FALSE)),0)</f>
      </c>
      <c r="H68" s="18">
        <f>IF($F68="",0,$F68*Parametreler!$C$5)</f>
      </c>
      <c r="I68" s="19">
        <f>IF($F68="","",$F68-$G68+$H68)</f>
      </c>
      <c r="J68" s="18">
        <f>IF($F68="",0,$F68)</f>
      </c>
      <c r="K68" s="14"/>
      <c r="L68" s="13"/>
    </row>
    <row r="69" spans="2:12" x14ac:dyDescent="0.25">
      <c r="B69" s="15"/>
      <c r="C69" s="12"/>
      <c r="D69" s="12"/>
      <c r="E69" s="16">
        <f>IFERROR(IF($D69="","",VLOOKUP($D69,'Müşteri Kartları'!$B$5:$C$104,2,FALSE)),"— tanımsız —")</f>
      </c>
      <c r="F69" s="17"/>
      <c r="G69" s="18">
        <f>IFERROR(IF($D69="",0,$F69*Parametreler!$C$4*VLOOKUP($D69,'Müşteri Kartları'!$B$5:$G$104,6,FALSE)),0)</f>
      </c>
      <c r="H69" s="18">
        <f>IF($F69="",0,$F69*Parametreler!$C$5)</f>
      </c>
      <c r="I69" s="19">
        <f>IF($F69="","",$F69-$G69+$H69)</f>
      </c>
      <c r="J69" s="18">
        <f>IF($F69="",0,$F69)</f>
      </c>
      <c r="K69" s="9"/>
      <c r="L69" s="12"/>
    </row>
    <row r="70" spans="2:12" x14ac:dyDescent="0.25">
      <c r="B70" s="20"/>
      <c r="C70" s="13"/>
      <c r="D70" s="13"/>
      <c r="E70" s="16">
        <f>IFERROR(IF($D70="","",VLOOKUP($D70,'Müşteri Kartları'!$B$5:$C$104,2,FALSE)),"— tanımsız —")</f>
      </c>
      <c r="F70" s="21"/>
      <c r="G70" s="18">
        <f>IFERROR(IF($D70="",0,$F70*Parametreler!$C$4*VLOOKUP($D70,'Müşteri Kartları'!$B$5:$G$104,6,FALSE)),0)</f>
      </c>
      <c r="H70" s="18">
        <f>IF($F70="",0,$F70*Parametreler!$C$5)</f>
      </c>
      <c r="I70" s="19">
        <f>IF($F70="","",$F70-$G70+$H70)</f>
      </c>
      <c r="J70" s="18">
        <f>IF($F70="",0,$F70)</f>
      </c>
      <c r="K70" s="14"/>
      <c r="L70" s="13"/>
    </row>
    <row r="71" spans="2:12" x14ac:dyDescent="0.25">
      <c r="B71" s="15"/>
      <c r="C71" s="12"/>
      <c r="D71" s="12"/>
      <c r="E71" s="16">
        <f>IFERROR(IF($D71="","",VLOOKUP($D71,'Müşteri Kartları'!$B$5:$C$104,2,FALSE)),"— tanımsız —")</f>
      </c>
      <c r="F71" s="17"/>
      <c r="G71" s="18">
        <f>IFERROR(IF($D71="",0,$F71*Parametreler!$C$4*VLOOKUP($D71,'Müşteri Kartları'!$B$5:$G$104,6,FALSE)),0)</f>
      </c>
      <c r="H71" s="18">
        <f>IF($F71="",0,$F71*Parametreler!$C$5)</f>
      </c>
      <c r="I71" s="19">
        <f>IF($F71="","",$F71-$G71+$H71)</f>
      </c>
      <c r="J71" s="18">
        <f>IF($F71="",0,$F71)</f>
      </c>
      <c r="K71" s="9"/>
      <c r="L71" s="12"/>
    </row>
    <row r="72" spans="2:12" x14ac:dyDescent="0.25">
      <c r="B72" s="20"/>
      <c r="C72" s="13"/>
      <c r="D72" s="13"/>
      <c r="E72" s="16">
        <f>IFERROR(IF($D72="","",VLOOKUP($D72,'Müşteri Kartları'!$B$5:$C$104,2,FALSE)),"— tanımsız —")</f>
      </c>
      <c r="F72" s="21"/>
      <c r="G72" s="18">
        <f>IFERROR(IF($D72="",0,$F72*Parametreler!$C$4*VLOOKUP($D72,'Müşteri Kartları'!$B$5:$G$104,6,FALSE)),0)</f>
      </c>
      <c r="H72" s="18">
        <f>IF($F72="",0,$F72*Parametreler!$C$5)</f>
      </c>
      <c r="I72" s="19">
        <f>IF($F72="","",$F72-$G72+$H72)</f>
      </c>
      <c r="J72" s="18">
        <f>IF($F72="",0,$F72)</f>
      </c>
      <c r="K72" s="14"/>
      <c r="L72" s="13"/>
    </row>
    <row r="73" spans="2:12" x14ac:dyDescent="0.25">
      <c r="B73" s="15"/>
      <c r="C73" s="12"/>
      <c r="D73" s="12"/>
      <c r="E73" s="16">
        <f>IFERROR(IF($D73="","",VLOOKUP($D73,'Müşteri Kartları'!$B$5:$C$104,2,FALSE)),"— tanımsız —")</f>
      </c>
      <c r="F73" s="17"/>
      <c r="G73" s="18">
        <f>IFERROR(IF($D73="",0,$F73*Parametreler!$C$4*VLOOKUP($D73,'Müşteri Kartları'!$B$5:$G$104,6,FALSE)),0)</f>
      </c>
      <c r="H73" s="18">
        <f>IF($F73="",0,$F73*Parametreler!$C$5)</f>
      </c>
      <c r="I73" s="19">
        <f>IF($F73="","",$F73-$G73+$H73)</f>
      </c>
      <c r="J73" s="18">
        <f>IF($F73="",0,$F73)</f>
      </c>
      <c r="K73" s="9"/>
      <c r="L73" s="12"/>
    </row>
    <row r="74" spans="2:12" x14ac:dyDescent="0.25">
      <c r="B74" s="20"/>
      <c r="C74" s="13"/>
      <c r="D74" s="13"/>
      <c r="E74" s="16">
        <f>IFERROR(IF($D74="","",VLOOKUP($D74,'Müşteri Kartları'!$B$5:$C$104,2,FALSE)),"— tanımsız —")</f>
      </c>
      <c r="F74" s="21"/>
      <c r="G74" s="18">
        <f>IFERROR(IF($D74="",0,$F74*Parametreler!$C$4*VLOOKUP($D74,'Müşteri Kartları'!$B$5:$G$104,6,FALSE)),0)</f>
      </c>
      <c r="H74" s="18">
        <f>IF($F74="",0,$F74*Parametreler!$C$5)</f>
      </c>
      <c r="I74" s="19">
        <f>IF($F74="","",$F74-$G74+$H74)</f>
      </c>
      <c r="J74" s="18">
        <f>IF($F74="",0,$F74)</f>
      </c>
      <c r="K74" s="14"/>
      <c r="L74" s="13"/>
    </row>
    <row r="75" spans="2:12" x14ac:dyDescent="0.25">
      <c r="B75" s="15"/>
      <c r="C75" s="12"/>
      <c r="D75" s="12"/>
      <c r="E75" s="16">
        <f>IFERROR(IF($D75="","",VLOOKUP($D75,'Müşteri Kartları'!$B$5:$C$104,2,FALSE)),"— tanımsız —")</f>
      </c>
      <c r="F75" s="17"/>
      <c r="G75" s="18">
        <f>IFERROR(IF($D75="",0,$F75*Parametreler!$C$4*VLOOKUP($D75,'Müşteri Kartları'!$B$5:$G$104,6,FALSE)),0)</f>
      </c>
      <c r="H75" s="18">
        <f>IF($F75="",0,$F75*Parametreler!$C$5)</f>
      </c>
      <c r="I75" s="19">
        <f>IF($F75="","",$F75-$G75+$H75)</f>
      </c>
      <c r="J75" s="18">
        <f>IF($F75="",0,$F75)</f>
      </c>
      <c r="K75" s="9"/>
      <c r="L75" s="12"/>
    </row>
    <row r="76" spans="2:12" x14ac:dyDescent="0.25">
      <c r="B76" s="20"/>
      <c r="C76" s="13"/>
      <c r="D76" s="13"/>
      <c r="E76" s="16">
        <f>IFERROR(IF($D76="","",VLOOKUP($D76,'Müşteri Kartları'!$B$5:$C$104,2,FALSE)),"— tanımsız —")</f>
      </c>
      <c r="F76" s="21"/>
      <c r="G76" s="18">
        <f>IFERROR(IF($D76="",0,$F76*Parametreler!$C$4*VLOOKUP($D76,'Müşteri Kartları'!$B$5:$G$104,6,FALSE)),0)</f>
      </c>
      <c r="H76" s="18">
        <f>IF($F76="",0,$F76*Parametreler!$C$5)</f>
      </c>
      <c r="I76" s="19">
        <f>IF($F76="","",$F76-$G76+$H76)</f>
      </c>
      <c r="J76" s="18">
        <f>IF($F76="",0,$F76)</f>
      </c>
      <c r="K76" s="14"/>
      <c r="L76" s="13"/>
    </row>
    <row r="77" spans="2:12" x14ac:dyDescent="0.25">
      <c r="B77" s="15"/>
      <c r="C77" s="12"/>
      <c r="D77" s="12"/>
      <c r="E77" s="16">
        <f>IFERROR(IF($D77="","",VLOOKUP($D77,'Müşteri Kartları'!$B$5:$C$104,2,FALSE)),"— tanımsız —")</f>
      </c>
      <c r="F77" s="17"/>
      <c r="G77" s="18">
        <f>IFERROR(IF($D77="",0,$F77*Parametreler!$C$4*VLOOKUP($D77,'Müşteri Kartları'!$B$5:$G$104,6,FALSE)),0)</f>
      </c>
      <c r="H77" s="18">
        <f>IF($F77="",0,$F77*Parametreler!$C$5)</f>
      </c>
      <c r="I77" s="19">
        <f>IF($F77="","",$F77-$G77+$H77)</f>
      </c>
      <c r="J77" s="18">
        <f>IF($F77="",0,$F77)</f>
      </c>
      <c r="K77" s="9"/>
      <c r="L77" s="12"/>
    </row>
    <row r="78" spans="2:12" x14ac:dyDescent="0.25">
      <c r="B78" s="20"/>
      <c r="C78" s="13"/>
      <c r="D78" s="13"/>
      <c r="E78" s="16">
        <f>IFERROR(IF($D78="","",VLOOKUP($D78,'Müşteri Kartları'!$B$5:$C$104,2,FALSE)),"— tanımsız —")</f>
      </c>
      <c r="F78" s="21"/>
      <c r="G78" s="18">
        <f>IFERROR(IF($D78="",0,$F78*Parametreler!$C$4*VLOOKUP($D78,'Müşteri Kartları'!$B$5:$G$104,6,FALSE)),0)</f>
      </c>
      <c r="H78" s="18">
        <f>IF($F78="",0,$F78*Parametreler!$C$5)</f>
      </c>
      <c r="I78" s="19">
        <f>IF($F78="","",$F78-$G78+$H78)</f>
      </c>
      <c r="J78" s="18">
        <f>IF($F78="",0,$F78)</f>
      </c>
      <c r="K78" s="14"/>
      <c r="L78" s="13"/>
    </row>
    <row r="79" spans="2:12" x14ac:dyDescent="0.25">
      <c r="B79" s="15"/>
      <c r="C79" s="12"/>
      <c r="D79" s="12"/>
      <c r="E79" s="16">
        <f>IFERROR(IF($D79="","",VLOOKUP($D79,'Müşteri Kartları'!$B$5:$C$104,2,FALSE)),"— tanımsız —")</f>
      </c>
      <c r="F79" s="17"/>
      <c r="G79" s="18">
        <f>IFERROR(IF($D79="",0,$F79*Parametreler!$C$4*VLOOKUP($D79,'Müşteri Kartları'!$B$5:$G$104,6,FALSE)),0)</f>
      </c>
      <c r="H79" s="18">
        <f>IF($F79="",0,$F79*Parametreler!$C$5)</f>
      </c>
      <c r="I79" s="19">
        <f>IF($F79="","",$F79-$G79+$H79)</f>
      </c>
      <c r="J79" s="18">
        <f>IF($F79="",0,$F79)</f>
      </c>
      <c r="K79" s="9"/>
      <c r="L79" s="12"/>
    </row>
    <row r="80" spans="2:12" x14ac:dyDescent="0.25">
      <c r="B80" s="20"/>
      <c r="C80" s="13"/>
      <c r="D80" s="13"/>
      <c r="E80" s="16">
        <f>IFERROR(IF($D80="","",VLOOKUP($D80,'Müşteri Kartları'!$B$5:$C$104,2,FALSE)),"— tanımsız —")</f>
      </c>
      <c r="F80" s="21"/>
      <c r="G80" s="18">
        <f>IFERROR(IF($D80="",0,$F80*Parametreler!$C$4*VLOOKUP($D80,'Müşteri Kartları'!$B$5:$G$104,6,FALSE)),0)</f>
      </c>
      <c r="H80" s="18">
        <f>IF($F80="",0,$F80*Parametreler!$C$5)</f>
      </c>
      <c r="I80" s="19">
        <f>IF($F80="","",$F80-$G80+$H80)</f>
      </c>
      <c r="J80" s="18">
        <f>IF($F80="",0,$F80)</f>
      </c>
      <c r="K80" s="14"/>
      <c r="L80" s="13"/>
    </row>
    <row r="81" spans="2:12" x14ac:dyDescent="0.25">
      <c r="B81" s="15"/>
      <c r="C81" s="12"/>
      <c r="D81" s="12"/>
      <c r="E81" s="16">
        <f>IFERROR(IF($D81="","",VLOOKUP($D81,'Müşteri Kartları'!$B$5:$C$104,2,FALSE)),"— tanımsız —")</f>
      </c>
      <c r="F81" s="17"/>
      <c r="G81" s="18">
        <f>IFERROR(IF($D81="",0,$F81*Parametreler!$C$4*VLOOKUP($D81,'Müşteri Kartları'!$B$5:$G$104,6,FALSE)),0)</f>
      </c>
      <c r="H81" s="18">
        <f>IF($F81="",0,$F81*Parametreler!$C$5)</f>
      </c>
      <c r="I81" s="19">
        <f>IF($F81="","",$F81-$G81+$H81)</f>
      </c>
      <c r="J81" s="18">
        <f>IF($F81="",0,$F81)</f>
      </c>
      <c r="K81" s="9"/>
      <c r="L81" s="12"/>
    </row>
    <row r="82" spans="2:12" x14ac:dyDescent="0.25">
      <c r="B82" s="20"/>
      <c r="C82" s="13"/>
      <c r="D82" s="13"/>
      <c r="E82" s="16">
        <f>IFERROR(IF($D82="","",VLOOKUP($D82,'Müşteri Kartları'!$B$5:$C$104,2,FALSE)),"— tanımsız —")</f>
      </c>
      <c r="F82" s="21"/>
      <c r="G82" s="18">
        <f>IFERROR(IF($D82="",0,$F82*Parametreler!$C$4*VLOOKUP($D82,'Müşteri Kartları'!$B$5:$G$104,6,FALSE)),0)</f>
      </c>
      <c r="H82" s="18">
        <f>IF($F82="",0,$F82*Parametreler!$C$5)</f>
      </c>
      <c r="I82" s="19">
        <f>IF($F82="","",$F82-$G82+$H82)</f>
      </c>
      <c r="J82" s="18">
        <f>IF($F82="",0,$F82)</f>
      </c>
      <c r="K82" s="14"/>
      <c r="L82" s="13"/>
    </row>
    <row r="83" spans="2:12" x14ac:dyDescent="0.25">
      <c r="B83" s="15"/>
      <c r="C83" s="12"/>
      <c r="D83" s="12"/>
      <c r="E83" s="16">
        <f>IFERROR(IF($D83="","",VLOOKUP($D83,'Müşteri Kartları'!$B$5:$C$104,2,FALSE)),"— tanımsız —")</f>
      </c>
      <c r="F83" s="17"/>
      <c r="G83" s="18">
        <f>IFERROR(IF($D83="",0,$F83*Parametreler!$C$4*VLOOKUP($D83,'Müşteri Kartları'!$B$5:$G$104,6,FALSE)),0)</f>
      </c>
      <c r="H83" s="18">
        <f>IF($F83="",0,$F83*Parametreler!$C$5)</f>
      </c>
      <c r="I83" s="19">
        <f>IF($F83="","",$F83-$G83+$H83)</f>
      </c>
      <c r="J83" s="18">
        <f>IF($F83="",0,$F83)</f>
      </c>
      <c r="K83" s="9"/>
      <c r="L83" s="12"/>
    </row>
    <row r="84" spans="2:12" x14ac:dyDescent="0.25">
      <c r="B84" s="20"/>
      <c r="C84" s="13"/>
      <c r="D84" s="13"/>
      <c r="E84" s="16">
        <f>IFERROR(IF($D84="","",VLOOKUP($D84,'Müşteri Kartları'!$B$5:$C$104,2,FALSE)),"— tanımsız —")</f>
      </c>
      <c r="F84" s="21"/>
      <c r="G84" s="18">
        <f>IFERROR(IF($D84="",0,$F84*Parametreler!$C$4*VLOOKUP($D84,'Müşteri Kartları'!$B$5:$G$104,6,FALSE)),0)</f>
      </c>
      <c r="H84" s="18">
        <f>IF($F84="",0,$F84*Parametreler!$C$5)</f>
      </c>
      <c r="I84" s="19">
        <f>IF($F84="","",$F84-$G84+$H84)</f>
      </c>
      <c r="J84" s="18">
        <f>IF($F84="",0,$F84)</f>
      </c>
      <c r="K84" s="14"/>
      <c r="L84" s="13"/>
    </row>
    <row r="85" spans="2:12" x14ac:dyDescent="0.25">
      <c r="B85" s="15"/>
      <c r="C85" s="12"/>
      <c r="D85" s="12"/>
      <c r="E85" s="16">
        <f>IFERROR(IF($D85="","",VLOOKUP($D85,'Müşteri Kartları'!$B$5:$C$104,2,FALSE)),"— tanımsız —")</f>
      </c>
      <c r="F85" s="17"/>
      <c r="G85" s="18">
        <f>IFERROR(IF($D85="",0,$F85*Parametreler!$C$4*VLOOKUP($D85,'Müşteri Kartları'!$B$5:$G$104,6,FALSE)),0)</f>
      </c>
      <c r="H85" s="18">
        <f>IF($F85="",0,$F85*Parametreler!$C$5)</f>
      </c>
      <c r="I85" s="19">
        <f>IF($F85="","",$F85-$G85+$H85)</f>
      </c>
      <c r="J85" s="18">
        <f>IF($F85="",0,$F85)</f>
      </c>
      <c r="K85" s="9"/>
      <c r="L85" s="12"/>
    </row>
    <row r="86" spans="2:12" x14ac:dyDescent="0.25">
      <c r="B86" s="20"/>
      <c r="C86" s="13"/>
      <c r="D86" s="13"/>
      <c r="E86" s="16">
        <f>IFERROR(IF($D86="","",VLOOKUP($D86,'Müşteri Kartları'!$B$5:$C$104,2,FALSE)),"— tanımsız —")</f>
      </c>
      <c r="F86" s="21"/>
      <c r="G86" s="18">
        <f>IFERROR(IF($D86="",0,$F86*Parametreler!$C$4*VLOOKUP($D86,'Müşteri Kartları'!$B$5:$G$104,6,FALSE)),0)</f>
      </c>
      <c r="H86" s="18">
        <f>IF($F86="",0,$F86*Parametreler!$C$5)</f>
      </c>
      <c r="I86" s="19">
        <f>IF($F86="","",$F86-$G86+$H86)</f>
      </c>
      <c r="J86" s="18">
        <f>IF($F86="",0,$F86)</f>
      </c>
      <c r="K86" s="14"/>
      <c r="L86" s="13"/>
    </row>
    <row r="87" spans="2:12" x14ac:dyDescent="0.25">
      <c r="B87" s="15"/>
      <c r="C87" s="12"/>
      <c r="D87" s="12"/>
      <c r="E87" s="16">
        <f>IFERROR(IF($D87="","",VLOOKUP($D87,'Müşteri Kartları'!$B$5:$C$104,2,FALSE)),"— tanımsız —")</f>
      </c>
      <c r="F87" s="17"/>
      <c r="G87" s="18">
        <f>IFERROR(IF($D87="",0,$F87*Parametreler!$C$4*VLOOKUP($D87,'Müşteri Kartları'!$B$5:$G$104,6,FALSE)),0)</f>
      </c>
      <c r="H87" s="18">
        <f>IF($F87="",0,$F87*Parametreler!$C$5)</f>
      </c>
      <c r="I87" s="19">
        <f>IF($F87="","",$F87-$G87+$H87)</f>
      </c>
      <c r="J87" s="18">
        <f>IF($F87="",0,$F87)</f>
      </c>
      <c r="K87" s="9"/>
      <c r="L87" s="12"/>
    </row>
    <row r="88" spans="2:12" x14ac:dyDescent="0.25">
      <c r="B88" s="20"/>
      <c r="C88" s="13"/>
      <c r="D88" s="13"/>
      <c r="E88" s="16">
        <f>IFERROR(IF($D88="","",VLOOKUP($D88,'Müşteri Kartları'!$B$5:$C$104,2,FALSE)),"— tanımsız —")</f>
      </c>
      <c r="F88" s="21"/>
      <c r="G88" s="18">
        <f>IFERROR(IF($D88="",0,$F88*Parametreler!$C$4*VLOOKUP($D88,'Müşteri Kartları'!$B$5:$G$104,6,FALSE)),0)</f>
      </c>
      <c r="H88" s="18">
        <f>IF($F88="",0,$F88*Parametreler!$C$5)</f>
      </c>
      <c r="I88" s="19">
        <f>IF($F88="","",$F88-$G88+$H88)</f>
      </c>
      <c r="J88" s="18">
        <f>IF($F88="",0,$F88)</f>
      </c>
      <c r="K88" s="14"/>
      <c r="L88" s="13"/>
    </row>
    <row r="89" spans="2:12" x14ac:dyDescent="0.25">
      <c r="B89" s="15"/>
      <c r="C89" s="12"/>
      <c r="D89" s="12"/>
      <c r="E89" s="16">
        <f>IFERROR(IF($D89="","",VLOOKUP($D89,'Müşteri Kartları'!$B$5:$C$104,2,FALSE)),"— tanımsız —")</f>
      </c>
      <c r="F89" s="17"/>
      <c r="G89" s="18">
        <f>IFERROR(IF($D89="",0,$F89*Parametreler!$C$4*VLOOKUP($D89,'Müşteri Kartları'!$B$5:$G$104,6,FALSE)),0)</f>
      </c>
      <c r="H89" s="18">
        <f>IF($F89="",0,$F89*Parametreler!$C$5)</f>
      </c>
      <c r="I89" s="19">
        <f>IF($F89="","",$F89-$G89+$H89)</f>
      </c>
      <c r="J89" s="18">
        <f>IF($F89="",0,$F89)</f>
      </c>
      <c r="K89" s="9"/>
      <c r="L89" s="12"/>
    </row>
    <row r="90" spans="2:12" x14ac:dyDescent="0.25">
      <c r="B90" s="20"/>
      <c r="C90" s="13"/>
      <c r="D90" s="13"/>
      <c r="E90" s="16">
        <f>IFERROR(IF($D90="","",VLOOKUP($D90,'Müşteri Kartları'!$B$5:$C$104,2,FALSE)),"— tanımsız —")</f>
      </c>
      <c r="F90" s="21"/>
      <c r="G90" s="18">
        <f>IFERROR(IF($D90="",0,$F90*Parametreler!$C$4*VLOOKUP($D90,'Müşteri Kartları'!$B$5:$G$104,6,FALSE)),0)</f>
      </c>
      <c r="H90" s="18">
        <f>IF($F90="",0,$F90*Parametreler!$C$5)</f>
      </c>
      <c r="I90" s="19">
        <f>IF($F90="","",$F90-$G90+$H90)</f>
      </c>
      <c r="J90" s="18">
        <f>IF($F90="",0,$F90)</f>
      </c>
      <c r="K90" s="14"/>
      <c r="L90" s="13"/>
    </row>
    <row r="91" spans="2:12" x14ac:dyDescent="0.25">
      <c r="B91" s="15"/>
      <c r="C91" s="12"/>
      <c r="D91" s="12"/>
      <c r="E91" s="16">
        <f>IFERROR(IF($D91="","",VLOOKUP($D91,'Müşteri Kartları'!$B$5:$C$104,2,FALSE)),"— tanımsız —")</f>
      </c>
      <c r="F91" s="17"/>
      <c r="G91" s="18">
        <f>IFERROR(IF($D91="",0,$F91*Parametreler!$C$4*VLOOKUP($D91,'Müşteri Kartları'!$B$5:$G$104,6,FALSE)),0)</f>
      </c>
      <c r="H91" s="18">
        <f>IF($F91="",0,$F91*Parametreler!$C$5)</f>
      </c>
      <c r="I91" s="19">
        <f>IF($F91="","",$F91-$G91+$H91)</f>
      </c>
      <c r="J91" s="18">
        <f>IF($F91="",0,$F91)</f>
      </c>
      <c r="K91" s="9"/>
      <c r="L91" s="12"/>
    </row>
    <row r="92" spans="2:12" x14ac:dyDescent="0.25">
      <c r="B92" s="20"/>
      <c r="C92" s="13"/>
      <c r="D92" s="13"/>
      <c r="E92" s="16">
        <f>IFERROR(IF($D92="","",VLOOKUP($D92,'Müşteri Kartları'!$B$5:$C$104,2,FALSE)),"— tanımsız —")</f>
      </c>
      <c r="F92" s="21"/>
      <c r="G92" s="18">
        <f>IFERROR(IF($D92="",0,$F92*Parametreler!$C$4*VLOOKUP($D92,'Müşteri Kartları'!$B$5:$G$104,6,FALSE)),0)</f>
      </c>
      <c r="H92" s="18">
        <f>IF($F92="",0,$F92*Parametreler!$C$5)</f>
      </c>
      <c r="I92" s="19">
        <f>IF($F92="","",$F92-$G92+$H92)</f>
      </c>
      <c r="J92" s="18">
        <f>IF($F92="",0,$F92)</f>
      </c>
      <c r="K92" s="14"/>
      <c r="L92" s="13"/>
    </row>
    <row r="93" spans="2:12" x14ac:dyDescent="0.25">
      <c r="B93" s="15"/>
      <c r="C93" s="12"/>
      <c r="D93" s="12"/>
      <c r="E93" s="16">
        <f>IFERROR(IF($D93="","",VLOOKUP($D93,'Müşteri Kartları'!$B$5:$C$104,2,FALSE)),"— tanımsız —")</f>
      </c>
      <c r="F93" s="17"/>
      <c r="G93" s="18">
        <f>IFERROR(IF($D93="",0,$F93*Parametreler!$C$4*VLOOKUP($D93,'Müşteri Kartları'!$B$5:$G$104,6,FALSE)),0)</f>
      </c>
      <c r="H93" s="18">
        <f>IF($F93="",0,$F93*Parametreler!$C$5)</f>
      </c>
      <c r="I93" s="19">
        <f>IF($F93="","",$F93-$G93+$H93)</f>
      </c>
      <c r="J93" s="18">
        <f>IF($F93="",0,$F93)</f>
      </c>
      <c r="K93" s="9"/>
      <c r="L93" s="12"/>
    </row>
    <row r="94" spans="2:12" x14ac:dyDescent="0.25">
      <c r="B94" s="20"/>
      <c r="C94" s="13"/>
      <c r="D94" s="13"/>
      <c r="E94" s="16">
        <f>IFERROR(IF($D94="","",VLOOKUP($D94,'Müşteri Kartları'!$B$5:$C$104,2,FALSE)),"— tanımsız —")</f>
      </c>
      <c r="F94" s="21"/>
      <c r="G94" s="18">
        <f>IFERROR(IF($D94="",0,$F94*Parametreler!$C$4*VLOOKUP($D94,'Müşteri Kartları'!$B$5:$G$104,6,FALSE)),0)</f>
      </c>
      <c r="H94" s="18">
        <f>IF($F94="",0,$F94*Parametreler!$C$5)</f>
      </c>
      <c r="I94" s="19">
        <f>IF($F94="","",$F94-$G94+$H94)</f>
      </c>
      <c r="J94" s="18">
        <f>IF($F94="",0,$F94)</f>
      </c>
      <c r="K94" s="14"/>
      <c r="L94" s="13"/>
    </row>
    <row r="95" spans="2:12" x14ac:dyDescent="0.25">
      <c r="B95" s="15"/>
      <c r="C95" s="12"/>
      <c r="D95" s="12"/>
      <c r="E95" s="16">
        <f>IFERROR(IF($D95="","",VLOOKUP($D95,'Müşteri Kartları'!$B$5:$C$104,2,FALSE)),"— tanımsız —")</f>
      </c>
      <c r="F95" s="17"/>
      <c r="G95" s="18">
        <f>IFERROR(IF($D95="",0,$F95*Parametreler!$C$4*VLOOKUP($D95,'Müşteri Kartları'!$B$5:$G$104,6,FALSE)),0)</f>
      </c>
      <c r="H95" s="18">
        <f>IF($F95="",0,$F95*Parametreler!$C$5)</f>
      </c>
      <c r="I95" s="19">
        <f>IF($F95="","",$F95-$G95+$H95)</f>
      </c>
      <c r="J95" s="18">
        <f>IF($F95="",0,$F95)</f>
      </c>
      <c r="K95" s="9"/>
      <c r="L95" s="12"/>
    </row>
    <row r="96" spans="2:12" x14ac:dyDescent="0.25">
      <c r="B96" s="20"/>
      <c r="C96" s="13"/>
      <c r="D96" s="13"/>
      <c r="E96" s="16">
        <f>IFERROR(IF($D96="","",VLOOKUP($D96,'Müşteri Kartları'!$B$5:$C$104,2,FALSE)),"— tanımsız —")</f>
      </c>
      <c r="F96" s="21"/>
      <c r="G96" s="18">
        <f>IFERROR(IF($D96="",0,$F96*Parametreler!$C$4*VLOOKUP($D96,'Müşteri Kartları'!$B$5:$G$104,6,FALSE)),0)</f>
      </c>
      <c r="H96" s="18">
        <f>IF($F96="",0,$F96*Parametreler!$C$5)</f>
      </c>
      <c r="I96" s="19">
        <f>IF($F96="","",$F96-$G96+$H96)</f>
      </c>
      <c r="J96" s="18">
        <f>IF($F96="",0,$F96)</f>
      </c>
      <c r="K96" s="14"/>
      <c r="L96" s="13"/>
    </row>
    <row r="97" spans="2:12" x14ac:dyDescent="0.25">
      <c r="B97" s="15"/>
      <c r="C97" s="12"/>
      <c r="D97" s="12"/>
      <c r="E97" s="16">
        <f>IFERROR(IF($D97="","",VLOOKUP($D97,'Müşteri Kartları'!$B$5:$C$104,2,FALSE)),"— tanımsız —")</f>
      </c>
      <c r="F97" s="17"/>
      <c r="G97" s="18">
        <f>IFERROR(IF($D97="",0,$F97*Parametreler!$C$4*VLOOKUP($D97,'Müşteri Kartları'!$B$5:$G$104,6,FALSE)),0)</f>
      </c>
      <c r="H97" s="18">
        <f>IF($F97="",0,$F97*Parametreler!$C$5)</f>
      </c>
      <c r="I97" s="19">
        <f>IF($F97="","",$F97-$G97+$H97)</f>
      </c>
      <c r="J97" s="18">
        <f>IF($F97="",0,$F97)</f>
      </c>
      <c r="K97" s="9"/>
      <c r="L97" s="12"/>
    </row>
    <row r="98" spans="2:12" x14ac:dyDescent="0.25">
      <c r="B98" s="20"/>
      <c r="C98" s="13"/>
      <c r="D98" s="13"/>
      <c r="E98" s="16">
        <f>IFERROR(IF($D98="","",VLOOKUP($D98,'Müşteri Kartları'!$B$5:$C$104,2,FALSE)),"— tanımsız —")</f>
      </c>
      <c r="F98" s="21"/>
      <c r="G98" s="18">
        <f>IFERROR(IF($D98="",0,$F98*Parametreler!$C$4*VLOOKUP($D98,'Müşteri Kartları'!$B$5:$G$104,6,FALSE)),0)</f>
      </c>
      <c r="H98" s="18">
        <f>IF($F98="",0,$F98*Parametreler!$C$5)</f>
      </c>
      <c r="I98" s="19">
        <f>IF($F98="","",$F98-$G98+$H98)</f>
      </c>
      <c r="J98" s="18">
        <f>IF($F98="",0,$F98)</f>
      </c>
      <c r="K98" s="14"/>
      <c r="L98" s="13"/>
    </row>
    <row r="99" spans="2:12" x14ac:dyDescent="0.25">
      <c r="B99" s="15"/>
      <c r="C99" s="12"/>
      <c r="D99" s="12"/>
      <c r="E99" s="16">
        <f>IFERROR(IF($D99="","",VLOOKUP($D99,'Müşteri Kartları'!$B$5:$C$104,2,FALSE)),"— tanımsız —")</f>
      </c>
      <c r="F99" s="17"/>
      <c r="G99" s="18">
        <f>IFERROR(IF($D99="",0,$F99*Parametreler!$C$4*VLOOKUP($D99,'Müşteri Kartları'!$B$5:$G$104,6,FALSE)),0)</f>
      </c>
      <c r="H99" s="18">
        <f>IF($F99="",0,$F99*Parametreler!$C$5)</f>
      </c>
      <c r="I99" s="19">
        <f>IF($F99="","",$F99-$G99+$H99)</f>
      </c>
      <c r="J99" s="18">
        <f>IF($F99="",0,$F99)</f>
      </c>
      <c r="K99" s="9"/>
      <c r="L99" s="12"/>
    </row>
    <row r="100" spans="2:12" x14ac:dyDescent="0.25">
      <c r="B100" s="20"/>
      <c r="C100" s="13"/>
      <c r="D100" s="13"/>
      <c r="E100" s="16">
        <f>IFERROR(IF($D100="","",VLOOKUP($D100,'Müşteri Kartları'!$B$5:$C$104,2,FALSE)),"— tanımsız —")</f>
      </c>
      <c r="F100" s="21"/>
      <c r="G100" s="18">
        <f>IFERROR(IF($D100="",0,$F100*Parametreler!$C$4*VLOOKUP($D100,'Müşteri Kartları'!$B$5:$G$104,6,FALSE)),0)</f>
      </c>
      <c r="H100" s="18">
        <f>IF($F100="",0,$F100*Parametreler!$C$5)</f>
      </c>
      <c r="I100" s="19">
        <f>IF($F100="","",$F100-$G100+$H100)</f>
      </c>
      <c r="J100" s="18">
        <f>IF($F100="",0,$F100)</f>
      </c>
      <c r="K100" s="14"/>
      <c r="L100" s="13"/>
    </row>
    <row r="101" spans="2:12" x14ac:dyDescent="0.25">
      <c r="B101" s="15"/>
      <c r="C101" s="12"/>
      <c r="D101" s="12"/>
      <c r="E101" s="16">
        <f>IFERROR(IF($D101="","",VLOOKUP($D101,'Müşteri Kartları'!$B$5:$C$104,2,FALSE)),"— tanımsız —")</f>
      </c>
      <c r="F101" s="17"/>
      <c r="G101" s="18">
        <f>IFERROR(IF($D101="",0,$F101*Parametreler!$C$4*VLOOKUP($D101,'Müşteri Kartları'!$B$5:$G$104,6,FALSE)),0)</f>
      </c>
      <c r="H101" s="18">
        <f>IF($F101="",0,$F101*Parametreler!$C$5)</f>
      </c>
      <c r="I101" s="19">
        <f>IF($F101="","",$F101-$G101+$H101)</f>
      </c>
      <c r="J101" s="18">
        <f>IF($F101="",0,$F101)</f>
      </c>
      <c r="K101" s="9"/>
      <c r="L101" s="12"/>
    </row>
    <row r="102" spans="2:12" x14ac:dyDescent="0.25">
      <c r="B102" s="20"/>
      <c r="C102" s="13"/>
      <c r="D102" s="13"/>
      <c r="E102" s="16">
        <f>IFERROR(IF($D102="","",VLOOKUP($D102,'Müşteri Kartları'!$B$5:$C$104,2,FALSE)),"— tanımsız —")</f>
      </c>
      <c r="F102" s="21"/>
      <c r="G102" s="18">
        <f>IFERROR(IF($D102="",0,$F102*Parametreler!$C$4*VLOOKUP($D102,'Müşteri Kartları'!$B$5:$G$104,6,FALSE)),0)</f>
      </c>
      <c r="H102" s="18">
        <f>IF($F102="",0,$F102*Parametreler!$C$5)</f>
      </c>
      <c r="I102" s="19">
        <f>IF($F102="","",$F102-$G102+$H102)</f>
      </c>
      <c r="J102" s="18">
        <f>IF($F102="",0,$F102)</f>
      </c>
      <c r="K102" s="14"/>
      <c r="L102" s="13"/>
    </row>
    <row r="103" spans="2:12" x14ac:dyDescent="0.25">
      <c r="B103" s="15"/>
      <c r="C103" s="12"/>
      <c r="D103" s="12"/>
      <c r="E103" s="16">
        <f>IFERROR(IF($D103="","",VLOOKUP($D103,'Müşteri Kartları'!$B$5:$C$104,2,FALSE)),"— tanımsız —")</f>
      </c>
      <c r="F103" s="17"/>
      <c r="G103" s="18">
        <f>IFERROR(IF($D103="",0,$F103*Parametreler!$C$4*VLOOKUP($D103,'Müşteri Kartları'!$B$5:$G$104,6,FALSE)),0)</f>
      </c>
      <c r="H103" s="18">
        <f>IF($F103="",0,$F103*Parametreler!$C$5)</f>
      </c>
      <c r="I103" s="19">
        <f>IF($F103="","",$F103-$G103+$H103)</f>
      </c>
      <c r="J103" s="18">
        <f>IF($F103="",0,$F103)</f>
      </c>
      <c r="K103" s="9"/>
      <c r="L103" s="12"/>
    </row>
    <row r="104" spans="2:12" x14ac:dyDescent="0.25">
      <c r="B104" s="20"/>
      <c r="C104" s="13"/>
      <c r="D104" s="13"/>
      <c r="E104" s="16">
        <f>IFERROR(IF($D104="","",VLOOKUP($D104,'Müşteri Kartları'!$B$5:$C$104,2,FALSE)),"— tanımsız —")</f>
      </c>
      <c r="F104" s="21"/>
      <c r="G104" s="18">
        <f>IFERROR(IF($D104="",0,$F104*Parametreler!$C$4*VLOOKUP($D104,'Müşteri Kartları'!$B$5:$G$104,6,FALSE)),0)</f>
      </c>
      <c r="H104" s="18">
        <f>IF($F104="",0,$F104*Parametreler!$C$5)</f>
      </c>
      <c r="I104" s="19">
        <f>IF($F104="","",$F104-$G104+$H104)</f>
      </c>
      <c r="J104" s="18">
        <f>IF($F104="",0,$F104)</f>
      </c>
      <c r="K104" s="14"/>
      <c r="L104" s="13"/>
    </row>
    <row r="105" spans="2:12" x14ac:dyDescent="0.25">
      <c r="B105" s="15"/>
      <c r="C105" s="12"/>
      <c r="D105" s="12"/>
      <c r="E105" s="16">
        <f>IFERROR(IF($D105="","",VLOOKUP($D105,'Müşteri Kartları'!$B$5:$C$104,2,FALSE)),"— tanımsız —")</f>
      </c>
      <c r="F105" s="17"/>
      <c r="G105" s="18">
        <f>IFERROR(IF($D105="",0,$F105*Parametreler!$C$4*VLOOKUP($D105,'Müşteri Kartları'!$B$5:$G$104,6,FALSE)),0)</f>
      </c>
      <c r="H105" s="18">
        <f>IF($F105="",0,$F105*Parametreler!$C$5)</f>
      </c>
      <c r="I105" s="19">
        <f>IF($F105="","",$F105-$G105+$H105)</f>
      </c>
      <c r="J105" s="18">
        <f>IF($F105="",0,$F105)</f>
      </c>
      <c r="K105" s="9"/>
      <c r="L105" s="12"/>
    </row>
    <row r="106" spans="2:12" x14ac:dyDescent="0.25">
      <c r="B106" s="20"/>
      <c r="C106" s="13"/>
      <c r="D106" s="13"/>
      <c r="E106" s="16">
        <f>IFERROR(IF($D106="","",VLOOKUP($D106,'Müşteri Kartları'!$B$5:$C$104,2,FALSE)),"— tanımsız —")</f>
      </c>
      <c r="F106" s="21"/>
      <c r="G106" s="18">
        <f>IFERROR(IF($D106="",0,$F106*Parametreler!$C$4*VLOOKUP($D106,'Müşteri Kartları'!$B$5:$G$104,6,FALSE)),0)</f>
      </c>
      <c r="H106" s="18">
        <f>IF($F106="",0,$F106*Parametreler!$C$5)</f>
      </c>
      <c r="I106" s="19">
        <f>IF($F106="","",$F106-$G106+$H106)</f>
      </c>
      <c r="J106" s="18">
        <f>IF($F106="",0,$F106)</f>
      </c>
      <c r="K106" s="14"/>
      <c r="L106" s="13"/>
    </row>
    <row r="107" spans="2:12" x14ac:dyDescent="0.25">
      <c r="B107" s="15"/>
      <c r="C107" s="12"/>
      <c r="D107" s="12"/>
      <c r="E107" s="16">
        <f>IFERROR(IF($D107="","",VLOOKUP($D107,'Müşteri Kartları'!$B$5:$C$104,2,FALSE)),"— tanımsız —")</f>
      </c>
      <c r="F107" s="17"/>
      <c r="G107" s="18">
        <f>IFERROR(IF($D107="",0,$F107*Parametreler!$C$4*VLOOKUP($D107,'Müşteri Kartları'!$B$5:$G$104,6,FALSE)),0)</f>
      </c>
      <c r="H107" s="18">
        <f>IF($F107="",0,$F107*Parametreler!$C$5)</f>
      </c>
      <c r="I107" s="19">
        <f>IF($F107="","",$F107-$G107+$H107)</f>
      </c>
      <c r="J107" s="18">
        <f>IF($F107="",0,$F107)</f>
      </c>
      <c r="K107" s="9"/>
      <c r="L107" s="12"/>
    </row>
    <row r="108" spans="2:12" x14ac:dyDescent="0.25">
      <c r="B108" s="20"/>
      <c r="C108" s="13"/>
      <c r="D108" s="13"/>
      <c r="E108" s="16">
        <f>IFERROR(IF($D108="","",VLOOKUP($D108,'Müşteri Kartları'!$B$5:$C$104,2,FALSE)),"— tanımsız —")</f>
      </c>
      <c r="F108" s="21"/>
      <c r="G108" s="18">
        <f>IFERROR(IF($D108="",0,$F108*Parametreler!$C$4*VLOOKUP($D108,'Müşteri Kartları'!$B$5:$G$104,6,FALSE)),0)</f>
      </c>
      <c r="H108" s="18">
        <f>IF($F108="",0,$F108*Parametreler!$C$5)</f>
      </c>
      <c r="I108" s="19">
        <f>IF($F108="","",$F108-$G108+$H108)</f>
      </c>
      <c r="J108" s="18">
        <f>IF($F108="",0,$F108)</f>
      </c>
      <c r="K108" s="14"/>
      <c r="L108" s="13"/>
    </row>
    <row r="109" spans="2:12" x14ac:dyDescent="0.25">
      <c r="B109" s="15"/>
      <c r="C109" s="12"/>
      <c r="D109" s="12"/>
      <c r="E109" s="16">
        <f>IFERROR(IF($D109="","",VLOOKUP($D109,'Müşteri Kartları'!$B$5:$C$104,2,FALSE)),"— tanımsız —")</f>
      </c>
      <c r="F109" s="17"/>
      <c r="G109" s="18">
        <f>IFERROR(IF($D109="",0,$F109*Parametreler!$C$4*VLOOKUP($D109,'Müşteri Kartları'!$B$5:$G$104,6,FALSE)),0)</f>
      </c>
      <c r="H109" s="18">
        <f>IF($F109="",0,$F109*Parametreler!$C$5)</f>
      </c>
      <c r="I109" s="19">
        <f>IF($F109="","",$F109-$G109+$H109)</f>
      </c>
      <c r="J109" s="18">
        <f>IF($F109="",0,$F109)</f>
      </c>
      <c r="K109" s="9"/>
      <c r="L109" s="12"/>
    </row>
    <row r="110" spans="2:12" x14ac:dyDescent="0.25">
      <c r="B110" s="20"/>
      <c r="C110" s="13"/>
      <c r="D110" s="13"/>
      <c r="E110" s="16">
        <f>IFERROR(IF($D110="","",VLOOKUP($D110,'Müşteri Kartları'!$B$5:$C$104,2,FALSE)),"— tanımsız —")</f>
      </c>
      <c r="F110" s="21"/>
      <c r="G110" s="18">
        <f>IFERROR(IF($D110="",0,$F110*Parametreler!$C$4*VLOOKUP($D110,'Müşteri Kartları'!$B$5:$G$104,6,FALSE)),0)</f>
      </c>
      <c r="H110" s="18">
        <f>IF($F110="",0,$F110*Parametreler!$C$5)</f>
      </c>
      <c r="I110" s="19">
        <f>IF($F110="","",$F110-$G110+$H110)</f>
      </c>
      <c r="J110" s="18">
        <f>IF($F110="",0,$F110)</f>
      </c>
      <c r="K110" s="14"/>
      <c r="L110" s="13"/>
    </row>
    <row r="111" spans="2:12" x14ac:dyDescent="0.25">
      <c r="B111" s="15"/>
      <c r="C111" s="12"/>
      <c r="D111" s="12"/>
      <c r="E111" s="16">
        <f>IFERROR(IF($D111="","",VLOOKUP($D111,'Müşteri Kartları'!$B$5:$C$104,2,FALSE)),"— tanımsız —")</f>
      </c>
      <c r="F111" s="17"/>
      <c r="G111" s="18">
        <f>IFERROR(IF($D111="",0,$F111*Parametreler!$C$4*VLOOKUP($D111,'Müşteri Kartları'!$B$5:$G$104,6,FALSE)),0)</f>
      </c>
      <c r="H111" s="18">
        <f>IF($F111="",0,$F111*Parametreler!$C$5)</f>
      </c>
      <c r="I111" s="19">
        <f>IF($F111="","",$F111-$G111+$H111)</f>
      </c>
      <c r="J111" s="18">
        <f>IF($F111="",0,$F111)</f>
      </c>
      <c r="K111" s="9"/>
      <c r="L111" s="12"/>
    </row>
    <row r="112" spans="2:12" x14ac:dyDescent="0.25">
      <c r="B112" s="20"/>
      <c r="C112" s="13"/>
      <c r="D112" s="13"/>
      <c r="E112" s="16">
        <f>IFERROR(IF($D112="","",VLOOKUP($D112,'Müşteri Kartları'!$B$5:$C$104,2,FALSE)),"— tanımsız —")</f>
      </c>
      <c r="F112" s="21"/>
      <c r="G112" s="18">
        <f>IFERROR(IF($D112="",0,$F112*Parametreler!$C$4*VLOOKUP($D112,'Müşteri Kartları'!$B$5:$G$104,6,FALSE)),0)</f>
      </c>
      <c r="H112" s="18">
        <f>IF($F112="",0,$F112*Parametreler!$C$5)</f>
      </c>
      <c r="I112" s="19">
        <f>IF($F112="","",$F112-$G112+$H112)</f>
      </c>
      <c r="J112" s="18">
        <f>IF($F112="",0,$F112)</f>
      </c>
      <c r="K112" s="14"/>
      <c r="L112" s="13"/>
    </row>
    <row r="113" spans="2:12" x14ac:dyDescent="0.25">
      <c r="B113" s="15"/>
      <c r="C113" s="12"/>
      <c r="D113" s="12"/>
      <c r="E113" s="16">
        <f>IFERROR(IF($D113="","",VLOOKUP($D113,'Müşteri Kartları'!$B$5:$C$104,2,FALSE)),"— tanımsız —")</f>
      </c>
      <c r="F113" s="17"/>
      <c r="G113" s="18">
        <f>IFERROR(IF($D113="",0,$F113*Parametreler!$C$4*VLOOKUP($D113,'Müşteri Kartları'!$B$5:$G$104,6,FALSE)),0)</f>
      </c>
      <c r="H113" s="18">
        <f>IF($F113="",0,$F113*Parametreler!$C$5)</f>
      </c>
      <c r="I113" s="19">
        <f>IF($F113="","",$F113-$G113+$H113)</f>
      </c>
      <c r="J113" s="18">
        <f>IF($F113="",0,$F113)</f>
      </c>
      <c r="K113" s="9"/>
      <c r="L113" s="12"/>
    </row>
    <row r="114" spans="2:12" x14ac:dyDescent="0.25">
      <c r="B114" s="20"/>
      <c r="C114" s="13"/>
      <c r="D114" s="13"/>
      <c r="E114" s="16">
        <f>IFERROR(IF($D114="","",VLOOKUP($D114,'Müşteri Kartları'!$B$5:$C$104,2,FALSE)),"— tanımsız —")</f>
      </c>
      <c r="F114" s="21"/>
      <c r="G114" s="18">
        <f>IFERROR(IF($D114="",0,$F114*Parametreler!$C$4*VLOOKUP($D114,'Müşteri Kartları'!$B$5:$G$104,6,FALSE)),0)</f>
      </c>
      <c r="H114" s="18">
        <f>IF($F114="",0,$F114*Parametreler!$C$5)</f>
      </c>
      <c r="I114" s="19">
        <f>IF($F114="","",$F114-$G114+$H114)</f>
      </c>
      <c r="J114" s="18">
        <f>IF($F114="",0,$F114)</f>
      </c>
      <c r="K114" s="14"/>
      <c r="L114" s="13"/>
    </row>
    <row r="115" spans="2:12" x14ac:dyDescent="0.25">
      <c r="B115" s="15"/>
      <c r="C115" s="12"/>
      <c r="D115" s="12"/>
      <c r="E115" s="16">
        <f>IFERROR(IF($D115="","",VLOOKUP($D115,'Müşteri Kartları'!$B$5:$C$104,2,FALSE)),"— tanımsız —")</f>
      </c>
      <c r="F115" s="17"/>
      <c r="G115" s="18">
        <f>IFERROR(IF($D115="",0,$F115*Parametreler!$C$4*VLOOKUP($D115,'Müşteri Kartları'!$B$5:$G$104,6,FALSE)),0)</f>
      </c>
      <c r="H115" s="18">
        <f>IF($F115="",0,$F115*Parametreler!$C$5)</f>
      </c>
      <c r="I115" s="19">
        <f>IF($F115="","",$F115-$G115+$H115)</f>
      </c>
      <c r="J115" s="18">
        <f>IF($F115="",0,$F115)</f>
      </c>
      <c r="K115" s="9"/>
      <c r="L115" s="12"/>
    </row>
    <row r="116" spans="2:12" x14ac:dyDescent="0.25">
      <c r="B116" s="20"/>
      <c r="C116" s="13"/>
      <c r="D116" s="13"/>
      <c r="E116" s="16">
        <f>IFERROR(IF($D116="","",VLOOKUP($D116,'Müşteri Kartları'!$B$5:$C$104,2,FALSE)),"— tanımsız —")</f>
      </c>
      <c r="F116" s="21"/>
      <c r="G116" s="18">
        <f>IFERROR(IF($D116="",0,$F116*Parametreler!$C$4*VLOOKUP($D116,'Müşteri Kartları'!$B$5:$G$104,6,FALSE)),0)</f>
      </c>
      <c r="H116" s="18">
        <f>IF($F116="",0,$F116*Parametreler!$C$5)</f>
      </c>
      <c r="I116" s="19">
        <f>IF($F116="","",$F116-$G116+$H116)</f>
      </c>
      <c r="J116" s="18">
        <f>IF($F116="",0,$F116)</f>
      </c>
      <c r="K116" s="14"/>
      <c r="L116" s="13"/>
    </row>
    <row r="117" spans="2:12" x14ac:dyDescent="0.25">
      <c r="B117" s="15"/>
      <c r="C117" s="12"/>
      <c r="D117" s="12"/>
      <c r="E117" s="16">
        <f>IFERROR(IF($D117="","",VLOOKUP($D117,'Müşteri Kartları'!$B$5:$C$104,2,FALSE)),"— tanımsız —")</f>
      </c>
      <c r="F117" s="17"/>
      <c r="G117" s="18">
        <f>IFERROR(IF($D117="",0,$F117*Parametreler!$C$4*VLOOKUP($D117,'Müşteri Kartları'!$B$5:$G$104,6,FALSE)),0)</f>
      </c>
      <c r="H117" s="18">
        <f>IF($F117="",0,$F117*Parametreler!$C$5)</f>
      </c>
      <c r="I117" s="19">
        <f>IF($F117="","",$F117-$G117+$H117)</f>
      </c>
      <c r="J117" s="18">
        <f>IF($F117="",0,$F117)</f>
      </c>
      <c r="K117" s="9"/>
      <c r="L117" s="12"/>
    </row>
    <row r="118" spans="2:12" x14ac:dyDescent="0.25">
      <c r="B118" s="20"/>
      <c r="C118" s="13"/>
      <c r="D118" s="13"/>
      <c r="E118" s="16">
        <f>IFERROR(IF($D118="","",VLOOKUP($D118,'Müşteri Kartları'!$B$5:$C$104,2,FALSE)),"— tanımsız —")</f>
      </c>
      <c r="F118" s="21"/>
      <c r="G118" s="18">
        <f>IFERROR(IF($D118="",0,$F118*Parametreler!$C$4*VLOOKUP($D118,'Müşteri Kartları'!$B$5:$G$104,6,FALSE)),0)</f>
      </c>
      <c r="H118" s="18">
        <f>IF($F118="",0,$F118*Parametreler!$C$5)</f>
      </c>
      <c r="I118" s="19">
        <f>IF($F118="","",$F118-$G118+$H118)</f>
      </c>
      <c r="J118" s="18">
        <f>IF($F118="",0,$F118)</f>
      </c>
      <c r="K118" s="14"/>
      <c r="L118" s="13"/>
    </row>
    <row r="119" spans="2:12" x14ac:dyDescent="0.25">
      <c r="B119" s="15"/>
      <c r="C119" s="12"/>
      <c r="D119" s="12"/>
      <c r="E119" s="16">
        <f>IFERROR(IF($D119="","",VLOOKUP($D119,'Müşteri Kartları'!$B$5:$C$104,2,FALSE)),"— tanımsız —")</f>
      </c>
      <c r="F119" s="17"/>
      <c r="G119" s="18">
        <f>IFERROR(IF($D119="",0,$F119*Parametreler!$C$4*VLOOKUP($D119,'Müşteri Kartları'!$B$5:$G$104,6,FALSE)),0)</f>
      </c>
      <c r="H119" s="18">
        <f>IF($F119="",0,$F119*Parametreler!$C$5)</f>
      </c>
      <c r="I119" s="19">
        <f>IF($F119="","",$F119-$G119+$H119)</f>
      </c>
      <c r="J119" s="18">
        <f>IF($F119="",0,$F119)</f>
      </c>
      <c r="K119" s="9"/>
      <c r="L119" s="12"/>
    </row>
    <row r="120" spans="2:12" x14ac:dyDescent="0.25">
      <c r="B120" s="20"/>
      <c r="C120" s="13"/>
      <c r="D120" s="13"/>
      <c r="E120" s="16">
        <f>IFERROR(IF($D120="","",VLOOKUP($D120,'Müşteri Kartları'!$B$5:$C$104,2,FALSE)),"— tanımsız —")</f>
      </c>
      <c r="F120" s="21"/>
      <c r="G120" s="18">
        <f>IFERROR(IF($D120="",0,$F120*Parametreler!$C$4*VLOOKUP($D120,'Müşteri Kartları'!$B$5:$G$104,6,FALSE)),0)</f>
      </c>
      <c r="H120" s="18">
        <f>IF($F120="",0,$F120*Parametreler!$C$5)</f>
      </c>
      <c r="I120" s="19">
        <f>IF($F120="","",$F120-$G120+$H120)</f>
      </c>
      <c r="J120" s="18">
        <f>IF($F120="",0,$F120)</f>
      </c>
      <c r="K120" s="14"/>
      <c r="L120" s="13"/>
    </row>
    <row r="121" spans="2:12" x14ac:dyDescent="0.25">
      <c r="B121" s="15"/>
      <c r="C121" s="12"/>
      <c r="D121" s="12"/>
      <c r="E121" s="16">
        <f>IFERROR(IF($D121="","",VLOOKUP($D121,'Müşteri Kartları'!$B$5:$C$104,2,FALSE)),"— tanımsız —")</f>
      </c>
      <c r="F121" s="17"/>
      <c r="G121" s="18">
        <f>IFERROR(IF($D121="",0,$F121*Parametreler!$C$4*VLOOKUP($D121,'Müşteri Kartları'!$B$5:$G$104,6,FALSE)),0)</f>
      </c>
      <c r="H121" s="18">
        <f>IF($F121="",0,$F121*Parametreler!$C$5)</f>
      </c>
      <c r="I121" s="19">
        <f>IF($F121="","",$F121-$G121+$H121)</f>
      </c>
      <c r="J121" s="18">
        <f>IF($F121="",0,$F121)</f>
      </c>
      <c r="K121" s="9"/>
      <c r="L121" s="12"/>
    </row>
    <row r="122" spans="2:12" x14ac:dyDescent="0.25">
      <c r="B122" s="20"/>
      <c r="C122" s="13"/>
      <c r="D122" s="13"/>
      <c r="E122" s="16">
        <f>IFERROR(IF($D122="","",VLOOKUP($D122,'Müşteri Kartları'!$B$5:$C$104,2,FALSE)),"— tanımsız —")</f>
      </c>
      <c r="F122" s="21"/>
      <c r="G122" s="18">
        <f>IFERROR(IF($D122="",0,$F122*Parametreler!$C$4*VLOOKUP($D122,'Müşteri Kartları'!$B$5:$G$104,6,FALSE)),0)</f>
      </c>
      <c r="H122" s="18">
        <f>IF($F122="",0,$F122*Parametreler!$C$5)</f>
      </c>
      <c r="I122" s="19">
        <f>IF($F122="","",$F122-$G122+$H122)</f>
      </c>
      <c r="J122" s="18">
        <f>IF($F122="",0,$F122)</f>
      </c>
      <c r="K122" s="14"/>
      <c r="L122" s="13"/>
    </row>
    <row r="123" spans="2:12" x14ac:dyDescent="0.25">
      <c r="B123" s="15"/>
      <c r="C123" s="12"/>
      <c r="D123" s="12"/>
      <c r="E123" s="16">
        <f>IFERROR(IF($D123="","",VLOOKUP($D123,'Müşteri Kartları'!$B$5:$C$104,2,FALSE)),"— tanımsız —")</f>
      </c>
      <c r="F123" s="17"/>
      <c r="G123" s="18">
        <f>IFERROR(IF($D123="",0,$F123*Parametreler!$C$4*VLOOKUP($D123,'Müşteri Kartları'!$B$5:$G$104,6,FALSE)),0)</f>
      </c>
      <c r="H123" s="18">
        <f>IF($F123="",0,$F123*Parametreler!$C$5)</f>
      </c>
      <c r="I123" s="19">
        <f>IF($F123="","",$F123-$G123+$H123)</f>
      </c>
      <c r="J123" s="18">
        <f>IF($F123="",0,$F123)</f>
      </c>
      <c r="K123" s="9"/>
      <c r="L123" s="12"/>
    </row>
    <row r="124" spans="2:12" x14ac:dyDescent="0.25">
      <c r="B124" s="20"/>
      <c r="C124" s="13"/>
      <c r="D124" s="13"/>
      <c r="E124" s="16">
        <f>IFERROR(IF($D124="","",VLOOKUP($D124,'Müşteri Kartları'!$B$5:$C$104,2,FALSE)),"— tanımsız —")</f>
      </c>
      <c r="F124" s="21"/>
      <c r="G124" s="18">
        <f>IFERROR(IF($D124="",0,$F124*Parametreler!$C$4*VLOOKUP($D124,'Müşteri Kartları'!$B$5:$G$104,6,FALSE)),0)</f>
      </c>
      <c r="H124" s="18">
        <f>IF($F124="",0,$F124*Parametreler!$C$5)</f>
      </c>
      <c r="I124" s="19">
        <f>IF($F124="","",$F124-$G124+$H124)</f>
      </c>
      <c r="J124" s="18">
        <f>IF($F124="",0,$F124)</f>
      </c>
      <c r="K124" s="14"/>
      <c r="L124" s="13"/>
    </row>
    <row r="125" spans="2:12" x14ac:dyDescent="0.25">
      <c r="B125" s="15"/>
      <c r="C125" s="12"/>
      <c r="D125" s="12"/>
      <c r="E125" s="16">
        <f>IFERROR(IF($D125="","",VLOOKUP($D125,'Müşteri Kartları'!$B$5:$C$104,2,FALSE)),"— tanımsız —")</f>
      </c>
      <c r="F125" s="17"/>
      <c r="G125" s="18">
        <f>IFERROR(IF($D125="",0,$F125*Parametreler!$C$4*VLOOKUP($D125,'Müşteri Kartları'!$B$5:$G$104,6,FALSE)),0)</f>
      </c>
      <c r="H125" s="18">
        <f>IF($F125="",0,$F125*Parametreler!$C$5)</f>
      </c>
      <c r="I125" s="19">
        <f>IF($F125="","",$F125-$G125+$H125)</f>
      </c>
      <c r="J125" s="18">
        <f>IF($F125="",0,$F125)</f>
      </c>
      <c r="K125" s="9"/>
      <c r="L125" s="12"/>
    </row>
    <row r="126" spans="2:12" x14ac:dyDescent="0.25">
      <c r="B126" s="20"/>
      <c r="C126" s="13"/>
      <c r="D126" s="13"/>
      <c r="E126" s="16">
        <f>IFERROR(IF($D126="","",VLOOKUP($D126,'Müşteri Kartları'!$B$5:$C$104,2,FALSE)),"— tanımsız —")</f>
      </c>
      <c r="F126" s="21"/>
      <c r="G126" s="18">
        <f>IFERROR(IF($D126="",0,$F126*Parametreler!$C$4*VLOOKUP($D126,'Müşteri Kartları'!$B$5:$G$104,6,FALSE)),0)</f>
      </c>
      <c r="H126" s="18">
        <f>IF($F126="",0,$F126*Parametreler!$C$5)</f>
      </c>
      <c r="I126" s="19">
        <f>IF($F126="","",$F126-$G126+$H126)</f>
      </c>
      <c r="J126" s="18">
        <f>IF($F126="",0,$F126)</f>
      </c>
      <c r="K126" s="14"/>
      <c r="L126" s="13"/>
    </row>
    <row r="127" spans="2:12" x14ac:dyDescent="0.25">
      <c r="B127" s="15"/>
      <c r="C127" s="12"/>
      <c r="D127" s="12"/>
      <c r="E127" s="16">
        <f>IFERROR(IF($D127="","",VLOOKUP($D127,'Müşteri Kartları'!$B$5:$C$104,2,FALSE)),"— tanımsız —")</f>
      </c>
      <c r="F127" s="17"/>
      <c r="G127" s="18">
        <f>IFERROR(IF($D127="",0,$F127*Parametreler!$C$4*VLOOKUP($D127,'Müşteri Kartları'!$B$5:$G$104,6,FALSE)),0)</f>
      </c>
      <c r="H127" s="18">
        <f>IF($F127="",0,$F127*Parametreler!$C$5)</f>
      </c>
      <c r="I127" s="19">
        <f>IF($F127="","",$F127-$G127+$H127)</f>
      </c>
      <c r="J127" s="18">
        <f>IF($F127="",0,$F127)</f>
      </c>
      <c r="K127" s="9"/>
      <c r="L127" s="12"/>
    </row>
    <row r="128" spans="2:12" x14ac:dyDescent="0.25">
      <c r="B128" s="20"/>
      <c r="C128" s="13"/>
      <c r="D128" s="13"/>
      <c r="E128" s="16">
        <f>IFERROR(IF($D128="","",VLOOKUP($D128,'Müşteri Kartları'!$B$5:$C$104,2,FALSE)),"— tanımsız —")</f>
      </c>
      <c r="F128" s="21"/>
      <c r="G128" s="18">
        <f>IFERROR(IF($D128="",0,$F128*Parametreler!$C$4*VLOOKUP($D128,'Müşteri Kartları'!$B$5:$G$104,6,FALSE)),0)</f>
      </c>
      <c r="H128" s="18">
        <f>IF($F128="",0,$F128*Parametreler!$C$5)</f>
      </c>
      <c r="I128" s="19">
        <f>IF($F128="","",$F128-$G128+$H128)</f>
      </c>
      <c r="J128" s="18">
        <f>IF($F128="",0,$F128)</f>
      </c>
      <c r="K128" s="14"/>
      <c r="L128" s="13"/>
    </row>
    <row r="129" spans="2:12" x14ac:dyDescent="0.25">
      <c r="B129" s="15"/>
      <c r="C129" s="12"/>
      <c r="D129" s="12"/>
      <c r="E129" s="16">
        <f>IFERROR(IF($D129="","",VLOOKUP($D129,'Müşteri Kartları'!$B$5:$C$104,2,FALSE)),"— tanımsız —")</f>
      </c>
      <c r="F129" s="17"/>
      <c r="G129" s="18">
        <f>IFERROR(IF($D129="",0,$F129*Parametreler!$C$4*VLOOKUP($D129,'Müşteri Kartları'!$B$5:$G$104,6,FALSE)),0)</f>
      </c>
      <c r="H129" s="18">
        <f>IF($F129="",0,$F129*Parametreler!$C$5)</f>
      </c>
      <c r="I129" s="19">
        <f>IF($F129="","",$F129-$G129+$H129)</f>
      </c>
      <c r="J129" s="18">
        <f>IF($F129="",0,$F129)</f>
      </c>
      <c r="K129" s="9"/>
      <c r="L129" s="12"/>
    </row>
    <row r="130" spans="2:12" x14ac:dyDescent="0.25">
      <c r="B130" s="20"/>
      <c r="C130" s="13"/>
      <c r="D130" s="13"/>
      <c r="E130" s="16">
        <f>IFERROR(IF($D130="","",VLOOKUP($D130,'Müşteri Kartları'!$B$5:$C$104,2,FALSE)),"— tanımsız —")</f>
      </c>
      <c r="F130" s="21"/>
      <c r="G130" s="18">
        <f>IFERROR(IF($D130="",0,$F130*Parametreler!$C$4*VLOOKUP($D130,'Müşteri Kartları'!$B$5:$G$104,6,FALSE)),0)</f>
      </c>
      <c r="H130" s="18">
        <f>IF($F130="",0,$F130*Parametreler!$C$5)</f>
      </c>
      <c r="I130" s="19">
        <f>IF($F130="","",$F130-$G130+$H130)</f>
      </c>
      <c r="J130" s="18">
        <f>IF($F130="",0,$F130)</f>
      </c>
      <c r="K130" s="14"/>
      <c r="L130" s="13"/>
    </row>
    <row r="131" spans="2:12" x14ac:dyDescent="0.25">
      <c r="B131" s="15"/>
      <c r="C131" s="12"/>
      <c r="D131" s="12"/>
      <c r="E131" s="16">
        <f>IFERROR(IF($D131="","",VLOOKUP($D131,'Müşteri Kartları'!$B$5:$C$104,2,FALSE)),"— tanımsız —")</f>
      </c>
      <c r="F131" s="17"/>
      <c r="G131" s="18">
        <f>IFERROR(IF($D131="",0,$F131*Parametreler!$C$4*VLOOKUP($D131,'Müşteri Kartları'!$B$5:$G$104,6,FALSE)),0)</f>
      </c>
      <c r="H131" s="18">
        <f>IF($F131="",0,$F131*Parametreler!$C$5)</f>
      </c>
      <c r="I131" s="19">
        <f>IF($F131="","",$F131-$G131+$H131)</f>
      </c>
      <c r="J131" s="18">
        <f>IF($F131="",0,$F131)</f>
      </c>
      <c r="K131" s="9"/>
      <c r="L131" s="12"/>
    </row>
    <row r="132" spans="2:12" x14ac:dyDescent="0.25">
      <c r="B132" s="20"/>
      <c r="C132" s="13"/>
      <c r="D132" s="13"/>
      <c r="E132" s="16">
        <f>IFERROR(IF($D132="","",VLOOKUP($D132,'Müşteri Kartları'!$B$5:$C$104,2,FALSE)),"— tanımsız —")</f>
      </c>
      <c r="F132" s="21"/>
      <c r="G132" s="18">
        <f>IFERROR(IF($D132="",0,$F132*Parametreler!$C$4*VLOOKUP($D132,'Müşteri Kartları'!$B$5:$G$104,6,FALSE)),0)</f>
      </c>
      <c r="H132" s="18">
        <f>IF($F132="",0,$F132*Parametreler!$C$5)</f>
      </c>
      <c r="I132" s="19">
        <f>IF($F132="","",$F132-$G132+$H132)</f>
      </c>
      <c r="J132" s="18">
        <f>IF($F132="",0,$F132)</f>
      </c>
      <c r="K132" s="14"/>
      <c r="L132" s="13"/>
    </row>
    <row r="133" spans="2:12" x14ac:dyDescent="0.25">
      <c r="B133" s="15"/>
      <c r="C133" s="12"/>
      <c r="D133" s="12"/>
      <c r="E133" s="16">
        <f>IFERROR(IF($D133="","",VLOOKUP($D133,'Müşteri Kartları'!$B$5:$C$104,2,FALSE)),"— tanımsız —")</f>
      </c>
      <c r="F133" s="17"/>
      <c r="G133" s="18">
        <f>IFERROR(IF($D133="",0,$F133*Parametreler!$C$4*VLOOKUP($D133,'Müşteri Kartları'!$B$5:$G$104,6,FALSE)),0)</f>
      </c>
      <c r="H133" s="18">
        <f>IF($F133="",0,$F133*Parametreler!$C$5)</f>
      </c>
      <c r="I133" s="19">
        <f>IF($F133="","",$F133-$G133+$H133)</f>
      </c>
      <c r="J133" s="18">
        <f>IF($F133="",0,$F133)</f>
      </c>
      <c r="K133" s="9"/>
      <c r="L133" s="12"/>
    </row>
    <row r="134" spans="2:12" x14ac:dyDescent="0.25">
      <c r="B134" s="20"/>
      <c r="C134" s="13"/>
      <c r="D134" s="13"/>
      <c r="E134" s="16">
        <f>IFERROR(IF($D134="","",VLOOKUP($D134,'Müşteri Kartları'!$B$5:$C$104,2,FALSE)),"— tanımsız —")</f>
      </c>
      <c r="F134" s="21"/>
      <c r="G134" s="18">
        <f>IFERROR(IF($D134="",0,$F134*Parametreler!$C$4*VLOOKUP($D134,'Müşteri Kartları'!$B$5:$G$104,6,FALSE)),0)</f>
      </c>
      <c r="H134" s="18">
        <f>IF($F134="",0,$F134*Parametreler!$C$5)</f>
      </c>
      <c r="I134" s="19">
        <f>IF($F134="","",$F134-$G134+$H134)</f>
      </c>
      <c r="J134" s="18">
        <f>IF($F134="",0,$F134)</f>
      </c>
      <c r="K134" s="14"/>
      <c r="L134" s="13"/>
    </row>
    <row r="135" spans="2:12" x14ac:dyDescent="0.25">
      <c r="B135" s="15"/>
      <c r="C135" s="12"/>
      <c r="D135" s="12"/>
      <c r="E135" s="16">
        <f>IFERROR(IF($D135="","",VLOOKUP($D135,'Müşteri Kartları'!$B$5:$C$104,2,FALSE)),"— tanımsız —")</f>
      </c>
      <c r="F135" s="17"/>
      <c r="G135" s="18">
        <f>IFERROR(IF($D135="",0,$F135*Parametreler!$C$4*VLOOKUP($D135,'Müşteri Kartları'!$B$5:$G$104,6,FALSE)),0)</f>
      </c>
      <c r="H135" s="18">
        <f>IF($F135="",0,$F135*Parametreler!$C$5)</f>
      </c>
      <c r="I135" s="19">
        <f>IF($F135="","",$F135-$G135+$H135)</f>
      </c>
      <c r="J135" s="18">
        <f>IF($F135="",0,$F135)</f>
      </c>
      <c r="K135" s="9"/>
      <c r="L135" s="12"/>
    </row>
    <row r="136" spans="2:12" x14ac:dyDescent="0.25">
      <c r="B136" s="20"/>
      <c r="C136" s="13"/>
      <c r="D136" s="13"/>
      <c r="E136" s="16">
        <f>IFERROR(IF($D136="","",VLOOKUP($D136,'Müşteri Kartları'!$B$5:$C$104,2,FALSE)),"— tanımsız —")</f>
      </c>
      <c r="F136" s="21"/>
      <c r="G136" s="18">
        <f>IFERROR(IF($D136="",0,$F136*Parametreler!$C$4*VLOOKUP($D136,'Müşteri Kartları'!$B$5:$G$104,6,FALSE)),0)</f>
      </c>
      <c r="H136" s="18">
        <f>IF($F136="",0,$F136*Parametreler!$C$5)</f>
      </c>
      <c r="I136" s="19">
        <f>IF($F136="","",$F136-$G136+$H136)</f>
      </c>
      <c r="J136" s="18">
        <f>IF($F136="",0,$F136)</f>
      </c>
      <c r="K136" s="14"/>
      <c r="L136" s="13"/>
    </row>
    <row r="137" spans="2:12" x14ac:dyDescent="0.25">
      <c r="B137" s="15"/>
      <c r="C137" s="12"/>
      <c r="D137" s="12"/>
      <c r="E137" s="16">
        <f>IFERROR(IF($D137="","",VLOOKUP($D137,'Müşteri Kartları'!$B$5:$C$104,2,FALSE)),"— tanımsız —")</f>
      </c>
      <c r="F137" s="17"/>
      <c r="G137" s="18">
        <f>IFERROR(IF($D137="",0,$F137*Parametreler!$C$4*VLOOKUP($D137,'Müşteri Kartları'!$B$5:$G$104,6,FALSE)),0)</f>
      </c>
      <c r="H137" s="18">
        <f>IF($F137="",0,$F137*Parametreler!$C$5)</f>
      </c>
      <c r="I137" s="19">
        <f>IF($F137="","",$F137-$G137+$H137)</f>
      </c>
      <c r="J137" s="18">
        <f>IF($F137="",0,$F137)</f>
      </c>
      <c r="K137" s="9"/>
      <c r="L137" s="12"/>
    </row>
    <row r="138" spans="2:12" x14ac:dyDescent="0.25">
      <c r="B138" s="20"/>
      <c r="C138" s="13"/>
      <c r="D138" s="13"/>
      <c r="E138" s="16">
        <f>IFERROR(IF($D138="","",VLOOKUP($D138,'Müşteri Kartları'!$B$5:$C$104,2,FALSE)),"— tanımsız —")</f>
      </c>
      <c r="F138" s="21"/>
      <c r="G138" s="18">
        <f>IFERROR(IF($D138="",0,$F138*Parametreler!$C$4*VLOOKUP($D138,'Müşteri Kartları'!$B$5:$G$104,6,FALSE)),0)</f>
      </c>
      <c r="H138" s="18">
        <f>IF($F138="",0,$F138*Parametreler!$C$5)</f>
      </c>
      <c r="I138" s="19">
        <f>IF($F138="","",$F138-$G138+$H138)</f>
      </c>
      <c r="J138" s="18">
        <f>IF($F138="",0,$F138)</f>
      </c>
      <c r="K138" s="14"/>
      <c r="L138" s="13"/>
    </row>
    <row r="139" spans="2:12" x14ac:dyDescent="0.25">
      <c r="B139" s="15"/>
      <c r="C139" s="12"/>
      <c r="D139" s="12"/>
      <c r="E139" s="16">
        <f>IFERROR(IF($D139="","",VLOOKUP($D139,'Müşteri Kartları'!$B$5:$C$104,2,FALSE)),"— tanımsız —")</f>
      </c>
      <c r="F139" s="17"/>
      <c r="G139" s="18">
        <f>IFERROR(IF($D139="",0,$F139*Parametreler!$C$4*VLOOKUP($D139,'Müşteri Kartları'!$B$5:$G$104,6,FALSE)),0)</f>
      </c>
      <c r="H139" s="18">
        <f>IF($F139="",0,$F139*Parametreler!$C$5)</f>
      </c>
      <c r="I139" s="19">
        <f>IF($F139="","",$F139-$G139+$H139)</f>
      </c>
      <c r="J139" s="18">
        <f>IF($F139="",0,$F139)</f>
      </c>
      <c r="K139" s="9"/>
      <c r="L139" s="12"/>
    </row>
    <row r="140" spans="2:12" x14ac:dyDescent="0.25">
      <c r="B140" s="20"/>
      <c r="C140" s="13"/>
      <c r="D140" s="13"/>
      <c r="E140" s="16">
        <f>IFERROR(IF($D140="","",VLOOKUP($D140,'Müşteri Kartları'!$B$5:$C$104,2,FALSE)),"— tanımsız —")</f>
      </c>
      <c r="F140" s="21"/>
      <c r="G140" s="18">
        <f>IFERROR(IF($D140="",0,$F140*Parametreler!$C$4*VLOOKUP($D140,'Müşteri Kartları'!$B$5:$G$104,6,FALSE)),0)</f>
      </c>
      <c r="H140" s="18">
        <f>IF($F140="",0,$F140*Parametreler!$C$5)</f>
      </c>
      <c r="I140" s="19">
        <f>IF($F140="","",$F140-$G140+$H140)</f>
      </c>
      <c r="J140" s="18">
        <f>IF($F140="",0,$F140)</f>
      </c>
      <c r="K140" s="14"/>
      <c r="L140" s="13"/>
    </row>
    <row r="141" spans="2:12" x14ac:dyDescent="0.25">
      <c r="B141" s="15"/>
      <c r="C141" s="12"/>
      <c r="D141" s="12"/>
      <c r="E141" s="16">
        <f>IFERROR(IF($D141="","",VLOOKUP($D141,'Müşteri Kartları'!$B$5:$C$104,2,FALSE)),"— tanımsız —")</f>
      </c>
      <c r="F141" s="17"/>
      <c r="G141" s="18">
        <f>IFERROR(IF($D141="",0,$F141*Parametreler!$C$4*VLOOKUP($D141,'Müşteri Kartları'!$B$5:$G$104,6,FALSE)),0)</f>
      </c>
      <c r="H141" s="18">
        <f>IF($F141="",0,$F141*Parametreler!$C$5)</f>
      </c>
      <c r="I141" s="19">
        <f>IF($F141="","",$F141-$G141+$H141)</f>
      </c>
      <c r="J141" s="18">
        <f>IF($F141="",0,$F141)</f>
      </c>
      <c r="K141" s="9"/>
      <c r="L141" s="12"/>
    </row>
    <row r="142" spans="2:12" x14ac:dyDescent="0.25">
      <c r="B142" s="20"/>
      <c r="C142" s="13"/>
      <c r="D142" s="13"/>
      <c r="E142" s="16">
        <f>IFERROR(IF($D142="","",VLOOKUP($D142,'Müşteri Kartları'!$B$5:$C$104,2,FALSE)),"— tanımsız —")</f>
      </c>
      <c r="F142" s="21"/>
      <c r="G142" s="18">
        <f>IFERROR(IF($D142="",0,$F142*Parametreler!$C$4*VLOOKUP($D142,'Müşteri Kartları'!$B$5:$G$104,6,FALSE)),0)</f>
      </c>
      <c r="H142" s="18">
        <f>IF($F142="",0,$F142*Parametreler!$C$5)</f>
      </c>
      <c r="I142" s="19">
        <f>IF($F142="","",$F142-$G142+$H142)</f>
      </c>
      <c r="J142" s="18">
        <f>IF($F142="",0,$F142)</f>
      </c>
      <c r="K142" s="14"/>
      <c r="L142" s="13"/>
    </row>
    <row r="143" spans="2:12" x14ac:dyDescent="0.25">
      <c r="B143" s="15"/>
      <c r="C143" s="12"/>
      <c r="D143" s="12"/>
      <c r="E143" s="16">
        <f>IFERROR(IF($D143="","",VLOOKUP($D143,'Müşteri Kartları'!$B$5:$C$104,2,FALSE)),"— tanımsız —")</f>
      </c>
      <c r="F143" s="17"/>
      <c r="G143" s="18">
        <f>IFERROR(IF($D143="",0,$F143*Parametreler!$C$4*VLOOKUP($D143,'Müşteri Kartları'!$B$5:$G$104,6,FALSE)),0)</f>
      </c>
      <c r="H143" s="18">
        <f>IF($F143="",0,$F143*Parametreler!$C$5)</f>
      </c>
      <c r="I143" s="19">
        <f>IF($F143="","",$F143-$G143+$H143)</f>
      </c>
      <c r="J143" s="18">
        <f>IF($F143="",0,$F143)</f>
      </c>
      <c r="K143" s="9"/>
      <c r="L143" s="12"/>
    </row>
    <row r="144" spans="2:12" x14ac:dyDescent="0.25">
      <c r="B144" s="20"/>
      <c r="C144" s="13"/>
      <c r="D144" s="13"/>
      <c r="E144" s="16">
        <f>IFERROR(IF($D144="","",VLOOKUP($D144,'Müşteri Kartları'!$B$5:$C$104,2,FALSE)),"— tanımsız —")</f>
      </c>
      <c r="F144" s="21"/>
      <c r="G144" s="18">
        <f>IFERROR(IF($D144="",0,$F144*Parametreler!$C$4*VLOOKUP($D144,'Müşteri Kartları'!$B$5:$G$104,6,FALSE)),0)</f>
      </c>
      <c r="H144" s="18">
        <f>IF($F144="",0,$F144*Parametreler!$C$5)</f>
      </c>
      <c r="I144" s="19">
        <f>IF($F144="","",$F144-$G144+$H144)</f>
      </c>
      <c r="J144" s="18">
        <f>IF($F144="",0,$F144)</f>
      </c>
      <c r="K144" s="14"/>
      <c r="L144" s="13"/>
    </row>
    <row r="145" spans="2:12" x14ac:dyDescent="0.25">
      <c r="B145" s="15"/>
      <c r="C145" s="12"/>
      <c r="D145" s="12"/>
      <c r="E145" s="16">
        <f>IFERROR(IF($D145="","",VLOOKUP($D145,'Müşteri Kartları'!$B$5:$C$104,2,FALSE)),"— tanımsız —")</f>
      </c>
      <c r="F145" s="17"/>
      <c r="G145" s="18">
        <f>IFERROR(IF($D145="",0,$F145*Parametreler!$C$4*VLOOKUP($D145,'Müşteri Kartları'!$B$5:$G$104,6,FALSE)),0)</f>
      </c>
      <c r="H145" s="18">
        <f>IF($F145="",0,$F145*Parametreler!$C$5)</f>
      </c>
      <c r="I145" s="19">
        <f>IF($F145="","",$F145-$G145+$H145)</f>
      </c>
      <c r="J145" s="18">
        <f>IF($F145="",0,$F145)</f>
      </c>
      <c r="K145" s="9"/>
      <c r="L145" s="12"/>
    </row>
    <row r="146" spans="2:12" x14ac:dyDescent="0.25">
      <c r="B146" s="20"/>
      <c r="C146" s="13"/>
      <c r="D146" s="13"/>
      <c r="E146" s="16">
        <f>IFERROR(IF($D146="","",VLOOKUP($D146,'Müşteri Kartları'!$B$5:$C$104,2,FALSE)),"— tanımsız —")</f>
      </c>
      <c r="F146" s="21"/>
      <c r="G146" s="18">
        <f>IFERROR(IF($D146="",0,$F146*Parametreler!$C$4*VLOOKUP($D146,'Müşteri Kartları'!$B$5:$G$104,6,FALSE)),0)</f>
      </c>
      <c r="H146" s="18">
        <f>IF($F146="",0,$F146*Parametreler!$C$5)</f>
      </c>
      <c r="I146" s="19">
        <f>IF($F146="","",$F146-$G146+$H146)</f>
      </c>
      <c r="J146" s="18">
        <f>IF($F146="",0,$F146)</f>
      </c>
      <c r="K146" s="14"/>
      <c r="L146" s="13"/>
    </row>
    <row r="147" spans="2:12" x14ac:dyDescent="0.25">
      <c r="B147" s="15"/>
      <c r="C147" s="12"/>
      <c r="D147" s="12"/>
      <c r="E147" s="16">
        <f>IFERROR(IF($D147="","",VLOOKUP($D147,'Müşteri Kartları'!$B$5:$C$104,2,FALSE)),"— tanımsız —")</f>
      </c>
      <c r="F147" s="17"/>
      <c r="G147" s="18">
        <f>IFERROR(IF($D147="",0,$F147*Parametreler!$C$4*VLOOKUP($D147,'Müşteri Kartları'!$B$5:$G$104,6,FALSE)),0)</f>
      </c>
      <c r="H147" s="18">
        <f>IF($F147="",0,$F147*Parametreler!$C$5)</f>
      </c>
      <c r="I147" s="19">
        <f>IF($F147="","",$F147-$G147+$H147)</f>
      </c>
      <c r="J147" s="18">
        <f>IF($F147="",0,$F147)</f>
      </c>
      <c r="K147" s="9"/>
      <c r="L147" s="12"/>
    </row>
    <row r="148" spans="2:12" x14ac:dyDescent="0.25">
      <c r="B148" s="20"/>
      <c r="C148" s="13"/>
      <c r="D148" s="13"/>
      <c r="E148" s="16">
        <f>IFERROR(IF($D148="","",VLOOKUP($D148,'Müşteri Kartları'!$B$5:$C$104,2,FALSE)),"— tanımsız —")</f>
      </c>
      <c r="F148" s="21"/>
      <c r="G148" s="18">
        <f>IFERROR(IF($D148="",0,$F148*Parametreler!$C$4*VLOOKUP($D148,'Müşteri Kartları'!$B$5:$G$104,6,FALSE)),0)</f>
      </c>
      <c r="H148" s="18">
        <f>IF($F148="",0,$F148*Parametreler!$C$5)</f>
      </c>
      <c r="I148" s="19">
        <f>IF($F148="","",$F148-$G148+$H148)</f>
      </c>
      <c r="J148" s="18">
        <f>IF($F148="",0,$F148)</f>
      </c>
      <c r="K148" s="14"/>
      <c r="L148" s="13"/>
    </row>
    <row r="149" spans="2:12" x14ac:dyDescent="0.25">
      <c r="B149" s="15"/>
      <c r="C149" s="12"/>
      <c r="D149" s="12"/>
      <c r="E149" s="16">
        <f>IFERROR(IF($D149="","",VLOOKUP($D149,'Müşteri Kartları'!$B$5:$C$104,2,FALSE)),"— tanımsız —")</f>
      </c>
      <c r="F149" s="17"/>
      <c r="G149" s="18">
        <f>IFERROR(IF($D149="",0,$F149*Parametreler!$C$4*VLOOKUP($D149,'Müşteri Kartları'!$B$5:$G$104,6,FALSE)),0)</f>
      </c>
      <c r="H149" s="18">
        <f>IF($F149="",0,$F149*Parametreler!$C$5)</f>
      </c>
      <c r="I149" s="19">
        <f>IF($F149="","",$F149-$G149+$H149)</f>
      </c>
      <c r="J149" s="18">
        <f>IF($F149="",0,$F149)</f>
      </c>
      <c r="K149" s="9"/>
      <c r="L149" s="12"/>
    </row>
    <row r="150" spans="2:12" x14ac:dyDescent="0.25">
      <c r="B150" s="20"/>
      <c r="C150" s="13"/>
      <c r="D150" s="13"/>
      <c r="E150" s="16">
        <f>IFERROR(IF($D150="","",VLOOKUP($D150,'Müşteri Kartları'!$B$5:$C$104,2,FALSE)),"— tanımsız —")</f>
      </c>
      <c r="F150" s="21"/>
      <c r="G150" s="18">
        <f>IFERROR(IF($D150="",0,$F150*Parametreler!$C$4*VLOOKUP($D150,'Müşteri Kartları'!$B$5:$G$104,6,FALSE)),0)</f>
      </c>
      <c r="H150" s="18">
        <f>IF($F150="",0,$F150*Parametreler!$C$5)</f>
      </c>
      <c r="I150" s="19">
        <f>IF($F150="","",$F150-$G150+$H150)</f>
      </c>
      <c r="J150" s="18">
        <f>IF($F150="",0,$F150)</f>
      </c>
      <c r="K150" s="14"/>
      <c r="L150" s="13"/>
    </row>
    <row r="151" spans="2:12" x14ac:dyDescent="0.25">
      <c r="B151" s="15"/>
      <c r="C151" s="12"/>
      <c r="D151" s="12"/>
      <c r="E151" s="16">
        <f>IFERROR(IF($D151="","",VLOOKUP($D151,'Müşteri Kartları'!$B$5:$C$104,2,FALSE)),"— tanımsız —")</f>
      </c>
      <c r="F151" s="17"/>
      <c r="G151" s="18">
        <f>IFERROR(IF($D151="",0,$F151*Parametreler!$C$4*VLOOKUP($D151,'Müşteri Kartları'!$B$5:$G$104,6,FALSE)),0)</f>
      </c>
      <c r="H151" s="18">
        <f>IF($F151="",0,$F151*Parametreler!$C$5)</f>
      </c>
      <c r="I151" s="19">
        <f>IF($F151="","",$F151-$G151+$H151)</f>
      </c>
      <c r="J151" s="18">
        <f>IF($F151="",0,$F151)</f>
      </c>
      <c r="K151" s="9"/>
      <c r="L151" s="12"/>
    </row>
    <row r="152" spans="2:12" x14ac:dyDescent="0.25">
      <c r="B152" s="20"/>
      <c r="C152" s="13"/>
      <c r="D152" s="13"/>
      <c r="E152" s="16">
        <f>IFERROR(IF($D152="","",VLOOKUP($D152,'Müşteri Kartları'!$B$5:$C$104,2,FALSE)),"— tanımsız —")</f>
      </c>
      <c r="F152" s="21"/>
      <c r="G152" s="18">
        <f>IFERROR(IF($D152="",0,$F152*Parametreler!$C$4*VLOOKUP($D152,'Müşteri Kartları'!$B$5:$G$104,6,FALSE)),0)</f>
      </c>
      <c r="H152" s="18">
        <f>IF($F152="",0,$F152*Parametreler!$C$5)</f>
      </c>
      <c r="I152" s="19">
        <f>IF($F152="","",$F152-$G152+$H152)</f>
      </c>
      <c r="J152" s="18">
        <f>IF($F152="",0,$F152)</f>
      </c>
      <c r="K152" s="14"/>
      <c r="L152" s="13"/>
    </row>
    <row r="153" spans="2:12" x14ac:dyDescent="0.25">
      <c r="B153" s="15"/>
      <c r="C153" s="12"/>
      <c r="D153" s="12"/>
      <c r="E153" s="16">
        <f>IFERROR(IF($D153="","",VLOOKUP($D153,'Müşteri Kartları'!$B$5:$C$104,2,FALSE)),"— tanımsız —")</f>
      </c>
      <c r="F153" s="17"/>
      <c r="G153" s="18">
        <f>IFERROR(IF($D153="",0,$F153*Parametreler!$C$4*VLOOKUP($D153,'Müşteri Kartları'!$B$5:$G$104,6,FALSE)),0)</f>
      </c>
      <c r="H153" s="18">
        <f>IF($F153="",0,$F153*Parametreler!$C$5)</f>
      </c>
      <c r="I153" s="19">
        <f>IF($F153="","",$F153-$G153+$H153)</f>
      </c>
      <c r="J153" s="18">
        <f>IF($F153="",0,$F153)</f>
      </c>
      <c r="K153" s="9"/>
      <c r="L153" s="12"/>
    </row>
    <row r="154" spans="2:12" x14ac:dyDescent="0.25">
      <c r="B154" s="20"/>
      <c r="C154" s="13"/>
      <c r="D154" s="13"/>
      <c r="E154" s="16">
        <f>IFERROR(IF($D154="","",VLOOKUP($D154,'Müşteri Kartları'!$B$5:$C$104,2,FALSE)),"— tanımsız —")</f>
      </c>
      <c r="F154" s="21"/>
      <c r="G154" s="18">
        <f>IFERROR(IF($D154="",0,$F154*Parametreler!$C$4*VLOOKUP($D154,'Müşteri Kartları'!$B$5:$G$104,6,FALSE)),0)</f>
      </c>
      <c r="H154" s="18">
        <f>IF($F154="",0,$F154*Parametreler!$C$5)</f>
      </c>
      <c r="I154" s="19">
        <f>IF($F154="","",$F154-$G154+$H154)</f>
      </c>
      <c r="J154" s="18">
        <f>IF($F154="",0,$F154)</f>
      </c>
      <c r="K154" s="14"/>
      <c r="L154" s="13"/>
    </row>
    <row r="155" spans="2:12" x14ac:dyDescent="0.25">
      <c r="B155" s="15"/>
      <c r="C155" s="12"/>
      <c r="D155" s="12"/>
      <c r="E155" s="16">
        <f>IFERROR(IF($D155="","",VLOOKUP($D155,'Müşteri Kartları'!$B$5:$C$104,2,FALSE)),"— tanımsız —")</f>
      </c>
      <c r="F155" s="17"/>
      <c r="G155" s="18">
        <f>IFERROR(IF($D155="",0,$F155*Parametreler!$C$4*VLOOKUP($D155,'Müşteri Kartları'!$B$5:$G$104,6,FALSE)),0)</f>
      </c>
      <c r="H155" s="18">
        <f>IF($F155="",0,$F155*Parametreler!$C$5)</f>
      </c>
      <c r="I155" s="19">
        <f>IF($F155="","",$F155-$G155+$H155)</f>
      </c>
      <c r="J155" s="18">
        <f>IF($F155="",0,$F155)</f>
      </c>
      <c r="K155" s="9"/>
      <c r="L155" s="12"/>
    </row>
    <row r="156" spans="2:12" x14ac:dyDescent="0.25">
      <c r="B156" s="20"/>
      <c r="C156" s="13"/>
      <c r="D156" s="13"/>
      <c r="E156" s="16">
        <f>IFERROR(IF($D156="","",VLOOKUP($D156,'Müşteri Kartları'!$B$5:$C$104,2,FALSE)),"— tanımsız —")</f>
      </c>
      <c r="F156" s="21"/>
      <c r="G156" s="18">
        <f>IFERROR(IF($D156="",0,$F156*Parametreler!$C$4*VLOOKUP($D156,'Müşteri Kartları'!$B$5:$G$104,6,FALSE)),0)</f>
      </c>
      <c r="H156" s="18">
        <f>IF($F156="",0,$F156*Parametreler!$C$5)</f>
      </c>
      <c r="I156" s="19">
        <f>IF($F156="","",$F156-$G156+$H156)</f>
      </c>
      <c r="J156" s="18">
        <f>IF($F156="",0,$F156)</f>
      </c>
      <c r="K156" s="14"/>
      <c r="L156" s="13"/>
    </row>
    <row r="157" spans="2:12" x14ac:dyDescent="0.25">
      <c r="B157" s="15"/>
      <c r="C157" s="12"/>
      <c r="D157" s="12"/>
      <c r="E157" s="16">
        <f>IFERROR(IF($D157="","",VLOOKUP($D157,'Müşteri Kartları'!$B$5:$C$104,2,FALSE)),"— tanımsız —")</f>
      </c>
      <c r="F157" s="17"/>
      <c r="G157" s="18">
        <f>IFERROR(IF($D157="",0,$F157*Parametreler!$C$4*VLOOKUP($D157,'Müşteri Kartları'!$B$5:$G$104,6,FALSE)),0)</f>
      </c>
      <c r="H157" s="18">
        <f>IF($F157="",0,$F157*Parametreler!$C$5)</f>
      </c>
      <c r="I157" s="19">
        <f>IF($F157="","",$F157-$G157+$H157)</f>
      </c>
      <c r="J157" s="18">
        <f>IF($F157="",0,$F157)</f>
      </c>
      <c r="K157" s="9"/>
      <c r="L157" s="12"/>
    </row>
    <row r="158" spans="2:12" x14ac:dyDescent="0.25">
      <c r="B158" s="20"/>
      <c r="C158" s="13"/>
      <c r="D158" s="13"/>
      <c r="E158" s="16">
        <f>IFERROR(IF($D158="","",VLOOKUP($D158,'Müşteri Kartları'!$B$5:$C$104,2,FALSE)),"— tanımsız —")</f>
      </c>
      <c r="F158" s="21"/>
      <c r="G158" s="18">
        <f>IFERROR(IF($D158="",0,$F158*Parametreler!$C$4*VLOOKUP($D158,'Müşteri Kartları'!$B$5:$G$104,6,FALSE)),0)</f>
      </c>
      <c r="H158" s="18">
        <f>IF($F158="",0,$F158*Parametreler!$C$5)</f>
      </c>
      <c r="I158" s="19">
        <f>IF($F158="","",$F158-$G158+$H158)</f>
      </c>
      <c r="J158" s="18">
        <f>IF($F158="",0,$F158)</f>
      </c>
      <c r="K158" s="14"/>
      <c r="L158" s="13"/>
    </row>
    <row r="159" spans="2:12" x14ac:dyDescent="0.25">
      <c r="B159" s="15"/>
      <c r="C159" s="12"/>
      <c r="D159" s="12"/>
      <c r="E159" s="16">
        <f>IFERROR(IF($D159="","",VLOOKUP($D159,'Müşteri Kartları'!$B$5:$C$104,2,FALSE)),"— tanımsız —")</f>
      </c>
      <c r="F159" s="17"/>
      <c r="G159" s="18">
        <f>IFERROR(IF($D159="",0,$F159*Parametreler!$C$4*VLOOKUP($D159,'Müşteri Kartları'!$B$5:$G$104,6,FALSE)),0)</f>
      </c>
      <c r="H159" s="18">
        <f>IF($F159="",0,$F159*Parametreler!$C$5)</f>
      </c>
      <c r="I159" s="19">
        <f>IF($F159="","",$F159-$G159+$H159)</f>
      </c>
      <c r="J159" s="18">
        <f>IF($F159="",0,$F159)</f>
      </c>
      <c r="K159" s="9"/>
      <c r="L159" s="12"/>
    </row>
    <row r="160" spans="2:12" x14ac:dyDescent="0.25">
      <c r="B160" s="20"/>
      <c r="C160" s="13"/>
      <c r="D160" s="13"/>
      <c r="E160" s="16">
        <f>IFERROR(IF($D160="","",VLOOKUP($D160,'Müşteri Kartları'!$B$5:$C$104,2,FALSE)),"— tanımsız —")</f>
      </c>
      <c r="F160" s="21"/>
      <c r="G160" s="18">
        <f>IFERROR(IF($D160="",0,$F160*Parametreler!$C$4*VLOOKUP($D160,'Müşteri Kartları'!$B$5:$G$104,6,FALSE)),0)</f>
      </c>
      <c r="H160" s="18">
        <f>IF($F160="",0,$F160*Parametreler!$C$5)</f>
      </c>
      <c r="I160" s="19">
        <f>IF($F160="","",$F160-$G160+$H160)</f>
      </c>
      <c r="J160" s="18">
        <f>IF($F160="",0,$F160)</f>
      </c>
      <c r="K160" s="14"/>
      <c r="L160" s="13"/>
    </row>
    <row r="161" spans="2:12" x14ac:dyDescent="0.25">
      <c r="B161" s="15"/>
      <c r="C161" s="12"/>
      <c r="D161" s="12"/>
      <c r="E161" s="16">
        <f>IFERROR(IF($D161="","",VLOOKUP($D161,'Müşteri Kartları'!$B$5:$C$104,2,FALSE)),"— tanımsız —")</f>
      </c>
      <c r="F161" s="17"/>
      <c r="G161" s="18">
        <f>IFERROR(IF($D161="",0,$F161*Parametreler!$C$4*VLOOKUP($D161,'Müşteri Kartları'!$B$5:$G$104,6,FALSE)),0)</f>
      </c>
      <c r="H161" s="18">
        <f>IF($F161="",0,$F161*Parametreler!$C$5)</f>
      </c>
      <c r="I161" s="19">
        <f>IF($F161="","",$F161-$G161+$H161)</f>
      </c>
      <c r="J161" s="18">
        <f>IF($F161="",0,$F161)</f>
      </c>
      <c r="K161" s="9"/>
      <c r="L161" s="12"/>
    </row>
    <row r="162" spans="2:12" x14ac:dyDescent="0.25">
      <c r="B162" s="20"/>
      <c r="C162" s="13"/>
      <c r="D162" s="13"/>
      <c r="E162" s="16">
        <f>IFERROR(IF($D162="","",VLOOKUP($D162,'Müşteri Kartları'!$B$5:$C$104,2,FALSE)),"— tanımsız —")</f>
      </c>
      <c r="F162" s="21"/>
      <c r="G162" s="18">
        <f>IFERROR(IF($D162="",0,$F162*Parametreler!$C$4*VLOOKUP($D162,'Müşteri Kartları'!$B$5:$G$104,6,FALSE)),0)</f>
      </c>
      <c r="H162" s="18">
        <f>IF($F162="",0,$F162*Parametreler!$C$5)</f>
      </c>
      <c r="I162" s="19">
        <f>IF($F162="","",$F162-$G162+$H162)</f>
      </c>
      <c r="J162" s="18">
        <f>IF($F162="",0,$F162)</f>
      </c>
      <c r="K162" s="14"/>
      <c r="L162" s="13"/>
    </row>
    <row r="163" spans="2:12" x14ac:dyDescent="0.25">
      <c r="B163" s="15"/>
      <c r="C163" s="12"/>
      <c r="D163" s="12"/>
      <c r="E163" s="16">
        <f>IFERROR(IF($D163="","",VLOOKUP($D163,'Müşteri Kartları'!$B$5:$C$104,2,FALSE)),"— tanımsız —")</f>
      </c>
      <c r="F163" s="17"/>
      <c r="G163" s="18">
        <f>IFERROR(IF($D163="",0,$F163*Parametreler!$C$4*VLOOKUP($D163,'Müşteri Kartları'!$B$5:$G$104,6,FALSE)),0)</f>
      </c>
      <c r="H163" s="18">
        <f>IF($F163="",0,$F163*Parametreler!$C$5)</f>
      </c>
      <c r="I163" s="19">
        <f>IF($F163="","",$F163-$G163+$H163)</f>
      </c>
      <c r="J163" s="18">
        <f>IF($F163="",0,$F163)</f>
      </c>
      <c r="K163" s="9"/>
      <c r="L163" s="12"/>
    </row>
    <row r="164" spans="2:12" x14ac:dyDescent="0.25">
      <c r="B164" s="20"/>
      <c r="C164" s="13"/>
      <c r="D164" s="13"/>
      <c r="E164" s="16">
        <f>IFERROR(IF($D164="","",VLOOKUP($D164,'Müşteri Kartları'!$B$5:$C$104,2,FALSE)),"— tanımsız —")</f>
      </c>
      <c r="F164" s="21"/>
      <c r="G164" s="18">
        <f>IFERROR(IF($D164="",0,$F164*Parametreler!$C$4*VLOOKUP($D164,'Müşteri Kartları'!$B$5:$G$104,6,FALSE)),0)</f>
      </c>
      <c r="H164" s="18">
        <f>IF($F164="",0,$F164*Parametreler!$C$5)</f>
      </c>
      <c r="I164" s="19">
        <f>IF($F164="","",$F164-$G164+$H164)</f>
      </c>
      <c r="J164" s="18">
        <f>IF($F164="",0,$F164)</f>
      </c>
      <c r="K164" s="14"/>
      <c r="L164" s="13"/>
    </row>
    <row r="165" spans="2:12" x14ac:dyDescent="0.25">
      <c r="B165" s="15"/>
      <c r="C165" s="12"/>
      <c r="D165" s="12"/>
      <c r="E165" s="16">
        <f>IFERROR(IF($D165="","",VLOOKUP($D165,'Müşteri Kartları'!$B$5:$C$104,2,FALSE)),"— tanımsız —")</f>
      </c>
      <c r="F165" s="17"/>
      <c r="G165" s="18">
        <f>IFERROR(IF($D165="",0,$F165*Parametreler!$C$4*VLOOKUP($D165,'Müşteri Kartları'!$B$5:$G$104,6,FALSE)),0)</f>
      </c>
      <c r="H165" s="18">
        <f>IF($F165="",0,$F165*Parametreler!$C$5)</f>
      </c>
      <c r="I165" s="19">
        <f>IF($F165="","",$F165-$G165+$H165)</f>
      </c>
      <c r="J165" s="18">
        <f>IF($F165="",0,$F165)</f>
      </c>
      <c r="K165" s="9"/>
      <c r="L165" s="12"/>
    </row>
    <row r="166" spans="2:12" x14ac:dyDescent="0.25">
      <c r="B166" s="20"/>
      <c r="C166" s="13"/>
      <c r="D166" s="13"/>
      <c r="E166" s="16">
        <f>IFERROR(IF($D166="","",VLOOKUP($D166,'Müşteri Kartları'!$B$5:$C$104,2,FALSE)),"— tanımsız —")</f>
      </c>
      <c r="F166" s="21"/>
      <c r="G166" s="18">
        <f>IFERROR(IF($D166="",0,$F166*Parametreler!$C$4*VLOOKUP($D166,'Müşteri Kartları'!$B$5:$G$104,6,FALSE)),0)</f>
      </c>
      <c r="H166" s="18">
        <f>IF($F166="",0,$F166*Parametreler!$C$5)</f>
      </c>
      <c r="I166" s="19">
        <f>IF($F166="","",$F166-$G166+$H166)</f>
      </c>
      <c r="J166" s="18">
        <f>IF($F166="",0,$F166)</f>
      </c>
      <c r="K166" s="14"/>
      <c r="L166" s="13"/>
    </row>
    <row r="167" spans="2:12" x14ac:dyDescent="0.25">
      <c r="B167" s="15"/>
      <c r="C167" s="12"/>
      <c r="D167" s="12"/>
      <c r="E167" s="16">
        <f>IFERROR(IF($D167="","",VLOOKUP($D167,'Müşteri Kartları'!$B$5:$C$104,2,FALSE)),"— tanımsız —")</f>
      </c>
      <c r="F167" s="17"/>
      <c r="G167" s="18">
        <f>IFERROR(IF($D167="",0,$F167*Parametreler!$C$4*VLOOKUP($D167,'Müşteri Kartları'!$B$5:$G$104,6,FALSE)),0)</f>
      </c>
      <c r="H167" s="18">
        <f>IF($F167="",0,$F167*Parametreler!$C$5)</f>
      </c>
      <c r="I167" s="19">
        <f>IF($F167="","",$F167-$G167+$H167)</f>
      </c>
      <c r="J167" s="18">
        <f>IF($F167="",0,$F167)</f>
      </c>
      <c r="K167" s="9"/>
      <c r="L167" s="12"/>
    </row>
    <row r="168" spans="2:12" x14ac:dyDescent="0.25">
      <c r="B168" s="20"/>
      <c r="C168" s="13"/>
      <c r="D168" s="13"/>
      <c r="E168" s="16">
        <f>IFERROR(IF($D168="","",VLOOKUP($D168,'Müşteri Kartları'!$B$5:$C$104,2,FALSE)),"— tanımsız —")</f>
      </c>
      <c r="F168" s="21"/>
      <c r="G168" s="18">
        <f>IFERROR(IF($D168="",0,$F168*Parametreler!$C$4*VLOOKUP($D168,'Müşteri Kartları'!$B$5:$G$104,6,FALSE)),0)</f>
      </c>
      <c r="H168" s="18">
        <f>IF($F168="",0,$F168*Parametreler!$C$5)</f>
      </c>
      <c r="I168" s="19">
        <f>IF($F168="","",$F168-$G168+$H168)</f>
      </c>
      <c r="J168" s="18">
        <f>IF($F168="",0,$F168)</f>
      </c>
      <c r="K168" s="14"/>
      <c r="L168" s="13"/>
    </row>
    <row r="169" spans="2:12" x14ac:dyDescent="0.25">
      <c r="B169" s="15"/>
      <c r="C169" s="12"/>
      <c r="D169" s="12"/>
      <c r="E169" s="16">
        <f>IFERROR(IF($D169="","",VLOOKUP($D169,'Müşteri Kartları'!$B$5:$C$104,2,FALSE)),"— tanımsız —")</f>
      </c>
      <c r="F169" s="17"/>
      <c r="G169" s="18">
        <f>IFERROR(IF($D169="",0,$F169*Parametreler!$C$4*VLOOKUP($D169,'Müşteri Kartları'!$B$5:$G$104,6,FALSE)),0)</f>
      </c>
      <c r="H169" s="18">
        <f>IF($F169="",0,$F169*Parametreler!$C$5)</f>
      </c>
      <c r="I169" s="19">
        <f>IF($F169="","",$F169-$G169+$H169)</f>
      </c>
      <c r="J169" s="18">
        <f>IF($F169="",0,$F169)</f>
      </c>
      <c r="K169" s="9"/>
      <c r="L169" s="12"/>
    </row>
    <row r="170" spans="2:12" x14ac:dyDescent="0.25">
      <c r="B170" s="20"/>
      <c r="C170" s="13"/>
      <c r="D170" s="13"/>
      <c r="E170" s="16">
        <f>IFERROR(IF($D170="","",VLOOKUP($D170,'Müşteri Kartları'!$B$5:$C$104,2,FALSE)),"— tanımsız —")</f>
      </c>
      <c r="F170" s="21"/>
      <c r="G170" s="18">
        <f>IFERROR(IF($D170="",0,$F170*Parametreler!$C$4*VLOOKUP($D170,'Müşteri Kartları'!$B$5:$G$104,6,FALSE)),0)</f>
      </c>
      <c r="H170" s="18">
        <f>IF($F170="",0,$F170*Parametreler!$C$5)</f>
      </c>
      <c r="I170" s="19">
        <f>IF($F170="","",$F170-$G170+$H170)</f>
      </c>
      <c r="J170" s="18">
        <f>IF($F170="",0,$F170)</f>
      </c>
      <c r="K170" s="14"/>
      <c r="L170" s="13"/>
    </row>
    <row r="171" spans="2:12" x14ac:dyDescent="0.25">
      <c r="B171" s="15"/>
      <c r="C171" s="12"/>
      <c r="D171" s="12"/>
      <c r="E171" s="16">
        <f>IFERROR(IF($D171="","",VLOOKUP($D171,'Müşteri Kartları'!$B$5:$C$104,2,FALSE)),"— tanımsız —")</f>
      </c>
      <c r="F171" s="17"/>
      <c r="G171" s="18">
        <f>IFERROR(IF($D171="",0,$F171*Parametreler!$C$4*VLOOKUP($D171,'Müşteri Kartları'!$B$5:$G$104,6,FALSE)),0)</f>
      </c>
      <c r="H171" s="18">
        <f>IF($F171="",0,$F171*Parametreler!$C$5)</f>
      </c>
      <c r="I171" s="19">
        <f>IF($F171="","",$F171-$G171+$H171)</f>
      </c>
      <c r="J171" s="18">
        <f>IF($F171="",0,$F171)</f>
      </c>
      <c r="K171" s="9"/>
      <c r="L171" s="12"/>
    </row>
    <row r="172" spans="2:12" x14ac:dyDescent="0.25">
      <c r="B172" s="20"/>
      <c r="C172" s="13"/>
      <c r="D172" s="13"/>
      <c r="E172" s="16">
        <f>IFERROR(IF($D172="","",VLOOKUP($D172,'Müşteri Kartları'!$B$5:$C$104,2,FALSE)),"— tanımsız —")</f>
      </c>
      <c r="F172" s="21"/>
      <c r="G172" s="18">
        <f>IFERROR(IF($D172="",0,$F172*Parametreler!$C$4*VLOOKUP($D172,'Müşteri Kartları'!$B$5:$G$104,6,FALSE)),0)</f>
      </c>
      <c r="H172" s="18">
        <f>IF($F172="",0,$F172*Parametreler!$C$5)</f>
      </c>
      <c r="I172" s="19">
        <f>IF($F172="","",$F172-$G172+$H172)</f>
      </c>
      <c r="J172" s="18">
        <f>IF($F172="",0,$F172)</f>
      </c>
      <c r="K172" s="14"/>
      <c r="L172" s="13"/>
    </row>
    <row r="173" spans="2:12" x14ac:dyDescent="0.25">
      <c r="B173" s="15"/>
      <c r="C173" s="12"/>
      <c r="D173" s="12"/>
      <c r="E173" s="16">
        <f>IFERROR(IF($D173="","",VLOOKUP($D173,'Müşteri Kartları'!$B$5:$C$104,2,FALSE)),"— tanımsız —")</f>
      </c>
      <c r="F173" s="17"/>
      <c r="G173" s="18">
        <f>IFERROR(IF($D173="",0,$F173*Parametreler!$C$4*VLOOKUP($D173,'Müşteri Kartları'!$B$5:$G$104,6,FALSE)),0)</f>
      </c>
      <c r="H173" s="18">
        <f>IF($F173="",0,$F173*Parametreler!$C$5)</f>
      </c>
      <c r="I173" s="19">
        <f>IF($F173="","",$F173-$G173+$H173)</f>
      </c>
      <c r="J173" s="18">
        <f>IF($F173="",0,$F173)</f>
      </c>
      <c r="K173" s="9"/>
      <c r="L173" s="12"/>
    </row>
    <row r="174" spans="2:12" x14ac:dyDescent="0.25">
      <c r="B174" s="20"/>
      <c r="C174" s="13"/>
      <c r="D174" s="13"/>
      <c r="E174" s="16">
        <f>IFERROR(IF($D174="","",VLOOKUP($D174,'Müşteri Kartları'!$B$5:$C$104,2,FALSE)),"— tanımsız —")</f>
      </c>
      <c r="F174" s="21"/>
      <c r="G174" s="18">
        <f>IFERROR(IF($D174="",0,$F174*Parametreler!$C$4*VLOOKUP($D174,'Müşteri Kartları'!$B$5:$G$104,6,FALSE)),0)</f>
      </c>
      <c r="H174" s="18">
        <f>IF($F174="",0,$F174*Parametreler!$C$5)</f>
      </c>
      <c r="I174" s="19">
        <f>IF($F174="","",$F174-$G174+$H174)</f>
      </c>
      <c r="J174" s="18">
        <f>IF($F174="",0,$F174)</f>
      </c>
      <c r="K174" s="14"/>
      <c r="L174" s="13"/>
    </row>
    <row r="175" spans="2:12" x14ac:dyDescent="0.25">
      <c r="B175" s="15"/>
      <c r="C175" s="12"/>
      <c r="D175" s="12"/>
      <c r="E175" s="16">
        <f>IFERROR(IF($D175="","",VLOOKUP($D175,'Müşteri Kartları'!$B$5:$C$104,2,FALSE)),"— tanımsız —")</f>
      </c>
      <c r="F175" s="17"/>
      <c r="G175" s="18">
        <f>IFERROR(IF($D175="",0,$F175*Parametreler!$C$4*VLOOKUP($D175,'Müşteri Kartları'!$B$5:$G$104,6,FALSE)),0)</f>
      </c>
      <c r="H175" s="18">
        <f>IF($F175="",0,$F175*Parametreler!$C$5)</f>
      </c>
      <c r="I175" s="19">
        <f>IF($F175="","",$F175-$G175+$H175)</f>
      </c>
      <c r="J175" s="18">
        <f>IF($F175="",0,$F175)</f>
      </c>
      <c r="K175" s="9"/>
      <c r="L175" s="12"/>
    </row>
    <row r="176" spans="2:12" x14ac:dyDescent="0.25">
      <c r="B176" s="20"/>
      <c r="C176" s="13"/>
      <c r="D176" s="13"/>
      <c r="E176" s="16">
        <f>IFERROR(IF($D176="","",VLOOKUP($D176,'Müşteri Kartları'!$B$5:$C$104,2,FALSE)),"— tanımsız —")</f>
      </c>
      <c r="F176" s="21"/>
      <c r="G176" s="18">
        <f>IFERROR(IF($D176="",0,$F176*Parametreler!$C$4*VLOOKUP($D176,'Müşteri Kartları'!$B$5:$G$104,6,FALSE)),0)</f>
      </c>
      <c r="H176" s="18">
        <f>IF($F176="",0,$F176*Parametreler!$C$5)</f>
      </c>
      <c r="I176" s="19">
        <f>IF($F176="","",$F176-$G176+$H176)</f>
      </c>
      <c r="J176" s="18">
        <f>IF($F176="",0,$F176)</f>
      </c>
      <c r="K176" s="14"/>
      <c r="L176" s="13"/>
    </row>
    <row r="177" spans="2:12" x14ac:dyDescent="0.25">
      <c r="B177" s="15"/>
      <c r="C177" s="12"/>
      <c r="D177" s="12"/>
      <c r="E177" s="16">
        <f>IFERROR(IF($D177="","",VLOOKUP($D177,'Müşteri Kartları'!$B$5:$C$104,2,FALSE)),"— tanımsız —")</f>
      </c>
      <c r="F177" s="17"/>
      <c r="G177" s="18">
        <f>IFERROR(IF($D177="",0,$F177*Parametreler!$C$4*VLOOKUP($D177,'Müşteri Kartları'!$B$5:$G$104,6,FALSE)),0)</f>
      </c>
      <c r="H177" s="18">
        <f>IF($F177="",0,$F177*Parametreler!$C$5)</f>
      </c>
      <c r="I177" s="19">
        <f>IF($F177="","",$F177-$G177+$H177)</f>
      </c>
      <c r="J177" s="18">
        <f>IF($F177="",0,$F177)</f>
      </c>
      <c r="K177" s="9"/>
      <c r="L177" s="12"/>
    </row>
    <row r="178" spans="2:12" x14ac:dyDescent="0.25">
      <c r="B178" s="20"/>
      <c r="C178" s="13"/>
      <c r="D178" s="13"/>
      <c r="E178" s="16">
        <f>IFERROR(IF($D178="","",VLOOKUP($D178,'Müşteri Kartları'!$B$5:$C$104,2,FALSE)),"— tanımsız —")</f>
      </c>
      <c r="F178" s="21"/>
      <c r="G178" s="18">
        <f>IFERROR(IF($D178="",0,$F178*Parametreler!$C$4*VLOOKUP($D178,'Müşteri Kartları'!$B$5:$G$104,6,FALSE)),0)</f>
      </c>
      <c r="H178" s="18">
        <f>IF($F178="",0,$F178*Parametreler!$C$5)</f>
      </c>
      <c r="I178" s="19">
        <f>IF($F178="","",$F178-$G178+$H178)</f>
      </c>
      <c r="J178" s="18">
        <f>IF($F178="",0,$F178)</f>
      </c>
      <c r="K178" s="14"/>
      <c r="L178" s="13"/>
    </row>
    <row r="179" spans="2:12" x14ac:dyDescent="0.25">
      <c r="B179" s="15"/>
      <c r="C179" s="12"/>
      <c r="D179" s="12"/>
      <c r="E179" s="16">
        <f>IFERROR(IF($D179="","",VLOOKUP($D179,'Müşteri Kartları'!$B$5:$C$104,2,FALSE)),"— tanımsız —")</f>
      </c>
      <c r="F179" s="17"/>
      <c r="G179" s="18">
        <f>IFERROR(IF($D179="",0,$F179*Parametreler!$C$4*VLOOKUP($D179,'Müşteri Kartları'!$B$5:$G$104,6,FALSE)),0)</f>
      </c>
      <c r="H179" s="18">
        <f>IF($F179="",0,$F179*Parametreler!$C$5)</f>
      </c>
      <c r="I179" s="19">
        <f>IF($F179="","",$F179-$G179+$H179)</f>
      </c>
      <c r="J179" s="18">
        <f>IF($F179="",0,$F179)</f>
      </c>
      <c r="K179" s="9"/>
      <c r="L179" s="12"/>
    </row>
    <row r="180" spans="2:12" x14ac:dyDescent="0.25">
      <c r="B180" s="20"/>
      <c r="C180" s="13"/>
      <c r="D180" s="13"/>
      <c r="E180" s="16">
        <f>IFERROR(IF($D180="","",VLOOKUP($D180,'Müşteri Kartları'!$B$5:$C$104,2,FALSE)),"— tanımsız —")</f>
      </c>
      <c r="F180" s="21"/>
      <c r="G180" s="18">
        <f>IFERROR(IF($D180="",0,$F180*Parametreler!$C$4*VLOOKUP($D180,'Müşteri Kartları'!$B$5:$G$104,6,FALSE)),0)</f>
      </c>
      <c r="H180" s="18">
        <f>IF($F180="",0,$F180*Parametreler!$C$5)</f>
      </c>
      <c r="I180" s="19">
        <f>IF($F180="","",$F180-$G180+$H180)</f>
      </c>
      <c r="J180" s="18">
        <f>IF($F180="",0,$F180)</f>
      </c>
      <c r="K180" s="14"/>
      <c r="L180" s="13"/>
    </row>
    <row r="181" spans="2:12" x14ac:dyDescent="0.25">
      <c r="B181" s="15"/>
      <c r="C181" s="12"/>
      <c r="D181" s="12"/>
      <c r="E181" s="16">
        <f>IFERROR(IF($D181="","",VLOOKUP($D181,'Müşteri Kartları'!$B$5:$C$104,2,FALSE)),"— tanımsız —")</f>
      </c>
      <c r="F181" s="17"/>
      <c r="G181" s="18">
        <f>IFERROR(IF($D181="",0,$F181*Parametreler!$C$4*VLOOKUP($D181,'Müşteri Kartları'!$B$5:$G$104,6,FALSE)),0)</f>
      </c>
      <c r="H181" s="18">
        <f>IF($F181="",0,$F181*Parametreler!$C$5)</f>
      </c>
      <c r="I181" s="19">
        <f>IF($F181="","",$F181-$G181+$H181)</f>
      </c>
      <c r="J181" s="18">
        <f>IF($F181="",0,$F181)</f>
      </c>
      <c r="K181" s="9"/>
      <c r="L181" s="12"/>
    </row>
    <row r="182" spans="2:12" x14ac:dyDescent="0.25">
      <c r="B182" s="20"/>
      <c r="C182" s="13"/>
      <c r="D182" s="13"/>
      <c r="E182" s="16">
        <f>IFERROR(IF($D182="","",VLOOKUP($D182,'Müşteri Kartları'!$B$5:$C$104,2,FALSE)),"— tanımsız —")</f>
      </c>
      <c r="F182" s="21"/>
      <c r="G182" s="18">
        <f>IFERROR(IF($D182="",0,$F182*Parametreler!$C$4*VLOOKUP($D182,'Müşteri Kartları'!$B$5:$G$104,6,FALSE)),0)</f>
      </c>
      <c r="H182" s="18">
        <f>IF($F182="",0,$F182*Parametreler!$C$5)</f>
      </c>
      <c r="I182" s="19">
        <f>IF($F182="","",$F182-$G182+$H182)</f>
      </c>
      <c r="J182" s="18">
        <f>IF($F182="",0,$F182)</f>
      </c>
      <c r="K182" s="14"/>
      <c r="L182" s="13"/>
    </row>
    <row r="183" spans="2:12" x14ac:dyDescent="0.25">
      <c r="B183" s="15"/>
      <c r="C183" s="12"/>
      <c r="D183" s="12"/>
      <c r="E183" s="16">
        <f>IFERROR(IF($D183="","",VLOOKUP($D183,'Müşteri Kartları'!$B$5:$C$104,2,FALSE)),"— tanımsız —")</f>
      </c>
      <c r="F183" s="17"/>
      <c r="G183" s="18">
        <f>IFERROR(IF($D183="",0,$F183*Parametreler!$C$4*VLOOKUP($D183,'Müşteri Kartları'!$B$5:$G$104,6,FALSE)),0)</f>
      </c>
      <c r="H183" s="18">
        <f>IF($F183="",0,$F183*Parametreler!$C$5)</f>
      </c>
      <c r="I183" s="19">
        <f>IF($F183="","",$F183-$G183+$H183)</f>
      </c>
      <c r="J183" s="18">
        <f>IF($F183="",0,$F183)</f>
      </c>
      <c r="K183" s="9"/>
      <c r="L183" s="12"/>
    </row>
    <row r="184" spans="2:12" x14ac:dyDescent="0.25">
      <c r="B184" s="20"/>
      <c r="C184" s="13"/>
      <c r="D184" s="13"/>
      <c r="E184" s="16">
        <f>IFERROR(IF($D184="","",VLOOKUP($D184,'Müşteri Kartları'!$B$5:$C$104,2,FALSE)),"— tanımsız —")</f>
      </c>
      <c r="F184" s="21"/>
      <c r="G184" s="18">
        <f>IFERROR(IF($D184="",0,$F184*Parametreler!$C$4*VLOOKUP($D184,'Müşteri Kartları'!$B$5:$G$104,6,FALSE)),0)</f>
      </c>
      <c r="H184" s="18">
        <f>IF($F184="",0,$F184*Parametreler!$C$5)</f>
      </c>
      <c r="I184" s="19">
        <f>IF($F184="","",$F184-$G184+$H184)</f>
      </c>
      <c r="J184" s="18">
        <f>IF($F184="",0,$F184)</f>
      </c>
      <c r="K184" s="14"/>
      <c r="L184" s="13"/>
    </row>
    <row r="185" spans="2:12" x14ac:dyDescent="0.25">
      <c r="B185" s="15"/>
      <c r="C185" s="12"/>
      <c r="D185" s="12"/>
      <c r="E185" s="16">
        <f>IFERROR(IF($D185="","",VLOOKUP($D185,'Müşteri Kartları'!$B$5:$C$104,2,FALSE)),"— tanımsız —")</f>
      </c>
      <c r="F185" s="17"/>
      <c r="G185" s="18">
        <f>IFERROR(IF($D185="",0,$F185*Parametreler!$C$4*VLOOKUP($D185,'Müşteri Kartları'!$B$5:$G$104,6,FALSE)),0)</f>
      </c>
      <c r="H185" s="18">
        <f>IF($F185="",0,$F185*Parametreler!$C$5)</f>
      </c>
      <c r="I185" s="19">
        <f>IF($F185="","",$F185-$G185+$H185)</f>
      </c>
      <c r="J185" s="18">
        <f>IF($F185="",0,$F185)</f>
      </c>
      <c r="K185" s="9"/>
      <c r="L185" s="12"/>
    </row>
    <row r="186" spans="2:12" x14ac:dyDescent="0.25">
      <c r="B186" s="20"/>
      <c r="C186" s="13"/>
      <c r="D186" s="13"/>
      <c r="E186" s="16">
        <f>IFERROR(IF($D186="","",VLOOKUP($D186,'Müşteri Kartları'!$B$5:$C$104,2,FALSE)),"— tanımsız —")</f>
      </c>
      <c r="F186" s="21"/>
      <c r="G186" s="18">
        <f>IFERROR(IF($D186="",0,$F186*Parametreler!$C$4*VLOOKUP($D186,'Müşteri Kartları'!$B$5:$G$104,6,FALSE)),0)</f>
      </c>
      <c r="H186" s="18">
        <f>IF($F186="",0,$F186*Parametreler!$C$5)</f>
      </c>
      <c r="I186" s="19">
        <f>IF($F186="","",$F186-$G186+$H186)</f>
      </c>
      <c r="J186" s="18">
        <f>IF($F186="",0,$F186)</f>
      </c>
      <c r="K186" s="14"/>
      <c r="L186" s="13"/>
    </row>
    <row r="187" spans="2:12" x14ac:dyDescent="0.25">
      <c r="B187" s="15"/>
      <c r="C187" s="12"/>
      <c r="D187" s="12"/>
      <c r="E187" s="16">
        <f>IFERROR(IF($D187="","",VLOOKUP($D187,'Müşteri Kartları'!$B$5:$C$104,2,FALSE)),"— tanımsız —")</f>
      </c>
      <c r="F187" s="17"/>
      <c r="G187" s="18">
        <f>IFERROR(IF($D187="",0,$F187*Parametreler!$C$4*VLOOKUP($D187,'Müşteri Kartları'!$B$5:$G$104,6,FALSE)),0)</f>
      </c>
      <c r="H187" s="18">
        <f>IF($F187="",0,$F187*Parametreler!$C$5)</f>
      </c>
      <c r="I187" s="19">
        <f>IF($F187="","",$F187-$G187+$H187)</f>
      </c>
      <c r="J187" s="18">
        <f>IF($F187="",0,$F187)</f>
      </c>
      <c r="K187" s="9"/>
      <c r="L187" s="12"/>
    </row>
    <row r="188" spans="2:12" x14ac:dyDescent="0.25">
      <c r="B188" s="20"/>
      <c r="C188" s="13"/>
      <c r="D188" s="13"/>
      <c r="E188" s="16">
        <f>IFERROR(IF($D188="","",VLOOKUP($D188,'Müşteri Kartları'!$B$5:$C$104,2,FALSE)),"— tanımsız —")</f>
      </c>
      <c r="F188" s="21"/>
      <c r="G188" s="18">
        <f>IFERROR(IF($D188="",0,$F188*Parametreler!$C$4*VLOOKUP($D188,'Müşteri Kartları'!$B$5:$G$104,6,FALSE)),0)</f>
      </c>
      <c r="H188" s="18">
        <f>IF($F188="",0,$F188*Parametreler!$C$5)</f>
      </c>
      <c r="I188" s="19">
        <f>IF($F188="","",$F188-$G188+$H188)</f>
      </c>
      <c r="J188" s="18">
        <f>IF($F188="",0,$F188)</f>
      </c>
      <c r="K188" s="14"/>
      <c r="L188" s="13"/>
    </row>
    <row r="189" spans="2:12" x14ac:dyDescent="0.25">
      <c r="B189" s="15"/>
      <c r="C189" s="12"/>
      <c r="D189" s="12"/>
      <c r="E189" s="16">
        <f>IFERROR(IF($D189="","",VLOOKUP($D189,'Müşteri Kartları'!$B$5:$C$104,2,FALSE)),"— tanımsız —")</f>
      </c>
      <c r="F189" s="17"/>
      <c r="G189" s="18">
        <f>IFERROR(IF($D189="",0,$F189*Parametreler!$C$4*VLOOKUP($D189,'Müşteri Kartları'!$B$5:$G$104,6,FALSE)),0)</f>
      </c>
      <c r="H189" s="18">
        <f>IF($F189="",0,$F189*Parametreler!$C$5)</f>
      </c>
      <c r="I189" s="19">
        <f>IF($F189="","",$F189-$G189+$H189)</f>
      </c>
      <c r="J189" s="18">
        <f>IF($F189="",0,$F189)</f>
      </c>
      <c r="K189" s="9"/>
      <c r="L189" s="12"/>
    </row>
    <row r="190" spans="2:12" x14ac:dyDescent="0.25">
      <c r="B190" s="20"/>
      <c r="C190" s="13"/>
      <c r="D190" s="13"/>
      <c r="E190" s="16">
        <f>IFERROR(IF($D190="","",VLOOKUP($D190,'Müşteri Kartları'!$B$5:$C$104,2,FALSE)),"— tanımsız —")</f>
      </c>
      <c r="F190" s="21"/>
      <c r="G190" s="18">
        <f>IFERROR(IF($D190="",0,$F190*Parametreler!$C$4*VLOOKUP($D190,'Müşteri Kartları'!$B$5:$G$104,6,FALSE)),0)</f>
      </c>
      <c r="H190" s="18">
        <f>IF($F190="",0,$F190*Parametreler!$C$5)</f>
      </c>
      <c r="I190" s="19">
        <f>IF($F190="","",$F190-$G190+$H190)</f>
      </c>
      <c r="J190" s="18">
        <f>IF($F190="",0,$F190)</f>
      </c>
      <c r="K190" s="14"/>
      <c r="L190" s="13"/>
    </row>
    <row r="191" spans="2:12" x14ac:dyDescent="0.25">
      <c r="B191" s="15"/>
      <c r="C191" s="12"/>
      <c r="D191" s="12"/>
      <c r="E191" s="16">
        <f>IFERROR(IF($D191="","",VLOOKUP($D191,'Müşteri Kartları'!$B$5:$C$104,2,FALSE)),"— tanımsız —")</f>
      </c>
      <c r="F191" s="17"/>
      <c r="G191" s="18">
        <f>IFERROR(IF($D191="",0,$F191*Parametreler!$C$4*VLOOKUP($D191,'Müşteri Kartları'!$B$5:$G$104,6,FALSE)),0)</f>
      </c>
      <c r="H191" s="18">
        <f>IF($F191="",0,$F191*Parametreler!$C$5)</f>
      </c>
      <c r="I191" s="19">
        <f>IF($F191="","",$F191-$G191+$H191)</f>
      </c>
      <c r="J191" s="18">
        <f>IF($F191="",0,$F191)</f>
      </c>
      <c r="K191" s="9"/>
      <c r="L191" s="12"/>
    </row>
    <row r="192" spans="2:12" x14ac:dyDescent="0.25">
      <c r="B192" s="20"/>
      <c r="C192" s="13"/>
      <c r="D192" s="13"/>
      <c r="E192" s="16">
        <f>IFERROR(IF($D192="","",VLOOKUP($D192,'Müşteri Kartları'!$B$5:$C$104,2,FALSE)),"— tanımsız —")</f>
      </c>
      <c r="F192" s="21"/>
      <c r="G192" s="18">
        <f>IFERROR(IF($D192="",0,$F192*Parametreler!$C$4*VLOOKUP($D192,'Müşteri Kartları'!$B$5:$G$104,6,FALSE)),0)</f>
      </c>
      <c r="H192" s="18">
        <f>IF($F192="",0,$F192*Parametreler!$C$5)</f>
      </c>
      <c r="I192" s="19">
        <f>IF($F192="","",$F192-$G192+$H192)</f>
      </c>
      <c r="J192" s="18">
        <f>IF($F192="",0,$F192)</f>
      </c>
      <c r="K192" s="14"/>
      <c r="L192" s="13"/>
    </row>
    <row r="193" spans="2:12" x14ac:dyDescent="0.25">
      <c r="B193" s="15"/>
      <c r="C193" s="12"/>
      <c r="D193" s="12"/>
      <c r="E193" s="16">
        <f>IFERROR(IF($D193="","",VLOOKUP($D193,'Müşteri Kartları'!$B$5:$C$104,2,FALSE)),"— tanımsız —")</f>
      </c>
      <c r="F193" s="17"/>
      <c r="G193" s="18">
        <f>IFERROR(IF($D193="",0,$F193*Parametreler!$C$4*VLOOKUP($D193,'Müşteri Kartları'!$B$5:$G$104,6,FALSE)),0)</f>
      </c>
      <c r="H193" s="18">
        <f>IF($F193="",0,$F193*Parametreler!$C$5)</f>
      </c>
      <c r="I193" s="19">
        <f>IF($F193="","",$F193-$G193+$H193)</f>
      </c>
      <c r="J193" s="18">
        <f>IF($F193="",0,$F193)</f>
      </c>
      <c r="K193" s="9"/>
      <c r="L193" s="12"/>
    </row>
    <row r="194" spans="2:12" x14ac:dyDescent="0.25">
      <c r="B194" s="20"/>
      <c r="C194" s="13"/>
      <c r="D194" s="13"/>
      <c r="E194" s="16">
        <f>IFERROR(IF($D194="","",VLOOKUP($D194,'Müşteri Kartları'!$B$5:$C$104,2,FALSE)),"— tanımsız —")</f>
      </c>
      <c r="F194" s="21"/>
      <c r="G194" s="18">
        <f>IFERROR(IF($D194="",0,$F194*Parametreler!$C$4*VLOOKUP($D194,'Müşteri Kartları'!$B$5:$G$104,6,FALSE)),0)</f>
      </c>
      <c r="H194" s="18">
        <f>IF($F194="",0,$F194*Parametreler!$C$5)</f>
      </c>
      <c r="I194" s="19">
        <f>IF($F194="","",$F194-$G194+$H194)</f>
      </c>
      <c r="J194" s="18">
        <f>IF($F194="",0,$F194)</f>
      </c>
      <c r="K194" s="14"/>
      <c r="L194" s="13"/>
    </row>
    <row r="195" spans="2:12" x14ac:dyDescent="0.25">
      <c r="B195" s="15"/>
      <c r="C195" s="12"/>
      <c r="D195" s="12"/>
      <c r="E195" s="16">
        <f>IFERROR(IF($D195="","",VLOOKUP($D195,'Müşteri Kartları'!$B$5:$C$104,2,FALSE)),"— tanımsız —")</f>
      </c>
      <c r="F195" s="17"/>
      <c r="G195" s="18">
        <f>IFERROR(IF($D195="",0,$F195*Parametreler!$C$4*VLOOKUP($D195,'Müşteri Kartları'!$B$5:$G$104,6,FALSE)),0)</f>
      </c>
      <c r="H195" s="18">
        <f>IF($F195="",0,$F195*Parametreler!$C$5)</f>
      </c>
      <c r="I195" s="19">
        <f>IF($F195="","",$F195-$G195+$H195)</f>
      </c>
      <c r="J195" s="18">
        <f>IF($F195="",0,$F195)</f>
      </c>
      <c r="K195" s="9"/>
      <c r="L195" s="12"/>
    </row>
    <row r="196" spans="2:12" x14ac:dyDescent="0.25">
      <c r="B196" s="20"/>
      <c r="C196" s="13"/>
      <c r="D196" s="13"/>
      <c r="E196" s="16">
        <f>IFERROR(IF($D196="","",VLOOKUP($D196,'Müşteri Kartları'!$B$5:$C$104,2,FALSE)),"— tanımsız —")</f>
      </c>
      <c r="F196" s="21"/>
      <c r="G196" s="18">
        <f>IFERROR(IF($D196="",0,$F196*Parametreler!$C$4*VLOOKUP($D196,'Müşteri Kartları'!$B$5:$G$104,6,FALSE)),0)</f>
      </c>
      <c r="H196" s="18">
        <f>IF($F196="",0,$F196*Parametreler!$C$5)</f>
      </c>
      <c r="I196" s="19">
        <f>IF($F196="","",$F196-$G196+$H196)</f>
      </c>
      <c r="J196" s="18">
        <f>IF($F196="",0,$F196)</f>
      </c>
      <c r="K196" s="14"/>
      <c r="L196" s="13"/>
    </row>
    <row r="197" spans="2:12" x14ac:dyDescent="0.25">
      <c r="B197" s="15"/>
      <c r="C197" s="12"/>
      <c r="D197" s="12"/>
      <c r="E197" s="16">
        <f>IFERROR(IF($D197="","",VLOOKUP($D197,'Müşteri Kartları'!$B$5:$C$104,2,FALSE)),"— tanımsız —")</f>
      </c>
      <c r="F197" s="17"/>
      <c r="G197" s="18">
        <f>IFERROR(IF($D197="",0,$F197*Parametreler!$C$4*VLOOKUP($D197,'Müşteri Kartları'!$B$5:$G$104,6,FALSE)),0)</f>
      </c>
      <c r="H197" s="18">
        <f>IF($F197="",0,$F197*Parametreler!$C$5)</f>
      </c>
      <c r="I197" s="19">
        <f>IF($F197="","",$F197-$G197+$H197)</f>
      </c>
      <c r="J197" s="18">
        <f>IF($F197="",0,$F197)</f>
      </c>
      <c r="K197" s="9"/>
      <c r="L197" s="12"/>
    </row>
    <row r="198" spans="2:12" x14ac:dyDescent="0.25">
      <c r="B198" s="20"/>
      <c r="C198" s="13"/>
      <c r="D198" s="13"/>
      <c r="E198" s="16">
        <f>IFERROR(IF($D198="","",VLOOKUP($D198,'Müşteri Kartları'!$B$5:$C$104,2,FALSE)),"— tanımsız —")</f>
      </c>
      <c r="F198" s="21"/>
      <c r="G198" s="18">
        <f>IFERROR(IF($D198="",0,$F198*Parametreler!$C$4*VLOOKUP($D198,'Müşteri Kartları'!$B$5:$G$104,6,FALSE)),0)</f>
      </c>
      <c r="H198" s="18">
        <f>IF($F198="",0,$F198*Parametreler!$C$5)</f>
      </c>
      <c r="I198" s="19">
        <f>IF($F198="","",$F198-$G198+$H198)</f>
      </c>
      <c r="J198" s="18">
        <f>IF($F198="",0,$F198)</f>
      </c>
      <c r="K198" s="14"/>
      <c r="L198" s="13"/>
    </row>
    <row r="199" spans="2:12" x14ac:dyDescent="0.25">
      <c r="B199" s="15"/>
      <c r="C199" s="12"/>
      <c r="D199" s="12"/>
      <c r="E199" s="16">
        <f>IFERROR(IF($D199="","",VLOOKUP($D199,'Müşteri Kartları'!$B$5:$C$104,2,FALSE)),"— tanımsız —")</f>
      </c>
      <c r="F199" s="17"/>
      <c r="G199" s="18">
        <f>IFERROR(IF($D199="",0,$F199*Parametreler!$C$4*VLOOKUP($D199,'Müşteri Kartları'!$B$5:$G$104,6,FALSE)),0)</f>
      </c>
      <c r="H199" s="18">
        <f>IF($F199="",0,$F199*Parametreler!$C$5)</f>
      </c>
      <c r="I199" s="19">
        <f>IF($F199="","",$F199-$G199+$H199)</f>
      </c>
      <c r="J199" s="18">
        <f>IF($F199="",0,$F199)</f>
      </c>
      <c r="K199" s="9"/>
      <c r="L199" s="12"/>
    </row>
    <row r="200" spans="2:12" x14ac:dyDescent="0.25">
      <c r="B200" s="20"/>
      <c r="C200" s="13"/>
      <c r="D200" s="13"/>
      <c r="E200" s="16">
        <f>IFERROR(IF($D200="","",VLOOKUP($D200,'Müşteri Kartları'!$B$5:$C$104,2,FALSE)),"— tanımsız —")</f>
      </c>
      <c r="F200" s="21"/>
      <c r="G200" s="18">
        <f>IFERROR(IF($D200="",0,$F200*Parametreler!$C$4*VLOOKUP($D200,'Müşteri Kartları'!$B$5:$G$104,6,FALSE)),0)</f>
      </c>
      <c r="H200" s="18">
        <f>IF($F200="",0,$F200*Parametreler!$C$5)</f>
      </c>
      <c r="I200" s="19">
        <f>IF($F200="","",$F200-$G200+$H200)</f>
      </c>
      <c r="J200" s="18">
        <f>IF($F200="",0,$F200)</f>
      </c>
      <c r="K200" s="14"/>
      <c r="L200" s="13"/>
    </row>
    <row r="201" spans="2:12" x14ac:dyDescent="0.25">
      <c r="B201" s="15"/>
      <c r="C201" s="12"/>
      <c r="D201" s="12"/>
      <c r="E201" s="16">
        <f>IFERROR(IF($D201="","",VLOOKUP($D201,'Müşteri Kartları'!$B$5:$C$104,2,FALSE)),"— tanımsız —")</f>
      </c>
      <c r="F201" s="17"/>
      <c r="G201" s="18">
        <f>IFERROR(IF($D201="",0,$F201*Parametreler!$C$4*VLOOKUP($D201,'Müşteri Kartları'!$B$5:$G$104,6,FALSE)),0)</f>
      </c>
      <c r="H201" s="18">
        <f>IF($F201="",0,$F201*Parametreler!$C$5)</f>
      </c>
      <c r="I201" s="19">
        <f>IF($F201="","",$F201-$G201+$H201)</f>
      </c>
      <c r="J201" s="18">
        <f>IF($F201="",0,$F201)</f>
      </c>
      <c r="K201" s="9"/>
      <c r="L201" s="12"/>
    </row>
    <row r="202" spans="2:12" x14ac:dyDescent="0.25">
      <c r="B202" s="20"/>
      <c r="C202" s="13"/>
      <c r="D202" s="13"/>
      <c r="E202" s="16">
        <f>IFERROR(IF($D202="","",VLOOKUP($D202,'Müşteri Kartları'!$B$5:$C$104,2,FALSE)),"— tanımsız —")</f>
      </c>
      <c r="F202" s="21"/>
      <c r="G202" s="18">
        <f>IFERROR(IF($D202="",0,$F202*Parametreler!$C$4*VLOOKUP($D202,'Müşteri Kartları'!$B$5:$G$104,6,FALSE)),0)</f>
      </c>
      <c r="H202" s="18">
        <f>IF($F202="",0,$F202*Parametreler!$C$5)</f>
      </c>
      <c r="I202" s="19">
        <f>IF($F202="","",$F202-$G202+$H202)</f>
      </c>
      <c r="J202" s="18">
        <f>IF($F202="",0,$F202)</f>
      </c>
      <c r="K202" s="14"/>
      <c r="L202" s="13"/>
    </row>
    <row r="203" spans="2:12" x14ac:dyDescent="0.25">
      <c r="B203" s="15"/>
      <c r="C203" s="12"/>
      <c r="D203" s="12"/>
      <c r="E203" s="16">
        <f>IFERROR(IF($D203="","",VLOOKUP($D203,'Müşteri Kartları'!$B$5:$C$104,2,FALSE)),"— tanımsız —")</f>
      </c>
      <c r="F203" s="17"/>
      <c r="G203" s="18">
        <f>IFERROR(IF($D203="",0,$F203*Parametreler!$C$4*VLOOKUP($D203,'Müşteri Kartları'!$B$5:$G$104,6,FALSE)),0)</f>
      </c>
      <c r="H203" s="18">
        <f>IF($F203="",0,$F203*Parametreler!$C$5)</f>
      </c>
      <c r="I203" s="19">
        <f>IF($F203="","",$F203-$G203+$H203)</f>
      </c>
      <c r="J203" s="18">
        <f>IF($F203="",0,$F203)</f>
      </c>
      <c r="K203" s="9"/>
      <c r="L203" s="12"/>
    </row>
    <row r="204" spans="2:12" x14ac:dyDescent="0.25">
      <c r="B204" s="20"/>
      <c r="C204" s="13"/>
      <c r="D204" s="13"/>
      <c r="E204" s="16">
        <f>IFERROR(IF($D204="","",VLOOKUP($D204,'Müşteri Kartları'!$B$5:$C$104,2,FALSE)),"— tanımsız —")</f>
      </c>
      <c r="F204" s="21"/>
      <c r="G204" s="18">
        <f>IFERROR(IF($D204="",0,$F204*Parametreler!$C$4*VLOOKUP($D204,'Müşteri Kartları'!$B$5:$G$104,6,FALSE)),0)</f>
      </c>
      <c r="H204" s="18">
        <f>IF($F204="",0,$F204*Parametreler!$C$5)</f>
      </c>
      <c r="I204" s="19">
        <f>IF($F204="","",$F204-$G204+$H204)</f>
      </c>
      <c r="J204" s="18">
        <f>IF($F204="",0,$F204)</f>
      </c>
      <c r="K204" s="14"/>
      <c r="L204" s="13"/>
    </row>
    <row r="205" spans="2:12" x14ac:dyDescent="0.25">
      <c r="B205" s="15"/>
      <c r="C205" s="12"/>
      <c r="D205" s="12"/>
      <c r="E205" s="16">
        <f>IFERROR(IF($D205="","",VLOOKUP($D205,'Müşteri Kartları'!$B$5:$C$104,2,FALSE)),"— tanımsız —")</f>
      </c>
      <c r="F205" s="17"/>
      <c r="G205" s="18">
        <f>IFERROR(IF($D205="",0,$F205*Parametreler!$C$4*VLOOKUP($D205,'Müşteri Kartları'!$B$5:$G$104,6,FALSE)),0)</f>
      </c>
      <c r="H205" s="18">
        <f>IF($F205="",0,$F205*Parametreler!$C$5)</f>
      </c>
      <c r="I205" s="19">
        <f>IF($F205="","",$F205-$G205+$H205)</f>
      </c>
      <c r="J205" s="18">
        <f>IF($F205="",0,$F205)</f>
      </c>
      <c r="K205" s="9"/>
      <c r="L205" s="12"/>
    </row>
    <row r="206" spans="2:12" x14ac:dyDescent="0.25">
      <c r="B206" s="20"/>
      <c r="C206" s="13"/>
      <c r="D206" s="13"/>
      <c r="E206" s="16">
        <f>IFERROR(IF($D206="","",VLOOKUP($D206,'Müşteri Kartları'!$B$5:$C$104,2,FALSE)),"— tanımsız —")</f>
      </c>
      <c r="F206" s="21"/>
      <c r="G206" s="18">
        <f>IFERROR(IF($D206="",0,$F206*Parametreler!$C$4*VLOOKUP($D206,'Müşteri Kartları'!$B$5:$G$104,6,FALSE)),0)</f>
      </c>
      <c r="H206" s="18">
        <f>IF($F206="",0,$F206*Parametreler!$C$5)</f>
      </c>
      <c r="I206" s="19">
        <f>IF($F206="","",$F206-$G206+$H206)</f>
      </c>
      <c r="J206" s="18">
        <f>IF($F206="",0,$F206)</f>
      </c>
      <c r="K206" s="14"/>
      <c r="L206" s="13"/>
    </row>
    <row r="207" spans="2:12" x14ac:dyDescent="0.25">
      <c r="B207" s="15"/>
      <c r="C207" s="12"/>
      <c r="D207" s="12"/>
      <c r="E207" s="16">
        <f>IFERROR(IF($D207="","",VLOOKUP($D207,'Müşteri Kartları'!$B$5:$C$104,2,FALSE)),"— tanımsız —")</f>
      </c>
      <c r="F207" s="17"/>
      <c r="G207" s="18">
        <f>IFERROR(IF($D207="",0,$F207*Parametreler!$C$4*VLOOKUP($D207,'Müşteri Kartları'!$B$5:$G$104,6,FALSE)),0)</f>
      </c>
      <c r="H207" s="18">
        <f>IF($F207="",0,$F207*Parametreler!$C$5)</f>
      </c>
      <c r="I207" s="19">
        <f>IF($F207="","",$F207-$G207+$H207)</f>
      </c>
      <c r="J207" s="18">
        <f>IF($F207="",0,$F207)</f>
      </c>
      <c r="K207" s="9"/>
      <c r="L207" s="12"/>
    </row>
    <row r="208" spans="2:12" x14ac:dyDescent="0.25">
      <c r="B208" s="20"/>
      <c r="C208" s="13"/>
      <c r="D208" s="13"/>
      <c r="E208" s="16">
        <f>IFERROR(IF($D208="","",VLOOKUP($D208,'Müşteri Kartları'!$B$5:$C$104,2,FALSE)),"— tanımsız —")</f>
      </c>
      <c r="F208" s="21"/>
      <c r="G208" s="18">
        <f>IFERROR(IF($D208="",0,$F208*Parametreler!$C$4*VLOOKUP($D208,'Müşteri Kartları'!$B$5:$G$104,6,FALSE)),0)</f>
      </c>
      <c r="H208" s="18">
        <f>IF($F208="",0,$F208*Parametreler!$C$5)</f>
      </c>
      <c r="I208" s="19">
        <f>IF($F208="","",$F208-$G208+$H208)</f>
      </c>
      <c r="J208" s="18">
        <f>IF($F208="",0,$F208)</f>
      </c>
      <c r="K208" s="14"/>
      <c r="L208" s="13"/>
    </row>
    <row r="209" spans="2:12" x14ac:dyDescent="0.25">
      <c r="B209" s="15"/>
      <c r="C209" s="12"/>
      <c r="D209" s="12"/>
      <c r="E209" s="16">
        <f>IFERROR(IF($D209="","",VLOOKUP($D209,'Müşteri Kartları'!$B$5:$C$104,2,FALSE)),"— tanımsız —")</f>
      </c>
      <c r="F209" s="17"/>
      <c r="G209" s="18">
        <f>IFERROR(IF($D209="",0,$F209*Parametreler!$C$4*VLOOKUP($D209,'Müşteri Kartları'!$B$5:$G$104,6,FALSE)),0)</f>
      </c>
      <c r="H209" s="18">
        <f>IF($F209="",0,$F209*Parametreler!$C$5)</f>
      </c>
      <c r="I209" s="19">
        <f>IF($F209="","",$F209-$G209+$H209)</f>
      </c>
      <c r="J209" s="18">
        <f>IF($F209="",0,$F209)</f>
      </c>
      <c r="K209" s="9"/>
      <c r="L209" s="12"/>
    </row>
    <row r="210" spans="2:12" x14ac:dyDescent="0.25">
      <c r="B210" s="20"/>
      <c r="C210" s="13"/>
      <c r="D210" s="13"/>
      <c r="E210" s="16">
        <f>IFERROR(IF($D210="","",VLOOKUP($D210,'Müşteri Kartları'!$B$5:$C$104,2,FALSE)),"— tanımsız —")</f>
      </c>
      <c r="F210" s="21"/>
      <c r="G210" s="18">
        <f>IFERROR(IF($D210="",0,$F210*Parametreler!$C$4*VLOOKUP($D210,'Müşteri Kartları'!$B$5:$G$104,6,FALSE)),0)</f>
      </c>
      <c r="H210" s="18">
        <f>IF($F210="",0,$F210*Parametreler!$C$5)</f>
      </c>
      <c r="I210" s="19">
        <f>IF($F210="","",$F210-$G210+$H210)</f>
      </c>
      <c r="J210" s="18">
        <f>IF($F210="",0,$F210)</f>
      </c>
      <c r="K210" s="14"/>
      <c r="L210" s="13"/>
    </row>
    <row r="211" spans="2:12" x14ac:dyDescent="0.25">
      <c r="B211" s="15"/>
      <c r="C211" s="12"/>
      <c r="D211" s="12"/>
      <c r="E211" s="16">
        <f>IFERROR(IF($D211="","",VLOOKUP($D211,'Müşteri Kartları'!$B$5:$C$104,2,FALSE)),"— tanımsız —")</f>
      </c>
      <c r="F211" s="17"/>
      <c r="G211" s="18">
        <f>IFERROR(IF($D211="",0,$F211*Parametreler!$C$4*VLOOKUP($D211,'Müşteri Kartları'!$B$5:$G$104,6,FALSE)),0)</f>
      </c>
      <c r="H211" s="18">
        <f>IF($F211="",0,$F211*Parametreler!$C$5)</f>
      </c>
      <c r="I211" s="19">
        <f>IF($F211="","",$F211-$G211+$H211)</f>
      </c>
      <c r="J211" s="18">
        <f>IF($F211="",0,$F211)</f>
      </c>
      <c r="K211" s="9"/>
      <c r="L211" s="12"/>
    </row>
    <row r="212" spans="2:12" x14ac:dyDescent="0.25">
      <c r="B212" s="20"/>
      <c r="C212" s="13"/>
      <c r="D212" s="13"/>
      <c r="E212" s="16">
        <f>IFERROR(IF($D212="","",VLOOKUP($D212,'Müşteri Kartları'!$B$5:$C$104,2,FALSE)),"— tanımsız —")</f>
      </c>
      <c r="F212" s="21"/>
      <c r="G212" s="18">
        <f>IFERROR(IF($D212="",0,$F212*Parametreler!$C$4*VLOOKUP($D212,'Müşteri Kartları'!$B$5:$G$104,6,FALSE)),0)</f>
      </c>
      <c r="H212" s="18">
        <f>IF($F212="",0,$F212*Parametreler!$C$5)</f>
      </c>
      <c r="I212" s="19">
        <f>IF($F212="","",$F212-$G212+$H212)</f>
      </c>
      <c r="J212" s="18">
        <f>IF($F212="",0,$F212)</f>
      </c>
      <c r="K212" s="14"/>
      <c r="L212" s="13"/>
    </row>
    <row r="213" spans="2:12" x14ac:dyDescent="0.25">
      <c r="B213" s="15"/>
      <c r="C213" s="12"/>
      <c r="D213" s="12"/>
      <c r="E213" s="16">
        <f>IFERROR(IF($D213="","",VLOOKUP($D213,'Müşteri Kartları'!$B$5:$C$104,2,FALSE)),"— tanımsız —")</f>
      </c>
      <c r="F213" s="17"/>
      <c r="G213" s="18">
        <f>IFERROR(IF($D213="",0,$F213*Parametreler!$C$4*VLOOKUP($D213,'Müşteri Kartları'!$B$5:$G$104,6,FALSE)),0)</f>
      </c>
      <c r="H213" s="18">
        <f>IF($F213="",0,$F213*Parametreler!$C$5)</f>
      </c>
      <c r="I213" s="19">
        <f>IF($F213="","",$F213-$G213+$H213)</f>
      </c>
      <c r="J213" s="18">
        <f>IF($F213="",0,$F213)</f>
      </c>
      <c r="K213" s="9"/>
      <c r="L213" s="12"/>
    </row>
    <row r="214" spans="2:12" x14ac:dyDescent="0.25">
      <c r="B214" s="20"/>
      <c r="C214" s="13"/>
      <c r="D214" s="13"/>
      <c r="E214" s="16">
        <f>IFERROR(IF($D214="","",VLOOKUP($D214,'Müşteri Kartları'!$B$5:$C$104,2,FALSE)),"— tanımsız —")</f>
      </c>
      <c r="F214" s="21"/>
      <c r="G214" s="18">
        <f>IFERROR(IF($D214="",0,$F214*Parametreler!$C$4*VLOOKUP($D214,'Müşteri Kartları'!$B$5:$G$104,6,FALSE)),0)</f>
      </c>
      <c r="H214" s="18">
        <f>IF($F214="",0,$F214*Parametreler!$C$5)</f>
      </c>
      <c r="I214" s="19">
        <f>IF($F214="","",$F214-$G214+$H214)</f>
      </c>
      <c r="J214" s="18">
        <f>IF($F214="",0,$F214)</f>
      </c>
      <c r="K214" s="14"/>
      <c r="L214" s="13"/>
    </row>
    <row r="215" spans="2:12" x14ac:dyDescent="0.25">
      <c r="B215" s="15"/>
      <c r="C215" s="12"/>
      <c r="D215" s="12"/>
      <c r="E215" s="16">
        <f>IFERROR(IF($D215="","",VLOOKUP($D215,'Müşteri Kartları'!$B$5:$C$104,2,FALSE)),"— tanımsız —")</f>
      </c>
      <c r="F215" s="17"/>
      <c r="G215" s="18">
        <f>IFERROR(IF($D215="",0,$F215*Parametreler!$C$4*VLOOKUP($D215,'Müşteri Kartları'!$B$5:$G$104,6,FALSE)),0)</f>
      </c>
      <c r="H215" s="18">
        <f>IF($F215="",0,$F215*Parametreler!$C$5)</f>
      </c>
      <c r="I215" s="19">
        <f>IF($F215="","",$F215-$G215+$H215)</f>
      </c>
      <c r="J215" s="18">
        <f>IF($F215="",0,$F215)</f>
      </c>
      <c r="K215" s="9"/>
      <c r="L215" s="12"/>
    </row>
    <row r="216" spans="2:12" x14ac:dyDescent="0.25">
      <c r="B216" s="20"/>
      <c r="C216" s="13"/>
      <c r="D216" s="13"/>
      <c r="E216" s="16">
        <f>IFERROR(IF($D216="","",VLOOKUP($D216,'Müşteri Kartları'!$B$5:$C$104,2,FALSE)),"— tanımsız —")</f>
      </c>
      <c r="F216" s="21"/>
      <c r="G216" s="18">
        <f>IFERROR(IF($D216="",0,$F216*Parametreler!$C$4*VLOOKUP($D216,'Müşteri Kartları'!$B$5:$G$104,6,FALSE)),0)</f>
      </c>
      <c r="H216" s="18">
        <f>IF($F216="",0,$F216*Parametreler!$C$5)</f>
      </c>
      <c r="I216" s="19">
        <f>IF($F216="","",$F216-$G216+$H216)</f>
      </c>
      <c r="J216" s="18">
        <f>IF($F216="",0,$F216)</f>
      </c>
      <c r="K216" s="14"/>
      <c r="L216" s="13"/>
    </row>
    <row r="217" spans="2:12" x14ac:dyDescent="0.25">
      <c r="B217" s="15"/>
      <c r="C217" s="12"/>
      <c r="D217" s="12"/>
      <c r="E217" s="16">
        <f>IFERROR(IF($D217="","",VLOOKUP($D217,'Müşteri Kartları'!$B$5:$C$104,2,FALSE)),"— tanımsız —")</f>
      </c>
      <c r="F217" s="17"/>
      <c r="G217" s="18">
        <f>IFERROR(IF($D217="",0,$F217*Parametreler!$C$4*VLOOKUP($D217,'Müşteri Kartları'!$B$5:$G$104,6,FALSE)),0)</f>
      </c>
      <c r="H217" s="18">
        <f>IF($F217="",0,$F217*Parametreler!$C$5)</f>
      </c>
      <c r="I217" s="19">
        <f>IF($F217="","",$F217-$G217+$H217)</f>
      </c>
      <c r="J217" s="18">
        <f>IF($F217="",0,$F217)</f>
      </c>
      <c r="K217" s="9"/>
      <c r="L217" s="12"/>
    </row>
    <row r="218" spans="2:12" x14ac:dyDescent="0.25">
      <c r="B218" s="20"/>
      <c r="C218" s="13"/>
      <c r="D218" s="13"/>
      <c r="E218" s="16">
        <f>IFERROR(IF($D218="","",VLOOKUP($D218,'Müşteri Kartları'!$B$5:$C$104,2,FALSE)),"— tanımsız —")</f>
      </c>
      <c r="F218" s="21"/>
      <c r="G218" s="18">
        <f>IFERROR(IF($D218="",0,$F218*Parametreler!$C$4*VLOOKUP($D218,'Müşteri Kartları'!$B$5:$G$104,6,FALSE)),0)</f>
      </c>
      <c r="H218" s="18">
        <f>IF($F218="",0,$F218*Parametreler!$C$5)</f>
      </c>
      <c r="I218" s="19">
        <f>IF($F218="","",$F218-$G218+$H218)</f>
      </c>
      <c r="J218" s="18">
        <f>IF($F218="",0,$F218)</f>
      </c>
      <c r="K218" s="14"/>
      <c r="L218" s="13"/>
    </row>
    <row r="219" spans="2:12" x14ac:dyDescent="0.25">
      <c r="B219" s="15"/>
      <c r="C219" s="12"/>
      <c r="D219" s="12"/>
      <c r="E219" s="16">
        <f>IFERROR(IF($D219="","",VLOOKUP($D219,'Müşteri Kartları'!$B$5:$C$104,2,FALSE)),"— tanımsız —")</f>
      </c>
      <c r="F219" s="17"/>
      <c r="G219" s="18">
        <f>IFERROR(IF($D219="",0,$F219*Parametreler!$C$4*VLOOKUP($D219,'Müşteri Kartları'!$B$5:$G$104,6,FALSE)),0)</f>
      </c>
      <c r="H219" s="18">
        <f>IF($F219="",0,$F219*Parametreler!$C$5)</f>
      </c>
      <c r="I219" s="19">
        <f>IF($F219="","",$F219-$G219+$H219)</f>
      </c>
      <c r="J219" s="18">
        <f>IF($F219="",0,$F219)</f>
      </c>
      <c r="K219" s="9"/>
      <c r="L219" s="12"/>
    </row>
    <row r="220" spans="2:12" x14ac:dyDescent="0.25">
      <c r="B220" s="20"/>
      <c r="C220" s="13"/>
      <c r="D220" s="13"/>
      <c r="E220" s="16">
        <f>IFERROR(IF($D220="","",VLOOKUP($D220,'Müşteri Kartları'!$B$5:$C$104,2,FALSE)),"— tanımsız —")</f>
      </c>
      <c r="F220" s="21"/>
      <c r="G220" s="18">
        <f>IFERROR(IF($D220="",0,$F220*Parametreler!$C$4*VLOOKUP($D220,'Müşteri Kartları'!$B$5:$G$104,6,FALSE)),0)</f>
      </c>
      <c r="H220" s="18">
        <f>IF($F220="",0,$F220*Parametreler!$C$5)</f>
      </c>
      <c r="I220" s="19">
        <f>IF($F220="","",$F220-$G220+$H220)</f>
      </c>
      <c r="J220" s="18">
        <f>IF($F220="",0,$F220)</f>
      </c>
      <c r="K220" s="14"/>
      <c r="L220" s="13"/>
    </row>
    <row r="221" spans="2:12" x14ac:dyDescent="0.25">
      <c r="B221" s="15"/>
      <c r="C221" s="12"/>
      <c r="D221" s="12"/>
      <c r="E221" s="16">
        <f>IFERROR(IF($D221="","",VLOOKUP($D221,'Müşteri Kartları'!$B$5:$C$104,2,FALSE)),"— tanımsız —")</f>
      </c>
      <c r="F221" s="17"/>
      <c r="G221" s="18">
        <f>IFERROR(IF($D221="",0,$F221*Parametreler!$C$4*VLOOKUP($D221,'Müşteri Kartları'!$B$5:$G$104,6,FALSE)),0)</f>
      </c>
      <c r="H221" s="18">
        <f>IF($F221="",0,$F221*Parametreler!$C$5)</f>
      </c>
      <c r="I221" s="19">
        <f>IF($F221="","",$F221-$G221+$H221)</f>
      </c>
      <c r="J221" s="18">
        <f>IF($F221="",0,$F221)</f>
      </c>
      <c r="K221" s="9"/>
      <c r="L221" s="12"/>
    </row>
    <row r="222" spans="2:12" x14ac:dyDescent="0.25">
      <c r="B222" s="20"/>
      <c r="C222" s="13"/>
      <c r="D222" s="13"/>
      <c r="E222" s="16">
        <f>IFERROR(IF($D222="","",VLOOKUP($D222,'Müşteri Kartları'!$B$5:$C$104,2,FALSE)),"— tanımsız —")</f>
      </c>
      <c r="F222" s="21"/>
      <c r="G222" s="18">
        <f>IFERROR(IF($D222="",0,$F222*Parametreler!$C$4*VLOOKUP($D222,'Müşteri Kartları'!$B$5:$G$104,6,FALSE)),0)</f>
      </c>
      <c r="H222" s="18">
        <f>IF($F222="",0,$F222*Parametreler!$C$5)</f>
      </c>
      <c r="I222" s="19">
        <f>IF($F222="","",$F222-$G222+$H222)</f>
      </c>
      <c r="J222" s="18">
        <f>IF($F222="",0,$F222)</f>
      </c>
      <c r="K222" s="14"/>
      <c r="L222" s="13"/>
    </row>
    <row r="223" spans="2:12" x14ac:dyDescent="0.25">
      <c r="B223" s="15"/>
      <c r="C223" s="12"/>
      <c r="D223" s="12"/>
      <c r="E223" s="16">
        <f>IFERROR(IF($D223="","",VLOOKUP($D223,'Müşteri Kartları'!$B$5:$C$104,2,FALSE)),"— tanımsız —")</f>
      </c>
      <c r="F223" s="17"/>
      <c r="G223" s="18">
        <f>IFERROR(IF($D223="",0,$F223*Parametreler!$C$4*VLOOKUP($D223,'Müşteri Kartları'!$B$5:$G$104,6,FALSE)),0)</f>
      </c>
      <c r="H223" s="18">
        <f>IF($F223="",0,$F223*Parametreler!$C$5)</f>
      </c>
      <c r="I223" s="19">
        <f>IF($F223="","",$F223-$G223+$H223)</f>
      </c>
      <c r="J223" s="18">
        <f>IF($F223="",0,$F223)</f>
      </c>
      <c r="K223" s="9"/>
      <c r="L223" s="12"/>
    </row>
    <row r="224" spans="2:12" x14ac:dyDescent="0.25">
      <c r="B224" s="20"/>
      <c r="C224" s="13"/>
      <c r="D224" s="13"/>
      <c r="E224" s="16">
        <f>IFERROR(IF($D224="","",VLOOKUP($D224,'Müşteri Kartları'!$B$5:$C$104,2,FALSE)),"— tanımsız —")</f>
      </c>
      <c r="F224" s="21"/>
      <c r="G224" s="18">
        <f>IFERROR(IF($D224="",0,$F224*Parametreler!$C$4*VLOOKUP($D224,'Müşteri Kartları'!$B$5:$G$104,6,FALSE)),0)</f>
      </c>
      <c r="H224" s="18">
        <f>IF($F224="",0,$F224*Parametreler!$C$5)</f>
      </c>
      <c r="I224" s="19">
        <f>IF($F224="","",$F224-$G224+$H224)</f>
      </c>
      <c r="J224" s="18">
        <f>IF($F224="",0,$F224)</f>
      </c>
      <c r="K224" s="14"/>
      <c r="L224" s="13"/>
    </row>
    <row r="225" spans="2:12" x14ac:dyDescent="0.25">
      <c r="B225" s="15"/>
      <c r="C225" s="12"/>
      <c r="D225" s="12"/>
      <c r="E225" s="16">
        <f>IFERROR(IF($D225="","",VLOOKUP($D225,'Müşteri Kartları'!$B$5:$C$104,2,FALSE)),"— tanımsız —")</f>
      </c>
      <c r="F225" s="17"/>
      <c r="G225" s="18">
        <f>IFERROR(IF($D225="",0,$F225*Parametreler!$C$4*VLOOKUP($D225,'Müşteri Kartları'!$B$5:$G$104,6,FALSE)),0)</f>
      </c>
      <c r="H225" s="18">
        <f>IF($F225="",0,$F225*Parametreler!$C$5)</f>
      </c>
      <c r="I225" s="19">
        <f>IF($F225="","",$F225-$G225+$H225)</f>
      </c>
      <c r="J225" s="18">
        <f>IF($F225="",0,$F225)</f>
      </c>
      <c r="K225" s="9"/>
      <c r="L225" s="12"/>
    </row>
    <row r="226" spans="2:12" x14ac:dyDescent="0.25">
      <c r="B226" s="20"/>
      <c r="C226" s="13"/>
      <c r="D226" s="13"/>
      <c r="E226" s="16">
        <f>IFERROR(IF($D226="","",VLOOKUP($D226,'Müşteri Kartları'!$B$5:$C$104,2,FALSE)),"— tanımsız —")</f>
      </c>
      <c r="F226" s="21"/>
      <c r="G226" s="18">
        <f>IFERROR(IF($D226="",0,$F226*Parametreler!$C$4*VLOOKUP($D226,'Müşteri Kartları'!$B$5:$G$104,6,FALSE)),0)</f>
      </c>
      <c r="H226" s="18">
        <f>IF($F226="",0,$F226*Parametreler!$C$5)</f>
      </c>
      <c r="I226" s="19">
        <f>IF($F226="","",$F226-$G226+$H226)</f>
      </c>
      <c r="J226" s="18">
        <f>IF($F226="",0,$F226)</f>
      </c>
      <c r="K226" s="14"/>
      <c r="L226" s="13"/>
    </row>
    <row r="227" spans="2:12" x14ac:dyDescent="0.25">
      <c r="B227" s="15"/>
      <c r="C227" s="12"/>
      <c r="D227" s="12"/>
      <c r="E227" s="16">
        <f>IFERROR(IF($D227="","",VLOOKUP($D227,'Müşteri Kartları'!$B$5:$C$104,2,FALSE)),"— tanımsız —")</f>
      </c>
      <c r="F227" s="17"/>
      <c r="G227" s="18">
        <f>IFERROR(IF($D227="",0,$F227*Parametreler!$C$4*VLOOKUP($D227,'Müşteri Kartları'!$B$5:$G$104,6,FALSE)),0)</f>
      </c>
      <c r="H227" s="18">
        <f>IF($F227="",0,$F227*Parametreler!$C$5)</f>
      </c>
      <c r="I227" s="19">
        <f>IF($F227="","",$F227-$G227+$H227)</f>
      </c>
      <c r="J227" s="18">
        <f>IF($F227="",0,$F227)</f>
      </c>
      <c r="K227" s="9"/>
      <c r="L227" s="12"/>
    </row>
    <row r="228" spans="2:12" x14ac:dyDescent="0.25">
      <c r="B228" s="20"/>
      <c r="C228" s="13"/>
      <c r="D228" s="13"/>
      <c r="E228" s="16">
        <f>IFERROR(IF($D228="","",VLOOKUP($D228,'Müşteri Kartları'!$B$5:$C$104,2,FALSE)),"— tanımsız —")</f>
      </c>
      <c r="F228" s="21"/>
      <c r="G228" s="18">
        <f>IFERROR(IF($D228="",0,$F228*Parametreler!$C$4*VLOOKUP($D228,'Müşteri Kartları'!$B$5:$G$104,6,FALSE)),0)</f>
      </c>
      <c r="H228" s="18">
        <f>IF($F228="",0,$F228*Parametreler!$C$5)</f>
      </c>
      <c r="I228" s="19">
        <f>IF($F228="","",$F228-$G228+$H228)</f>
      </c>
      <c r="J228" s="18">
        <f>IF($F228="",0,$F228)</f>
      </c>
      <c r="K228" s="14"/>
      <c r="L228" s="13"/>
    </row>
    <row r="229" spans="2:12" x14ac:dyDescent="0.25">
      <c r="B229" s="15"/>
      <c r="C229" s="12"/>
      <c r="D229" s="12"/>
      <c r="E229" s="16">
        <f>IFERROR(IF($D229="","",VLOOKUP($D229,'Müşteri Kartları'!$B$5:$C$104,2,FALSE)),"— tanımsız —")</f>
      </c>
      <c r="F229" s="17"/>
      <c r="G229" s="18">
        <f>IFERROR(IF($D229="",0,$F229*Parametreler!$C$4*VLOOKUP($D229,'Müşteri Kartları'!$B$5:$G$104,6,FALSE)),0)</f>
      </c>
      <c r="H229" s="18">
        <f>IF($F229="",0,$F229*Parametreler!$C$5)</f>
      </c>
      <c r="I229" s="19">
        <f>IF($F229="","",$F229-$G229+$H229)</f>
      </c>
      <c r="J229" s="18">
        <f>IF($F229="",0,$F229)</f>
      </c>
      <c r="K229" s="9"/>
      <c r="L229" s="12"/>
    </row>
    <row r="230" spans="2:12" x14ac:dyDescent="0.25">
      <c r="B230" s="20"/>
      <c r="C230" s="13"/>
      <c r="D230" s="13"/>
      <c r="E230" s="16">
        <f>IFERROR(IF($D230="","",VLOOKUP($D230,'Müşteri Kartları'!$B$5:$C$104,2,FALSE)),"— tanımsız —")</f>
      </c>
      <c r="F230" s="21"/>
      <c r="G230" s="18">
        <f>IFERROR(IF($D230="",0,$F230*Parametreler!$C$4*VLOOKUP($D230,'Müşteri Kartları'!$B$5:$G$104,6,FALSE)),0)</f>
      </c>
      <c r="H230" s="18">
        <f>IF($F230="",0,$F230*Parametreler!$C$5)</f>
      </c>
      <c r="I230" s="19">
        <f>IF($F230="","",$F230-$G230+$H230)</f>
      </c>
      <c r="J230" s="18">
        <f>IF($F230="",0,$F230)</f>
      </c>
      <c r="K230" s="14"/>
      <c r="L230" s="13"/>
    </row>
    <row r="231" spans="2:12" x14ac:dyDescent="0.25">
      <c r="B231" s="15"/>
      <c r="C231" s="12"/>
      <c r="D231" s="12"/>
      <c r="E231" s="16">
        <f>IFERROR(IF($D231="","",VLOOKUP($D231,'Müşteri Kartları'!$B$5:$C$104,2,FALSE)),"— tanımsız —")</f>
      </c>
      <c r="F231" s="17"/>
      <c r="G231" s="18">
        <f>IFERROR(IF($D231="",0,$F231*Parametreler!$C$4*VLOOKUP($D231,'Müşteri Kartları'!$B$5:$G$104,6,FALSE)),0)</f>
      </c>
      <c r="H231" s="18">
        <f>IF($F231="",0,$F231*Parametreler!$C$5)</f>
      </c>
      <c r="I231" s="19">
        <f>IF($F231="","",$F231-$G231+$H231)</f>
      </c>
      <c r="J231" s="18">
        <f>IF($F231="",0,$F231)</f>
      </c>
      <c r="K231" s="9"/>
      <c r="L231" s="12"/>
    </row>
    <row r="232" spans="2:12" x14ac:dyDescent="0.25">
      <c r="B232" s="20"/>
      <c r="C232" s="13"/>
      <c r="D232" s="13"/>
      <c r="E232" s="16">
        <f>IFERROR(IF($D232="","",VLOOKUP($D232,'Müşteri Kartları'!$B$5:$C$104,2,FALSE)),"— tanımsız —")</f>
      </c>
      <c r="F232" s="21"/>
      <c r="G232" s="18">
        <f>IFERROR(IF($D232="",0,$F232*Parametreler!$C$4*VLOOKUP($D232,'Müşteri Kartları'!$B$5:$G$104,6,FALSE)),0)</f>
      </c>
      <c r="H232" s="18">
        <f>IF($F232="",0,$F232*Parametreler!$C$5)</f>
      </c>
      <c r="I232" s="19">
        <f>IF($F232="","",$F232-$G232+$H232)</f>
      </c>
      <c r="J232" s="18">
        <f>IF($F232="",0,$F232)</f>
      </c>
      <c r="K232" s="14"/>
      <c r="L232" s="13"/>
    </row>
    <row r="233" spans="2:12" x14ac:dyDescent="0.25">
      <c r="B233" s="15"/>
      <c r="C233" s="12"/>
      <c r="D233" s="12"/>
      <c r="E233" s="16">
        <f>IFERROR(IF($D233="","",VLOOKUP($D233,'Müşteri Kartları'!$B$5:$C$104,2,FALSE)),"— tanımsız —")</f>
      </c>
      <c r="F233" s="17"/>
      <c r="G233" s="18">
        <f>IFERROR(IF($D233="",0,$F233*Parametreler!$C$4*VLOOKUP($D233,'Müşteri Kartları'!$B$5:$G$104,6,FALSE)),0)</f>
      </c>
      <c r="H233" s="18">
        <f>IF($F233="",0,$F233*Parametreler!$C$5)</f>
      </c>
      <c r="I233" s="19">
        <f>IF($F233="","",$F233-$G233+$H233)</f>
      </c>
      <c r="J233" s="18">
        <f>IF($F233="",0,$F233)</f>
      </c>
      <c r="K233" s="9"/>
      <c r="L233" s="12"/>
    </row>
    <row r="234" spans="2:12" x14ac:dyDescent="0.25">
      <c r="B234" s="20"/>
      <c r="C234" s="13"/>
      <c r="D234" s="13"/>
      <c r="E234" s="16">
        <f>IFERROR(IF($D234="","",VLOOKUP($D234,'Müşteri Kartları'!$B$5:$C$104,2,FALSE)),"— tanımsız —")</f>
      </c>
      <c r="F234" s="21"/>
      <c r="G234" s="18">
        <f>IFERROR(IF($D234="",0,$F234*Parametreler!$C$4*VLOOKUP($D234,'Müşteri Kartları'!$B$5:$G$104,6,FALSE)),0)</f>
      </c>
      <c r="H234" s="18">
        <f>IF($F234="",0,$F234*Parametreler!$C$5)</f>
      </c>
      <c r="I234" s="19">
        <f>IF($F234="","",$F234-$G234+$H234)</f>
      </c>
      <c r="J234" s="18">
        <f>IF($F234="",0,$F234)</f>
      </c>
      <c r="K234" s="14"/>
      <c r="L234" s="13"/>
    </row>
    <row r="235" spans="2:12" x14ac:dyDescent="0.25">
      <c r="B235" s="15"/>
      <c r="C235" s="12"/>
      <c r="D235" s="12"/>
      <c r="E235" s="16">
        <f>IFERROR(IF($D235="","",VLOOKUP($D235,'Müşteri Kartları'!$B$5:$C$104,2,FALSE)),"— tanımsız —")</f>
      </c>
      <c r="F235" s="17"/>
      <c r="G235" s="18">
        <f>IFERROR(IF($D235="",0,$F235*Parametreler!$C$4*VLOOKUP($D235,'Müşteri Kartları'!$B$5:$G$104,6,FALSE)),0)</f>
      </c>
      <c r="H235" s="18">
        <f>IF($F235="",0,$F235*Parametreler!$C$5)</f>
      </c>
      <c r="I235" s="19">
        <f>IF($F235="","",$F235-$G235+$H235)</f>
      </c>
      <c r="J235" s="18">
        <f>IF($F235="",0,$F235)</f>
      </c>
      <c r="K235" s="9"/>
      <c r="L235" s="12"/>
    </row>
    <row r="236" spans="2:12" x14ac:dyDescent="0.25">
      <c r="B236" s="20"/>
      <c r="C236" s="13"/>
      <c r="D236" s="13"/>
      <c r="E236" s="16">
        <f>IFERROR(IF($D236="","",VLOOKUP($D236,'Müşteri Kartları'!$B$5:$C$104,2,FALSE)),"— tanımsız —")</f>
      </c>
      <c r="F236" s="21"/>
      <c r="G236" s="18">
        <f>IFERROR(IF($D236="",0,$F236*Parametreler!$C$4*VLOOKUP($D236,'Müşteri Kartları'!$B$5:$G$104,6,FALSE)),0)</f>
      </c>
      <c r="H236" s="18">
        <f>IF($F236="",0,$F236*Parametreler!$C$5)</f>
      </c>
      <c r="I236" s="19">
        <f>IF($F236="","",$F236-$G236+$H236)</f>
      </c>
      <c r="J236" s="18">
        <f>IF($F236="",0,$F236)</f>
      </c>
      <c r="K236" s="14"/>
      <c r="L236" s="13"/>
    </row>
    <row r="237" spans="2:12" x14ac:dyDescent="0.25">
      <c r="B237" s="15"/>
      <c r="C237" s="12"/>
      <c r="D237" s="12"/>
      <c r="E237" s="16">
        <f>IFERROR(IF($D237="","",VLOOKUP($D237,'Müşteri Kartları'!$B$5:$C$104,2,FALSE)),"— tanımsız —")</f>
      </c>
      <c r="F237" s="17"/>
      <c r="G237" s="18">
        <f>IFERROR(IF($D237="",0,$F237*Parametreler!$C$4*VLOOKUP($D237,'Müşteri Kartları'!$B$5:$G$104,6,FALSE)),0)</f>
      </c>
      <c r="H237" s="18">
        <f>IF($F237="",0,$F237*Parametreler!$C$5)</f>
      </c>
      <c r="I237" s="19">
        <f>IF($F237="","",$F237-$G237+$H237)</f>
      </c>
      <c r="J237" s="18">
        <f>IF($F237="",0,$F237)</f>
      </c>
      <c r="K237" s="9"/>
      <c r="L237" s="12"/>
    </row>
    <row r="238" spans="2:12" x14ac:dyDescent="0.25">
      <c r="B238" s="20"/>
      <c r="C238" s="13"/>
      <c r="D238" s="13"/>
      <c r="E238" s="16">
        <f>IFERROR(IF($D238="","",VLOOKUP($D238,'Müşteri Kartları'!$B$5:$C$104,2,FALSE)),"— tanımsız —")</f>
      </c>
      <c r="F238" s="21"/>
      <c r="G238" s="18">
        <f>IFERROR(IF($D238="",0,$F238*Parametreler!$C$4*VLOOKUP($D238,'Müşteri Kartları'!$B$5:$G$104,6,FALSE)),0)</f>
      </c>
      <c r="H238" s="18">
        <f>IF($F238="",0,$F238*Parametreler!$C$5)</f>
      </c>
      <c r="I238" s="19">
        <f>IF($F238="","",$F238-$G238+$H238)</f>
      </c>
      <c r="J238" s="18">
        <f>IF($F238="",0,$F238)</f>
      </c>
      <c r="K238" s="14"/>
      <c r="L238" s="13"/>
    </row>
    <row r="239" spans="2:12" x14ac:dyDescent="0.25">
      <c r="B239" s="15"/>
      <c r="C239" s="12"/>
      <c r="D239" s="12"/>
      <c r="E239" s="16">
        <f>IFERROR(IF($D239="","",VLOOKUP($D239,'Müşteri Kartları'!$B$5:$C$104,2,FALSE)),"— tanımsız —")</f>
      </c>
      <c r="F239" s="17"/>
      <c r="G239" s="18">
        <f>IFERROR(IF($D239="",0,$F239*Parametreler!$C$4*VLOOKUP($D239,'Müşteri Kartları'!$B$5:$G$104,6,FALSE)),0)</f>
      </c>
      <c r="H239" s="18">
        <f>IF($F239="",0,$F239*Parametreler!$C$5)</f>
      </c>
      <c r="I239" s="19">
        <f>IF($F239="","",$F239-$G239+$H239)</f>
      </c>
      <c r="J239" s="18">
        <f>IF($F239="",0,$F239)</f>
      </c>
      <c r="K239" s="9"/>
      <c r="L239" s="12"/>
    </row>
    <row r="240" spans="2:12" x14ac:dyDescent="0.25">
      <c r="B240" s="20"/>
      <c r="C240" s="13"/>
      <c r="D240" s="13"/>
      <c r="E240" s="16">
        <f>IFERROR(IF($D240="","",VLOOKUP($D240,'Müşteri Kartları'!$B$5:$C$104,2,FALSE)),"— tanımsız —")</f>
      </c>
      <c r="F240" s="21"/>
      <c r="G240" s="18">
        <f>IFERROR(IF($D240="",0,$F240*Parametreler!$C$4*VLOOKUP($D240,'Müşteri Kartları'!$B$5:$G$104,6,FALSE)),0)</f>
      </c>
      <c r="H240" s="18">
        <f>IF($F240="",0,$F240*Parametreler!$C$5)</f>
      </c>
      <c r="I240" s="19">
        <f>IF($F240="","",$F240-$G240+$H240)</f>
      </c>
      <c r="J240" s="18">
        <f>IF($F240="",0,$F240)</f>
      </c>
      <c r="K240" s="14"/>
      <c r="L240" s="13"/>
    </row>
    <row r="241" spans="2:12" x14ac:dyDescent="0.25">
      <c r="B241" s="15"/>
      <c r="C241" s="12"/>
      <c r="D241" s="12"/>
      <c r="E241" s="16">
        <f>IFERROR(IF($D241="","",VLOOKUP($D241,'Müşteri Kartları'!$B$5:$C$104,2,FALSE)),"— tanımsız —")</f>
      </c>
      <c r="F241" s="17"/>
      <c r="G241" s="18">
        <f>IFERROR(IF($D241="",0,$F241*Parametreler!$C$4*VLOOKUP($D241,'Müşteri Kartları'!$B$5:$G$104,6,FALSE)),0)</f>
      </c>
      <c r="H241" s="18">
        <f>IF($F241="",0,$F241*Parametreler!$C$5)</f>
      </c>
      <c r="I241" s="19">
        <f>IF($F241="","",$F241-$G241+$H241)</f>
      </c>
      <c r="J241" s="18">
        <f>IF($F241="",0,$F241)</f>
      </c>
      <c r="K241" s="9"/>
      <c r="L241" s="12"/>
    </row>
    <row r="242" spans="2:12" x14ac:dyDescent="0.25">
      <c r="B242" s="20"/>
      <c r="C242" s="13"/>
      <c r="D242" s="13"/>
      <c r="E242" s="16">
        <f>IFERROR(IF($D242="","",VLOOKUP($D242,'Müşteri Kartları'!$B$5:$C$104,2,FALSE)),"— tanımsız —")</f>
      </c>
      <c r="F242" s="21"/>
      <c r="G242" s="18">
        <f>IFERROR(IF($D242="",0,$F242*Parametreler!$C$4*VLOOKUP($D242,'Müşteri Kartları'!$B$5:$G$104,6,FALSE)),0)</f>
      </c>
      <c r="H242" s="18">
        <f>IF($F242="",0,$F242*Parametreler!$C$5)</f>
      </c>
      <c r="I242" s="19">
        <f>IF($F242="","",$F242-$G242+$H242)</f>
      </c>
      <c r="J242" s="18">
        <f>IF($F242="",0,$F242)</f>
      </c>
      <c r="K242" s="14"/>
      <c r="L242" s="13"/>
    </row>
    <row r="243" spans="2:12" x14ac:dyDescent="0.25">
      <c r="B243" s="15"/>
      <c r="C243" s="12"/>
      <c r="D243" s="12"/>
      <c r="E243" s="16">
        <f>IFERROR(IF($D243="","",VLOOKUP($D243,'Müşteri Kartları'!$B$5:$C$104,2,FALSE)),"— tanımsız —")</f>
      </c>
      <c r="F243" s="17"/>
      <c r="G243" s="18">
        <f>IFERROR(IF($D243="",0,$F243*Parametreler!$C$4*VLOOKUP($D243,'Müşteri Kartları'!$B$5:$G$104,6,FALSE)),0)</f>
      </c>
      <c r="H243" s="18">
        <f>IF($F243="",0,$F243*Parametreler!$C$5)</f>
      </c>
      <c r="I243" s="19">
        <f>IF($F243="","",$F243-$G243+$H243)</f>
      </c>
      <c r="J243" s="18">
        <f>IF($F243="",0,$F243)</f>
      </c>
      <c r="K243" s="9"/>
      <c r="L243" s="12"/>
    </row>
    <row r="244" spans="2:12" x14ac:dyDescent="0.25">
      <c r="B244" s="20"/>
      <c r="C244" s="13"/>
      <c r="D244" s="13"/>
      <c r="E244" s="16">
        <f>IFERROR(IF($D244="","",VLOOKUP($D244,'Müşteri Kartları'!$B$5:$C$104,2,FALSE)),"— tanımsız —")</f>
      </c>
      <c r="F244" s="21"/>
      <c r="G244" s="18">
        <f>IFERROR(IF($D244="",0,$F244*Parametreler!$C$4*VLOOKUP($D244,'Müşteri Kartları'!$B$5:$G$104,6,FALSE)),0)</f>
      </c>
      <c r="H244" s="18">
        <f>IF($F244="",0,$F244*Parametreler!$C$5)</f>
      </c>
      <c r="I244" s="19">
        <f>IF($F244="","",$F244-$G244+$H244)</f>
      </c>
      <c r="J244" s="18">
        <f>IF($F244="",0,$F244)</f>
      </c>
      <c r="K244" s="14"/>
      <c r="L244" s="13"/>
    </row>
    <row r="245" spans="2:12" x14ac:dyDescent="0.25">
      <c r="B245" s="15"/>
      <c r="C245" s="12"/>
      <c r="D245" s="12"/>
      <c r="E245" s="16">
        <f>IFERROR(IF($D245="","",VLOOKUP($D245,'Müşteri Kartları'!$B$5:$C$104,2,FALSE)),"— tanımsız —")</f>
      </c>
      <c r="F245" s="17"/>
      <c r="G245" s="18">
        <f>IFERROR(IF($D245="",0,$F245*Parametreler!$C$4*VLOOKUP($D245,'Müşteri Kartları'!$B$5:$G$104,6,FALSE)),0)</f>
      </c>
      <c r="H245" s="18">
        <f>IF($F245="",0,$F245*Parametreler!$C$5)</f>
      </c>
      <c r="I245" s="19">
        <f>IF($F245="","",$F245-$G245+$H245)</f>
      </c>
      <c r="J245" s="18">
        <f>IF($F245="",0,$F245)</f>
      </c>
      <c r="K245" s="9"/>
      <c r="L245" s="12"/>
    </row>
    <row r="246" spans="2:12" x14ac:dyDescent="0.25">
      <c r="B246" s="20"/>
      <c r="C246" s="13"/>
      <c r="D246" s="13"/>
      <c r="E246" s="16">
        <f>IFERROR(IF($D246="","",VLOOKUP($D246,'Müşteri Kartları'!$B$5:$C$104,2,FALSE)),"— tanımsız —")</f>
      </c>
      <c r="F246" s="21"/>
      <c r="G246" s="18">
        <f>IFERROR(IF($D246="",0,$F246*Parametreler!$C$4*VLOOKUP($D246,'Müşteri Kartları'!$B$5:$G$104,6,FALSE)),0)</f>
      </c>
      <c r="H246" s="18">
        <f>IF($F246="",0,$F246*Parametreler!$C$5)</f>
      </c>
      <c r="I246" s="19">
        <f>IF($F246="","",$F246-$G246+$H246)</f>
      </c>
      <c r="J246" s="18">
        <f>IF($F246="",0,$F246)</f>
      </c>
      <c r="K246" s="14"/>
      <c r="L246" s="13"/>
    </row>
    <row r="247" spans="2:12" x14ac:dyDescent="0.25">
      <c r="B247" s="15"/>
      <c r="C247" s="12"/>
      <c r="D247" s="12"/>
      <c r="E247" s="16">
        <f>IFERROR(IF($D247="","",VLOOKUP($D247,'Müşteri Kartları'!$B$5:$C$104,2,FALSE)),"— tanımsız —")</f>
      </c>
      <c r="F247" s="17"/>
      <c r="G247" s="18">
        <f>IFERROR(IF($D247="",0,$F247*Parametreler!$C$4*VLOOKUP($D247,'Müşteri Kartları'!$B$5:$G$104,6,FALSE)),0)</f>
      </c>
      <c r="H247" s="18">
        <f>IF($F247="",0,$F247*Parametreler!$C$5)</f>
      </c>
      <c r="I247" s="19">
        <f>IF($F247="","",$F247-$G247+$H247)</f>
      </c>
      <c r="J247" s="18">
        <f>IF($F247="",0,$F247)</f>
      </c>
      <c r="K247" s="9"/>
      <c r="L247" s="12"/>
    </row>
    <row r="248" spans="2:12" x14ac:dyDescent="0.25">
      <c r="B248" s="20"/>
      <c r="C248" s="13"/>
      <c r="D248" s="13"/>
      <c r="E248" s="16">
        <f>IFERROR(IF($D248="","",VLOOKUP($D248,'Müşteri Kartları'!$B$5:$C$104,2,FALSE)),"— tanımsız —")</f>
      </c>
      <c r="F248" s="21"/>
      <c r="G248" s="18">
        <f>IFERROR(IF($D248="",0,$F248*Parametreler!$C$4*VLOOKUP($D248,'Müşteri Kartları'!$B$5:$G$104,6,FALSE)),0)</f>
      </c>
      <c r="H248" s="18">
        <f>IF($F248="",0,$F248*Parametreler!$C$5)</f>
      </c>
      <c r="I248" s="19">
        <f>IF($F248="","",$F248-$G248+$H248)</f>
      </c>
      <c r="J248" s="18">
        <f>IF($F248="",0,$F248)</f>
      </c>
      <c r="K248" s="14"/>
      <c r="L248" s="13"/>
    </row>
    <row r="249" spans="2:12" x14ac:dyDescent="0.25">
      <c r="B249" s="15"/>
      <c r="C249" s="12"/>
      <c r="D249" s="12"/>
      <c r="E249" s="16">
        <f>IFERROR(IF($D249="","",VLOOKUP($D249,'Müşteri Kartları'!$B$5:$C$104,2,FALSE)),"— tanımsız —")</f>
      </c>
      <c r="F249" s="17"/>
      <c r="G249" s="18">
        <f>IFERROR(IF($D249="",0,$F249*Parametreler!$C$4*VLOOKUP($D249,'Müşteri Kartları'!$B$5:$G$104,6,FALSE)),0)</f>
      </c>
      <c r="H249" s="18">
        <f>IF($F249="",0,$F249*Parametreler!$C$5)</f>
      </c>
      <c r="I249" s="19">
        <f>IF($F249="","",$F249-$G249+$H249)</f>
      </c>
      <c r="J249" s="18">
        <f>IF($F249="",0,$F249)</f>
      </c>
      <c r="K249" s="9"/>
      <c r="L249" s="12"/>
    </row>
    <row r="250" spans="2:12" x14ac:dyDescent="0.25">
      <c r="B250" s="20"/>
      <c r="C250" s="13"/>
      <c r="D250" s="13"/>
      <c r="E250" s="16">
        <f>IFERROR(IF($D250="","",VLOOKUP($D250,'Müşteri Kartları'!$B$5:$C$104,2,FALSE)),"— tanımsız —")</f>
      </c>
      <c r="F250" s="21"/>
      <c r="G250" s="18">
        <f>IFERROR(IF($D250="",0,$F250*Parametreler!$C$4*VLOOKUP($D250,'Müşteri Kartları'!$B$5:$G$104,6,FALSE)),0)</f>
      </c>
      <c r="H250" s="18">
        <f>IF($F250="",0,$F250*Parametreler!$C$5)</f>
      </c>
      <c r="I250" s="19">
        <f>IF($F250="","",$F250-$G250+$H250)</f>
      </c>
      <c r="J250" s="18">
        <f>IF($F250="",0,$F250)</f>
      </c>
      <c r="K250" s="14"/>
      <c r="L250" s="13"/>
    </row>
    <row r="251" spans="2:12" x14ac:dyDescent="0.25">
      <c r="B251" s="15"/>
      <c r="C251" s="12"/>
      <c r="D251" s="12"/>
      <c r="E251" s="16">
        <f>IFERROR(IF($D251="","",VLOOKUP($D251,'Müşteri Kartları'!$B$5:$C$104,2,FALSE)),"— tanımsız —")</f>
      </c>
      <c r="F251" s="17"/>
      <c r="G251" s="18">
        <f>IFERROR(IF($D251="",0,$F251*Parametreler!$C$4*VLOOKUP($D251,'Müşteri Kartları'!$B$5:$G$104,6,FALSE)),0)</f>
      </c>
      <c r="H251" s="18">
        <f>IF($F251="",0,$F251*Parametreler!$C$5)</f>
      </c>
      <c r="I251" s="19">
        <f>IF($F251="","",$F251-$G251+$H251)</f>
      </c>
      <c r="J251" s="18">
        <f>IF($F251="",0,$F251)</f>
      </c>
      <c r="K251" s="9"/>
      <c r="L251" s="12"/>
    </row>
    <row r="252" spans="2:12" x14ac:dyDescent="0.25">
      <c r="B252" s="20"/>
      <c r="C252" s="13"/>
      <c r="D252" s="13"/>
      <c r="E252" s="16">
        <f>IFERROR(IF($D252="","",VLOOKUP($D252,'Müşteri Kartları'!$B$5:$C$104,2,FALSE)),"— tanımsız —")</f>
      </c>
      <c r="F252" s="21"/>
      <c r="G252" s="18">
        <f>IFERROR(IF($D252="",0,$F252*Parametreler!$C$4*VLOOKUP($D252,'Müşteri Kartları'!$B$5:$G$104,6,FALSE)),0)</f>
      </c>
      <c r="H252" s="18">
        <f>IF($F252="",0,$F252*Parametreler!$C$5)</f>
      </c>
      <c r="I252" s="19">
        <f>IF($F252="","",$F252-$G252+$H252)</f>
      </c>
      <c r="J252" s="18">
        <f>IF($F252="",0,$F252)</f>
      </c>
      <c r="K252" s="14"/>
      <c r="L252" s="13"/>
    </row>
    <row r="253" spans="2:12" x14ac:dyDescent="0.25">
      <c r="B253" s="15"/>
      <c r="C253" s="12"/>
      <c r="D253" s="12"/>
      <c r="E253" s="16">
        <f>IFERROR(IF($D253="","",VLOOKUP($D253,'Müşteri Kartları'!$B$5:$C$104,2,FALSE)),"— tanımsız —")</f>
      </c>
      <c r="F253" s="17"/>
      <c r="G253" s="18">
        <f>IFERROR(IF($D253="",0,$F253*Parametreler!$C$4*VLOOKUP($D253,'Müşteri Kartları'!$B$5:$G$104,6,FALSE)),0)</f>
      </c>
      <c r="H253" s="18">
        <f>IF($F253="",0,$F253*Parametreler!$C$5)</f>
      </c>
      <c r="I253" s="19">
        <f>IF($F253="","",$F253-$G253+$H253)</f>
      </c>
      <c r="J253" s="18">
        <f>IF($F253="",0,$F253)</f>
      </c>
      <c r="K253" s="9"/>
      <c r="L253" s="12"/>
    </row>
    <row r="254" spans="2:12" x14ac:dyDescent="0.25">
      <c r="B254" s="20"/>
      <c r="C254" s="13"/>
      <c r="D254" s="13"/>
      <c r="E254" s="16">
        <f>IFERROR(IF($D254="","",VLOOKUP($D254,'Müşteri Kartları'!$B$5:$C$104,2,FALSE)),"— tanımsız —")</f>
      </c>
      <c r="F254" s="21"/>
      <c r="G254" s="18">
        <f>IFERROR(IF($D254="",0,$F254*Parametreler!$C$4*VLOOKUP($D254,'Müşteri Kartları'!$B$5:$G$104,6,FALSE)),0)</f>
      </c>
      <c r="H254" s="18">
        <f>IF($F254="",0,$F254*Parametreler!$C$5)</f>
      </c>
      <c r="I254" s="19">
        <f>IF($F254="","",$F254-$G254+$H254)</f>
      </c>
      <c r="J254" s="18">
        <f>IF($F254="",0,$F254)</f>
      </c>
      <c r="K254" s="14"/>
      <c r="L254" s="13"/>
    </row>
    <row r="255" spans="2:12" x14ac:dyDescent="0.25">
      <c r="B255" s="15"/>
      <c r="C255" s="12"/>
      <c r="D255" s="12"/>
      <c r="E255" s="16">
        <f>IFERROR(IF($D255="","",VLOOKUP($D255,'Müşteri Kartları'!$B$5:$C$104,2,FALSE)),"— tanımsız —")</f>
      </c>
      <c r="F255" s="17"/>
      <c r="G255" s="18">
        <f>IFERROR(IF($D255="",0,$F255*Parametreler!$C$4*VLOOKUP($D255,'Müşteri Kartları'!$B$5:$G$104,6,FALSE)),0)</f>
      </c>
      <c r="H255" s="18">
        <f>IF($F255="",0,$F255*Parametreler!$C$5)</f>
      </c>
      <c r="I255" s="19">
        <f>IF($F255="","",$F255-$G255+$H255)</f>
      </c>
      <c r="J255" s="18">
        <f>IF($F255="",0,$F255)</f>
      </c>
      <c r="K255" s="9"/>
      <c r="L255" s="12"/>
    </row>
    <row r="256" spans="2:12" x14ac:dyDescent="0.25">
      <c r="B256" s="20"/>
      <c r="C256" s="13"/>
      <c r="D256" s="13"/>
      <c r="E256" s="16">
        <f>IFERROR(IF($D256="","",VLOOKUP($D256,'Müşteri Kartları'!$B$5:$C$104,2,FALSE)),"— tanımsız —")</f>
      </c>
      <c r="F256" s="21"/>
      <c r="G256" s="18">
        <f>IFERROR(IF($D256="",0,$F256*Parametreler!$C$4*VLOOKUP($D256,'Müşteri Kartları'!$B$5:$G$104,6,FALSE)),0)</f>
      </c>
      <c r="H256" s="18">
        <f>IF($F256="",0,$F256*Parametreler!$C$5)</f>
      </c>
      <c r="I256" s="19">
        <f>IF($F256="","",$F256-$G256+$H256)</f>
      </c>
      <c r="J256" s="18">
        <f>IF($F256="",0,$F256)</f>
      </c>
      <c r="K256" s="14"/>
      <c r="L256" s="13"/>
    </row>
    <row r="257" spans="2:12" x14ac:dyDescent="0.25">
      <c r="B257" s="15"/>
      <c r="C257" s="12"/>
      <c r="D257" s="12"/>
      <c r="E257" s="16">
        <f>IFERROR(IF($D257="","",VLOOKUP($D257,'Müşteri Kartları'!$B$5:$C$104,2,FALSE)),"— tanımsız —")</f>
      </c>
      <c r="F257" s="17"/>
      <c r="G257" s="18">
        <f>IFERROR(IF($D257="",0,$F257*Parametreler!$C$4*VLOOKUP($D257,'Müşteri Kartları'!$B$5:$G$104,6,FALSE)),0)</f>
      </c>
      <c r="H257" s="18">
        <f>IF($F257="",0,$F257*Parametreler!$C$5)</f>
      </c>
      <c r="I257" s="19">
        <f>IF($F257="","",$F257-$G257+$H257)</f>
      </c>
      <c r="J257" s="18">
        <f>IF($F257="",0,$F257)</f>
      </c>
      <c r="K257" s="9"/>
      <c r="L257" s="12"/>
    </row>
    <row r="258" spans="2:12" x14ac:dyDescent="0.25">
      <c r="B258" s="20"/>
      <c r="C258" s="13"/>
      <c r="D258" s="13"/>
      <c r="E258" s="16">
        <f>IFERROR(IF($D258="","",VLOOKUP($D258,'Müşteri Kartları'!$B$5:$C$104,2,FALSE)),"— tanımsız —")</f>
      </c>
      <c r="F258" s="21"/>
      <c r="G258" s="18">
        <f>IFERROR(IF($D258="",0,$F258*Parametreler!$C$4*VLOOKUP($D258,'Müşteri Kartları'!$B$5:$G$104,6,FALSE)),0)</f>
      </c>
      <c r="H258" s="18">
        <f>IF($F258="",0,$F258*Parametreler!$C$5)</f>
      </c>
      <c r="I258" s="19">
        <f>IF($F258="","",$F258-$G258+$H258)</f>
      </c>
      <c r="J258" s="18">
        <f>IF($F258="",0,$F258)</f>
      </c>
      <c r="K258" s="14"/>
      <c r="L258" s="13"/>
    </row>
    <row r="259" spans="2:12" x14ac:dyDescent="0.25">
      <c r="B259" s="15"/>
      <c r="C259" s="12"/>
      <c r="D259" s="12"/>
      <c r="E259" s="16">
        <f>IFERROR(IF($D259="","",VLOOKUP($D259,'Müşteri Kartları'!$B$5:$C$104,2,FALSE)),"— tanımsız —")</f>
      </c>
      <c r="F259" s="17"/>
      <c r="G259" s="18">
        <f>IFERROR(IF($D259="",0,$F259*Parametreler!$C$4*VLOOKUP($D259,'Müşteri Kartları'!$B$5:$G$104,6,FALSE)),0)</f>
      </c>
      <c r="H259" s="18">
        <f>IF($F259="",0,$F259*Parametreler!$C$5)</f>
      </c>
      <c r="I259" s="19">
        <f>IF($F259="","",$F259-$G259+$H259)</f>
      </c>
      <c r="J259" s="18">
        <f>IF($F259="",0,$F259)</f>
      </c>
      <c r="K259" s="9"/>
      <c r="L259" s="12"/>
    </row>
    <row r="260" spans="2:12" x14ac:dyDescent="0.25">
      <c r="B260" s="20"/>
      <c r="C260" s="13"/>
      <c r="D260" s="13"/>
      <c r="E260" s="16">
        <f>IFERROR(IF($D260="","",VLOOKUP($D260,'Müşteri Kartları'!$B$5:$C$104,2,FALSE)),"— tanımsız —")</f>
      </c>
      <c r="F260" s="21"/>
      <c r="G260" s="18">
        <f>IFERROR(IF($D260="",0,$F260*Parametreler!$C$4*VLOOKUP($D260,'Müşteri Kartları'!$B$5:$G$104,6,FALSE)),0)</f>
      </c>
      <c r="H260" s="18">
        <f>IF($F260="",0,$F260*Parametreler!$C$5)</f>
      </c>
      <c r="I260" s="19">
        <f>IF($F260="","",$F260-$G260+$H260)</f>
      </c>
      <c r="J260" s="18">
        <f>IF($F260="",0,$F260)</f>
      </c>
      <c r="K260" s="14"/>
      <c r="L260" s="13"/>
    </row>
    <row r="261" spans="2:12" x14ac:dyDescent="0.25">
      <c r="B261" s="15"/>
      <c r="C261" s="12"/>
      <c r="D261" s="12"/>
      <c r="E261" s="16">
        <f>IFERROR(IF($D261="","",VLOOKUP($D261,'Müşteri Kartları'!$B$5:$C$104,2,FALSE)),"— tanımsız —")</f>
      </c>
      <c r="F261" s="17"/>
      <c r="G261" s="18">
        <f>IFERROR(IF($D261="",0,$F261*Parametreler!$C$4*VLOOKUP($D261,'Müşteri Kartları'!$B$5:$G$104,6,FALSE)),0)</f>
      </c>
      <c r="H261" s="18">
        <f>IF($F261="",0,$F261*Parametreler!$C$5)</f>
      </c>
      <c r="I261" s="19">
        <f>IF($F261="","",$F261-$G261+$H261)</f>
      </c>
      <c r="J261" s="18">
        <f>IF($F261="",0,$F261)</f>
      </c>
      <c r="K261" s="9"/>
      <c r="L261" s="12"/>
    </row>
    <row r="262" spans="2:12" x14ac:dyDescent="0.25">
      <c r="B262" s="20"/>
      <c r="C262" s="13"/>
      <c r="D262" s="13"/>
      <c r="E262" s="16">
        <f>IFERROR(IF($D262="","",VLOOKUP($D262,'Müşteri Kartları'!$B$5:$C$104,2,FALSE)),"— tanımsız —")</f>
      </c>
      <c r="F262" s="21"/>
      <c r="G262" s="18">
        <f>IFERROR(IF($D262="",0,$F262*Parametreler!$C$4*VLOOKUP($D262,'Müşteri Kartları'!$B$5:$G$104,6,FALSE)),0)</f>
      </c>
      <c r="H262" s="18">
        <f>IF($F262="",0,$F262*Parametreler!$C$5)</f>
      </c>
      <c r="I262" s="19">
        <f>IF($F262="","",$F262-$G262+$H262)</f>
      </c>
      <c r="J262" s="18">
        <f>IF($F262="",0,$F262)</f>
      </c>
      <c r="K262" s="14"/>
      <c r="L262" s="13"/>
    </row>
    <row r="263" spans="2:12" x14ac:dyDescent="0.25">
      <c r="B263" s="15"/>
      <c r="C263" s="12"/>
      <c r="D263" s="12"/>
      <c r="E263" s="16">
        <f>IFERROR(IF($D263="","",VLOOKUP($D263,'Müşteri Kartları'!$B$5:$C$104,2,FALSE)),"— tanımsız —")</f>
      </c>
      <c r="F263" s="17"/>
      <c r="G263" s="18">
        <f>IFERROR(IF($D263="",0,$F263*Parametreler!$C$4*VLOOKUP($D263,'Müşteri Kartları'!$B$5:$G$104,6,FALSE)),0)</f>
      </c>
      <c r="H263" s="18">
        <f>IF($F263="",0,$F263*Parametreler!$C$5)</f>
      </c>
      <c r="I263" s="19">
        <f>IF($F263="","",$F263-$G263+$H263)</f>
      </c>
      <c r="J263" s="18">
        <f>IF($F263="",0,$F263)</f>
      </c>
      <c r="K263" s="9"/>
      <c r="L263" s="12"/>
    </row>
    <row r="264" spans="2:12" x14ac:dyDescent="0.25">
      <c r="B264" s="20"/>
      <c r="C264" s="13"/>
      <c r="D264" s="13"/>
      <c r="E264" s="16">
        <f>IFERROR(IF($D264="","",VLOOKUP($D264,'Müşteri Kartları'!$B$5:$C$104,2,FALSE)),"— tanımsız —")</f>
      </c>
      <c r="F264" s="21"/>
      <c r="G264" s="18">
        <f>IFERROR(IF($D264="",0,$F264*Parametreler!$C$4*VLOOKUP($D264,'Müşteri Kartları'!$B$5:$G$104,6,FALSE)),0)</f>
      </c>
      <c r="H264" s="18">
        <f>IF($F264="",0,$F264*Parametreler!$C$5)</f>
      </c>
      <c r="I264" s="19">
        <f>IF($F264="","",$F264-$G264+$H264)</f>
      </c>
      <c r="J264" s="18">
        <f>IF($F264="",0,$F264)</f>
      </c>
      <c r="K264" s="14"/>
      <c r="L264" s="13"/>
    </row>
    <row r="265" spans="2:12" x14ac:dyDescent="0.25">
      <c r="B265" s="15"/>
      <c r="C265" s="12"/>
      <c r="D265" s="12"/>
      <c r="E265" s="16">
        <f>IFERROR(IF($D265="","",VLOOKUP($D265,'Müşteri Kartları'!$B$5:$C$104,2,FALSE)),"— tanımsız —")</f>
      </c>
      <c r="F265" s="17"/>
      <c r="G265" s="18">
        <f>IFERROR(IF($D265="",0,$F265*Parametreler!$C$4*VLOOKUP($D265,'Müşteri Kartları'!$B$5:$G$104,6,FALSE)),0)</f>
      </c>
      <c r="H265" s="18">
        <f>IF($F265="",0,$F265*Parametreler!$C$5)</f>
      </c>
      <c r="I265" s="19">
        <f>IF($F265="","",$F265-$G265+$H265)</f>
      </c>
      <c r="J265" s="18">
        <f>IF($F265="",0,$F265)</f>
      </c>
      <c r="K265" s="9"/>
      <c r="L265" s="12"/>
    </row>
    <row r="266" spans="2:12" x14ac:dyDescent="0.25">
      <c r="B266" s="20"/>
      <c r="C266" s="13"/>
      <c r="D266" s="13"/>
      <c r="E266" s="16">
        <f>IFERROR(IF($D266="","",VLOOKUP($D266,'Müşteri Kartları'!$B$5:$C$104,2,FALSE)),"— tanımsız —")</f>
      </c>
      <c r="F266" s="21"/>
      <c r="G266" s="18">
        <f>IFERROR(IF($D266="",0,$F266*Parametreler!$C$4*VLOOKUP($D266,'Müşteri Kartları'!$B$5:$G$104,6,FALSE)),0)</f>
      </c>
      <c r="H266" s="18">
        <f>IF($F266="",0,$F266*Parametreler!$C$5)</f>
      </c>
      <c r="I266" s="19">
        <f>IF($F266="","",$F266-$G266+$H266)</f>
      </c>
      <c r="J266" s="18">
        <f>IF($F266="",0,$F266)</f>
      </c>
      <c r="K266" s="14"/>
      <c r="L266" s="13"/>
    </row>
    <row r="267" spans="2:12" x14ac:dyDescent="0.25">
      <c r="B267" s="15"/>
      <c r="C267" s="12"/>
      <c r="D267" s="12"/>
      <c r="E267" s="16">
        <f>IFERROR(IF($D267="","",VLOOKUP($D267,'Müşteri Kartları'!$B$5:$C$104,2,FALSE)),"— tanımsız —")</f>
      </c>
      <c r="F267" s="17"/>
      <c r="G267" s="18">
        <f>IFERROR(IF($D267="",0,$F267*Parametreler!$C$4*VLOOKUP($D267,'Müşteri Kartları'!$B$5:$G$104,6,FALSE)),0)</f>
      </c>
      <c r="H267" s="18">
        <f>IF($F267="",0,$F267*Parametreler!$C$5)</f>
      </c>
      <c r="I267" s="19">
        <f>IF($F267="","",$F267-$G267+$H267)</f>
      </c>
      <c r="J267" s="18">
        <f>IF($F267="",0,$F267)</f>
      </c>
      <c r="K267" s="9"/>
      <c r="L267" s="12"/>
    </row>
    <row r="268" spans="2:12" x14ac:dyDescent="0.25">
      <c r="B268" s="20"/>
      <c r="C268" s="13"/>
      <c r="D268" s="13"/>
      <c r="E268" s="16">
        <f>IFERROR(IF($D268="","",VLOOKUP($D268,'Müşteri Kartları'!$B$5:$C$104,2,FALSE)),"— tanımsız —")</f>
      </c>
      <c r="F268" s="21"/>
      <c r="G268" s="18">
        <f>IFERROR(IF($D268="",0,$F268*Parametreler!$C$4*VLOOKUP($D268,'Müşteri Kartları'!$B$5:$G$104,6,FALSE)),0)</f>
      </c>
      <c r="H268" s="18">
        <f>IF($F268="",0,$F268*Parametreler!$C$5)</f>
      </c>
      <c r="I268" s="19">
        <f>IF($F268="","",$F268-$G268+$H268)</f>
      </c>
      <c r="J268" s="18">
        <f>IF($F268="",0,$F268)</f>
      </c>
      <c r="K268" s="14"/>
      <c r="L268" s="13"/>
    </row>
    <row r="269" spans="2:12" x14ac:dyDescent="0.25">
      <c r="B269" s="15"/>
      <c r="C269" s="12"/>
      <c r="D269" s="12"/>
      <c r="E269" s="16">
        <f>IFERROR(IF($D269="","",VLOOKUP($D269,'Müşteri Kartları'!$B$5:$C$104,2,FALSE)),"— tanımsız —")</f>
      </c>
      <c r="F269" s="17"/>
      <c r="G269" s="18">
        <f>IFERROR(IF($D269="",0,$F269*Parametreler!$C$4*VLOOKUP($D269,'Müşteri Kartları'!$B$5:$G$104,6,FALSE)),0)</f>
      </c>
      <c r="H269" s="18">
        <f>IF($F269="",0,$F269*Parametreler!$C$5)</f>
      </c>
      <c r="I269" s="19">
        <f>IF($F269="","",$F269-$G269+$H269)</f>
      </c>
      <c r="J269" s="18">
        <f>IF($F269="",0,$F269)</f>
      </c>
      <c r="K269" s="9"/>
      <c r="L269" s="12"/>
    </row>
    <row r="270" spans="2:12" x14ac:dyDescent="0.25">
      <c r="B270" s="20"/>
      <c r="C270" s="13"/>
      <c r="D270" s="13"/>
      <c r="E270" s="16">
        <f>IFERROR(IF($D270="","",VLOOKUP($D270,'Müşteri Kartları'!$B$5:$C$104,2,FALSE)),"— tanımsız —")</f>
      </c>
      <c r="F270" s="21"/>
      <c r="G270" s="18">
        <f>IFERROR(IF($D270="",0,$F270*Parametreler!$C$4*VLOOKUP($D270,'Müşteri Kartları'!$B$5:$G$104,6,FALSE)),0)</f>
      </c>
      <c r="H270" s="18">
        <f>IF($F270="",0,$F270*Parametreler!$C$5)</f>
      </c>
      <c r="I270" s="19">
        <f>IF($F270="","",$F270-$G270+$H270)</f>
      </c>
      <c r="J270" s="18">
        <f>IF($F270="",0,$F270)</f>
      </c>
      <c r="K270" s="14"/>
      <c r="L270" s="13"/>
    </row>
    <row r="271" spans="2:12" x14ac:dyDescent="0.25">
      <c r="B271" s="15"/>
      <c r="C271" s="12"/>
      <c r="D271" s="12"/>
      <c r="E271" s="16">
        <f>IFERROR(IF($D271="","",VLOOKUP($D271,'Müşteri Kartları'!$B$5:$C$104,2,FALSE)),"— tanımsız —")</f>
      </c>
      <c r="F271" s="17"/>
      <c r="G271" s="18">
        <f>IFERROR(IF($D271="",0,$F271*Parametreler!$C$4*VLOOKUP($D271,'Müşteri Kartları'!$B$5:$G$104,6,FALSE)),0)</f>
      </c>
      <c r="H271" s="18">
        <f>IF($F271="",0,$F271*Parametreler!$C$5)</f>
      </c>
      <c r="I271" s="19">
        <f>IF($F271="","",$F271-$G271+$H271)</f>
      </c>
      <c r="J271" s="18">
        <f>IF($F271="",0,$F271)</f>
      </c>
      <c r="K271" s="9"/>
      <c r="L271" s="12"/>
    </row>
    <row r="272" spans="2:12" x14ac:dyDescent="0.25">
      <c r="B272" s="20"/>
      <c r="C272" s="13"/>
      <c r="D272" s="13"/>
      <c r="E272" s="16">
        <f>IFERROR(IF($D272="","",VLOOKUP($D272,'Müşteri Kartları'!$B$5:$C$104,2,FALSE)),"— tanımsız —")</f>
      </c>
      <c r="F272" s="21"/>
      <c r="G272" s="18">
        <f>IFERROR(IF($D272="",0,$F272*Parametreler!$C$4*VLOOKUP($D272,'Müşteri Kartları'!$B$5:$G$104,6,FALSE)),0)</f>
      </c>
      <c r="H272" s="18">
        <f>IF($F272="",0,$F272*Parametreler!$C$5)</f>
      </c>
      <c r="I272" s="19">
        <f>IF($F272="","",$F272-$G272+$H272)</f>
      </c>
      <c r="J272" s="18">
        <f>IF($F272="",0,$F272)</f>
      </c>
      <c r="K272" s="14"/>
      <c r="L272" s="13"/>
    </row>
    <row r="273" spans="2:12" x14ac:dyDescent="0.25">
      <c r="B273" s="15"/>
      <c r="C273" s="12"/>
      <c r="D273" s="12"/>
      <c r="E273" s="16">
        <f>IFERROR(IF($D273="","",VLOOKUP($D273,'Müşteri Kartları'!$B$5:$C$104,2,FALSE)),"— tanımsız —")</f>
      </c>
      <c r="F273" s="17"/>
      <c r="G273" s="18">
        <f>IFERROR(IF($D273="",0,$F273*Parametreler!$C$4*VLOOKUP($D273,'Müşteri Kartları'!$B$5:$G$104,6,FALSE)),0)</f>
      </c>
      <c r="H273" s="18">
        <f>IF($F273="",0,$F273*Parametreler!$C$5)</f>
      </c>
      <c r="I273" s="19">
        <f>IF($F273="","",$F273-$G273+$H273)</f>
      </c>
      <c r="J273" s="18">
        <f>IF($F273="",0,$F273)</f>
      </c>
      <c r="K273" s="9"/>
      <c r="L273" s="12"/>
    </row>
    <row r="274" spans="2:12" x14ac:dyDescent="0.25">
      <c r="B274" s="20"/>
      <c r="C274" s="13"/>
      <c r="D274" s="13"/>
      <c r="E274" s="16">
        <f>IFERROR(IF($D274="","",VLOOKUP($D274,'Müşteri Kartları'!$B$5:$C$104,2,FALSE)),"— tanımsız —")</f>
      </c>
      <c r="F274" s="21"/>
      <c r="G274" s="18">
        <f>IFERROR(IF($D274="",0,$F274*Parametreler!$C$4*VLOOKUP($D274,'Müşteri Kartları'!$B$5:$G$104,6,FALSE)),0)</f>
      </c>
      <c r="H274" s="18">
        <f>IF($F274="",0,$F274*Parametreler!$C$5)</f>
      </c>
      <c r="I274" s="19">
        <f>IF($F274="","",$F274-$G274+$H274)</f>
      </c>
      <c r="J274" s="18">
        <f>IF($F274="",0,$F274)</f>
      </c>
      <c r="K274" s="14"/>
      <c r="L274" s="13"/>
    </row>
    <row r="275" spans="2:12" x14ac:dyDescent="0.25">
      <c r="B275" s="15"/>
      <c r="C275" s="12"/>
      <c r="D275" s="12"/>
      <c r="E275" s="16">
        <f>IFERROR(IF($D275="","",VLOOKUP($D275,'Müşteri Kartları'!$B$5:$C$104,2,FALSE)),"— tanımsız —")</f>
      </c>
      <c r="F275" s="17"/>
      <c r="G275" s="18">
        <f>IFERROR(IF($D275="",0,$F275*Parametreler!$C$4*VLOOKUP($D275,'Müşteri Kartları'!$B$5:$G$104,6,FALSE)),0)</f>
      </c>
      <c r="H275" s="18">
        <f>IF($F275="",0,$F275*Parametreler!$C$5)</f>
      </c>
      <c r="I275" s="19">
        <f>IF($F275="","",$F275-$G275+$H275)</f>
      </c>
      <c r="J275" s="18">
        <f>IF($F275="",0,$F275)</f>
      </c>
      <c r="K275" s="9"/>
      <c r="L275" s="12"/>
    </row>
    <row r="276" spans="2:12" x14ac:dyDescent="0.25">
      <c r="B276" s="20"/>
      <c r="C276" s="13"/>
      <c r="D276" s="13"/>
      <c r="E276" s="16">
        <f>IFERROR(IF($D276="","",VLOOKUP($D276,'Müşteri Kartları'!$B$5:$C$104,2,FALSE)),"— tanımsız —")</f>
      </c>
      <c r="F276" s="21"/>
      <c r="G276" s="18">
        <f>IFERROR(IF($D276="",0,$F276*Parametreler!$C$4*VLOOKUP($D276,'Müşteri Kartları'!$B$5:$G$104,6,FALSE)),0)</f>
      </c>
      <c r="H276" s="18">
        <f>IF($F276="",0,$F276*Parametreler!$C$5)</f>
      </c>
      <c r="I276" s="19">
        <f>IF($F276="","",$F276-$G276+$H276)</f>
      </c>
      <c r="J276" s="18">
        <f>IF($F276="",0,$F276)</f>
      </c>
      <c r="K276" s="14"/>
      <c r="L276" s="13"/>
    </row>
    <row r="277" spans="2:12" x14ac:dyDescent="0.25">
      <c r="B277" s="15"/>
      <c r="C277" s="12"/>
      <c r="D277" s="12"/>
      <c r="E277" s="16">
        <f>IFERROR(IF($D277="","",VLOOKUP($D277,'Müşteri Kartları'!$B$5:$C$104,2,FALSE)),"— tanımsız —")</f>
      </c>
      <c r="F277" s="17"/>
      <c r="G277" s="18">
        <f>IFERROR(IF($D277="",0,$F277*Parametreler!$C$4*VLOOKUP($D277,'Müşteri Kartları'!$B$5:$G$104,6,FALSE)),0)</f>
      </c>
      <c r="H277" s="18">
        <f>IF($F277="",0,$F277*Parametreler!$C$5)</f>
      </c>
      <c r="I277" s="19">
        <f>IF($F277="","",$F277-$G277+$H277)</f>
      </c>
      <c r="J277" s="18">
        <f>IF($F277="",0,$F277)</f>
      </c>
      <c r="K277" s="9"/>
      <c r="L277" s="12"/>
    </row>
    <row r="278" spans="2:12" x14ac:dyDescent="0.25">
      <c r="B278" s="20"/>
      <c r="C278" s="13"/>
      <c r="D278" s="13"/>
      <c r="E278" s="16">
        <f>IFERROR(IF($D278="","",VLOOKUP($D278,'Müşteri Kartları'!$B$5:$C$104,2,FALSE)),"— tanımsız —")</f>
      </c>
      <c r="F278" s="21"/>
      <c r="G278" s="18">
        <f>IFERROR(IF($D278="",0,$F278*Parametreler!$C$4*VLOOKUP($D278,'Müşteri Kartları'!$B$5:$G$104,6,FALSE)),0)</f>
      </c>
      <c r="H278" s="18">
        <f>IF($F278="",0,$F278*Parametreler!$C$5)</f>
      </c>
      <c r="I278" s="19">
        <f>IF($F278="","",$F278-$G278+$H278)</f>
      </c>
      <c r="J278" s="18">
        <f>IF($F278="",0,$F278)</f>
      </c>
      <c r="K278" s="14"/>
      <c r="L278" s="13"/>
    </row>
    <row r="279" spans="2:12" x14ac:dyDescent="0.25">
      <c r="B279" s="15"/>
      <c r="C279" s="12"/>
      <c r="D279" s="12"/>
      <c r="E279" s="16">
        <f>IFERROR(IF($D279="","",VLOOKUP($D279,'Müşteri Kartları'!$B$5:$C$104,2,FALSE)),"— tanımsız —")</f>
      </c>
      <c r="F279" s="17"/>
      <c r="G279" s="18">
        <f>IFERROR(IF($D279="",0,$F279*Parametreler!$C$4*VLOOKUP($D279,'Müşteri Kartları'!$B$5:$G$104,6,FALSE)),0)</f>
      </c>
      <c r="H279" s="18">
        <f>IF($F279="",0,$F279*Parametreler!$C$5)</f>
      </c>
      <c r="I279" s="19">
        <f>IF($F279="","",$F279-$G279+$H279)</f>
      </c>
      <c r="J279" s="18">
        <f>IF($F279="",0,$F279)</f>
      </c>
      <c r="K279" s="9"/>
      <c r="L279" s="12"/>
    </row>
    <row r="280" spans="2:12" x14ac:dyDescent="0.25">
      <c r="B280" s="20"/>
      <c r="C280" s="13"/>
      <c r="D280" s="13"/>
      <c r="E280" s="16">
        <f>IFERROR(IF($D280="","",VLOOKUP($D280,'Müşteri Kartları'!$B$5:$C$104,2,FALSE)),"— tanımsız —")</f>
      </c>
      <c r="F280" s="21"/>
      <c r="G280" s="18">
        <f>IFERROR(IF($D280="",0,$F280*Parametreler!$C$4*VLOOKUP($D280,'Müşteri Kartları'!$B$5:$G$104,6,FALSE)),0)</f>
      </c>
      <c r="H280" s="18">
        <f>IF($F280="",0,$F280*Parametreler!$C$5)</f>
      </c>
      <c r="I280" s="19">
        <f>IF($F280="","",$F280-$G280+$H280)</f>
      </c>
      <c r="J280" s="18">
        <f>IF($F280="",0,$F280)</f>
      </c>
      <c r="K280" s="14"/>
      <c r="L280" s="13"/>
    </row>
    <row r="281" spans="2:12" x14ac:dyDescent="0.25">
      <c r="B281" s="15"/>
      <c r="C281" s="12"/>
      <c r="D281" s="12"/>
      <c r="E281" s="16">
        <f>IFERROR(IF($D281="","",VLOOKUP($D281,'Müşteri Kartları'!$B$5:$C$104,2,FALSE)),"— tanımsız —")</f>
      </c>
      <c r="F281" s="17"/>
      <c r="G281" s="18">
        <f>IFERROR(IF($D281="",0,$F281*Parametreler!$C$4*VLOOKUP($D281,'Müşteri Kartları'!$B$5:$G$104,6,FALSE)),0)</f>
      </c>
      <c r="H281" s="18">
        <f>IF($F281="",0,$F281*Parametreler!$C$5)</f>
      </c>
      <c r="I281" s="19">
        <f>IF($F281="","",$F281-$G281+$H281)</f>
      </c>
      <c r="J281" s="18">
        <f>IF($F281="",0,$F281)</f>
      </c>
      <c r="K281" s="9"/>
      <c r="L281" s="12"/>
    </row>
    <row r="282" spans="2:12" x14ac:dyDescent="0.25">
      <c r="B282" s="20"/>
      <c r="C282" s="13"/>
      <c r="D282" s="13"/>
      <c r="E282" s="16">
        <f>IFERROR(IF($D282="","",VLOOKUP($D282,'Müşteri Kartları'!$B$5:$C$104,2,FALSE)),"— tanımsız —")</f>
      </c>
      <c r="F282" s="21"/>
      <c r="G282" s="18">
        <f>IFERROR(IF($D282="",0,$F282*Parametreler!$C$4*VLOOKUP($D282,'Müşteri Kartları'!$B$5:$G$104,6,FALSE)),0)</f>
      </c>
      <c r="H282" s="18">
        <f>IF($F282="",0,$F282*Parametreler!$C$5)</f>
      </c>
      <c r="I282" s="19">
        <f>IF($F282="","",$F282-$G282+$H282)</f>
      </c>
      <c r="J282" s="18">
        <f>IF($F282="",0,$F282)</f>
      </c>
      <c r="K282" s="14"/>
      <c r="L282" s="13"/>
    </row>
    <row r="283" spans="2:12" x14ac:dyDescent="0.25">
      <c r="B283" s="15"/>
      <c r="C283" s="12"/>
      <c r="D283" s="12"/>
      <c r="E283" s="16">
        <f>IFERROR(IF($D283="","",VLOOKUP($D283,'Müşteri Kartları'!$B$5:$C$104,2,FALSE)),"— tanımsız —")</f>
      </c>
      <c r="F283" s="17"/>
      <c r="G283" s="18">
        <f>IFERROR(IF($D283="",0,$F283*Parametreler!$C$4*VLOOKUP($D283,'Müşteri Kartları'!$B$5:$G$104,6,FALSE)),0)</f>
      </c>
      <c r="H283" s="18">
        <f>IF($F283="",0,$F283*Parametreler!$C$5)</f>
      </c>
      <c r="I283" s="19">
        <f>IF($F283="","",$F283-$G283+$H283)</f>
      </c>
      <c r="J283" s="18">
        <f>IF($F283="",0,$F283)</f>
      </c>
      <c r="K283" s="9"/>
      <c r="L283" s="12"/>
    </row>
    <row r="284" spans="2:12" x14ac:dyDescent="0.25">
      <c r="B284" s="20"/>
      <c r="C284" s="13"/>
      <c r="D284" s="13"/>
      <c r="E284" s="16">
        <f>IFERROR(IF($D284="","",VLOOKUP($D284,'Müşteri Kartları'!$B$5:$C$104,2,FALSE)),"— tanımsız —")</f>
      </c>
      <c r="F284" s="21"/>
      <c r="G284" s="18">
        <f>IFERROR(IF($D284="",0,$F284*Parametreler!$C$4*VLOOKUP($D284,'Müşteri Kartları'!$B$5:$G$104,6,FALSE)),0)</f>
      </c>
      <c r="H284" s="18">
        <f>IF($F284="",0,$F284*Parametreler!$C$5)</f>
      </c>
      <c r="I284" s="19">
        <f>IF($F284="","",$F284-$G284+$H284)</f>
      </c>
      <c r="J284" s="18">
        <f>IF($F284="",0,$F284)</f>
      </c>
      <c r="K284" s="14"/>
      <c r="L284" s="13"/>
    </row>
    <row r="285" spans="2:12" x14ac:dyDescent="0.25">
      <c r="B285" s="15"/>
      <c r="C285" s="12"/>
      <c r="D285" s="12"/>
      <c r="E285" s="16">
        <f>IFERROR(IF($D285="","",VLOOKUP($D285,'Müşteri Kartları'!$B$5:$C$104,2,FALSE)),"— tanımsız —")</f>
      </c>
      <c r="F285" s="17"/>
      <c r="G285" s="18">
        <f>IFERROR(IF($D285="",0,$F285*Parametreler!$C$4*VLOOKUP($D285,'Müşteri Kartları'!$B$5:$G$104,6,FALSE)),0)</f>
      </c>
      <c r="H285" s="18">
        <f>IF($F285="",0,$F285*Parametreler!$C$5)</f>
      </c>
      <c r="I285" s="19">
        <f>IF($F285="","",$F285-$G285+$H285)</f>
      </c>
      <c r="J285" s="18">
        <f>IF($F285="",0,$F285)</f>
      </c>
      <c r="K285" s="9"/>
      <c r="L285" s="12"/>
    </row>
    <row r="286" spans="2:12" x14ac:dyDescent="0.25">
      <c r="B286" s="20"/>
      <c r="C286" s="13"/>
      <c r="D286" s="13"/>
      <c r="E286" s="16">
        <f>IFERROR(IF($D286="","",VLOOKUP($D286,'Müşteri Kartları'!$B$5:$C$104,2,FALSE)),"— tanımsız —")</f>
      </c>
      <c r="F286" s="21"/>
      <c r="G286" s="18">
        <f>IFERROR(IF($D286="",0,$F286*Parametreler!$C$4*VLOOKUP($D286,'Müşteri Kartları'!$B$5:$G$104,6,FALSE)),0)</f>
      </c>
      <c r="H286" s="18">
        <f>IF($F286="",0,$F286*Parametreler!$C$5)</f>
      </c>
      <c r="I286" s="19">
        <f>IF($F286="","",$F286-$G286+$H286)</f>
      </c>
      <c r="J286" s="18">
        <f>IF($F286="",0,$F286)</f>
      </c>
      <c r="K286" s="14"/>
      <c r="L286" s="13"/>
    </row>
    <row r="287" spans="2:12" x14ac:dyDescent="0.25">
      <c r="B287" s="15"/>
      <c r="C287" s="12"/>
      <c r="D287" s="12"/>
      <c r="E287" s="16">
        <f>IFERROR(IF($D287="","",VLOOKUP($D287,'Müşteri Kartları'!$B$5:$C$104,2,FALSE)),"— tanımsız —")</f>
      </c>
      <c r="F287" s="17"/>
      <c r="G287" s="18">
        <f>IFERROR(IF($D287="",0,$F287*Parametreler!$C$4*VLOOKUP($D287,'Müşteri Kartları'!$B$5:$G$104,6,FALSE)),0)</f>
      </c>
      <c r="H287" s="18">
        <f>IF($F287="",0,$F287*Parametreler!$C$5)</f>
      </c>
      <c r="I287" s="19">
        <f>IF($F287="","",$F287-$G287+$H287)</f>
      </c>
      <c r="J287" s="18">
        <f>IF($F287="",0,$F287)</f>
      </c>
      <c r="K287" s="9"/>
      <c r="L287" s="12"/>
    </row>
    <row r="288" spans="2:12" x14ac:dyDescent="0.25">
      <c r="B288" s="20"/>
      <c r="C288" s="13"/>
      <c r="D288" s="13"/>
      <c r="E288" s="16">
        <f>IFERROR(IF($D288="","",VLOOKUP($D288,'Müşteri Kartları'!$B$5:$C$104,2,FALSE)),"— tanımsız —")</f>
      </c>
      <c r="F288" s="21"/>
      <c r="G288" s="18">
        <f>IFERROR(IF($D288="",0,$F288*Parametreler!$C$4*VLOOKUP($D288,'Müşteri Kartları'!$B$5:$G$104,6,FALSE)),0)</f>
      </c>
      <c r="H288" s="18">
        <f>IF($F288="",0,$F288*Parametreler!$C$5)</f>
      </c>
      <c r="I288" s="19">
        <f>IF($F288="","",$F288-$G288+$H288)</f>
      </c>
      <c r="J288" s="18">
        <f>IF($F288="",0,$F288)</f>
      </c>
      <c r="K288" s="14"/>
      <c r="L288" s="13"/>
    </row>
    <row r="289" spans="2:12" x14ac:dyDescent="0.25">
      <c r="B289" s="15"/>
      <c r="C289" s="12"/>
      <c r="D289" s="12"/>
      <c r="E289" s="16">
        <f>IFERROR(IF($D289="","",VLOOKUP($D289,'Müşteri Kartları'!$B$5:$C$104,2,FALSE)),"— tanımsız —")</f>
      </c>
      <c r="F289" s="17"/>
      <c r="G289" s="18">
        <f>IFERROR(IF($D289="",0,$F289*Parametreler!$C$4*VLOOKUP($D289,'Müşteri Kartları'!$B$5:$G$104,6,FALSE)),0)</f>
      </c>
      <c r="H289" s="18">
        <f>IF($F289="",0,$F289*Parametreler!$C$5)</f>
      </c>
      <c r="I289" s="19">
        <f>IF($F289="","",$F289-$G289+$H289)</f>
      </c>
      <c r="J289" s="18">
        <f>IF($F289="",0,$F289)</f>
      </c>
      <c r="K289" s="9"/>
      <c r="L289" s="12"/>
    </row>
    <row r="290" spans="2:12" x14ac:dyDescent="0.25">
      <c r="B290" s="20"/>
      <c r="C290" s="13"/>
      <c r="D290" s="13"/>
      <c r="E290" s="16">
        <f>IFERROR(IF($D290="","",VLOOKUP($D290,'Müşteri Kartları'!$B$5:$C$104,2,FALSE)),"— tanımsız —")</f>
      </c>
      <c r="F290" s="21"/>
      <c r="G290" s="18">
        <f>IFERROR(IF($D290="",0,$F290*Parametreler!$C$4*VLOOKUP($D290,'Müşteri Kartları'!$B$5:$G$104,6,FALSE)),0)</f>
      </c>
      <c r="H290" s="18">
        <f>IF($F290="",0,$F290*Parametreler!$C$5)</f>
      </c>
      <c r="I290" s="19">
        <f>IF($F290="","",$F290-$G290+$H290)</f>
      </c>
      <c r="J290" s="18">
        <f>IF($F290="",0,$F290)</f>
      </c>
      <c r="K290" s="14"/>
      <c r="L290" s="13"/>
    </row>
    <row r="291" spans="2:12" x14ac:dyDescent="0.25">
      <c r="B291" s="15"/>
      <c r="C291" s="12"/>
      <c r="D291" s="12"/>
      <c r="E291" s="16">
        <f>IFERROR(IF($D291="","",VLOOKUP($D291,'Müşteri Kartları'!$B$5:$C$104,2,FALSE)),"— tanımsız —")</f>
      </c>
      <c r="F291" s="17"/>
      <c r="G291" s="18">
        <f>IFERROR(IF($D291="",0,$F291*Parametreler!$C$4*VLOOKUP($D291,'Müşteri Kartları'!$B$5:$G$104,6,FALSE)),0)</f>
      </c>
      <c r="H291" s="18">
        <f>IF($F291="",0,$F291*Parametreler!$C$5)</f>
      </c>
      <c r="I291" s="19">
        <f>IF($F291="","",$F291-$G291+$H291)</f>
      </c>
      <c r="J291" s="18">
        <f>IF($F291="",0,$F291)</f>
      </c>
      <c r="K291" s="9"/>
      <c r="L291" s="12"/>
    </row>
    <row r="292" spans="2:12" x14ac:dyDescent="0.25">
      <c r="B292" s="20"/>
      <c r="C292" s="13"/>
      <c r="D292" s="13"/>
      <c r="E292" s="16">
        <f>IFERROR(IF($D292="","",VLOOKUP($D292,'Müşteri Kartları'!$B$5:$C$104,2,FALSE)),"— tanımsız —")</f>
      </c>
      <c r="F292" s="21"/>
      <c r="G292" s="18">
        <f>IFERROR(IF($D292="",0,$F292*Parametreler!$C$4*VLOOKUP($D292,'Müşteri Kartları'!$B$5:$G$104,6,FALSE)),0)</f>
      </c>
      <c r="H292" s="18">
        <f>IF($F292="",0,$F292*Parametreler!$C$5)</f>
      </c>
      <c r="I292" s="19">
        <f>IF($F292="","",$F292-$G292+$H292)</f>
      </c>
      <c r="J292" s="18">
        <f>IF($F292="",0,$F292)</f>
      </c>
      <c r="K292" s="14"/>
      <c r="L292" s="13"/>
    </row>
    <row r="293" spans="2:12" x14ac:dyDescent="0.25">
      <c r="B293" s="15"/>
      <c r="C293" s="12"/>
      <c r="D293" s="12"/>
      <c r="E293" s="16">
        <f>IFERROR(IF($D293="","",VLOOKUP($D293,'Müşteri Kartları'!$B$5:$C$104,2,FALSE)),"— tanımsız —")</f>
      </c>
      <c r="F293" s="17"/>
      <c r="G293" s="18">
        <f>IFERROR(IF($D293="",0,$F293*Parametreler!$C$4*VLOOKUP($D293,'Müşteri Kartları'!$B$5:$G$104,6,FALSE)),0)</f>
      </c>
      <c r="H293" s="18">
        <f>IF($F293="",0,$F293*Parametreler!$C$5)</f>
      </c>
      <c r="I293" s="19">
        <f>IF($F293="","",$F293-$G293+$H293)</f>
      </c>
      <c r="J293" s="18">
        <f>IF($F293="",0,$F293)</f>
      </c>
      <c r="K293" s="9"/>
      <c r="L293" s="12"/>
    </row>
    <row r="294" spans="2:12" x14ac:dyDescent="0.25">
      <c r="B294" s="20"/>
      <c r="C294" s="13"/>
      <c r="D294" s="13"/>
      <c r="E294" s="16">
        <f>IFERROR(IF($D294="","",VLOOKUP($D294,'Müşteri Kartları'!$B$5:$C$104,2,FALSE)),"— tanımsız —")</f>
      </c>
      <c r="F294" s="21"/>
      <c r="G294" s="18">
        <f>IFERROR(IF($D294="",0,$F294*Parametreler!$C$4*VLOOKUP($D294,'Müşteri Kartları'!$B$5:$G$104,6,FALSE)),0)</f>
      </c>
      <c r="H294" s="18">
        <f>IF($F294="",0,$F294*Parametreler!$C$5)</f>
      </c>
      <c r="I294" s="19">
        <f>IF($F294="","",$F294-$G294+$H294)</f>
      </c>
      <c r="J294" s="18">
        <f>IF($F294="",0,$F294)</f>
      </c>
      <c r="K294" s="14"/>
      <c r="L294" s="13"/>
    </row>
    <row r="295" spans="2:12" x14ac:dyDescent="0.25">
      <c r="B295" s="15"/>
      <c r="C295" s="12"/>
      <c r="D295" s="12"/>
      <c r="E295" s="16">
        <f>IFERROR(IF($D295="","",VLOOKUP($D295,'Müşteri Kartları'!$B$5:$C$104,2,FALSE)),"— tanımsız —")</f>
      </c>
      <c r="F295" s="17"/>
      <c r="G295" s="18">
        <f>IFERROR(IF($D295="",0,$F295*Parametreler!$C$4*VLOOKUP($D295,'Müşteri Kartları'!$B$5:$G$104,6,FALSE)),0)</f>
      </c>
      <c r="H295" s="18">
        <f>IF($F295="",0,$F295*Parametreler!$C$5)</f>
      </c>
      <c r="I295" s="19">
        <f>IF($F295="","",$F295-$G295+$H295)</f>
      </c>
      <c r="J295" s="18">
        <f>IF($F295="",0,$F295)</f>
      </c>
      <c r="K295" s="9"/>
      <c r="L295" s="12"/>
    </row>
    <row r="296" spans="2:12" x14ac:dyDescent="0.25">
      <c r="B296" s="20"/>
      <c r="C296" s="13"/>
      <c r="D296" s="13"/>
      <c r="E296" s="16">
        <f>IFERROR(IF($D296="","",VLOOKUP($D296,'Müşteri Kartları'!$B$5:$C$104,2,FALSE)),"— tanımsız —")</f>
      </c>
      <c r="F296" s="21"/>
      <c r="G296" s="18">
        <f>IFERROR(IF($D296="",0,$F296*Parametreler!$C$4*VLOOKUP($D296,'Müşteri Kartları'!$B$5:$G$104,6,FALSE)),0)</f>
      </c>
      <c r="H296" s="18">
        <f>IF($F296="",0,$F296*Parametreler!$C$5)</f>
      </c>
      <c r="I296" s="19">
        <f>IF($F296="","",$F296-$G296+$H296)</f>
      </c>
      <c r="J296" s="18">
        <f>IF($F296="",0,$F296)</f>
      </c>
      <c r="K296" s="14"/>
      <c r="L296" s="13"/>
    </row>
    <row r="297" spans="2:12" x14ac:dyDescent="0.25">
      <c r="B297" s="15"/>
      <c r="C297" s="12"/>
      <c r="D297" s="12"/>
      <c r="E297" s="16">
        <f>IFERROR(IF($D297="","",VLOOKUP($D297,'Müşteri Kartları'!$B$5:$C$104,2,FALSE)),"— tanımsız —")</f>
      </c>
      <c r="F297" s="17"/>
      <c r="G297" s="18">
        <f>IFERROR(IF($D297="",0,$F297*Parametreler!$C$4*VLOOKUP($D297,'Müşteri Kartları'!$B$5:$G$104,6,FALSE)),0)</f>
      </c>
      <c r="H297" s="18">
        <f>IF($F297="",0,$F297*Parametreler!$C$5)</f>
      </c>
      <c r="I297" s="19">
        <f>IF($F297="","",$F297-$G297+$H297)</f>
      </c>
      <c r="J297" s="18">
        <f>IF($F297="",0,$F297)</f>
      </c>
      <c r="K297" s="9"/>
      <c r="L297" s="12"/>
    </row>
    <row r="298" spans="2:12" x14ac:dyDescent="0.25">
      <c r="B298" s="20"/>
      <c r="C298" s="13"/>
      <c r="D298" s="13"/>
      <c r="E298" s="16">
        <f>IFERROR(IF($D298="","",VLOOKUP($D298,'Müşteri Kartları'!$B$5:$C$104,2,FALSE)),"— tanımsız —")</f>
      </c>
      <c r="F298" s="21"/>
      <c r="G298" s="18">
        <f>IFERROR(IF($D298="",0,$F298*Parametreler!$C$4*VLOOKUP($D298,'Müşteri Kartları'!$B$5:$G$104,6,FALSE)),0)</f>
      </c>
      <c r="H298" s="18">
        <f>IF($F298="",0,$F298*Parametreler!$C$5)</f>
      </c>
      <c r="I298" s="19">
        <f>IF($F298="","",$F298-$G298+$H298)</f>
      </c>
      <c r="J298" s="18">
        <f>IF($F298="",0,$F298)</f>
      </c>
      <c r="K298" s="14"/>
      <c r="L298" s="13"/>
    </row>
    <row r="299" spans="2:12" x14ac:dyDescent="0.25">
      <c r="B299" s="15"/>
      <c r="C299" s="12"/>
      <c r="D299" s="12"/>
      <c r="E299" s="16">
        <f>IFERROR(IF($D299="","",VLOOKUP($D299,'Müşteri Kartları'!$B$5:$C$104,2,FALSE)),"— tanımsız —")</f>
      </c>
      <c r="F299" s="17"/>
      <c r="G299" s="18">
        <f>IFERROR(IF($D299="",0,$F299*Parametreler!$C$4*VLOOKUP($D299,'Müşteri Kartları'!$B$5:$G$104,6,FALSE)),0)</f>
      </c>
      <c r="H299" s="18">
        <f>IF($F299="",0,$F299*Parametreler!$C$5)</f>
      </c>
      <c r="I299" s="19">
        <f>IF($F299="","",$F299-$G299+$H299)</f>
      </c>
      <c r="J299" s="18">
        <f>IF($F299="",0,$F299)</f>
      </c>
      <c r="K299" s="9"/>
      <c r="L299" s="12"/>
    </row>
    <row r="300" spans="2:12" x14ac:dyDescent="0.25">
      <c r="B300" s="20"/>
      <c r="C300" s="13"/>
      <c r="D300" s="13"/>
      <c r="E300" s="16">
        <f>IFERROR(IF($D300="","",VLOOKUP($D300,'Müşteri Kartları'!$B$5:$C$104,2,FALSE)),"— tanımsız —")</f>
      </c>
      <c r="F300" s="21"/>
      <c r="G300" s="18">
        <f>IFERROR(IF($D300="",0,$F300*Parametreler!$C$4*VLOOKUP($D300,'Müşteri Kartları'!$B$5:$G$104,6,FALSE)),0)</f>
      </c>
      <c r="H300" s="18">
        <f>IF($F300="",0,$F300*Parametreler!$C$5)</f>
      </c>
      <c r="I300" s="19">
        <f>IF($F300="","",$F300-$G300+$H300)</f>
      </c>
      <c r="J300" s="18">
        <f>IF($F300="",0,$F300)</f>
      </c>
      <c r="K300" s="14"/>
      <c r="L300" s="13"/>
    </row>
    <row r="301" spans="2:12" x14ac:dyDescent="0.25">
      <c r="B301" s="15"/>
      <c r="C301" s="12"/>
      <c r="D301" s="12"/>
      <c r="E301" s="16">
        <f>IFERROR(IF($D301="","",VLOOKUP($D301,'Müşteri Kartları'!$B$5:$C$104,2,FALSE)),"— tanımsız —")</f>
      </c>
      <c r="F301" s="17"/>
      <c r="G301" s="18">
        <f>IFERROR(IF($D301="",0,$F301*Parametreler!$C$4*VLOOKUP($D301,'Müşteri Kartları'!$B$5:$G$104,6,FALSE)),0)</f>
      </c>
      <c r="H301" s="18">
        <f>IF($F301="",0,$F301*Parametreler!$C$5)</f>
      </c>
      <c r="I301" s="19">
        <f>IF($F301="","",$F301-$G301+$H301)</f>
      </c>
      <c r="J301" s="18">
        <f>IF($F301="",0,$F301)</f>
      </c>
      <c r="K301" s="9"/>
      <c r="L301" s="12"/>
    </row>
    <row r="302" spans="2:12" x14ac:dyDescent="0.25">
      <c r="B302" s="20"/>
      <c r="C302" s="13"/>
      <c r="D302" s="13"/>
      <c r="E302" s="16">
        <f>IFERROR(IF($D302="","",VLOOKUP($D302,'Müşteri Kartları'!$B$5:$C$104,2,FALSE)),"— tanımsız —")</f>
      </c>
      <c r="F302" s="21"/>
      <c r="G302" s="18">
        <f>IFERROR(IF($D302="",0,$F302*Parametreler!$C$4*VLOOKUP($D302,'Müşteri Kartları'!$B$5:$G$104,6,FALSE)),0)</f>
      </c>
      <c r="H302" s="18">
        <f>IF($F302="",0,$F302*Parametreler!$C$5)</f>
      </c>
      <c r="I302" s="19">
        <f>IF($F302="","",$F302-$G302+$H302)</f>
      </c>
      <c r="J302" s="18">
        <f>IF($F302="",0,$F302)</f>
      </c>
      <c r="K302" s="14"/>
      <c r="L302" s="13"/>
    </row>
    <row r="303" spans="2:12" x14ac:dyDescent="0.25">
      <c r="B303" s="15"/>
      <c r="C303" s="12"/>
      <c r="D303" s="12"/>
      <c r="E303" s="16">
        <f>IFERROR(IF($D303="","",VLOOKUP($D303,'Müşteri Kartları'!$B$5:$C$104,2,FALSE)),"— tanımsız —")</f>
      </c>
      <c r="F303" s="17"/>
      <c r="G303" s="18">
        <f>IFERROR(IF($D303="",0,$F303*Parametreler!$C$4*VLOOKUP($D303,'Müşteri Kartları'!$B$5:$G$104,6,FALSE)),0)</f>
      </c>
      <c r="H303" s="18">
        <f>IF($F303="",0,$F303*Parametreler!$C$5)</f>
      </c>
      <c r="I303" s="19">
        <f>IF($F303="","",$F303-$G303+$H303)</f>
      </c>
      <c r="J303" s="18">
        <f>IF($F303="",0,$F303)</f>
      </c>
      <c r="K303" s="9"/>
      <c r="L303" s="12"/>
    </row>
    <row r="304" spans="2:12" x14ac:dyDescent="0.25">
      <c r="B304" s="20"/>
      <c r="C304" s="13"/>
      <c r="D304" s="13"/>
      <c r="E304" s="16">
        <f>IFERROR(IF($D304="","",VLOOKUP($D304,'Müşteri Kartları'!$B$5:$C$104,2,FALSE)),"— tanımsız —")</f>
      </c>
      <c r="F304" s="21"/>
      <c r="G304" s="18">
        <f>IFERROR(IF($D304="",0,$F304*Parametreler!$C$4*VLOOKUP($D304,'Müşteri Kartları'!$B$5:$G$104,6,FALSE)),0)</f>
      </c>
      <c r="H304" s="18">
        <f>IF($F304="",0,$F304*Parametreler!$C$5)</f>
      </c>
      <c r="I304" s="19">
        <f>IF($F304="","",$F304-$G304+$H304)</f>
      </c>
      <c r="J304" s="18">
        <f>IF($F304="",0,$F304)</f>
      </c>
      <c r="K304" s="14"/>
      <c r="L304" s="13"/>
    </row>
    <row r="305" spans="2:12" x14ac:dyDescent="0.25">
      <c r="B305" s="15"/>
      <c r="C305" s="12"/>
      <c r="D305" s="12"/>
      <c r="E305" s="16">
        <f>IFERROR(IF($D305="","",VLOOKUP($D305,'Müşteri Kartları'!$B$5:$C$104,2,FALSE)),"— tanımsız —")</f>
      </c>
      <c r="F305" s="17"/>
      <c r="G305" s="18">
        <f>IFERROR(IF($D305="",0,$F305*Parametreler!$C$4*VLOOKUP($D305,'Müşteri Kartları'!$B$5:$G$104,6,FALSE)),0)</f>
      </c>
      <c r="H305" s="18">
        <f>IF($F305="",0,$F305*Parametreler!$C$5)</f>
      </c>
      <c r="I305" s="19">
        <f>IF($F305="","",$F305-$G305+$H305)</f>
      </c>
      <c r="J305" s="18">
        <f>IF($F305="",0,$F305)</f>
      </c>
      <c r="K305" s="9"/>
      <c r="L305" s="12"/>
    </row>
    <row r="306" spans="2:12" x14ac:dyDescent="0.25">
      <c r="B306" s="20"/>
      <c r="C306" s="13"/>
      <c r="D306" s="13"/>
      <c r="E306" s="16">
        <f>IFERROR(IF($D306="","",VLOOKUP($D306,'Müşteri Kartları'!$B$5:$C$104,2,FALSE)),"— tanımsız —")</f>
      </c>
      <c r="F306" s="21"/>
      <c r="G306" s="18">
        <f>IFERROR(IF($D306="",0,$F306*Parametreler!$C$4*VLOOKUP($D306,'Müşteri Kartları'!$B$5:$G$104,6,FALSE)),0)</f>
      </c>
      <c r="H306" s="18">
        <f>IF($F306="",0,$F306*Parametreler!$C$5)</f>
      </c>
      <c r="I306" s="19">
        <f>IF($F306="","",$F306-$G306+$H306)</f>
      </c>
      <c r="J306" s="18">
        <f>IF($F306="",0,$F306)</f>
      </c>
      <c r="K306" s="14"/>
      <c r="L306" s="13"/>
    </row>
    <row r="307" spans="2:12" x14ac:dyDescent="0.25">
      <c r="B307" s="15"/>
      <c r="C307" s="12"/>
      <c r="D307" s="12"/>
      <c r="E307" s="16">
        <f>IFERROR(IF($D307="","",VLOOKUP($D307,'Müşteri Kartları'!$B$5:$C$104,2,FALSE)),"— tanımsız —")</f>
      </c>
      <c r="F307" s="17"/>
      <c r="G307" s="18">
        <f>IFERROR(IF($D307="",0,$F307*Parametreler!$C$4*VLOOKUP($D307,'Müşteri Kartları'!$B$5:$G$104,6,FALSE)),0)</f>
      </c>
      <c r="H307" s="18">
        <f>IF($F307="",0,$F307*Parametreler!$C$5)</f>
      </c>
      <c r="I307" s="19">
        <f>IF($F307="","",$F307-$G307+$H307)</f>
      </c>
      <c r="J307" s="18">
        <f>IF($F307="",0,$F307)</f>
      </c>
      <c r="K307" s="9"/>
      <c r="L307" s="12"/>
    </row>
    <row r="308" spans="2:12" x14ac:dyDescent="0.25">
      <c r="B308" s="20"/>
      <c r="C308" s="13"/>
      <c r="D308" s="13"/>
      <c r="E308" s="16">
        <f>IFERROR(IF($D308="","",VLOOKUP($D308,'Müşteri Kartları'!$B$5:$C$104,2,FALSE)),"— tanımsız —")</f>
      </c>
      <c r="F308" s="21"/>
      <c r="G308" s="18">
        <f>IFERROR(IF($D308="",0,$F308*Parametreler!$C$4*VLOOKUP($D308,'Müşteri Kartları'!$B$5:$G$104,6,FALSE)),0)</f>
      </c>
      <c r="H308" s="18">
        <f>IF($F308="",0,$F308*Parametreler!$C$5)</f>
      </c>
      <c r="I308" s="19">
        <f>IF($F308="","",$F308-$G308+$H308)</f>
      </c>
      <c r="J308" s="18">
        <f>IF($F308="",0,$F308)</f>
      </c>
      <c r="K308" s="14"/>
      <c r="L308" s="13"/>
    </row>
    <row r="309" spans="2:12" x14ac:dyDescent="0.25">
      <c r="B309" s="15"/>
      <c r="C309" s="12"/>
      <c r="D309" s="12"/>
      <c r="E309" s="16">
        <f>IFERROR(IF($D309="","",VLOOKUP($D309,'Müşteri Kartları'!$B$5:$C$104,2,FALSE)),"— tanımsız —")</f>
      </c>
      <c r="F309" s="17"/>
      <c r="G309" s="18">
        <f>IFERROR(IF($D309="",0,$F309*Parametreler!$C$4*VLOOKUP($D309,'Müşteri Kartları'!$B$5:$G$104,6,FALSE)),0)</f>
      </c>
      <c r="H309" s="18">
        <f>IF($F309="",0,$F309*Parametreler!$C$5)</f>
      </c>
      <c r="I309" s="19">
        <f>IF($F309="","",$F309-$G309+$H309)</f>
      </c>
      <c r="J309" s="18">
        <f>IF($F309="",0,$F309)</f>
      </c>
      <c r="K309" s="9"/>
      <c r="L309" s="12"/>
    </row>
    <row r="310" spans="2:12" x14ac:dyDescent="0.25">
      <c r="B310" s="20"/>
      <c r="C310" s="13"/>
      <c r="D310" s="13"/>
      <c r="E310" s="16">
        <f>IFERROR(IF($D310="","",VLOOKUP($D310,'Müşteri Kartları'!$B$5:$C$104,2,FALSE)),"— tanımsız —")</f>
      </c>
      <c r="F310" s="21"/>
      <c r="G310" s="18">
        <f>IFERROR(IF($D310="",0,$F310*Parametreler!$C$4*VLOOKUP($D310,'Müşteri Kartları'!$B$5:$G$104,6,FALSE)),0)</f>
      </c>
      <c r="H310" s="18">
        <f>IF($F310="",0,$F310*Parametreler!$C$5)</f>
      </c>
      <c r="I310" s="19">
        <f>IF($F310="","",$F310-$G310+$H310)</f>
      </c>
      <c r="J310" s="18">
        <f>IF($F310="",0,$F310)</f>
      </c>
      <c r="K310" s="14"/>
      <c r="L310" s="13"/>
    </row>
    <row r="311" spans="2:12" x14ac:dyDescent="0.25">
      <c r="B311" s="15"/>
      <c r="C311" s="12"/>
      <c r="D311" s="12"/>
      <c r="E311" s="16">
        <f>IFERROR(IF($D311="","",VLOOKUP($D311,'Müşteri Kartları'!$B$5:$C$104,2,FALSE)),"— tanımsız —")</f>
      </c>
      <c r="F311" s="17"/>
      <c r="G311" s="18">
        <f>IFERROR(IF($D311="",0,$F311*Parametreler!$C$4*VLOOKUP($D311,'Müşteri Kartları'!$B$5:$G$104,6,FALSE)),0)</f>
      </c>
      <c r="H311" s="18">
        <f>IF($F311="",0,$F311*Parametreler!$C$5)</f>
      </c>
      <c r="I311" s="19">
        <f>IF($F311="","",$F311-$G311+$H311)</f>
      </c>
      <c r="J311" s="18">
        <f>IF($F311="",0,$F311)</f>
      </c>
      <c r="K311" s="9"/>
      <c r="L311" s="12"/>
    </row>
    <row r="312" spans="2:12" x14ac:dyDescent="0.25">
      <c r="B312" s="20"/>
      <c r="C312" s="13"/>
      <c r="D312" s="13"/>
      <c r="E312" s="16">
        <f>IFERROR(IF($D312="","",VLOOKUP($D312,'Müşteri Kartları'!$B$5:$C$104,2,FALSE)),"— tanımsız —")</f>
      </c>
      <c r="F312" s="21"/>
      <c r="G312" s="18">
        <f>IFERROR(IF($D312="",0,$F312*Parametreler!$C$4*VLOOKUP($D312,'Müşteri Kartları'!$B$5:$G$104,6,FALSE)),0)</f>
      </c>
      <c r="H312" s="18">
        <f>IF($F312="",0,$F312*Parametreler!$C$5)</f>
      </c>
      <c r="I312" s="19">
        <f>IF($F312="","",$F312-$G312+$H312)</f>
      </c>
      <c r="J312" s="18">
        <f>IF($F312="",0,$F312)</f>
      </c>
      <c r="K312" s="14"/>
      <c r="L312" s="13"/>
    </row>
    <row r="313" spans="2:12" x14ac:dyDescent="0.25">
      <c r="B313" s="15"/>
      <c r="C313" s="12"/>
      <c r="D313" s="12"/>
      <c r="E313" s="16">
        <f>IFERROR(IF($D313="","",VLOOKUP($D313,'Müşteri Kartları'!$B$5:$C$104,2,FALSE)),"— tanımsız —")</f>
      </c>
      <c r="F313" s="17"/>
      <c r="G313" s="18">
        <f>IFERROR(IF($D313="",0,$F313*Parametreler!$C$4*VLOOKUP($D313,'Müşteri Kartları'!$B$5:$G$104,6,FALSE)),0)</f>
      </c>
      <c r="H313" s="18">
        <f>IF($F313="",0,$F313*Parametreler!$C$5)</f>
      </c>
      <c r="I313" s="19">
        <f>IF($F313="","",$F313-$G313+$H313)</f>
      </c>
      <c r="J313" s="18">
        <f>IF($F313="",0,$F313)</f>
      </c>
      <c r="K313" s="9"/>
      <c r="L313" s="12"/>
    </row>
    <row r="314" spans="2:12" x14ac:dyDescent="0.25">
      <c r="B314" s="20"/>
      <c r="C314" s="13"/>
      <c r="D314" s="13"/>
      <c r="E314" s="16">
        <f>IFERROR(IF($D314="","",VLOOKUP($D314,'Müşteri Kartları'!$B$5:$C$104,2,FALSE)),"— tanımsız —")</f>
      </c>
      <c r="F314" s="21"/>
      <c r="G314" s="18">
        <f>IFERROR(IF($D314="",0,$F314*Parametreler!$C$4*VLOOKUP($D314,'Müşteri Kartları'!$B$5:$G$104,6,FALSE)),0)</f>
      </c>
      <c r="H314" s="18">
        <f>IF($F314="",0,$F314*Parametreler!$C$5)</f>
      </c>
      <c r="I314" s="19">
        <f>IF($F314="","",$F314-$G314+$H314)</f>
      </c>
      <c r="J314" s="18">
        <f>IF($F314="",0,$F314)</f>
      </c>
      <c r="K314" s="14"/>
      <c r="L314" s="13"/>
    </row>
    <row r="315" spans="2:12" x14ac:dyDescent="0.25">
      <c r="B315" s="15"/>
      <c r="C315" s="12"/>
      <c r="D315" s="12"/>
      <c r="E315" s="16">
        <f>IFERROR(IF($D315="","",VLOOKUP($D315,'Müşteri Kartları'!$B$5:$C$104,2,FALSE)),"— tanımsız —")</f>
      </c>
      <c r="F315" s="17"/>
      <c r="G315" s="18">
        <f>IFERROR(IF($D315="",0,$F315*Parametreler!$C$4*VLOOKUP($D315,'Müşteri Kartları'!$B$5:$G$104,6,FALSE)),0)</f>
      </c>
      <c r="H315" s="18">
        <f>IF($F315="",0,$F315*Parametreler!$C$5)</f>
      </c>
      <c r="I315" s="19">
        <f>IF($F315="","",$F315-$G315+$H315)</f>
      </c>
      <c r="J315" s="18">
        <f>IF($F315="",0,$F315)</f>
      </c>
      <c r="K315" s="9"/>
      <c r="L315" s="12"/>
    </row>
    <row r="316" spans="2:12" x14ac:dyDescent="0.25">
      <c r="B316" s="20"/>
      <c r="C316" s="13"/>
      <c r="D316" s="13"/>
      <c r="E316" s="16">
        <f>IFERROR(IF($D316="","",VLOOKUP($D316,'Müşteri Kartları'!$B$5:$C$104,2,FALSE)),"— tanımsız —")</f>
      </c>
      <c r="F316" s="21"/>
      <c r="G316" s="18">
        <f>IFERROR(IF($D316="",0,$F316*Parametreler!$C$4*VLOOKUP($D316,'Müşteri Kartları'!$B$5:$G$104,6,FALSE)),0)</f>
      </c>
      <c r="H316" s="18">
        <f>IF($F316="",0,$F316*Parametreler!$C$5)</f>
      </c>
      <c r="I316" s="19">
        <f>IF($F316="","",$F316-$G316+$H316)</f>
      </c>
      <c r="J316" s="18">
        <f>IF($F316="",0,$F316)</f>
      </c>
      <c r="K316" s="14"/>
      <c r="L316" s="13"/>
    </row>
    <row r="317" spans="2:12" x14ac:dyDescent="0.25">
      <c r="B317" s="15"/>
      <c r="C317" s="12"/>
      <c r="D317" s="12"/>
      <c r="E317" s="16">
        <f>IFERROR(IF($D317="","",VLOOKUP($D317,'Müşteri Kartları'!$B$5:$C$104,2,FALSE)),"— tanımsız —")</f>
      </c>
      <c r="F317" s="17"/>
      <c r="G317" s="18">
        <f>IFERROR(IF($D317="",0,$F317*Parametreler!$C$4*VLOOKUP($D317,'Müşteri Kartları'!$B$5:$G$104,6,FALSE)),0)</f>
      </c>
      <c r="H317" s="18">
        <f>IF($F317="",0,$F317*Parametreler!$C$5)</f>
      </c>
      <c r="I317" s="19">
        <f>IF($F317="","",$F317-$G317+$H317)</f>
      </c>
      <c r="J317" s="18">
        <f>IF($F317="",0,$F317)</f>
      </c>
      <c r="K317" s="9"/>
      <c r="L317" s="12"/>
    </row>
    <row r="318" spans="2:12" x14ac:dyDescent="0.25">
      <c r="B318" s="20"/>
      <c r="C318" s="13"/>
      <c r="D318" s="13"/>
      <c r="E318" s="16">
        <f>IFERROR(IF($D318="","",VLOOKUP($D318,'Müşteri Kartları'!$B$5:$C$104,2,FALSE)),"— tanımsız —")</f>
      </c>
      <c r="F318" s="21"/>
      <c r="G318" s="18">
        <f>IFERROR(IF($D318="",0,$F318*Parametreler!$C$4*VLOOKUP($D318,'Müşteri Kartları'!$B$5:$G$104,6,FALSE)),0)</f>
      </c>
      <c r="H318" s="18">
        <f>IF($F318="",0,$F318*Parametreler!$C$5)</f>
      </c>
      <c r="I318" s="19">
        <f>IF($F318="","",$F318-$G318+$H318)</f>
      </c>
      <c r="J318" s="18">
        <f>IF($F318="",0,$F318)</f>
      </c>
      <c r="K318" s="14"/>
      <c r="L318" s="13"/>
    </row>
    <row r="319" spans="2:12" x14ac:dyDescent="0.25">
      <c r="B319" s="15"/>
      <c r="C319" s="12"/>
      <c r="D319" s="12"/>
      <c r="E319" s="16">
        <f>IFERROR(IF($D319="","",VLOOKUP($D319,'Müşteri Kartları'!$B$5:$C$104,2,FALSE)),"— tanımsız —")</f>
      </c>
      <c r="F319" s="17"/>
      <c r="G319" s="18">
        <f>IFERROR(IF($D319="",0,$F319*Parametreler!$C$4*VLOOKUP($D319,'Müşteri Kartları'!$B$5:$G$104,6,FALSE)),0)</f>
      </c>
      <c r="H319" s="18">
        <f>IF($F319="",0,$F319*Parametreler!$C$5)</f>
      </c>
      <c r="I319" s="19">
        <f>IF($F319="","",$F319-$G319+$H319)</f>
      </c>
      <c r="J319" s="18">
        <f>IF($F319="",0,$F319)</f>
      </c>
      <c r="K319" s="9"/>
      <c r="L319" s="12"/>
    </row>
    <row r="320" spans="2:12" x14ac:dyDescent="0.25">
      <c r="B320" s="20"/>
      <c r="C320" s="13"/>
      <c r="D320" s="13"/>
      <c r="E320" s="16">
        <f>IFERROR(IF($D320="","",VLOOKUP($D320,'Müşteri Kartları'!$B$5:$C$104,2,FALSE)),"— tanımsız —")</f>
      </c>
      <c r="F320" s="21"/>
      <c r="G320" s="18">
        <f>IFERROR(IF($D320="",0,$F320*Parametreler!$C$4*VLOOKUP($D320,'Müşteri Kartları'!$B$5:$G$104,6,FALSE)),0)</f>
      </c>
      <c r="H320" s="18">
        <f>IF($F320="",0,$F320*Parametreler!$C$5)</f>
      </c>
      <c r="I320" s="19">
        <f>IF($F320="","",$F320-$G320+$H320)</f>
      </c>
      <c r="J320" s="18">
        <f>IF($F320="",0,$F320)</f>
      </c>
      <c r="K320" s="14"/>
      <c r="L320" s="13"/>
    </row>
    <row r="321" spans="2:12" x14ac:dyDescent="0.25">
      <c r="B321" s="15"/>
      <c r="C321" s="12"/>
      <c r="D321" s="12"/>
      <c r="E321" s="16">
        <f>IFERROR(IF($D321="","",VLOOKUP($D321,'Müşteri Kartları'!$B$5:$C$104,2,FALSE)),"— tanımsız —")</f>
      </c>
      <c r="F321" s="17"/>
      <c r="G321" s="18">
        <f>IFERROR(IF($D321="",0,$F321*Parametreler!$C$4*VLOOKUP($D321,'Müşteri Kartları'!$B$5:$G$104,6,FALSE)),0)</f>
      </c>
      <c r="H321" s="18">
        <f>IF($F321="",0,$F321*Parametreler!$C$5)</f>
      </c>
      <c r="I321" s="19">
        <f>IF($F321="","",$F321-$G321+$H321)</f>
      </c>
      <c r="J321" s="18">
        <f>IF($F321="",0,$F321)</f>
      </c>
      <c r="K321" s="9"/>
      <c r="L321" s="12"/>
    </row>
    <row r="322" spans="2:12" x14ac:dyDescent="0.25">
      <c r="B322" s="20"/>
      <c r="C322" s="13"/>
      <c r="D322" s="13"/>
      <c r="E322" s="16">
        <f>IFERROR(IF($D322="","",VLOOKUP($D322,'Müşteri Kartları'!$B$5:$C$104,2,FALSE)),"— tanımsız —")</f>
      </c>
      <c r="F322" s="21"/>
      <c r="G322" s="18">
        <f>IFERROR(IF($D322="",0,$F322*Parametreler!$C$4*VLOOKUP($D322,'Müşteri Kartları'!$B$5:$G$104,6,FALSE)),0)</f>
      </c>
      <c r="H322" s="18">
        <f>IF($F322="",0,$F322*Parametreler!$C$5)</f>
      </c>
      <c r="I322" s="19">
        <f>IF($F322="","",$F322-$G322+$H322)</f>
      </c>
      <c r="J322" s="18">
        <f>IF($F322="",0,$F322)</f>
      </c>
      <c r="K322" s="14"/>
      <c r="L322" s="13"/>
    </row>
    <row r="323" spans="2:12" x14ac:dyDescent="0.25">
      <c r="B323" s="15"/>
      <c r="C323" s="12"/>
      <c r="D323" s="12"/>
      <c r="E323" s="16">
        <f>IFERROR(IF($D323="","",VLOOKUP($D323,'Müşteri Kartları'!$B$5:$C$104,2,FALSE)),"— tanımsız —")</f>
      </c>
      <c r="F323" s="17"/>
      <c r="G323" s="18">
        <f>IFERROR(IF($D323="",0,$F323*Parametreler!$C$4*VLOOKUP($D323,'Müşteri Kartları'!$B$5:$G$104,6,FALSE)),0)</f>
      </c>
      <c r="H323" s="18">
        <f>IF($F323="",0,$F323*Parametreler!$C$5)</f>
      </c>
      <c r="I323" s="19">
        <f>IF($F323="","",$F323-$G323+$H323)</f>
      </c>
      <c r="J323" s="18">
        <f>IF($F323="",0,$F323)</f>
      </c>
      <c r="K323" s="9"/>
      <c r="L323" s="12"/>
    </row>
    <row r="324" spans="2:12" x14ac:dyDescent="0.25">
      <c r="B324" s="20"/>
      <c r="C324" s="13"/>
      <c r="D324" s="13"/>
      <c r="E324" s="16">
        <f>IFERROR(IF($D324="","",VLOOKUP($D324,'Müşteri Kartları'!$B$5:$C$104,2,FALSE)),"— tanımsız —")</f>
      </c>
      <c r="F324" s="21"/>
      <c r="G324" s="18">
        <f>IFERROR(IF($D324="",0,$F324*Parametreler!$C$4*VLOOKUP($D324,'Müşteri Kartları'!$B$5:$G$104,6,FALSE)),0)</f>
      </c>
      <c r="H324" s="18">
        <f>IF($F324="",0,$F324*Parametreler!$C$5)</f>
      </c>
      <c r="I324" s="19">
        <f>IF($F324="","",$F324-$G324+$H324)</f>
      </c>
      <c r="J324" s="18">
        <f>IF($F324="",0,$F324)</f>
      </c>
      <c r="K324" s="14"/>
      <c r="L324" s="13"/>
    </row>
    <row r="325" spans="2:12" x14ac:dyDescent="0.25">
      <c r="B325" s="15"/>
      <c r="C325" s="12"/>
      <c r="D325" s="12"/>
      <c r="E325" s="16">
        <f>IFERROR(IF($D325="","",VLOOKUP($D325,'Müşteri Kartları'!$B$5:$C$104,2,FALSE)),"— tanımsız —")</f>
      </c>
      <c r="F325" s="17"/>
      <c r="G325" s="18">
        <f>IFERROR(IF($D325="",0,$F325*Parametreler!$C$4*VLOOKUP($D325,'Müşteri Kartları'!$B$5:$G$104,6,FALSE)),0)</f>
      </c>
      <c r="H325" s="18">
        <f>IF($F325="",0,$F325*Parametreler!$C$5)</f>
      </c>
      <c r="I325" s="19">
        <f>IF($F325="","",$F325-$G325+$H325)</f>
      </c>
      <c r="J325" s="18">
        <f>IF($F325="",0,$F325)</f>
      </c>
      <c r="K325" s="9"/>
      <c r="L325" s="12"/>
    </row>
    <row r="326" spans="2:12" x14ac:dyDescent="0.25">
      <c r="B326" s="20"/>
      <c r="C326" s="13"/>
      <c r="D326" s="13"/>
      <c r="E326" s="16">
        <f>IFERROR(IF($D326="","",VLOOKUP($D326,'Müşteri Kartları'!$B$5:$C$104,2,FALSE)),"— tanımsız —")</f>
      </c>
      <c r="F326" s="21"/>
      <c r="G326" s="18">
        <f>IFERROR(IF($D326="",0,$F326*Parametreler!$C$4*VLOOKUP($D326,'Müşteri Kartları'!$B$5:$G$104,6,FALSE)),0)</f>
      </c>
      <c r="H326" s="18">
        <f>IF($F326="",0,$F326*Parametreler!$C$5)</f>
      </c>
      <c r="I326" s="19">
        <f>IF($F326="","",$F326-$G326+$H326)</f>
      </c>
      <c r="J326" s="18">
        <f>IF($F326="",0,$F326)</f>
      </c>
      <c r="K326" s="14"/>
      <c r="L326" s="13"/>
    </row>
    <row r="327" spans="2:12" x14ac:dyDescent="0.25">
      <c r="B327" s="15"/>
      <c r="C327" s="12"/>
      <c r="D327" s="12"/>
      <c r="E327" s="16">
        <f>IFERROR(IF($D327="","",VLOOKUP($D327,'Müşteri Kartları'!$B$5:$C$104,2,FALSE)),"— tanımsız —")</f>
      </c>
      <c r="F327" s="17"/>
      <c r="G327" s="18">
        <f>IFERROR(IF($D327="",0,$F327*Parametreler!$C$4*VLOOKUP($D327,'Müşteri Kartları'!$B$5:$G$104,6,FALSE)),0)</f>
      </c>
      <c r="H327" s="18">
        <f>IF($F327="",0,$F327*Parametreler!$C$5)</f>
      </c>
      <c r="I327" s="19">
        <f>IF($F327="","",$F327-$G327+$H327)</f>
      </c>
      <c r="J327" s="18">
        <f>IF($F327="",0,$F327)</f>
      </c>
      <c r="K327" s="9"/>
      <c r="L327" s="12"/>
    </row>
    <row r="328" spans="2:12" x14ac:dyDescent="0.25">
      <c r="B328" s="20"/>
      <c r="C328" s="13"/>
      <c r="D328" s="13"/>
      <c r="E328" s="16">
        <f>IFERROR(IF($D328="","",VLOOKUP($D328,'Müşteri Kartları'!$B$5:$C$104,2,FALSE)),"— tanımsız —")</f>
      </c>
      <c r="F328" s="21"/>
      <c r="G328" s="18">
        <f>IFERROR(IF($D328="",0,$F328*Parametreler!$C$4*VLOOKUP($D328,'Müşteri Kartları'!$B$5:$G$104,6,FALSE)),0)</f>
      </c>
      <c r="H328" s="18">
        <f>IF($F328="",0,$F328*Parametreler!$C$5)</f>
      </c>
      <c r="I328" s="19">
        <f>IF($F328="","",$F328-$G328+$H328)</f>
      </c>
      <c r="J328" s="18">
        <f>IF($F328="",0,$F328)</f>
      </c>
      <c r="K328" s="14"/>
      <c r="L328" s="13"/>
    </row>
    <row r="329" spans="2:12" x14ac:dyDescent="0.25">
      <c r="B329" s="15"/>
      <c r="C329" s="12"/>
      <c r="D329" s="12"/>
      <c r="E329" s="16">
        <f>IFERROR(IF($D329="","",VLOOKUP($D329,'Müşteri Kartları'!$B$5:$C$104,2,FALSE)),"— tanımsız —")</f>
      </c>
      <c r="F329" s="17"/>
      <c r="G329" s="18">
        <f>IFERROR(IF($D329="",0,$F329*Parametreler!$C$4*VLOOKUP($D329,'Müşteri Kartları'!$B$5:$G$104,6,FALSE)),0)</f>
      </c>
      <c r="H329" s="18">
        <f>IF($F329="",0,$F329*Parametreler!$C$5)</f>
      </c>
      <c r="I329" s="19">
        <f>IF($F329="","",$F329-$G329+$H329)</f>
      </c>
      <c r="J329" s="18">
        <f>IF($F329="",0,$F329)</f>
      </c>
      <c r="K329" s="9"/>
      <c r="L329" s="12"/>
    </row>
    <row r="330" spans="2:12" x14ac:dyDescent="0.25">
      <c r="B330" s="20"/>
      <c r="C330" s="13"/>
      <c r="D330" s="13"/>
      <c r="E330" s="16">
        <f>IFERROR(IF($D330="","",VLOOKUP($D330,'Müşteri Kartları'!$B$5:$C$104,2,FALSE)),"— tanımsız —")</f>
      </c>
      <c r="F330" s="21"/>
      <c r="G330" s="18">
        <f>IFERROR(IF($D330="",0,$F330*Parametreler!$C$4*VLOOKUP($D330,'Müşteri Kartları'!$B$5:$G$104,6,FALSE)),0)</f>
      </c>
      <c r="H330" s="18">
        <f>IF($F330="",0,$F330*Parametreler!$C$5)</f>
      </c>
      <c r="I330" s="19">
        <f>IF($F330="","",$F330-$G330+$H330)</f>
      </c>
      <c r="J330" s="18">
        <f>IF($F330="",0,$F330)</f>
      </c>
      <c r="K330" s="14"/>
      <c r="L330" s="13"/>
    </row>
    <row r="331" spans="2:12" x14ac:dyDescent="0.25">
      <c r="B331" s="15"/>
      <c r="C331" s="12"/>
      <c r="D331" s="12"/>
      <c r="E331" s="16">
        <f>IFERROR(IF($D331="","",VLOOKUP($D331,'Müşteri Kartları'!$B$5:$C$104,2,FALSE)),"— tanımsız —")</f>
      </c>
      <c r="F331" s="17"/>
      <c r="G331" s="18">
        <f>IFERROR(IF($D331="",0,$F331*Parametreler!$C$4*VLOOKUP($D331,'Müşteri Kartları'!$B$5:$G$104,6,FALSE)),0)</f>
      </c>
      <c r="H331" s="18">
        <f>IF($F331="",0,$F331*Parametreler!$C$5)</f>
      </c>
      <c r="I331" s="19">
        <f>IF($F331="","",$F331-$G331+$H331)</f>
      </c>
      <c r="J331" s="18">
        <f>IF($F331="",0,$F331)</f>
      </c>
      <c r="K331" s="9"/>
      <c r="L331" s="12"/>
    </row>
    <row r="332" spans="2:12" x14ac:dyDescent="0.25">
      <c r="B332" s="20"/>
      <c r="C332" s="13"/>
      <c r="D332" s="13"/>
      <c r="E332" s="16">
        <f>IFERROR(IF($D332="","",VLOOKUP($D332,'Müşteri Kartları'!$B$5:$C$104,2,FALSE)),"— tanımsız —")</f>
      </c>
      <c r="F332" s="21"/>
      <c r="G332" s="18">
        <f>IFERROR(IF($D332="",0,$F332*Parametreler!$C$4*VLOOKUP($D332,'Müşteri Kartları'!$B$5:$G$104,6,FALSE)),0)</f>
      </c>
      <c r="H332" s="18">
        <f>IF($F332="",0,$F332*Parametreler!$C$5)</f>
      </c>
      <c r="I332" s="19">
        <f>IF($F332="","",$F332-$G332+$H332)</f>
      </c>
      <c r="J332" s="18">
        <f>IF($F332="",0,$F332)</f>
      </c>
      <c r="K332" s="14"/>
      <c r="L332" s="13"/>
    </row>
    <row r="333" spans="2:12" x14ac:dyDescent="0.25">
      <c r="B333" s="15"/>
      <c r="C333" s="12"/>
      <c r="D333" s="12"/>
      <c r="E333" s="16">
        <f>IFERROR(IF($D333="","",VLOOKUP($D333,'Müşteri Kartları'!$B$5:$C$104,2,FALSE)),"— tanımsız —")</f>
      </c>
      <c r="F333" s="17"/>
      <c r="G333" s="18">
        <f>IFERROR(IF($D333="",0,$F333*Parametreler!$C$4*VLOOKUP($D333,'Müşteri Kartları'!$B$5:$G$104,6,FALSE)),0)</f>
      </c>
      <c r="H333" s="18">
        <f>IF($F333="",0,$F333*Parametreler!$C$5)</f>
      </c>
      <c r="I333" s="19">
        <f>IF($F333="","",$F333-$G333+$H333)</f>
      </c>
      <c r="J333" s="18">
        <f>IF($F333="",0,$F333)</f>
      </c>
      <c r="K333" s="9"/>
      <c r="L333" s="12"/>
    </row>
    <row r="334" spans="2:12" x14ac:dyDescent="0.25">
      <c r="B334" s="20"/>
      <c r="C334" s="13"/>
      <c r="D334" s="13"/>
      <c r="E334" s="16">
        <f>IFERROR(IF($D334="","",VLOOKUP($D334,'Müşteri Kartları'!$B$5:$C$104,2,FALSE)),"— tanımsız —")</f>
      </c>
      <c r="F334" s="21"/>
      <c r="G334" s="18">
        <f>IFERROR(IF($D334="",0,$F334*Parametreler!$C$4*VLOOKUP($D334,'Müşteri Kartları'!$B$5:$G$104,6,FALSE)),0)</f>
      </c>
      <c r="H334" s="18">
        <f>IF($F334="",0,$F334*Parametreler!$C$5)</f>
      </c>
      <c r="I334" s="19">
        <f>IF($F334="","",$F334-$G334+$H334)</f>
      </c>
      <c r="J334" s="18">
        <f>IF($F334="",0,$F334)</f>
      </c>
      <c r="K334" s="14"/>
      <c r="L334" s="13"/>
    </row>
    <row r="335" spans="2:12" x14ac:dyDescent="0.25">
      <c r="B335" s="15"/>
      <c r="C335" s="12"/>
      <c r="D335" s="12"/>
      <c r="E335" s="16">
        <f>IFERROR(IF($D335="","",VLOOKUP($D335,'Müşteri Kartları'!$B$5:$C$104,2,FALSE)),"— tanımsız —")</f>
      </c>
      <c r="F335" s="17"/>
      <c r="G335" s="18">
        <f>IFERROR(IF($D335="",0,$F335*Parametreler!$C$4*VLOOKUP($D335,'Müşteri Kartları'!$B$5:$G$104,6,FALSE)),0)</f>
      </c>
      <c r="H335" s="18">
        <f>IF($F335="",0,$F335*Parametreler!$C$5)</f>
      </c>
      <c r="I335" s="19">
        <f>IF($F335="","",$F335-$G335+$H335)</f>
      </c>
      <c r="J335" s="18">
        <f>IF($F335="",0,$F335)</f>
      </c>
      <c r="K335" s="9"/>
      <c r="L335" s="12"/>
    </row>
    <row r="336" spans="2:12" x14ac:dyDescent="0.25">
      <c r="B336" s="20"/>
      <c r="C336" s="13"/>
      <c r="D336" s="13"/>
      <c r="E336" s="16">
        <f>IFERROR(IF($D336="","",VLOOKUP($D336,'Müşteri Kartları'!$B$5:$C$104,2,FALSE)),"— tanımsız —")</f>
      </c>
      <c r="F336" s="21"/>
      <c r="G336" s="18">
        <f>IFERROR(IF($D336="",0,$F336*Parametreler!$C$4*VLOOKUP($D336,'Müşteri Kartları'!$B$5:$G$104,6,FALSE)),0)</f>
      </c>
      <c r="H336" s="18">
        <f>IF($F336="",0,$F336*Parametreler!$C$5)</f>
      </c>
      <c r="I336" s="19">
        <f>IF($F336="","",$F336-$G336+$H336)</f>
      </c>
      <c r="J336" s="18">
        <f>IF($F336="",0,$F336)</f>
      </c>
      <c r="K336" s="14"/>
      <c r="L336" s="13"/>
    </row>
    <row r="337" spans="2:12" x14ac:dyDescent="0.25">
      <c r="B337" s="15"/>
      <c r="C337" s="12"/>
      <c r="D337" s="12"/>
      <c r="E337" s="16">
        <f>IFERROR(IF($D337="","",VLOOKUP($D337,'Müşteri Kartları'!$B$5:$C$104,2,FALSE)),"— tanımsız —")</f>
      </c>
      <c r="F337" s="17"/>
      <c r="G337" s="18">
        <f>IFERROR(IF($D337="",0,$F337*Parametreler!$C$4*VLOOKUP($D337,'Müşteri Kartları'!$B$5:$G$104,6,FALSE)),0)</f>
      </c>
      <c r="H337" s="18">
        <f>IF($F337="",0,$F337*Parametreler!$C$5)</f>
      </c>
      <c r="I337" s="19">
        <f>IF($F337="","",$F337-$G337+$H337)</f>
      </c>
      <c r="J337" s="18">
        <f>IF($F337="",0,$F337)</f>
      </c>
      <c r="K337" s="9"/>
      <c r="L337" s="12"/>
    </row>
    <row r="338" spans="2:12" x14ac:dyDescent="0.25">
      <c r="B338" s="20"/>
      <c r="C338" s="13"/>
      <c r="D338" s="13"/>
      <c r="E338" s="16">
        <f>IFERROR(IF($D338="","",VLOOKUP($D338,'Müşteri Kartları'!$B$5:$C$104,2,FALSE)),"— tanımsız —")</f>
      </c>
      <c r="F338" s="21"/>
      <c r="G338" s="18">
        <f>IFERROR(IF($D338="",0,$F338*Parametreler!$C$4*VLOOKUP($D338,'Müşteri Kartları'!$B$5:$G$104,6,FALSE)),0)</f>
      </c>
      <c r="H338" s="18">
        <f>IF($F338="",0,$F338*Parametreler!$C$5)</f>
      </c>
      <c r="I338" s="19">
        <f>IF($F338="","",$F338-$G338+$H338)</f>
      </c>
      <c r="J338" s="18">
        <f>IF($F338="",0,$F338)</f>
      </c>
      <c r="K338" s="14"/>
      <c r="L338" s="13"/>
    </row>
    <row r="339" spans="2:12" x14ac:dyDescent="0.25">
      <c r="B339" s="15"/>
      <c r="C339" s="12"/>
      <c r="D339" s="12"/>
      <c r="E339" s="16">
        <f>IFERROR(IF($D339="","",VLOOKUP($D339,'Müşteri Kartları'!$B$5:$C$104,2,FALSE)),"— tanımsız —")</f>
      </c>
      <c r="F339" s="17"/>
      <c r="G339" s="18">
        <f>IFERROR(IF($D339="",0,$F339*Parametreler!$C$4*VLOOKUP($D339,'Müşteri Kartları'!$B$5:$G$104,6,FALSE)),0)</f>
      </c>
      <c r="H339" s="18">
        <f>IF($F339="",0,$F339*Parametreler!$C$5)</f>
      </c>
      <c r="I339" s="19">
        <f>IF($F339="","",$F339-$G339+$H339)</f>
      </c>
      <c r="J339" s="18">
        <f>IF($F339="",0,$F339)</f>
      </c>
      <c r="K339" s="9"/>
      <c r="L339" s="12"/>
    </row>
    <row r="340" spans="2:12" x14ac:dyDescent="0.25">
      <c r="B340" s="20"/>
      <c r="C340" s="13"/>
      <c r="D340" s="13"/>
      <c r="E340" s="16">
        <f>IFERROR(IF($D340="","",VLOOKUP($D340,'Müşteri Kartları'!$B$5:$C$104,2,FALSE)),"— tanımsız —")</f>
      </c>
      <c r="F340" s="21"/>
      <c r="G340" s="18">
        <f>IFERROR(IF($D340="",0,$F340*Parametreler!$C$4*VLOOKUP($D340,'Müşteri Kartları'!$B$5:$G$104,6,FALSE)),0)</f>
      </c>
      <c r="H340" s="18">
        <f>IF($F340="",0,$F340*Parametreler!$C$5)</f>
      </c>
      <c r="I340" s="19">
        <f>IF($F340="","",$F340-$G340+$H340)</f>
      </c>
      <c r="J340" s="18">
        <f>IF($F340="",0,$F340)</f>
      </c>
      <c r="K340" s="14"/>
      <c r="L340" s="13"/>
    </row>
    <row r="341" spans="2:12" x14ac:dyDescent="0.25">
      <c r="B341" s="15"/>
      <c r="C341" s="12"/>
      <c r="D341" s="12"/>
      <c r="E341" s="16">
        <f>IFERROR(IF($D341="","",VLOOKUP($D341,'Müşteri Kartları'!$B$5:$C$104,2,FALSE)),"— tanımsız —")</f>
      </c>
      <c r="F341" s="17"/>
      <c r="G341" s="18">
        <f>IFERROR(IF($D341="",0,$F341*Parametreler!$C$4*VLOOKUP($D341,'Müşteri Kartları'!$B$5:$G$104,6,FALSE)),0)</f>
      </c>
      <c r="H341" s="18">
        <f>IF($F341="",0,$F341*Parametreler!$C$5)</f>
      </c>
      <c r="I341" s="19">
        <f>IF($F341="","",$F341-$G341+$H341)</f>
      </c>
      <c r="J341" s="18">
        <f>IF($F341="",0,$F341)</f>
      </c>
      <c r="K341" s="9"/>
      <c r="L341" s="12"/>
    </row>
    <row r="342" spans="2:12" x14ac:dyDescent="0.25">
      <c r="B342" s="20"/>
      <c r="C342" s="13"/>
      <c r="D342" s="13"/>
      <c r="E342" s="16">
        <f>IFERROR(IF($D342="","",VLOOKUP($D342,'Müşteri Kartları'!$B$5:$C$104,2,FALSE)),"— tanımsız —")</f>
      </c>
      <c r="F342" s="21"/>
      <c r="G342" s="18">
        <f>IFERROR(IF($D342="",0,$F342*Parametreler!$C$4*VLOOKUP($D342,'Müşteri Kartları'!$B$5:$G$104,6,FALSE)),0)</f>
      </c>
      <c r="H342" s="18">
        <f>IF($F342="",0,$F342*Parametreler!$C$5)</f>
      </c>
      <c r="I342" s="19">
        <f>IF($F342="","",$F342-$G342+$H342)</f>
      </c>
      <c r="J342" s="18">
        <f>IF($F342="",0,$F342)</f>
      </c>
      <c r="K342" s="14"/>
      <c r="L342" s="13"/>
    </row>
    <row r="343" spans="2:12" x14ac:dyDescent="0.25">
      <c r="B343" s="15"/>
      <c r="C343" s="12"/>
      <c r="D343" s="12"/>
      <c r="E343" s="16">
        <f>IFERROR(IF($D343="","",VLOOKUP($D343,'Müşteri Kartları'!$B$5:$C$104,2,FALSE)),"— tanımsız —")</f>
      </c>
      <c r="F343" s="17"/>
      <c r="G343" s="18">
        <f>IFERROR(IF($D343="",0,$F343*Parametreler!$C$4*VLOOKUP($D343,'Müşteri Kartları'!$B$5:$G$104,6,FALSE)),0)</f>
      </c>
      <c r="H343" s="18">
        <f>IF($F343="",0,$F343*Parametreler!$C$5)</f>
      </c>
      <c r="I343" s="19">
        <f>IF($F343="","",$F343-$G343+$H343)</f>
      </c>
      <c r="J343" s="18">
        <f>IF($F343="",0,$F343)</f>
      </c>
      <c r="K343" s="9"/>
      <c r="L343" s="12"/>
    </row>
    <row r="344" spans="2:12" x14ac:dyDescent="0.25">
      <c r="B344" s="20"/>
      <c r="C344" s="13"/>
      <c r="D344" s="13"/>
      <c r="E344" s="16">
        <f>IFERROR(IF($D344="","",VLOOKUP($D344,'Müşteri Kartları'!$B$5:$C$104,2,FALSE)),"— tanımsız —")</f>
      </c>
      <c r="F344" s="21"/>
      <c r="G344" s="18">
        <f>IFERROR(IF($D344="",0,$F344*Parametreler!$C$4*VLOOKUP($D344,'Müşteri Kartları'!$B$5:$G$104,6,FALSE)),0)</f>
      </c>
      <c r="H344" s="18">
        <f>IF($F344="",0,$F344*Parametreler!$C$5)</f>
      </c>
      <c r="I344" s="19">
        <f>IF($F344="","",$F344-$G344+$H344)</f>
      </c>
      <c r="J344" s="18">
        <f>IF($F344="",0,$F344)</f>
      </c>
      <c r="K344" s="14"/>
      <c r="L344" s="13"/>
    </row>
    <row r="345" spans="2:12" x14ac:dyDescent="0.25">
      <c r="B345" s="15"/>
      <c r="C345" s="12"/>
      <c r="D345" s="12"/>
      <c r="E345" s="16">
        <f>IFERROR(IF($D345="","",VLOOKUP($D345,'Müşteri Kartları'!$B$5:$C$104,2,FALSE)),"— tanımsız —")</f>
      </c>
      <c r="F345" s="17"/>
      <c r="G345" s="18">
        <f>IFERROR(IF($D345="",0,$F345*Parametreler!$C$4*VLOOKUP($D345,'Müşteri Kartları'!$B$5:$G$104,6,FALSE)),0)</f>
      </c>
      <c r="H345" s="18">
        <f>IF($F345="",0,$F345*Parametreler!$C$5)</f>
      </c>
      <c r="I345" s="19">
        <f>IF($F345="","",$F345-$G345+$H345)</f>
      </c>
      <c r="J345" s="18">
        <f>IF($F345="",0,$F345)</f>
      </c>
      <c r="K345" s="9"/>
      <c r="L345" s="12"/>
    </row>
    <row r="346" spans="2:12" x14ac:dyDescent="0.25">
      <c r="B346" s="20"/>
      <c r="C346" s="13"/>
      <c r="D346" s="13"/>
      <c r="E346" s="16">
        <f>IFERROR(IF($D346="","",VLOOKUP($D346,'Müşteri Kartları'!$B$5:$C$104,2,FALSE)),"— tanımsız —")</f>
      </c>
      <c r="F346" s="21"/>
      <c r="G346" s="18">
        <f>IFERROR(IF($D346="",0,$F346*Parametreler!$C$4*VLOOKUP($D346,'Müşteri Kartları'!$B$5:$G$104,6,FALSE)),0)</f>
      </c>
      <c r="H346" s="18">
        <f>IF($F346="",0,$F346*Parametreler!$C$5)</f>
      </c>
      <c r="I346" s="19">
        <f>IF($F346="","",$F346-$G346+$H346)</f>
      </c>
      <c r="J346" s="18">
        <f>IF($F346="",0,$F346)</f>
      </c>
      <c r="K346" s="14"/>
      <c r="L346" s="13"/>
    </row>
    <row r="347" spans="2:12" x14ac:dyDescent="0.25">
      <c r="B347" s="15"/>
      <c r="C347" s="12"/>
      <c r="D347" s="12"/>
      <c r="E347" s="16">
        <f>IFERROR(IF($D347="","",VLOOKUP($D347,'Müşteri Kartları'!$B$5:$C$104,2,FALSE)),"— tanımsız —")</f>
      </c>
      <c r="F347" s="17"/>
      <c r="G347" s="18">
        <f>IFERROR(IF($D347="",0,$F347*Parametreler!$C$4*VLOOKUP($D347,'Müşteri Kartları'!$B$5:$G$104,6,FALSE)),0)</f>
      </c>
      <c r="H347" s="18">
        <f>IF($F347="",0,$F347*Parametreler!$C$5)</f>
      </c>
      <c r="I347" s="19">
        <f>IF($F347="","",$F347-$G347+$H347)</f>
      </c>
      <c r="J347" s="18">
        <f>IF($F347="",0,$F347)</f>
      </c>
      <c r="K347" s="9"/>
      <c r="L347" s="12"/>
    </row>
    <row r="348" spans="2:12" x14ac:dyDescent="0.25">
      <c r="B348" s="20"/>
      <c r="C348" s="13"/>
      <c r="D348" s="13"/>
      <c r="E348" s="16">
        <f>IFERROR(IF($D348="","",VLOOKUP($D348,'Müşteri Kartları'!$B$5:$C$104,2,FALSE)),"— tanımsız —")</f>
      </c>
      <c r="F348" s="21"/>
      <c r="G348" s="18">
        <f>IFERROR(IF($D348="",0,$F348*Parametreler!$C$4*VLOOKUP($D348,'Müşteri Kartları'!$B$5:$G$104,6,FALSE)),0)</f>
      </c>
      <c r="H348" s="18">
        <f>IF($F348="",0,$F348*Parametreler!$C$5)</f>
      </c>
      <c r="I348" s="19">
        <f>IF($F348="","",$F348-$G348+$H348)</f>
      </c>
      <c r="J348" s="18">
        <f>IF($F348="",0,$F348)</f>
      </c>
      <c r="K348" s="14"/>
      <c r="L348" s="13"/>
    </row>
    <row r="349" spans="2:12" x14ac:dyDescent="0.25">
      <c r="B349" s="15"/>
      <c r="C349" s="12"/>
      <c r="D349" s="12"/>
      <c r="E349" s="16">
        <f>IFERROR(IF($D349="","",VLOOKUP($D349,'Müşteri Kartları'!$B$5:$C$104,2,FALSE)),"— tanımsız —")</f>
      </c>
      <c r="F349" s="17"/>
      <c r="G349" s="18">
        <f>IFERROR(IF($D349="",0,$F349*Parametreler!$C$4*VLOOKUP($D349,'Müşteri Kartları'!$B$5:$G$104,6,FALSE)),0)</f>
      </c>
      <c r="H349" s="18">
        <f>IF($F349="",0,$F349*Parametreler!$C$5)</f>
      </c>
      <c r="I349" s="19">
        <f>IF($F349="","",$F349-$G349+$H349)</f>
      </c>
      <c r="J349" s="18">
        <f>IF($F349="",0,$F349)</f>
      </c>
      <c r="K349" s="9"/>
      <c r="L349" s="12"/>
    </row>
    <row r="350" spans="2:12" x14ac:dyDescent="0.25">
      <c r="B350" s="20"/>
      <c r="C350" s="13"/>
      <c r="D350" s="13"/>
      <c r="E350" s="16">
        <f>IFERROR(IF($D350="","",VLOOKUP($D350,'Müşteri Kartları'!$B$5:$C$104,2,FALSE)),"— tanımsız —")</f>
      </c>
      <c r="F350" s="21"/>
      <c r="G350" s="18">
        <f>IFERROR(IF($D350="",0,$F350*Parametreler!$C$4*VLOOKUP($D350,'Müşteri Kartları'!$B$5:$G$104,6,FALSE)),0)</f>
      </c>
      <c r="H350" s="18">
        <f>IF($F350="",0,$F350*Parametreler!$C$5)</f>
      </c>
      <c r="I350" s="19">
        <f>IF($F350="","",$F350-$G350+$H350)</f>
      </c>
      <c r="J350" s="18">
        <f>IF($F350="",0,$F350)</f>
      </c>
      <c r="K350" s="14"/>
      <c r="L350" s="13"/>
    </row>
    <row r="351" spans="2:12" x14ac:dyDescent="0.25">
      <c r="B351" s="15"/>
      <c r="C351" s="12"/>
      <c r="D351" s="12"/>
      <c r="E351" s="16">
        <f>IFERROR(IF($D351="","",VLOOKUP($D351,'Müşteri Kartları'!$B$5:$C$104,2,FALSE)),"— tanımsız —")</f>
      </c>
      <c r="F351" s="17"/>
      <c r="G351" s="18">
        <f>IFERROR(IF($D351="",0,$F351*Parametreler!$C$4*VLOOKUP($D351,'Müşteri Kartları'!$B$5:$G$104,6,FALSE)),0)</f>
      </c>
      <c r="H351" s="18">
        <f>IF($F351="",0,$F351*Parametreler!$C$5)</f>
      </c>
      <c r="I351" s="19">
        <f>IF($F351="","",$F351-$G351+$H351)</f>
      </c>
      <c r="J351" s="18">
        <f>IF($F351="",0,$F351)</f>
      </c>
      <c r="K351" s="9"/>
      <c r="L351" s="12"/>
    </row>
    <row r="352" spans="2:12" x14ac:dyDescent="0.25">
      <c r="B352" s="20"/>
      <c r="C352" s="13"/>
      <c r="D352" s="13"/>
      <c r="E352" s="16">
        <f>IFERROR(IF($D352="","",VLOOKUP($D352,'Müşteri Kartları'!$B$5:$C$104,2,FALSE)),"— tanımsız —")</f>
      </c>
      <c r="F352" s="21"/>
      <c r="G352" s="18">
        <f>IFERROR(IF($D352="",0,$F352*Parametreler!$C$4*VLOOKUP($D352,'Müşteri Kartları'!$B$5:$G$104,6,FALSE)),0)</f>
      </c>
      <c r="H352" s="18">
        <f>IF($F352="",0,$F352*Parametreler!$C$5)</f>
      </c>
      <c r="I352" s="19">
        <f>IF($F352="","",$F352-$G352+$H352)</f>
      </c>
      <c r="J352" s="18">
        <f>IF($F352="",0,$F352)</f>
      </c>
      <c r="K352" s="14"/>
      <c r="L352" s="13"/>
    </row>
    <row r="353" spans="2:12" x14ac:dyDescent="0.25">
      <c r="B353" s="15"/>
      <c r="C353" s="12"/>
      <c r="D353" s="12"/>
      <c r="E353" s="16">
        <f>IFERROR(IF($D353="","",VLOOKUP($D353,'Müşteri Kartları'!$B$5:$C$104,2,FALSE)),"— tanımsız —")</f>
      </c>
      <c r="F353" s="17"/>
      <c r="G353" s="18">
        <f>IFERROR(IF($D353="",0,$F353*Parametreler!$C$4*VLOOKUP($D353,'Müşteri Kartları'!$B$5:$G$104,6,FALSE)),0)</f>
      </c>
      <c r="H353" s="18">
        <f>IF($F353="",0,$F353*Parametreler!$C$5)</f>
      </c>
      <c r="I353" s="19">
        <f>IF($F353="","",$F353-$G353+$H353)</f>
      </c>
      <c r="J353" s="18">
        <f>IF($F353="",0,$F353)</f>
      </c>
      <c r="K353" s="9"/>
      <c r="L353" s="12"/>
    </row>
    <row r="354" spans="2:12" x14ac:dyDescent="0.25">
      <c r="B354" s="20"/>
      <c r="C354" s="13"/>
      <c r="D354" s="13"/>
      <c r="E354" s="16">
        <f>IFERROR(IF($D354="","",VLOOKUP($D354,'Müşteri Kartları'!$B$5:$C$104,2,FALSE)),"— tanımsız —")</f>
      </c>
      <c r="F354" s="21"/>
      <c r="G354" s="18">
        <f>IFERROR(IF($D354="",0,$F354*Parametreler!$C$4*VLOOKUP($D354,'Müşteri Kartları'!$B$5:$G$104,6,FALSE)),0)</f>
      </c>
      <c r="H354" s="18">
        <f>IF($F354="",0,$F354*Parametreler!$C$5)</f>
      </c>
      <c r="I354" s="19">
        <f>IF($F354="","",$F354-$G354+$H354)</f>
      </c>
      <c r="J354" s="18">
        <f>IF($F354="",0,$F354)</f>
      </c>
      <c r="K354" s="14"/>
      <c r="L354" s="13"/>
    </row>
    <row r="355" spans="2:12" x14ac:dyDescent="0.25">
      <c r="B355" s="15"/>
      <c r="C355" s="12"/>
      <c r="D355" s="12"/>
      <c r="E355" s="16">
        <f>IFERROR(IF($D355="","",VLOOKUP($D355,'Müşteri Kartları'!$B$5:$C$104,2,FALSE)),"— tanımsız —")</f>
      </c>
      <c r="F355" s="17"/>
      <c r="G355" s="18">
        <f>IFERROR(IF($D355="",0,$F355*Parametreler!$C$4*VLOOKUP($D355,'Müşteri Kartları'!$B$5:$G$104,6,FALSE)),0)</f>
      </c>
      <c r="H355" s="18">
        <f>IF($F355="",0,$F355*Parametreler!$C$5)</f>
      </c>
      <c r="I355" s="19">
        <f>IF($F355="","",$F355-$G355+$H355)</f>
      </c>
      <c r="J355" s="18">
        <f>IF($F355="",0,$F355)</f>
      </c>
      <c r="K355" s="9"/>
      <c r="L355" s="12"/>
    </row>
    <row r="356" spans="2:12" x14ac:dyDescent="0.25">
      <c r="B356" s="20"/>
      <c r="C356" s="13"/>
      <c r="D356" s="13"/>
      <c r="E356" s="16">
        <f>IFERROR(IF($D356="","",VLOOKUP($D356,'Müşteri Kartları'!$B$5:$C$104,2,FALSE)),"— tanımsız —")</f>
      </c>
      <c r="F356" s="21"/>
      <c r="G356" s="18">
        <f>IFERROR(IF($D356="",0,$F356*Parametreler!$C$4*VLOOKUP($D356,'Müşteri Kartları'!$B$5:$G$104,6,FALSE)),0)</f>
      </c>
      <c r="H356" s="18">
        <f>IF($F356="",0,$F356*Parametreler!$C$5)</f>
      </c>
      <c r="I356" s="19">
        <f>IF($F356="","",$F356-$G356+$H356)</f>
      </c>
      <c r="J356" s="18">
        <f>IF($F356="",0,$F356)</f>
      </c>
      <c r="K356" s="14"/>
      <c r="L356" s="13"/>
    </row>
    <row r="357" spans="2:12" x14ac:dyDescent="0.25">
      <c r="B357" s="15"/>
      <c r="C357" s="12"/>
      <c r="D357" s="12"/>
      <c r="E357" s="16">
        <f>IFERROR(IF($D357="","",VLOOKUP($D357,'Müşteri Kartları'!$B$5:$C$104,2,FALSE)),"— tanımsız —")</f>
      </c>
      <c r="F357" s="17"/>
      <c r="G357" s="18">
        <f>IFERROR(IF($D357="",0,$F357*Parametreler!$C$4*VLOOKUP($D357,'Müşteri Kartları'!$B$5:$G$104,6,FALSE)),0)</f>
      </c>
      <c r="H357" s="18">
        <f>IF($F357="",0,$F357*Parametreler!$C$5)</f>
      </c>
      <c r="I357" s="19">
        <f>IF($F357="","",$F357-$G357+$H357)</f>
      </c>
      <c r="J357" s="18">
        <f>IF($F357="",0,$F357)</f>
      </c>
      <c r="K357" s="9"/>
      <c r="L357" s="12"/>
    </row>
    <row r="358" spans="2:12" x14ac:dyDescent="0.25">
      <c r="B358" s="20"/>
      <c r="C358" s="13"/>
      <c r="D358" s="13"/>
      <c r="E358" s="16">
        <f>IFERROR(IF($D358="","",VLOOKUP($D358,'Müşteri Kartları'!$B$5:$C$104,2,FALSE)),"— tanımsız —")</f>
      </c>
      <c r="F358" s="21"/>
      <c r="G358" s="18">
        <f>IFERROR(IF($D358="",0,$F358*Parametreler!$C$4*VLOOKUP($D358,'Müşteri Kartları'!$B$5:$G$104,6,FALSE)),0)</f>
      </c>
      <c r="H358" s="18">
        <f>IF($F358="",0,$F358*Parametreler!$C$5)</f>
      </c>
      <c r="I358" s="19">
        <f>IF($F358="","",$F358-$G358+$H358)</f>
      </c>
      <c r="J358" s="18">
        <f>IF($F358="",0,$F358)</f>
      </c>
      <c r="K358" s="14"/>
      <c r="L358" s="13"/>
    </row>
    <row r="359" spans="2:12" x14ac:dyDescent="0.25">
      <c r="B359" s="15"/>
      <c r="C359" s="12"/>
      <c r="D359" s="12"/>
      <c r="E359" s="16">
        <f>IFERROR(IF($D359="","",VLOOKUP($D359,'Müşteri Kartları'!$B$5:$C$104,2,FALSE)),"— tanımsız —")</f>
      </c>
      <c r="F359" s="17"/>
      <c r="G359" s="18">
        <f>IFERROR(IF($D359="",0,$F359*Parametreler!$C$4*VLOOKUP($D359,'Müşteri Kartları'!$B$5:$G$104,6,FALSE)),0)</f>
      </c>
      <c r="H359" s="18">
        <f>IF($F359="",0,$F359*Parametreler!$C$5)</f>
      </c>
      <c r="I359" s="19">
        <f>IF($F359="","",$F359-$G359+$H359)</f>
      </c>
      <c r="J359" s="18">
        <f>IF($F359="",0,$F359)</f>
      </c>
      <c r="K359" s="9"/>
      <c r="L359" s="12"/>
    </row>
    <row r="360" spans="2:12" x14ac:dyDescent="0.25">
      <c r="B360" s="20"/>
      <c r="C360" s="13"/>
      <c r="D360" s="13"/>
      <c r="E360" s="16">
        <f>IFERROR(IF($D360="","",VLOOKUP($D360,'Müşteri Kartları'!$B$5:$C$104,2,FALSE)),"— tanımsız —")</f>
      </c>
      <c r="F360" s="21"/>
      <c r="G360" s="18">
        <f>IFERROR(IF($D360="",0,$F360*Parametreler!$C$4*VLOOKUP($D360,'Müşteri Kartları'!$B$5:$G$104,6,FALSE)),0)</f>
      </c>
      <c r="H360" s="18">
        <f>IF($F360="",0,$F360*Parametreler!$C$5)</f>
      </c>
      <c r="I360" s="19">
        <f>IF($F360="","",$F360-$G360+$H360)</f>
      </c>
      <c r="J360" s="18">
        <f>IF($F360="",0,$F360)</f>
      </c>
      <c r="K360" s="14"/>
      <c r="L360" s="13"/>
    </row>
    <row r="361" spans="2:12" x14ac:dyDescent="0.25">
      <c r="B361" s="15"/>
      <c r="C361" s="12"/>
      <c r="D361" s="12"/>
      <c r="E361" s="16">
        <f>IFERROR(IF($D361="","",VLOOKUP($D361,'Müşteri Kartları'!$B$5:$C$104,2,FALSE)),"— tanımsız —")</f>
      </c>
      <c r="F361" s="17"/>
      <c r="G361" s="18">
        <f>IFERROR(IF($D361="",0,$F361*Parametreler!$C$4*VLOOKUP($D361,'Müşteri Kartları'!$B$5:$G$104,6,FALSE)),0)</f>
      </c>
      <c r="H361" s="18">
        <f>IF($F361="",0,$F361*Parametreler!$C$5)</f>
      </c>
      <c r="I361" s="19">
        <f>IF($F361="","",$F361-$G361+$H361)</f>
      </c>
      <c r="J361" s="18">
        <f>IF($F361="",0,$F361)</f>
      </c>
      <c r="K361" s="9"/>
      <c r="L361" s="12"/>
    </row>
    <row r="362" spans="2:12" x14ac:dyDescent="0.25">
      <c r="B362" s="20"/>
      <c r="C362" s="13"/>
      <c r="D362" s="13"/>
      <c r="E362" s="16">
        <f>IFERROR(IF($D362="","",VLOOKUP($D362,'Müşteri Kartları'!$B$5:$C$104,2,FALSE)),"— tanımsız —")</f>
      </c>
      <c r="F362" s="21"/>
      <c r="G362" s="18">
        <f>IFERROR(IF($D362="",0,$F362*Parametreler!$C$4*VLOOKUP($D362,'Müşteri Kartları'!$B$5:$G$104,6,FALSE)),0)</f>
      </c>
      <c r="H362" s="18">
        <f>IF($F362="",0,$F362*Parametreler!$C$5)</f>
      </c>
      <c r="I362" s="19">
        <f>IF($F362="","",$F362-$G362+$H362)</f>
      </c>
      <c r="J362" s="18">
        <f>IF($F362="",0,$F362)</f>
      </c>
      <c r="K362" s="14"/>
      <c r="L362" s="13"/>
    </row>
    <row r="363" spans="2:12" x14ac:dyDescent="0.25">
      <c r="B363" s="15"/>
      <c r="C363" s="12"/>
      <c r="D363" s="12"/>
      <c r="E363" s="16">
        <f>IFERROR(IF($D363="","",VLOOKUP($D363,'Müşteri Kartları'!$B$5:$C$104,2,FALSE)),"— tanımsız —")</f>
      </c>
      <c r="F363" s="17"/>
      <c r="G363" s="18">
        <f>IFERROR(IF($D363="",0,$F363*Parametreler!$C$4*VLOOKUP($D363,'Müşteri Kartları'!$B$5:$G$104,6,FALSE)),0)</f>
      </c>
      <c r="H363" s="18">
        <f>IF($F363="",0,$F363*Parametreler!$C$5)</f>
      </c>
      <c r="I363" s="19">
        <f>IF($F363="","",$F363-$G363+$H363)</f>
      </c>
      <c r="J363" s="18">
        <f>IF($F363="",0,$F363)</f>
      </c>
      <c r="K363" s="9"/>
      <c r="L363" s="12"/>
    </row>
    <row r="364" spans="2:12" x14ac:dyDescent="0.25">
      <c r="B364" s="20"/>
      <c r="C364" s="13"/>
      <c r="D364" s="13"/>
      <c r="E364" s="16">
        <f>IFERROR(IF($D364="","",VLOOKUP($D364,'Müşteri Kartları'!$B$5:$C$104,2,FALSE)),"— tanımsız —")</f>
      </c>
      <c r="F364" s="21"/>
      <c r="G364" s="18">
        <f>IFERROR(IF($D364="",0,$F364*Parametreler!$C$4*VLOOKUP($D364,'Müşteri Kartları'!$B$5:$G$104,6,FALSE)),0)</f>
      </c>
      <c r="H364" s="18">
        <f>IF($F364="",0,$F364*Parametreler!$C$5)</f>
      </c>
      <c r="I364" s="19">
        <f>IF($F364="","",$F364-$G364+$H364)</f>
      </c>
      <c r="J364" s="18">
        <f>IF($F364="",0,$F364)</f>
      </c>
      <c r="K364" s="14"/>
      <c r="L364" s="13"/>
    </row>
    <row r="365" spans="2:12" x14ac:dyDescent="0.25">
      <c r="B365" s="15"/>
      <c r="C365" s="12"/>
      <c r="D365" s="12"/>
      <c r="E365" s="16">
        <f>IFERROR(IF($D365="","",VLOOKUP($D365,'Müşteri Kartları'!$B$5:$C$104,2,FALSE)),"— tanımsız —")</f>
      </c>
      <c r="F365" s="17"/>
      <c r="G365" s="18">
        <f>IFERROR(IF($D365="",0,$F365*Parametreler!$C$4*VLOOKUP($D365,'Müşteri Kartları'!$B$5:$G$104,6,FALSE)),0)</f>
      </c>
      <c r="H365" s="18">
        <f>IF($F365="",0,$F365*Parametreler!$C$5)</f>
      </c>
      <c r="I365" s="19">
        <f>IF($F365="","",$F365-$G365+$H365)</f>
      </c>
      <c r="J365" s="18">
        <f>IF($F365="",0,$F365)</f>
      </c>
      <c r="K365" s="9"/>
      <c r="L365" s="12"/>
    </row>
    <row r="366" spans="2:12" x14ac:dyDescent="0.25">
      <c r="B366" s="20"/>
      <c r="C366" s="13"/>
      <c r="D366" s="13"/>
      <c r="E366" s="16">
        <f>IFERROR(IF($D366="","",VLOOKUP($D366,'Müşteri Kartları'!$B$5:$C$104,2,FALSE)),"— tanımsız —")</f>
      </c>
      <c r="F366" s="21"/>
      <c r="G366" s="18">
        <f>IFERROR(IF($D366="",0,$F366*Parametreler!$C$4*VLOOKUP($D366,'Müşteri Kartları'!$B$5:$G$104,6,FALSE)),0)</f>
      </c>
      <c r="H366" s="18">
        <f>IF($F366="",0,$F366*Parametreler!$C$5)</f>
      </c>
      <c r="I366" s="19">
        <f>IF($F366="","",$F366-$G366+$H366)</f>
      </c>
      <c r="J366" s="18">
        <f>IF($F366="",0,$F366)</f>
      </c>
      <c r="K366" s="14"/>
      <c r="L366" s="13"/>
    </row>
    <row r="367" spans="2:12" x14ac:dyDescent="0.25">
      <c r="B367" s="15"/>
      <c r="C367" s="12"/>
      <c r="D367" s="12"/>
      <c r="E367" s="16">
        <f>IFERROR(IF($D367="","",VLOOKUP($D367,'Müşteri Kartları'!$B$5:$C$104,2,FALSE)),"— tanımsız —")</f>
      </c>
      <c r="F367" s="17"/>
      <c r="G367" s="18">
        <f>IFERROR(IF($D367="",0,$F367*Parametreler!$C$4*VLOOKUP($D367,'Müşteri Kartları'!$B$5:$G$104,6,FALSE)),0)</f>
      </c>
      <c r="H367" s="18">
        <f>IF($F367="",0,$F367*Parametreler!$C$5)</f>
      </c>
      <c r="I367" s="19">
        <f>IF($F367="","",$F367-$G367+$H367)</f>
      </c>
      <c r="J367" s="18">
        <f>IF($F367="",0,$F367)</f>
      </c>
      <c r="K367" s="9"/>
      <c r="L367" s="12"/>
    </row>
    <row r="368" spans="2:12" x14ac:dyDescent="0.25">
      <c r="B368" s="20"/>
      <c r="C368" s="13"/>
      <c r="D368" s="13"/>
      <c r="E368" s="16">
        <f>IFERROR(IF($D368="","",VLOOKUP($D368,'Müşteri Kartları'!$B$5:$C$104,2,FALSE)),"— tanımsız —")</f>
      </c>
      <c r="F368" s="21"/>
      <c r="G368" s="18">
        <f>IFERROR(IF($D368="",0,$F368*Parametreler!$C$4*VLOOKUP($D368,'Müşteri Kartları'!$B$5:$G$104,6,FALSE)),0)</f>
      </c>
      <c r="H368" s="18">
        <f>IF($F368="",0,$F368*Parametreler!$C$5)</f>
      </c>
      <c r="I368" s="19">
        <f>IF($F368="","",$F368-$G368+$H368)</f>
      </c>
      <c r="J368" s="18">
        <f>IF($F368="",0,$F368)</f>
      </c>
      <c r="K368" s="14"/>
      <c r="L368" s="13"/>
    </row>
    <row r="369" spans="2:12" x14ac:dyDescent="0.25">
      <c r="B369" s="15"/>
      <c r="C369" s="12"/>
      <c r="D369" s="12"/>
      <c r="E369" s="16">
        <f>IFERROR(IF($D369="","",VLOOKUP($D369,'Müşteri Kartları'!$B$5:$C$104,2,FALSE)),"— tanımsız —")</f>
      </c>
      <c r="F369" s="17"/>
      <c r="G369" s="18">
        <f>IFERROR(IF($D369="",0,$F369*Parametreler!$C$4*VLOOKUP($D369,'Müşteri Kartları'!$B$5:$G$104,6,FALSE)),0)</f>
      </c>
      <c r="H369" s="18">
        <f>IF($F369="",0,$F369*Parametreler!$C$5)</f>
      </c>
      <c r="I369" s="19">
        <f>IF($F369="","",$F369-$G369+$H369)</f>
      </c>
      <c r="J369" s="18">
        <f>IF($F369="",0,$F369)</f>
      </c>
      <c r="K369" s="9"/>
      <c r="L369" s="12"/>
    </row>
    <row r="370" spans="2:12" x14ac:dyDescent="0.25">
      <c r="B370" s="20"/>
      <c r="C370" s="13"/>
      <c r="D370" s="13"/>
      <c r="E370" s="16">
        <f>IFERROR(IF($D370="","",VLOOKUP($D370,'Müşteri Kartları'!$B$5:$C$104,2,FALSE)),"— tanımsız —")</f>
      </c>
      <c r="F370" s="21"/>
      <c r="G370" s="18">
        <f>IFERROR(IF($D370="",0,$F370*Parametreler!$C$4*VLOOKUP($D370,'Müşteri Kartları'!$B$5:$G$104,6,FALSE)),0)</f>
      </c>
      <c r="H370" s="18">
        <f>IF($F370="",0,$F370*Parametreler!$C$5)</f>
      </c>
      <c r="I370" s="19">
        <f>IF($F370="","",$F370-$G370+$H370)</f>
      </c>
      <c r="J370" s="18">
        <f>IF($F370="",0,$F370)</f>
      </c>
      <c r="K370" s="14"/>
      <c r="L370" s="13"/>
    </row>
    <row r="371" spans="2:12" x14ac:dyDescent="0.25">
      <c r="B371" s="15"/>
      <c r="C371" s="12"/>
      <c r="D371" s="12"/>
      <c r="E371" s="16">
        <f>IFERROR(IF($D371="","",VLOOKUP($D371,'Müşteri Kartları'!$B$5:$C$104,2,FALSE)),"— tanımsız —")</f>
      </c>
      <c r="F371" s="17"/>
      <c r="G371" s="18">
        <f>IFERROR(IF($D371="",0,$F371*Parametreler!$C$4*VLOOKUP($D371,'Müşteri Kartları'!$B$5:$G$104,6,FALSE)),0)</f>
      </c>
      <c r="H371" s="18">
        <f>IF($F371="",0,$F371*Parametreler!$C$5)</f>
      </c>
      <c r="I371" s="19">
        <f>IF($F371="","",$F371-$G371+$H371)</f>
      </c>
      <c r="J371" s="18">
        <f>IF($F371="",0,$F371)</f>
      </c>
      <c r="K371" s="9"/>
      <c r="L371" s="12"/>
    </row>
    <row r="372" spans="2:12" x14ac:dyDescent="0.25">
      <c r="B372" s="20"/>
      <c r="C372" s="13"/>
      <c r="D372" s="13"/>
      <c r="E372" s="16">
        <f>IFERROR(IF($D372="","",VLOOKUP($D372,'Müşteri Kartları'!$B$5:$C$104,2,FALSE)),"— tanımsız —")</f>
      </c>
      <c r="F372" s="21"/>
      <c r="G372" s="18">
        <f>IFERROR(IF($D372="",0,$F372*Parametreler!$C$4*VLOOKUP($D372,'Müşteri Kartları'!$B$5:$G$104,6,FALSE)),0)</f>
      </c>
      <c r="H372" s="18">
        <f>IF($F372="",0,$F372*Parametreler!$C$5)</f>
      </c>
      <c r="I372" s="19">
        <f>IF($F372="","",$F372-$G372+$H372)</f>
      </c>
      <c r="J372" s="18">
        <f>IF($F372="",0,$F372)</f>
      </c>
      <c r="K372" s="14"/>
      <c r="L372" s="13"/>
    </row>
    <row r="373" spans="2:12" x14ac:dyDescent="0.25">
      <c r="B373" s="15"/>
      <c r="C373" s="12"/>
      <c r="D373" s="12"/>
      <c r="E373" s="16">
        <f>IFERROR(IF($D373="","",VLOOKUP($D373,'Müşteri Kartları'!$B$5:$C$104,2,FALSE)),"— tanımsız —")</f>
      </c>
      <c r="F373" s="17"/>
      <c r="G373" s="18">
        <f>IFERROR(IF($D373="",0,$F373*Parametreler!$C$4*VLOOKUP($D373,'Müşteri Kartları'!$B$5:$G$104,6,FALSE)),0)</f>
      </c>
      <c r="H373" s="18">
        <f>IF($F373="",0,$F373*Parametreler!$C$5)</f>
      </c>
      <c r="I373" s="19">
        <f>IF($F373="","",$F373-$G373+$H373)</f>
      </c>
      <c r="J373" s="18">
        <f>IF($F373="",0,$F373)</f>
      </c>
      <c r="K373" s="9"/>
      <c r="L373" s="12"/>
    </row>
    <row r="374" spans="2:12" x14ac:dyDescent="0.25">
      <c r="B374" s="20"/>
      <c r="C374" s="13"/>
      <c r="D374" s="13"/>
      <c r="E374" s="16">
        <f>IFERROR(IF($D374="","",VLOOKUP($D374,'Müşteri Kartları'!$B$5:$C$104,2,FALSE)),"— tanımsız —")</f>
      </c>
      <c r="F374" s="21"/>
      <c r="G374" s="18">
        <f>IFERROR(IF($D374="",0,$F374*Parametreler!$C$4*VLOOKUP($D374,'Müşteri Kartları'!$B$5:$G$104,6,FALSE)),0)</f>
      </c>
      <c r="H374" s="18">
        <f>IF($F374="",0,$F374*Parametreler!$C$5)</f>
      </c>
      <c r="I374" s="19">
        <f>IF($F374="","",$F374-$G374+$H374)</f>
      </c>
      <c r="J374" s="18">
        <f>IF($F374="",0,$F374)</f>
      </c>
      <c r="K374" s="14"/>
      <c r="L374" s="13"/>
    </row>
    <row r="375" spans="2:12" x14ac:dyDescent="0.25">
      <c r="B375" s="15"/>
      <c r="C375" s="12"/>
      <c r="D375" s="12"/>
      <c r="E375" s="16">
        <f>IFERROR(IF($D375="","",VLOOKUP($D375,'Müşteri Kartları'!$B$5:$C$104,2,FALSE)),"— tanımsız —")</f>
      </c>
      <c r="F375" s="17"/>
      <c r="G375" s="18">
        <f>IFERROR(IF($D375="",0,$F375*Parametreler!$C$4*VLOOKUP($D375,'Müşteri Kartları'!$B$5:$G$104,6,FALSE)),0)</f>
      </c>
      <c r="H375" s="18">
        <f>IF($F375="",0,$F375*Parametreler!$C$5)</f>
      </c>
      <c r="I375" s="19">
        <f>IF($F375="","",$F375-$G375+$H375)</f>
      </c>
      <c r="J375" s="18">
        <f>IF($F375="",0,$F375)</f>
      </c>
      <c r="K375" s="9"/>
      <c r="L375" s="12"/>
    </row>
    <row r="376" spans="2:12" x14ac:dyDescent="0.25">
      <c r="B376" s="20"/>
      <c r="C376" s="13"/>
      <c r="D376" s="13"/>
      <c r="E376" s="16">
        <f>IFERROR(IF($D376="","",VLOOKUP($D376,'Müşteri Kartları'!$B$5:$C$104,2,FALSE)),"— tanımsız —")</f>
      </c>
      <c r="F376" s="21"/>
      <c r="G376" s="18">
        <f>IFERROR(IF($D376="",0,$F376*Parametreler!$C$4*VLOOKUP($D376,'Müşteri Kartları'!$B$5:$G$104,6,FALSE)),0)</f>
      </c>
      <c r="H376" s="18">
        <f>IF($F376="",0,$F376*Parametreler!$C$5)</f>
      </c>
      <c r="I376" s="19">
        <f>IF($F376="","",$F376-$G376+$H376)</f>
      </c>
      <c r="J376" s="18">
        <f>IF($F376="",0,$F376)</f>
      </c>
      <c r="K376" s="14"/>
      <c r="L376" s="13"/>
    </row>
    <row r="377" spans="2:12" x14ac:dyDescent="0.25">
      <c r="B377" s="15"/>
      <c r="C377" s="12"/>
      <c r="D377" s="12"/>
      <c r="E377" s="16">
        <f>IFERROR(IF($D377="","",VLOOKUP($D377,'Müşteri Kartları'!$B$5:$C$104,2,FALSE)),"— tanımsız —")</f>
      </c>
      <c r="F377" s="17"/>
      <c r="G377" s="18">
        <f>IFERROR(IF($D377="",0,$F377*Parametreler!$C$4*VLOOKUP($D377,'Müşteri Kartları'!$B$5:$G$104,6,FALSE)),0)</f>
      </c>
      <c r="H377" s="18">
        <f>IF($F377="",0,$F377*Parametreler!$C$5)</f>
      </c>
      <c r="I377" s="19">
        <f>IF($F377="","",$F377-$G377+$H377)</f>
      </c>
      <c r="J377" s="18">
        <f>IF($F377="",0,$F377)</f>
      </c>
      <c r="K377" s="9"/>
      <c r="L377" s="12"/>
    </row>
    <row r="378" spans="2:12" x14ac:dyDescent="0.25">
      <c r="B378" s="20"/>
      <c r="C378" s="13"/>
      <c r="D378" s="13"/>
      <c r="E378" s="16">
        <f>IFERROR(IF($D378="","",VLOOKUP($D378,'Müşteri Kartları'!$B$5:$C$104,2,FALSE)),"— tanımsız —")</f>
      </c>
      <c r="F378" s="21"/>
      <c r="G378" s="18">
        <f>IFERROR(IF($D378="",0,$F378*Parametreler!$C$4*VLOOKUP($D378,'Müşteri Kartları'!$B$5:$G$104,6,FALSE)),0)</f>
      </c>
      <c r="H378" s="18">
        <f>IF($F378="",0,$F378*Parametreler!$C$5)</f>
      </c>
      <c r="I378" s="19">
        <f>IF($F378="","",$F378-$G378+$H378)</f>
      </c>
      <c r="J378" s="18">
        <f>IF($F378="",0,$F378)</f>
      </c>
      <c r="K378" s="14"/>
      <c r="L378" s="13"/>
    </row>
    <row r="379" spans="2:12" x14ac:dyDescent="0.25">
      <c r="B379" s="15"/>
      <c r="C379" s="12"/>
      <c r="D379" s="12"/>
      <c r="E379" s="16">
        <f>IFERROR(IF($D379="","",VLOOKUP($D379,'Müşteri Kartları'!$B$5:$C$104,2,FALSE)),"— tanımsız —")</f>
      </c>
      <c r="F379" s="17"/>
      <c r="G379" s="18">
        <f>IFERROR(IF($D379="",0,$F379*Parametreler!$C$4*VLOOKUP($D379,'Müşteri Kartları'!$B$5:$G$104,6,FALSE)),0)</f>
      </c>
      <c r="H379" s="18">
        <f>IF($F379="",0,$F379*Parametreler!$C$5)</f>
      </c>
      <c r="I379" s="19">
        <f>IF($F379="","",$F379-$G379+$H379)</f>
      </c>
      <c r="J379" s="18">
        <f>IF($F379="",0,$F379)</f>
      </c>
      <c r="K379" s="9"/>
      <c r="L379" s="12"/>
    </row>
    <row r="380" spans="2:12" x14ac:dyDescent="0.25">
      <c r="B380" s="20"/>
      <c r="C380" s="13"/>
      <c r="D380" s="13"/>
      <c r="E380" s="16">
        <f>IFERROR(IF($D380="","",VLOOKUP($D380,'Müşteri Kartları'!$B$5:$C$104,2,FALSE)),"— tanımsız —")</f>
      </c>
      <c r="F380" s="21"/>
      <c r="G380" s="18">
        <f>IFERROR(IF($D380="",0,$F380*Parametreler!$C$4*VLOOKUP($D380,'Müşteri Kartları'!$B$5:$G$104,6,FALSE)),0)</f>
      </c>
      <c r="H380" s="18">
        <f>IF($F380="",0,$F380*Parametreler!$C$5)</f>
      </c>
      <c r="I380" s="19">
        <f>IF($F380="","",$F380-$G380+$H380)</f>
      </c>
      <c r="J380" s="18">
        <f>IF($F380="",0,$F380)</f>
      </c>
      <c r="K380" s="14"/>
      <c r="L380" s="13"/>
    </row>
    <row r="381" spans="2:12" x14ac:dyDescent="0.25">
      <c r="B381" s="15"/>
      <c r="C381" s="12"/>
      <c r="D381" s="12"/>
      <c r="E381" s="16">
        <f>IFERROR(IF($D381="","",VLOOKUP($D381,'Müşteri Kartları'!$B$5:$C$104,2,FALSE)),"— tanımsız —")</f>
      </c>
      <c r="F381" s="17"/>
      <c r="G381" s="18">
        <f>IFERROR(IF($D381="",0,$F381*Parametreler!$C$4*VLOOKUP($D381,'Müşteri Kartları'!$B$5:$G$104,6,FALSE)),0)</f>
      </c>
      <c r="H381" s="18">
        <f>IF($F381="",0,$F381*Parametreler!$C$5)</f>
      </c>
      <c r="I381" s="19">
        <f>IF($F381="","",$F381-$G381+$H381)</f>
      </c>
      <c r="J381" s="18">
        <f>IF($F381="",0,$F381)</f>
      </c>
      <c r="K381" s="9"/>
      <c r="L381" s="12"/>
    </row>
    <row r="382" spans="2:12" x14ac:dyDescent="0.25">
      <c r="B382" s="20"/>
      <c r="C382" s="13"/>
      <c r="D382" s="13"/>
      <c r="E382" s="16">
        <f>IFERROR(IF($D382="","",VLOOKUP($D382,'Müşteri Kartları'!$B$5:$C$104,2,FALSE)),"— tanımsız —")</f>
      </c>
      <c r="F382" s="21"/>
      <c r="G382" s="18">
        <f>IFERROR(IF($D382="",0,$F382*Parametreler!$C$4*VLOOKUP($D382,'Müşteri Kartları'!$B$5:$G$104,6,FALSE)),0)</f>
      </c>
      <c r="H382" s="18">
        <f>IF($F382="",0,$F382*Parametreler!$C$5)</f>
      </c>
      <c r="I382" s="19">
        <f>IF($F382="","",$F382-$G382+$H382)</f>
      </c>
      <c r="J382" s="18">
        <f>IF($F382="",0,$F382)</f>
      </c>
      <c r="K382" s="14"/>
      <c r="L382" s="13"/>
    </row>
    <row r="383" spans="2:12" x14ac:dyDescent="0.25">
      <c r="B383" s="15"/>
      <c r="C383" s="12"/>
      <c r="D383" s="12"/>
      <c r="E383" s="16">
        <f>IFERROR(IF($D383="","",VLOOKUP($D383,'Müşteri Kartları'!$B$5:$C$104,2,FALSE)),"— tanımsız —")</f>
      </c>
      <c r="F383" s="17"/>
      <c r="G383" s="18">
        <f>IFERROR(IF($D383="",0,$F383*Parametreler!$C$4*VLOOKUP($D383,'Müşteri Kartları'!$B$5:$G$104,6,FALSE)),0)</f>
      </c>
      <c r="H383" s="18">
        <f>IF($F383="",0,$F383*Parametreler!$C$5)</f>
      </c>
      <c r="I383" s="19">
        <f>IF($F383="","",$F383-$G383+$H383)</f>
      </c>
      <c r="J383" s="18">
        <f>IF($F383="",0,$F383)</f>
      </c>
      <c r="K383" s="9"/>
      <c r="L383" s="12"/>
    </row>
    <row r="384" spans="2:12" x14ac:dyDescent="0.25">
      <c r="B384" s="20"/>
      <c r="C384" s="13"/>
      <c r="D384" s="13"/>
      <c r="E384" s="16">
        <f>IFERROR(IF($D384="","",VLOOKUP($D384,'Müşteri Kartları'!$B$5:$C$104,2,FALSE)),"— tanımsız —")</f>
      </c>
      <c r="F384" s="21"/>
      <c r="G384" s="18">
        <f>IFERROR(IF($D384="",0,$F384*Parametreler!$C$4*VLOOKUP($D384,'Müşteri Kartları'!$B$5:$G$104,6,FALSE)),0)</f>
      </c>
      <c r="H384" s="18">
        <f>IF($F384="",0,$F384*Parametreler!$C$5)</f>
      </c>
      <c r="I384" s="19">
        <f>IF($F384="","",$F384-$G384+$H384)</f>
      </c>
      <c r="J384" s="18">
        <f>IF($F384="",0,$F384)</f>
      </c>
      <c r="K384" s="14"/>
      <c r="L384" s="13"/>
    </row>
    <row r="385" spans="2:12" x14ac:dyDescent="0.25">
      <c r="B385" s="15"/>
      <c r="C385" s="12"/>
      <c r="D385" s="12"/>
      <c r="E385" s="16">
        <f>IFERROR(IF($D385="","",VLOOKUP($D385,'Müşteri Kartları'!$B$5:$C$104,2,FALSE)),"— tanımsız —")</f>
      </c>
      <c r="F385" s="17"/>
      <c r="G385" s="18">
        <f>IFERROR(IF($D385="",0,$F385*Parametreler!$C$4*VLOOKUP($D385,'Müşteri Kartları'!$B$5:$G$104,6,FALSE)),0)</f>
      </c>
      <c r="H385" s="18">
        <f>IF($F385="",0,$F385*Parametreler!$C$5)</f>
      </c>
      <c r="I385" s="19">
        <f>IF($F385="","",$F385-$G385+$H385)</f>
      </c>
      <c r="J385" s="18">
        <f>IF($F385="",0,$F385)</f>
      </c>
      <c r="K385" s="9"/>
      <c r="L385" s="12"/>
    </row>
    <row r="386" spans="2:12" x14ac:dyDescent="0.25">
      <c r="B386" s="20"/>
      <c r="C386" s="13"/>
      <c r="D386" s="13"/>
      <c r="E386" s="16">
        <f>IFERROR(IF($D386="","",VLOOKUP($D386,'Müşteri Kartları'!$B$5:$C$104,2,FALSE)),"— tanımsız —")</f>
      </c>
      <c r="F386" s="21"/>
      <c r="G386" s="18">
        <f>IFERROR(IF($D386="",0,$F386*Parametreler!$C$4*VLOOKUP($D386,'Müşteri Kartları'!$B$5:$G$104,6,FALSE)),0)</f>
      </c>
      <c r="H386" s="18">
        <f>IF($F386="",0,$F386*Parametreler!$C$5)</f>
      </c>
      <c r="I386" s="19">
        <f>IF($F386="","",$F386-$G386+$H386)</f>
      </c>
      <c r="J386" s="18">
        <f>IF($F386="",0,$F386)</f>
      </c>
      <c r="K386" s="14"/>
      <c r="L386" s="13"/>
    </row>
    <row r="387" spans="2:12" x14ac:dyDescent="0.25">
      <c r="B387" s="15"/>
      <c r="C387" s="12"/>
      <c r="D387" s="12"/>
      <c r="E387" s="16">
        <f>IFERROR(IF($D387="","",VLOOKUP($D387,'Müşteri Kartları'!$B$5:$C$104,2,FALSE)),"— tanımsız —")</f>
      </c>
      <c r="F387" s="17"/>
      <c r="G387" s="18">
        <f>IFERROR(IF($D387="",0,$F387*Parametreler!$C$4*VLOOKUP($D387,'Müşteri Kartları'!$B$5:$G$104,6,FALSE)),0)</f>
      </c>
      <c r="H387" s="18">
        <f>IF($F387="",0,$F387*Parametreler!$C$5)</f>
      </c>
      <c r="I387" s="19">
        <f>IF($F387="","",$F387-$G387+$H387)</f>
      </c>
      <c r="J387" s="18">
        <f>IF($F387="",0,$F387)</f>
      </c>
      <c r="K387" s="9"/>
      <c r="L387" s="12"/>
    </row>
    <row r="388" spans="2:12" x14ac:dyDescent="0.25">
      <c r="B388" s="20"/>
      <c r="C388" s="13"/>
      <c r="D388" s="13"/>
      <c r="E388" s="16">
        <f>IFERROR(IF($D388="","",VLOOKUP($D388,'Müşteri Kartları'!$B$5:$C$104,2,FALSE)),"— tanımsız —")</f>
      </c>
      <c r="F388" s="21"/>
      <c r="G388" s="18">
        <f>IFERROR(IF($D388="",0,$F388*Parametreler!$C$4*VLOOKUP($D388,'Müşteri Kartları'!$B$5:$G$104,6,FALSE)),0)</f>
      </c>
      <c r="H388" s="18">
        <f>IF($F388="",0,$F388*Parametreler!$C$5)</f>
      </c>
      <c r="I388" s="19">
        <f>IF($F388="","",$F388-$G388+$H388)</f>
      </c>
      <c r="J388" s="18">
        <f>IF($F388="",0,$F388)</f>
      </c>
      <c r="K388" s="14"/>
      <c r="L388" s="13"/>
    </row>
    <row r="389" spans="2:12" x14ac:dyDescent="0.25">
      <c r="B389" s="15"/>
      <c r="C389" s="12"/>
      <c r="D389" s="12"/>
      <c r="E389" s="16">
        <f>IFERROR(IF($D389="","",VLOOKUP($D389,'Müşteri Kartları'!$B$5:$C$104,2,FALSE)),"— tanımsız —")</f>
      </c>
      <c r="F389" s="17"/>
      <c r="G389" s="18">
        <f>IFERROR(IF($D389="",0,$F389*Parametreler!$C$4*VLOOKUP($D389,'Müşteri Kartları'!$B$5:$G$104,6,FALSE)),0)</f>
      </c>
      <c r="H389" s="18">
        <f>IF($F389="",0,$F389*Parametreler!$C$5)</f>
      </c>
      <c r="I389" s="19">
        <f>IF($F389="","",$F389-$G389+$H389)</f>
      </c>
      <c r="J389" s="18">
        <f>IF($F389="",0,$F389)</f>
      </c>
      <c r="K389" s="9"/>
      <c r="L389" s="12"/>
    </row>
    <row r="390" spans="2:12" x14ac:dyDescent="0.25">
      <c r="B390" s="20"/>
      <c r="C390" s="13"/>
      <c r="D390" s="13"/>
      <c r="E390" s="16">
        <f>IFERROR(IF($D390="","",VLOOKUP($D390,'Müşteri Kartları'!$B$5:$C$104,2,FALSE)),"— tanımsız —")</f>
      </c>
      <c r="F390" s="21"/>
      <c r="G390" s="18">
        <f>IFERROR(IF($D390="",0,$F390*Parametreler!$C$4*VLOOKUP($D390,'Müşteri Kartları'!$B$5:$G$104,6,FALSE)),0)</f>
      </c>
      <c r="H390" s="18">
        <f>IF($F390="",0,$F390*Parametreler!$C$5)</f>
      </c>
      <c r="I390" s="19">
        <f>IF($F390="","",$F390-$G390+$H390)</f>
      </c>
      <c r="J390" s="18">
        <f>IF($F390="",0,$F390)</f>
      </c>
      <c r="K390" s="14"/>
      <c r="L390" s="13"/>
    </row>
    <row r="391" spans="2:12" x14ac:dyDescent="0.25">
      <c r="B391" s="15"/>
      <c r="C391" s="12"/>
      <c r="D391" s="12"/>
      <c r="E391" s="16">
        <f>IFERROR(IF($D391="","",VLOOKUP($D391,'Müşteri Kartları'!$B$5:$C$104,2,FALSE)),"— tanımsız —")</f>
      </c>
      <c r="F391" s="17"/>
      <c r="G391" s="18">
        <f>IFERROR(IF($D391="",0,$F391*Parametreler!$C$4*VLOOKUP($D391,'Müşteri Kartları'!$B$5:$G$104,6,FALSE)),0)</f>
      </c>
      <c r="H391" s="18">
        <f>IF($F391="",0,$F391*Parametreler!$C$5)</f>
      </c>
      <c r="I391" s="19">
        <f>IF($F391="","",$F391-$G391+$H391)</f>
      </c>
      <c r="J391" s="18">
        <f>IF($F391="",0,$F391)</f>
      </c>
      <c r="K391" s="9"/>
      <c r="L391" s="12"/>
    </row>
    <row r="392" spans="2:12" x14ac:dyDescent="0.25">
      <c r="B392" s="20"/>
      <c r="C392" s="13"/>
      <c r="D392" s="13"/>
      <c r="E392" s="16">
        <f>IFERROR(IF($D392="","",VLOOKUP($D392,'Müşteri Kartları'!$B$5:$C$104,2,FALSE)),"— tanımsız —")</f>
      </c>
      <c r="F392" s="21"/>
      <c r="G392" s="18">
        <f>IFERROR(IF($D392="",0,$F392*Parametreler!$C$4*VLOOKUP($D392,'Müşteri Kartları'!$B$5:$G$104,6,FALSE)),0)</f>
      </c>
      <c r="H392" s="18">
        <f>IF($F392="",0,$F392*Parametreler!$C$5)</f>
      </c>
      <c r="I392" s="19">
        <f>IF($F392="","",$F392-$G392+$H392)</f>
      </c>
      <c r="J392" s="18">
        <f>IF($F392="",0,$F392)</f>
      </c>
      <c r="K392" s="14"/>
      <c r="L392" s="13"/>
    </row>
    <row r="393" spans="2:12" x14ac:dyDescent="0.25">
      <c r="B393" s="15"/>
      <c r="C393" s="12"/>
      <c r="D393" s="12"/>
      <c r="E393" s="16">
        <f>IFERROR(IF($D393="","",VLOOKUP($D393,'Müşteri Kartları'!$B$5:$C$104,2,FALSE)),"— tanımsız —")</f>
      </c>
      <c r="F393" s="17"/>
      <c r="G393" s="18">
        <f>IFERROR(IF($D393="",0,$F393*Parametreler!$C$4*VLOOKUP($D393,'Müşteri Kartları'!$B$5:$G$104,6,FALSE)),0)</f>
      </c>
      <c r="H393" s="18">
        <f>IF($F393="",0,$F393*Parametreler!$C$5)</f>
      </c>
      <c r="I393" s="19">
        <f>IF($F393="","",$F393-$G393+$H393)</f>
      </c>
      <c r="J393" s="18">
        <f>IF($F393="",0,$F393)</f>
      </c>
      <c r="K393" s="9"/>
      <c r="L393" s="12"/>
    </row>
    <row r="394" spans="2:12" x14ac:dyDescent="0.25">
      <c r="B394" s="20"/>
      <c r="C394" s="13"/>
      <c r="D394" s="13"/>
      <c r="E394" s="16">
        <f>IFERROR(IF($D394="","",VLOOKUP($D394,'Müşteri Kartları'!$B$5:$C$104,2,FALSE)),"— tanımsız —")</f>
      </c>
      <c r="F394" s="21"/>
      <c r="G394" s="18">
        <f>IFERROR(IF($D394="",0,$F394*Parametreler!$C$4*VLOOKUP($D394,'Müşteri Kartları'!$B$5:$G$104,6,FALSE)),0)</f>
      </c>
      <c r="H394" s="18">
        <f>IF($F394="",0,$F394*Parametreler!$C$5)</f>
      </c>
      <c r="I394" s="19">
        <f>IF($F394="","",$F394-$G394+$H394)</f>
      </c>
      <c r="J394" s="18">
        <f>IF($F394="",0,$F394)</f>
      </c>
      <c r="K394" s="14"/>
      <c r="L394" s="13"/>
    </row>
    <row r="395" spans="2:12" x14ac:dyDescent="0.25">
      <c r="B395" s="15"/>
      <c r="C395" s="12"/>
      <c r="D395" s="12"/>
      <c r="E395" s="16">
        <f>IFERROR(IF($D395="","",VLOOKUP($D395,'Müşteri Kartları'!$B$5:$C$104,2,FALSE)),"— tanımsız —")</f>
      </c>
      <c r="F395" s="17"/>
      <c r="G395" s="18">
        <f>IFERROR(IF($D395="",0,$F395*Parametreler!$C$4*VLOOKUP($D395,'Müşteri Kartları'!$B$5:$G$104,6,FALSE)),0)</f>
      </c>
      <c r="H395" s="18">
        <f>IF($F395="",0,$F395*Parametreler!$C$5)</f>
      </c>
      <c r="I395" s="19">
        <f>IF($F395="","",$F395-$G395+$H395)</f>
      </c>
      <c r="J395" s="18">
        <f>IF($F395="",0,$F395)</f>
      </c>
      <c r="K395" s="9"/>
      <c r="L395" s="12"/>
    </row>
    <row r="396" spans="2:12" x14ac:dyDescent="0.25">
      <c r="B396" s="20"/>
      <c r="C396" s="13"/>
      <c r="D396" s="13"/>
      <c r="E396" s="16">
        <f>IFERROR(IF($D396="","",VLOOKUP($D396,'Müşteri Kartları'!$B$5:$C$104,2,FALSE)),"— tanımsız —")</f>
      </c>
      <c r="F396" s="21"/>
      <c r="G396" s="18">
        <f>IFERROR(IF($D396="",0,$F396*Parametreler!$C$4*VLOOKUP($D396,'Müşteri Kartları'!$B$5:$G$104,6,FALSE)),0)</f>
      </c>
      <c r="H396" s="18">
        <f>IF($F396="",0,$F396*Parametreler!$C$5)</f>
      </c>
      <c r="I396" s="19">
        <f>IF($F396="","",$F396-$G396+$H396)</f>
      </c>
      <c r="J396" s="18">
        <f>IF($F396="",0,$F396)</f>
      </c>
      <c r="K396" s="14"/>
      <c r="L396" s="13"/>
    </row>
    <row r="397" spans="2:12" x14ac:dyDescent="0.25">
      <c r="B397" s="15"/>
      <c r="C397" s="12"/>
      <c r="D397" s="12"/>
      <c r="E397" s="16">
        <f>IFERROR(IF($D397="","",VLOOKUP($D397,'Müşteri Kartları'!$B$5:$C$104,2,FALSE)),"— tanımsız —")</f>
      </c>
      <c r="F397" s="17"/>
      <c r="G397" s="18">
        <f>IFERROR(IF($D397="",0,$F397*Parametreler!$C$4*VLOOKUP($D397,'Müşteri Kartları'!$B$5:$G$104,6,FALSE)),0)</f>
      </c>
      <c r="H397" s="18">
        <f>IF($F397="",0,$F397*Parametreler!$C$5)</f>
      </c>
      <c r="I397" s="19">
        <f>IF($F397="","",$F397-$G397+$H397)</f>
      </c>
      <c r="J397" s="18">
        <f>IF($F397="",0,$F397)</f>
      </c>
      <c r="K397" s="9"/>
      <c r="L397" s="12"/>
    </row>
    <row r="398" spans="2:12" x14ac:dyDescent="0.25">
      <c r="B398" s="20"/>
      <c r="C398" s="13"/>
      <c r="D398" s="13"/>
      <c r="E398" s="16">
        <f>IFERROR(IF($D398="","",VLOOKUP($D398,'Müşteri Kartları'!$B$5:$C$104,2,FALSE)),"— tanımsız —")</f>
      </c>
      <c r="F398" s="21"/>
      <c r="G398" s="18">
        <f>IFERROR(IF($D398="",0,$F398*Parametreler!$C$4*VLOOKUP($D398,'Müşteri Kartları'!$B$5:$G$104,6,FALSE)),0)</f>
      </c>
      <c r="H398" s="18">
        <f>IF($F398="",0,$F398*Parametreler!$C$5)</f>
      </c>
      <c r="I398" s="19">
        <f>IF($F398="","",$F398-$G398+$H398)</f>
      </c>
      <c r="J398" s="18">
        <f>IF($F398="",0,$F398)</f>
      </c>
      <c r="K398" s="14"/>
      <c r="L398" s="13"/>
    </row>
    <row r="399" spans="2:12" x14ac:dyDescent="0.25">
      <c r="B399" s="15"/>
      <c r="C399" s="12"/>
      <c r="D399" s="12"/>
      <c r="E399" s="16">
        <f>IFERROR(IF($D399="","",VLOOKUP($D399,'Müşteri Kartları'!$B$5:$C$104,2,FALSE)),"— tanımsız —")</f>
      </c>
      <c r="F399" s="17"/>
      <c r="G399" s="18">
        <f>IFERROR(IF($D399="",0,$F399*Parametreler!$C$4*VLOOKUP($D399,'Müşteri Kartları'!$B$5:$G$104,6,FALSE)),0)</f>
      </c>
      <c r="H399" s="18">
        <f>IF($F399="",0,$F399*Parametreler!$C$5)</f>
      </c>
      <c r="I399" s="19">
        <f>IF($F399="","",$F399-$G399+$H399)</f>
      </c>
      <c r="J399" s="18">
        <f>IF($F399="",0,$F399)</f>
      </c>
      <c r="K399" s="9"/>
      <c r="L399" s="12"/>
    </row>
    <row r="400" spans="2:12" x14ac:dyDescent="0.25">
      <c r="B400" s="20"/>
      <c r="C400" s="13"/>
      <c r="D400" s="13"/>
      <c r="E400" s="16">
        <f>IFERROR(IF($D400="","",VLOOKUP($D400,'Müşteri Kartları'!$B$5:$C$104,2,FALSE)),"— tanımsız —")</f>
      </c>
      <c r="F400" s="21"/>
      <c r="G400" s="18">
        <f>IFERROR(IF($D400="",0,$F400*Parametreler!$C$4*VLOOKUP($D400,'Müşteri Kartları'!$B$5:$G$104,6,FALSE)),0)</f>
      </c>
      <c r="H400" s="18">
        <f>IF($F400="",0,$F400*Parametreler!$C$5)</f>
      </c>
      <c r="I400" s="19">
        <f>IF($F400="","",$F400-$G400+$H400)</f>
      </c>
      <c r="J400" s="18">
        <f>IF($F400="",0,$F400)</f>
      </c>
      <c r="K400" s="14"/>
      <c r="L400" s="13"/>
    </row>
    <row r="401" spans="2:12" x14ac:dyDescent="0.25">
      <c r="B401" s="15"/>
      <c r="C401" s="12"/>
      <c r="D401" s="12"/>
      <c r="E401" s="16">
        <f>IFERROR(IF($D401="","",VLOOKUP($D401,'Müşteri Kartları'!$B$5:$C$104,2,FALSE)),"— tanımsız —")</f>
      </c>
      <c r="F401" s="17"/>
      <c r="G401" s="18">
        <f>IFERROR(IF($D401="",0,$F401*Parametreler!$C$4*VLOOKUP($D401,'Müşteri Kartları'!$B$5:$G$104,6,FALSE)),0)</f>
      </c>
      <c r="H401" s="18">
        <f>IF($F401="",0,$F401*Parametreler!$C$5)</f>
      </c>
      <c r="I401" s="19">
        <f>IF($F401="","",$F401-$G401+$H401)</f>
      </c>
      <c r="J401" s="18">
        <f>IF($F401="",0,$F401)</f>
      </c>
      <c r="K401" s="9"/>
      <c r="L401" s="12"/>
    </row>
    <row r="402" spans="2:12" x14ac:dyDescent="0.25">
      <c r="B402" s="20"/>
      <c r="C402" s="13"/>
      <c r="D402" s="13"/>
      <c r="E402" s="16">
        <f>IFERROR(IF($D402="","",VLOOKUP($D402,'Müşteri Kartları'!$B$5:$C$104,2,FALSE)),"— tanımsız —")</f>
      </c>
      <c r="F402" s="21"/>
      <c r="G402" s="18">
        <f>IFERROR(IF($D402="",0,$F402*Parametreler!$C$4*VLOOKUP($D402,'Müşteri Kartları'!$B$5:$G$104,6,FALSE)),0)</f>
      </c>
      <c r="H402" s="18">
        <f>IF($F402="",0,$F402*Parametreler!$C$5)</f>
      </c>
      <c r="I402" s="19">
        <f>IF($F402="","",$F402-$G402+$H402)</f>
      </c>
      <c r="J402" s="18">
        <f>IF($F402="",0,$F402)</f>
      </c>
      <c r="K402" s="14"/>
      <c r="L402" s="13"/>
    </row>
    <row r="403" spans="2:12" x14ac:dyDescent="0.25">
      <c r="B403" s="15"/>
      <c r="C403" s="12"/>
      <c r="D403" s="12"/>
      <c r="E403" s="16">
        <f>IFERROR(IF($D403="","",VLOOKUP($D403,'Müşteri Kartları'!$B$5:$C$104,2,FALSE)),"— tanımsız —")</f>
      </c>
      <c r="F403" s="17"/>
      <c r="G403" s="18">
        <f>IFERROR(IF($D403="",0,$F403*Parametreler!$C$4*VLOOKUP($D403,'Müşteri Kartları'!$B$5:$G$104,6,FALSE)),0)</f>
      </c>
      <c r="H403" s="18">
        <f>IF($F403="",0,$F403*Parametreler!$C$5)</f>
      </c>
      <c r="I403" s="19">
        <f>IF($F403="","",$F403-$G403+$H403)</f>
      </c>
      <c r="J403" s="18">
        <f>IF($F403="",0,$F403)</f>
      </c>
      <c r="K403" s="9"/>
      <c r="L403" s="12"/>
    </row>
    <row r="404" spans="2:12" x14ac:dyDescent="0.25">
      <c r="B404" s="20"/>
      <c r="C404" s="13"/>
      <c r="D404" s="13"/>
      <c r="E404" s="16">
        <f>IFERROR(IF($D404="","",VLOOKUP($D404,'Müşteri Kartları'!$B$5:$C$104,2,FALSE)),"— tanımsız —")</f>
      </c>
      <c r="F404" s="21"/>
      <c r="G404" s="18">
        <f>IFERROR(IF($D404="",0,$F404*Parametreler!$C$4*VLOOKUP($D404,'Müşteri Kartları'!$B$5:$G$104,6,FALSE)),0)</f>
      </c>
      <c r="H404" s="18">
        <f>IF($F404="",0,$F404*Parametreler!$C$5)</f>
      </c>
      <c r="I404" s="19">
        <f>IF($F404="","",$F404-$G404+$H404)</f>
      </c>
      <c r="J404" s="18">
        <f>IF($F404="",0,$F404)</f>
      </c>
      <c r="K404" s="14"/>
      <c r="L404" s="13"/>
    </row>
  </sheetData>
  <autoFilter ref="B4:L4"/>
  <mergeCells count="2">
    <mergeCell ref="A1:L1"/>
    <mergeCell ref="A2:L2"/>
  </mergeCells>
  <dataValidations count="1">
    <dataValidation type="list" allowBlank="1" sqref="D5:D404">
      <formula1>=MusteriKodlari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I4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3" customWidth="1"/>
    <col min="3" max="3" width="24" customWidth="1"/>
    <col min="4" max="4" width="30" customWidth="1"/>
    <col min="5" max="5" width="16" customWidth="1"/>
    <col min="6" max="6" width="12" customWidth="1"/>
    <col min="7" max="8" width="16" customWidth="1"/>
    <col min="9" max="9" width="20" customWidth="1"/>
  </cols>
  <sheetData>
    <row r="1" ht="34" customHeight="1" spans="1:9" x14ac:dyDescent="0.25">
      <c r="A1" s="1" t="s">
        <v>68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69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11" t="s">
        <v>29</v>
      </c>
      <c r="B4" s="11" t="s">
        <v>51</v>
      </c>
      <c r="C4" s="11" t="s">
        <v>70</v>
      </c>
      <c r="D4" s="11" t="s">
        <v>61</v>
      </c>
      <c r="E4" s="11" t="s">
        <v>71</v>
      </c>
      <c r="F4" s="11" t="s">
        <v>57</v>
      </c>
      <c r="G4" s="11" t="s">
        <v>72</v>
      </c>
      <c r="H4" s="11" t="s">
        <v>73</v>
      </c>
      <c r="I4" s="11" t="s">
        <v>74</v>
      </c>
    </row>
    <row r="5" spans="2:9" x14ac:dyDescent="0.25">
      <c r="B5" s="15">
        <v>46026.875</v>
      </c>
      <c r="C5" s="12" t="s">
        <v>75</v>
      </c>
      <c r="D5" s="12" t="s">
        <v>76</v>
      </c>
      <c r="E5" s="17">
        <v>18000</v>
      </c>
      <c r="F5" s="8">
        <v>0.2</v>
      </c>
      <c r="G5" s="18">
        <f>IF($E5="",0,$E5*IF($F5="",0,$F5))</f>
      </c>
      <c r="H5" s="18">
        <f>IF($E5="","",$E5+$G5)</f>
      </c>
      <c r="I5" s="12" t="s">
        <v>77</v>
      </c>
    </row>
    <row r="6" spans="2:9" x14ac:dyDescent="0.25">
      <c r="B6" s="20">
        <v>46041.875</v>
      </c>
      <c r="C6" s="13" t="s">
        <v>78</v>
      </c>
      <c r="D6" s="13" t="s">
        <v>79</v>
      </c>
      <c r="E6" s="21">
        <v>2400</v>
      </c>
      <c r="F6" s="22">
        <v>0.2</v>
      </c>
      <c r="G6" s="18">
        <f>IF($E6="",0,$E6*IF($F6="",0,$F6))</f>
      </c>
      <c r="H6" s="18">
        <f>IF($E6="","",$E6+$G6)</f>
      </c>
      <c r="I6" s="13" t="s">
        <v>80</v>
      </c>
    </row>
    <row r="7" spans="2:9" x14ac:dyDescent="0.25">
      <c r="B7" s="15"/>
      <c r="C7" s="12"/>
      <c r="D7" s="12"/>
      <c r="E7" s="17"/>
      <c r="F7" s="8"/>
      <c r="G7" s="18">
        <f>IF($E7="",0,$E7*IF($F7="",0,$F7))</f>
      </c>
      <c r="H7" s="18">
        <f>IF($E7="","",$E7+$G7)</f>
      </c>
      <c r="I7" s="12"/>
    </row>
    <row r="8" spans="2:9" x14ac:dyDescent="0.25">
      <c r="B8" s="20"/>
      <c r="C8" s="13"/>
      <c r="D8" s="13"/>
      <c r="E8" s="21"/>
      <c r="F8" s="22"/>
      <c r="G8" s="18">
        <f>IF($E8="",0,$E8*IF($F8="",0,$F8))</f>
      </c>
      <c r="H8" s="18">
        <f>IF($E8="","",$E8+$G8)</f>
      </c>
      <c r="I8" s="13"/>
    </row>
    <row r="9" spans="2:9" x14ac:dyDescent="0.25">
      <c r="B9" s="15"/>
      <c r="C9" s="12"/>
      <c r="D9" s="12"/>
      <c r="E9" s="17"/>
      <c r="F9" s="8"/>
      <c r="G9" s="18">
        <f>IF($E9="",0,$E9*IF($F9="",0,$F9))</f>
      </c>
      <c r="H9" s="18">
        <f>IF($E9="","",$E9+$G9)</f>
      </c>
      <c r="I9" s="12"/>
    </row>
    <row r="10" spans="2:9" x14ac:dyDescent="0.25">
      <c r="B10" s="20"/>
      <c r="C10" s="13"/>
      <c r="D10" s="13"/>
      <c r="E10" s="21"/>
      <c r="F10" s="22"/>
      <c r="G10" s="18">
        <f>IF($E10="",0,$E10*IF($F10="",0,$F10))</f>
      </c>
      <c r="H10" s="18">
        <f>IF($E10="","",$E10+$G10)</f>
      </c>
      <c r="I10" s="13"/>
    </row>
    <row r="11" spans="2:9" x14ac:dyDescent="0.25">
      <c r="B11" s="15"/>
      <c r="C11" s="12"/>
      <c r="D11" s="12"/>
      <c r="E11" s="17"/>
      <c r="F11" s="8"/>
      <c r="G11" s="18">
        <f>IF($E11="",0,$E11*IF($F11="",0,$F11))</f>
      </c>
      <c r="H11" s="18">
        <f>IF($E11="","",$E11+$G11)</f>
      </c>
      <c r="I11" s="12"/>
    </row>
    <row r="12" spans="2:9" x14ac:dyDescent="0.25">
      <c r="B12" s="20"/>
      <c r="C12" s="13"/>
      <c r="D12" s="13"/>
      <c r="E12" s="21"/>
      <c r="F12" s="22"/>
      <c r="G12" s="18">
        <f>IF($E12="",0,$E12*IF($F12="",0,$F12))</f>
      </c>
      <c r="H12" s="18">
        <f>IF($E12="","",$E12+$G12)</f>
      </c>
      <c r="I12" s="13"/>
    </row>
    <row r="13" spans="2:9" x14ac:dyDescent="0.25">
      <c r="B13" s="15"/>
      <c r="C13" s="12"/>
      <c r="D13" s="12"/>
      <c r="E13" s="17"/>
      <c r="F13" s="8"/>
      <c r="G13" s="18">
        <f>IF($E13="",0,$E13*IF($F13="",0,$F13))</f>
      </c>
      <c r="H13" s="18">
        <f>IF($E13="","",$E13+$G13)</f>
      </c>
      <c r="I13" s="12"/>
    </row>
    <row r="14" spans="2:9" x14ac:dyDescent="0.25">
      <c r="B14" s="20"/>
      <c r="C14" s="13"/>
      <c r="D14" s="13"/>
      <c r="E14" s="21"/>
      <c r="F14" s="22"/>
      <c r="G14" s="18">
        <f>IF($E14="",0,$E14*IF($F14="",0,$F14))</f>
      </c>
      <c r="H14" s="18">
        <f>IF($E14="","",$E14+$G14)</f>
      </c>
      <c r="I14" s="13"/>
    </row>
    <row r="15" spans="2:9" x14ac:dyDescent="0.25">
      <c r="B15" s="15"/>
      <c r="C15" s="12"/>
      <c r="D15" s="12"/>
      <c r="E15" s="17"/>
      <c r="F15" s="8"/>
      <c r="G15" s="18">
        <f>IF($E15="",0,$E15*IF($F15="",0,$F15))</f>
      </c>
      <c r="H15" s="18">
        <f>IF($E15="","",$E15+$G15)</f>
      </c>
      <c r="I15" s="12"/>
    </row>
    <row r="16" spans="2:9" x14ac:dyDescent="0.25">
      <c r="B16" s="20"/>
      <c r="C16" s="13"/>
      <c r="D16" s="13"/>
      <c r="E16" s="21"/>
      <c r="F16" s="22"/>
      <c r="G16" s="18">
        <f>IF($E16="",0,$E16*IF($F16="",0,$F16))</f>
      </c>
      <c r="H16" s="18">
        <f>IF($E16="","",$E16+$G16)</f>
      </c>
      <c r="I16" s="13"/>
    </row>
    <row r="17" spans="2:9" x14ac:dyDescent="0.25">
      <c r="B17" s="15"/>
      <c r="C17" s="12"/>
      <c r="D17" s="12"/>
      <c r="E17" s="17"/>
      <c r="F17" s="8"/>
      <c r="G17" s="18">
        <f>IF($E17="",0,$E17*IF($F17="",0,$F17))</f>
      </c>
      <c r="H17" s="18">
        <f>IF($E17="","",$E17+$G17)</f>
      </c>
      <c r="I17" s="12"/>
    </row>
    <row r="18" spans="2:9" x14ac:dyDescent="0.25">
      <c r="B18" s="20"/>
      <c r="C18" s="13"/>
      <c r="D18" s="13"/>
      <c r="E18" s="21"/>
      <c r="F18" s="22"/>
      <c r="G18" s="18">
        <f>IF($E18="",0,$E18*IF($F18="",0,$F18))</f>
      </c>
      <c r="H18" s="18">
        <f>IF($E18="","",$E18+$G18)</f>
      </c>
      <c r="I18" s="13"/>
    </row>
    <row r="19" spans="2:9" x14ac:dyDescent="0.25">
      <c r="B19" s="15"/>
      <c r="C19" s="12"/>
      <c r="D19" s="12"/>
      <c r="E19" s="17"/>
      <c r="F19" s="8"/>
      <c r="G19" s="18">
        <f>IF($E19="",0,$E19*IF($F19="",0,$F19))</f>
      </c>
      <c r="H19" s="18">
        <f>IF($E19="","",$E19+$G19)</f>
      </c>
      <c r="I19" s="12"/>
    </row>
    <row r="20" spans="2:9" x14ac:dyDescent="0.25">
      <c r="B20" s="20"/>
      <c r="C20" s="13"/>
      <c r="D20" s="13"/>
      <c r="E20" s="21"/>
      <c r="F20" s="22"/>
      <c r="G20" s="18">
        <f>IF($E20="",0,$E20*IF($F20="",0,$F20))</f>
      </c>
      <c r="H20" s="18">
        <f>IF($E20="","",$E20+$G20)</f>
      </c>
      <c r="I20" s="13"/>
    </row>
    <row r="21" spans="2:9" x14ac:dyDescent="0.25">
      <c r="B21" s="15"/>
      <c r="C21" s="12"/>
      <c r="D21" s="12"/>
      <c r="E21" s="17"/>
      <c r="F21" s="8"/>
      <c r="G21" s="18">
        <f>IF($E21="",0,$E21*IF($F21="",0,$F21))</f>
      </c>
      <c r="H21" s="18">
        <f>IF($E21="","",$E21+$G21)</f>
      </c>
      <c r="I21" s="12"/>
    </row>
    <row r="22" spans="2:9" x14ac:dyDescent="0.25">
      <c r="B22" s="20"/>
      <c r="C22" s="13"/>
      <c r="D22" s="13"/>
      <c r="E22" s="21"/>
      <c r="F22" s="22"/>
      <c r="G22" s="18">
        <f>IF($E22="",0,$E22*IF($F22="",0,$F22))</f>
      </c>
      <c r="H22" s="18">
        <f>IF($E22="","",$E22+$G22)</f>
      </c>
      <c r="I22" s="13"/>
    </row>
    <row r="23" spans="2:9" x14ac:dyDescent="0.25">
      <c r="B23" s="15"/>
      <c r="C23" s="12"/>
      <c r="D23" s="12"/>
      <c r="E23" s="17"/>
      <c r="F23" s="8"/>
      <c r="G23" s="18">
        <f>IF($E23="",0,$E23*IF($F23="",0,$F23))</f>
      </c>
      <c r="H23" s="18">
        <f>IF($E23="","",$E23+$G23)</f>
      </c>
      <c r="I23" s="12"/>
    </row>
    <row r="24" spans="2:9" x14ac:dyDescent="0.25">
      <c r="B24" s="20"/>
      <c r="C24" s="13"/>
      <c r="D24" s="13"/>
      <c r="E24" s="21"/>
      <c r="F24" s="22"/>
      <c r="G24" s="18">
        <f>IF($E24="",0,$E24*IF($F24="",0,$F24))</f>
      </c>
      <c r="H24" s="18">
        <f>IF($E24="","",$E24+$G24)</f>
      </c>
      <c r="I24" s="13"/>
    </row>
    <row r="25" spans="2:9" x14ac:dyDescent="0.25">
      <c r="B25" s="15"/>
      <c r="C25" s="12"/>
      <c r="D25" s="12"/>
      <c r="E25" s="17"/>
      <c r="F25" s="8"/>
      <c r="G25" s="18">
        <f>IF($E25="",0,$E25*IF($F25="",0,$F25))</f>
      </c>
      <c r="H25" s="18">
        <f>IF($E25="","",$E25+$G25)</f>
      </c>
      <c r="I25" s="12"/>
    </row>
    <row r="26" spans="2:9" x14ac:dyDescent="0.25">
      <c r="B26" s="20"/>
      <c r="C26" s="13"/>
      <c r="D26" s="13"/>
      <c r="E26" s="21"/>
      <c r="F26" s="22"/>
      <c r="G26" s="18">
        <f>IF($E26="",0,$E26*IF($F26="",0,$F26))</f>
      </c>
      <c r="H26" s="18">
        <f>IF($E26="","",$E26+$G26)</f>
      </c>
      <c r="I26" s="13"/>
    </row>
    <row r="27" spans="2:9" x14ac:dyDescent="0.25">
      <c r="B27" s="15"/>
      <c r="C27" s="12"/>
      <c r="D27" s="12"/>
      <c r="E27" s="17"/>
      <c r="F27" s="8"/>
      <c r="G27" s="18">
        <f>IF($E27="",0,$E27*IF($F27="",0,$F27))</f>
      </c>
      <c r="H27" s="18">
        <f>IF($E27="","",$E27+$G27)</f>
      </c>
      <c r="I27" s="12"/>
    </row>
    <row r="28" spans="2:9" x14ac:dyDescent="0.25">
      <c r="B28" s="20"/>
      <c r="C28" s="13"/>
      <c r="D28" s="13"/>
      <c r="E28" s="21"/>
      <c r="F28" s="22"/>
      <c r="G28" s="18">
        <f>IF($E28="",0,$E28*IF($F28="",0,$F28))</f>
      </c>
      <c r="H28" s="18">
        <f>IF($E28="","",$E28+$G28)</f>
      </c>
      <c r="I28" s="13"/>
    </row>
    <row r="29" spans="2:9" x14ac:dyDescent="0.25">
      <c r="B29" s="15"/>
      <c r="C29" s="12"/>
      <c r="D29" s="12"/>
      <c r="E29" s="17"/>
      <c r="F29" s="8"/>
      <c r="G29" s="18">
        <f>IF($E29="",0,$E29*IF($F29="",0,$F29))</f>
      </c>
      <c r="H29" s="18">
        <f>IF($E29="","",$E29+$G29)</f>
      </c>
      <c r="I29" s="12"/>
    </row>
    <row r="30" spans="2:9" x14ac:dyDescent="0.25">
      <c r="B30" s="20"/>
      <c r="C30" s="13"/>
      <c r="D30" s="13"/>
      <c r="E30" s="21"/>
      <c r="F30" s="22"/>
      <c r="G30" s="18">
        <f>IF($E30="",0,$E30*IF($F30="",0,$F30))</f>
      </c>
      <c r="H30" s="18">
        <f>IF($E30="","",$E30+$G30)</f>
      </c>
      <c r="I30" s="13"/>
    </row>
    <row r="31" spans="2:9" x14ac:dyDescent="0.25">
      <c r="B31" s="15"/>
      <c r="C31" s="12"/>
      <c r="D31" s="12"/>
      <c r="E31" s="17"/>
      <c r="F31" s="8"/>
      <c r="G31" s="18">
        <f>IF($E31="",0,$E31*IF($F31="",0,$F31))</f>
      </c>
      <c r="H31" s="18">
        <f>IF($E31="","",$E31+$G31)</f>
      </c>
      <c r="I31" s="12"/>
    </row>
    <row r="32" spans="2:9" x14ac:dyDescent="0.25">
      <c r="B32" s="20"/>
      <c r="C32" s="13"/>
      <c r="D32" s="13"/>
      <c r="E32" s="21"/>
      <c r="F32" s="22"/>
      <c r="G32" s="18">
        <f>IF($E32="",0,$E32*IF($F32="",0,$F32))</f>
      </c>
      <c r="H32" s="18">
        <f>IF($E32="","",$E32+$G32)</f>
      </c>
      <c r="I32" s="13"/>
    </row>
    <row r="33" spans="2:9" x14ac:dyDescent="0.25">
      <c r="B33" s="15"/>
      <c r="C33" s="12"/>
      <c r="D33" s="12"/>
      <c r="E33" s="17"/>
      <c r="F33" s="8"/>
      <c r="G33" s="18">
        <f>IF($E33="",0,$E33*IF($F33="",0,$F33))</f>
      </c>
      <c r="H33" s="18">
        <f>IF($E33="","",$E33+$G33)</f>
      </c>
      <c r="I33" s="12"/>
    </row>
    <row r="34" spans="2:9" x14ac:dyDescent="0.25">
      <c r="B34" s="20"/>
      <c r="C34" s="13"/>
      <c r="D34" s="13"/>
      <c r="E34" s="21"/>
      <c r="F34" s="22"/>
      <c r="G34" s="18">
        <f>IF($E34="",0,$E34*IF($F34="",0,$F34))</f>
      </c>
      <c r="H34" s="18">
        <f>IF($E34="","",$E34+$G34)</f>
      </c>
      <c r="I34" s="13"/>
    </row>
    <row r="35" spans="2:9" x14ac:dyDescent="0.25">
      <c r="B35" s="15"/>
      <c r="C35" s="12"/>
      <c r="D35" s="12"/>
      <c r="E35" s="17"/>
      <c r="F35" s="8"/>
      <c r="G35" s="18">
        <f>IF($E35="",0,$E35*IF($F35="",0,$F35))</f>
      </c>
      <c r="H35" s="18">
        <f>IF($E35="","",$E35+$G35)</f>
      </c>
      <c r="I35" s="12"/>
    </row>
    <row r="36" spans="2:9" x14ac:dyDescent="0.25">
      <c r="B36" s="20"/>
      <c r="C36" s="13"/>
      <c r="D36" s="13"/>
      <c r="E36" s="21"/>
      <c r="F36" s="22"/>
      <c r="G36" s="18">
        <f>IF($E36="",0,$E36*IF($F36="",0,$F36))</f>
      </c>
      <c r="H36" s="18">
        <f>IF($E36="","",$E36+$G36)</f>
      </c>
      <c r="I36" s="13"/>
    </row>
    <row r="37" spans="2:9" x14ac:dyDescent="0.25">
      <c r="B37" s="15"/>
      <c r="C37" s="12"/>
      <c r="D37" s="12"/>
      <c r="E37" s="17"/>
      <c r="F37" s="8"/>
      <c r="G37" s="18">
        <f>IF($E37="",0,$E37*IF($F37="",0,$F37))</f>
      </c>
      <c r="H37" s="18">
        <f>IF($E37="","",$E37+$G37)</f>
      </c>
      <c r="I37" s="12"/>
    </row>
    <row r="38" spans="2:9" x14ac:dyDescent="0.25">
      <c r="B38" s="20"/>
      <c r="C38" s="13"/>
      <c r="D38" s="13"/>
      <c r="E38" s="21"/>
      <c r="F38" s="22"/>
      <c r="G38" s="18">
        <f>IF($E38="",0,$E38*IF($F38="",0,$F38))</f>
      </c>
      <c r="H38" s="18">
        <f>IF($E38="","",$E38+$G38)</f>
      </c>
      <c r="I38" s="13"/>
    </row>
    <row r="39" spans="2:9" x14ac:dyDescent="0.25">
      <c r="B39" s="15"/>
      <c r="C39" s="12"/>
      <c r="D39" s="12"/>
      <c r="E39" s="17"/>
      <c r="F39" s="8"/>
      <c r="G39" s="18">
        <f>IF($E39="",0,$E39*IF($F39="",0,$F39))</f>
      </c>
      <c r="H39" s="18">
        <f>IF($E39="","",$E39+$G39)</f>
      </c>
      <c r="I39" s="12"/>
    </row>
    <row r="40" spans="2:9" x14ac:dyDescent="0.25">
      <c r="B40" s="20"/>
      <c r="C40" s="13"/>
      <c r="D40" s="13"/>
      <c r="E40" s="21"/>
      <c r="F40" s="22"/>
      <c r="G40" s="18">
        <f>IF($E40="",0,$E40*IF($F40="",0,$F40))</f>
      </c>
      <c r="H40" s="18">
        <f>IF($E40="","",$E40+$G40)</f>
      </c>
      <c r="I40" s="13"/>
    </row>
    <row r="41" spans="2:9" x14ac:dyDescent="0.25">
      <c r="B41" s="15"/>
      <c r="C41" s="12"/>
      <c r="D41" s="12"/>
      <c r="E41" s="17"/>
      <c r="F41" s="8"/>
      <c r="G41" s="18">
        <f>IF($E41="",0,$E41*IF($F41="",0,$F41))</f>
      </c>
      <c r="H41" s="18">
        <f>IF($E41="","",$E41+$G41)</f>
      </c>
      <c r="I41" s="12"/>
    </row>
    <row r="42" spans="2:9" x14ac:dyDescent="0.25">
      <c r="B42" s="20"/>
      <c r="C42" s="13"/>
      <c r="D42" s="13"/>
      <c r="E42" s="21"/>
      <c r="F42" s="22"/>
      <c r="G42" s="18">
        <f>IF($E42="",0,$E42*IF($F42="",0,$F42))</f>
      </c>
      <c r="H42" s="18">
        <f>IF($E42="","",$E42+$G42)</f>
      </c>
      <c r="I42" s="13"/>
    </row>
    <row r="43" spans="2:9" x14ac:dyDescent="0.25">
      <c r="B43" s="15"/>
      <c r="C43" s="12"/>
      <c r="D43" s="12"/>
      <c r="E43" s="17"/>
      <c r="F43" s="8"/>
      <c r="G43" s="18">
        <f>IF($E43="",0,$E43*IF($F43="",0,$F43))</f>
      </c>
      <c r="H43" s="18">
        <f>IF($E43="","",$E43+$G43)</f>
      </c>
      <c r="I43" s="12"/>
    </row>
    <row r="44" spans="2:9" x14ac:dyDescent="0.25">
      <c r="B44" s="20"/>
      <c r="C44" s="13"/>
      <c r="D44" s="13"/>
      <c r="E44" s="21"/>
      <c r="F44" s="22"/>
      <c r="G44" s="18">
        <f>IF($E44="",0,$E44*IF($F44="",0,$F44))</f>
      </c>
      <c r="H44" s="18">
        <f>IF($E44="","",$E44+$G44)</f>
      </c>
      <c r="I44" s="13"/>
    </row>
    <row r="45" spans="2:9" x14ac:dyDescent="0.25">
      <c r="B45" s="15"/>
      <c r="C45" s="12"/>
      <c r="D45" s="12"/>
      <c r="E45" s="17"/>
      <c r="F45" s="8"/>
      <c r="G45" s="18">
        <f>IF($E45="",0,$E45*IF($F45="",0,$F45))</f>
      </c>
      <c r="H45" s="18">
        <f>IF($E45="","",$E45+$G45)</f>
      </c>
      <c r="I45" s="12"/>
    </row>
    <row r="46" spans="2:9" x14ac:dyDescent="0.25">
      <c r="B46" s="20"/>
      <c r="C46" s="13"/>
      <c r="D46" s="13"/>
      <c r="E46" s="21"/>
      <c r="F46" s="22"/>
      <c r="G46" s="18">
        <f>IF($E46="",0,$E46*IF($F46="",0,$F46))</f>
      </c>
      <c r="H46" s="18">
        <f>IF($E46="","",$E46+$G46)</f>
      </c>
      <c r="I46" s="13"/>
    </row>
    <row r="47" spans="2:9" x14ac:dyDescent="0.25">
      <c r="B47" s="15"/>
      <c r="C47" s="12"/>
      <c r="D47" s="12"/>
      <c r="E47" s="17"/>
      <c r="F47" s="8"/>
      <c r="G47" s="18">
        <f>IF($E47="",0,$E47*IF($F47="",0,$F47))</f>
      </c>
      <c r="H47" s="18">
        <f>IF($E47="","",$E47+$G47)</f>
      </c>
      <c r="I47" s="12"/>
    </row>
    <row r="48" spans="2:9" x14ac:dyDescent="0.25">
      <c r="B48" s="20"/>
      <c r="C48" s="13"/>
      <c r="D48" s="13"/>
      <c r="E48" s="21"/>
      <c r="F48" s="22"/>
      <c r="G48" s="18">
        <f>IF($E48="",0,$E48*IF($F48="",0,$F48))</f>
      </c>
      <c r="H48" s="18">
        <f>IF($E48="","",$E48+$G48)</f>
      </c>
      <c r="I48" s="13"/>
    </row>
    <row r="49" spans="2:9" x14ac:dyDescent="0.25">
      <c r="B49" s="15"/>
      <c r="C49" s="12"/>
      <c r="D49" s="12"/>
      <c r="E49" s="17"/>
      <c r="F49" s="8"/>
      <c r="G49" s="18">
        <f>IF($E49="",0,$E49*IF($F49="",0,$F49))</f>
      </c>
      <c r="H49" s="18">
        <f>IF($E49="","",$E49+$G49)</f>
      </c>
      <c r="I49" s="12"/>
    </row>
    <row r="50" spans="2:9" x14ac:dyDescent="0.25">
      <c r="B50" s="20"/>
      <c r="C50" s="13"/>
      <c r="D50" s="13"/>
      <c r="E50" s="21"/>
      <c r="F50" s="22"/>
      <c r="G50" s="18">
        <f>IF($E50="",0,$E50*IF($F50="",0,$F50))</f>
      </c>
      <c r="H50" s="18">
        <f>IF($E50="","",$E50+$G50)</f>
      </c>
      <c r="I50" s="13"/>
    </row>
    <row r="51" spans="2:9" x14ac:dyDescent="0.25">
      <c r="B51" s="15"/>
      <c r="C51" s="12"/>
      <c r="D51" s="12"/>
      <c r="E51" s="17"/>
      <c r="F51" s="8"/>
      <c r="G51" s="18">
        <f>IF($E51="",0,$E51*IF($F51="",0,$F51))</f>
      </c>
      <c r="H51" s="18">
        <f>IF($E51="","",$E51+$G51)</f>
      </c>
      <c r="I51" s="12"/>
    </row>
    <row r="52" spans="2:9" x14ac:dyDescent="0.25">
      <c r="B52" s="20"/>
      <c r="C52" s="13"/>
      <c r="D52" s="13"/>
      <c r="E52" s="21"/>
      <c r="F52" s="22"/>
      <c r="G52" s="18">
        <f>IF($E52="",0,$E52*IF($F52="",0,$F52))</f>
      </c>
      <c r="H52" s="18">
        <f>IF($E52="","",$E52+$G52)</f>
      </c>
      <c r="I52" s="13"/>
    </row>
    <row r="53" spans="2:9" x14ac:dyDescent="0.25">
      <c r="B53" s="15"/>
      <c r="C53" s="12"/>
      <c r="D53" s="12"/>
      <c r="E53" s="17"/>
      <c r="F53" s="8"/>
      <c r="G53" s="18">
        <f>IF($E53="",0,$E53*IF($F53="",0,$F53))</f>
      </c>
      <c r="H53" s="18">
        <f>IF($E53="","",$E53+$G53)</f>
      </c>
      <c r="I53" s="12"/>
    </row>
    <row r="54" spans="2:9" x14ac:dyDescent="0.25">
      <c r="B54" s="20"/>
      <c r="C54" s="13"/>
      <c r="D54" s="13"/>
      <c r="E54" s="21"/>
      <c r="F54" s="22"/>
      <c r="G54" s="18">
        <f>IF($E54="",0,$E54*IF($F54="",0,$F54))</f>
      </c>
      <c r="H54" s="18">
        <f>IF($E54="","",$E54+$G54)</f>
      </c>
      <c r="I54" s="13"/>
    </row>
    <row r="55" spans="2:9" x14ac:dyDescent="0.25">
      <c r="B55" s="15"/>
      <c r="C55" s="12"/>
      <c r="D55" s="12"/>
      <c r="E55" s="17"/>
      <c r="F55" s="8"/>
      <c r="G55" s="18">
        <f>IF($E55="",0,$E55*IF($F55="",0,$F55))</f>
      </c>
      <c r="H55" s="18">
        <f>IF($E55="","",$E55+$G55)</f>
      </c>
      <c r="I55" s="12"/>
    </row>
    <row r="56" spans="2:9" x14ac:dyDescent="0.25">
      <c r="B56" s="20"/>
      <c r="C56" s="13"/>
      <c r="D56" s="13"/>
      <c r="E56" s="21"/>
      <c r="F56" s="22"/>
      <c r="G56" s="18">
        <f>IF($E56="",0,$E56*IF($F56="",0,$F56))</f>
      </c>
      <c r="H56" s="18">
        <f>IF($E56="","",$E56+$G56)</f>
      </c>
      <c r="I56" s="13"/>
    </row>
    <row r="57" spans="2:9" x14ac:dyDescent="0.25">
      <c r="B57" s="15"/>
      <c r="C57" s="12"/>
      <c r="D57" s="12"/>
      <c r="E57" s="17"/>
      <c r="F57" s="8"/>
      <c r="G57" s="18">
        <f>IF($E57="",0,$E57*IF($F57="",0,$F57))</f>
      </c>
      <c r="H57" s="18">
        <f>IF($E57="","",$E57+$G57)</f>
      </c>
      <c r="I57" s="12"/>
    </row>
    <row r="58" spans="2:9" x14ac:dyDescent="0.25">
      <c r="B58" s="20"/>
      <c r="C58" s="13"/>
      <c r="D58" s="13"/>
      <c r="E58" s="21"/>
      <c r="F58" s="22"/>
      <c r="G58" s="18">
        <f>IF($E58="",0,$E58*IF($F58="",0,$F58))</f>
      </c>
      <c r="H58" s="18">
        <f>IF($E58="","",$E58+$G58)</f>
      </c>
      <c r="I58" s="13"/>
    </row>
    <row r="59" spans="2:9" x14ac:dyDescent="0.25">
      <c r="B59" s="15"/>
      <c r="C59" s="12"/>
      <c r="D59" s="12"/>
      <c r="E59" s="17"/>
      <c r="F59" s="8"/>
      <c r="G59" s="18">
        <f>IF($E59="",0,$E59*IF($F59="",0,$F59))</f>
      </c>
      <c r="H59" s="18">
        <f>IF($E59="","",$E59+$G59)</f>
      </c>
      <c r="I59" s="12"/>
    </row>
    <row r="60" spans="2:9" x14ac:dyDescent="0.25">
      <c r="B60" s="20"/>
      <c r="C60" s="13"/>
      <c r="D60" s="13"/>
      <c r="E60" s="21"/>
      <c r="F60" s="22"/>
      <c r="G60" s="18">
        <f>IF($E60="",0,$E60*IF($F60="",0,$F60))</f>
      </c>
      <c r="H60" s="18">
        <f>IF($E60="","",$E60+$G60)</f>
      </c>
      <c r="I60" s="13"/>
    </row>
    <row r="61" spans="2:9" x14ac:dyDescent="0.25">
      <c r="B61" s="15"/>
      <c r="C61" s="12"/>
      <c r="D61" s="12"/>
      <c r="E61" s="17"/>
      <c r="F61" s="8"/>
      <c r="G61" s="18">
        <f>IF($E61="",0,$E61*IF($F61="",0,$F61))</f>
      </c>
      <c r="H61" s="18">
        <f>IF($E61="","",$E61+$G61)</f>
      </c>
      <c r="I61" s="12"/>
    </row>
    <row r="62" spans="2:9" x14ac:dyDescent="0.25">
      <c r="B62" s="20"/>
      <c r="C62" s="13"/>
      <c r="D62" s="13"/>
      <c r="E62" s="21"/>
      <c r="F62" s="22"/>
      <c r="G62" s="18">
        <f>IF($E62="",0,$E62*IF($F62="",0,$F62))</f>
      </c>
      <c r="H62" s="18">
        <f>IF($E62="","",$E62+$G62)</f>
      </c>
      <c r="I62" s="13"/>
    </row>
    <row r="63" spans="2:9" x14ac:dyDescent="0.25">
      <c r="B63" s="15"/>
      <c r="C63" s="12"/>
      <c r="D63" s="12"/>
      <c r="E63" s="17"/>
      <c r="F63" s="8"/>
      <c r="G63" s="18">
        <f>IF($E63="",0,$E63*IF($F63="",0,$F63))</f>
      </c>
      <c r="H63" s="18">
        <f>IF($E63="","",$E63+$G63)</f>
      </c>
      <c r="I63" s="12"/>
    </row>
    <row r="64" spans="2:9" x14ac:dyDescent="0.25">
      <c r="B64" s="20"/>
      <c r="C64" s="13"/>
      <c r="D64" s="13"/>
      <c r="E64" s="21"/>
      <c r="F64" s="22"/>
      <c r="G64" s="18">
        <f>IF($E64="",0,$E64*IF($F64="",0,$F64))</f>
      </c>
      <c r="H64" s="18">
        <f>IF($E64="","",$E64+$G64)</f>
      </c>
      <c r="I64" s="13"/>
    </row>
    <row r="65" spans="2:9" x14ac:dyDescent="0.25">
      <c r="B65" s="15"/>
      <c r="C65" s="12"/>
      <c r="D65" s="12"/>
      <c r="E65" s="17"/>
      <c r="F65" s="8"/>
      <c r="G65" s="18">
        <f>IF($E65="",0,$E65*IF($F65="",0,$F65))</f>
      </c>
      <c r="H65" s="18">
        <f>IF($E65="","",$E65+$G65)</f>
      </c>
      <c r="I65" s="12"/>
    </row>
    <row r="66" spans="2:9" x14ac:dyDescent="0.25">
      <c r="B66" s="20"/>
      <c r="C66" s="13"/>
      <c r="D66" s="13"/>
      <c r="E66" s="21"/>
      <c r="F66" s="22"/>
      <c r="G66" s="18">
        <f>IF($E66="",0,$E66*IF($F66="",0,$F66))</f>
      </c>
      <c r="H66" s="18">
        <f>IF($E66="","",$E66+$G66)</f>
      </c>
      <c r="I66" s="13"/>
    </row>
    <row r="67" spans="2:9" x14ac:dyDescent="0.25">
      <c r="B67" s="15"/>
      <c r="C67" s="12"/>
      <c r="D67" s="12"/>
      <c r="E67" s="17"/>
      <c r="F67" s="8"/>
      <c r="G67" s="18">
        <f>IF($E67="",0,$E67*IF($F67="",0,$F67))</f>
      </c>
      <c r="H67" s="18">
        <f>IF($E67="","",$E67+$G67)</f>
      </c>
      <c r="I67" s="12"/>
    </row>
    <row r="68" spans="2:9" x14ac:dyDescent="0.25">
      <c r="B68" s="20"/>
      <c r="C68" s="13"/>
      <c r="D68" s="13"/>
      <c r="E68" s="21"/>
      <c r="F68" s="22"/>
      <c r="G68" s="18">
        <f>IF($E68="",0,$E68*IF($F68="",0,$F68))</f>
      </c>
      <c r="H68" s="18">
        <f>IF($E68="","",$E68+$G68)</f>
      </c>
      <c r="I68" s="13"/>
    </row>
    <row r="69" spans="2:9" x14ac:dyDescent="0.25">
      <c r="B69" s="15"/>
      <c r="C69" s="12"/>
      <c r="D69" s="12"/>
      <c r="E69" s="17"/>
      <c r="F69" s="8"/>
      <c r="G69" s="18">
        <f>IF($E69="",0,$E69*IF($F69="",0,$F69))</f>
      </c>
      <c r="H69" s="18">
        <f>IF($E69="","",$E69+$G69)</f>
      </c>
      <c r="I69" s="12"/>
    </row>
    <row r="70" spans="2:9" x14ac:dyDescent="0.25">
      <c r="B70" s="20"/>
      <c r="C70" s="13"/>
      <c r="D70" s="13"/>
      <c r="E70" s="21"/>
      <c r="F70" s="22"/>
      <c r="G70" s="18">
        <f>IF($E70="",0,$E70*IF($F70="",0,$F70))</f>
      </c>
      <c r="H70" s="18">
        <f>IF($E70="","",$E70+$G70)</f>
      </c>
      <c r="I70" s="13"/>
    </row>
    <row r="71" spans="2:9" x14ac:dyDescent="0.25">
      <c r="B71" s="15"/>
      <c r="C71" s="12"/>
      <c r="D71" s="12"/>
      <c r="E71" s="17"/>
      <c r="F71" s="8"/>
      <c r="G71" s="18">
        <f>IF($E71="",0,$E71*IF($F71="",0,$F71))</f>
      </c>
      <c r="H71" s="18">
        <f>IF($E71="","",$E71+$G71)</f>
      </c>
      <c r="I71" s="12"/>
    </row>
    <row r="72" spans="2:9" x14ac:dyDescent="0.25">
      <c r="B72" s="20"/>
      <c r="C72" s="13"/>
      <c r="D72" s="13"/>
      <c r="E72" s="21"/>
      <c r="F72" s="22"/>
      <c r="G72" s="18">
        <f>IF($E72="",0,$E72*IF($F72="",0,$F72))</f>
      </c>
      <c r="H72" s="18">
        <f>IF($E72="","",$E72+$G72)</f>
      </c>
      <c r="I72" s="13"/>
    </row>
    <row r="73" spans="2:9" x14ac:dyDescent="0.25">
      <c r="B73" s="15"/>
      <c r="C73" s="12"/>
      <c r="D73" s="12"/>
      <c r="E73" s="17"/>
      <c r="F73" s="8"/>
      <c r="G73" s="18">
        <f>IF($E73="",0,$E73*IF($F73="",0,$F73))</f>
      </c>
      <c r="H73" s="18">
        <f>IF($E73="","",$E73+$G73)</f>
      </c>
      <c r="I73" s="12"/>
    </row>
    <row r="74" spans="2:9" x14ac:dyDescent="0.25">
      <c r="B74" s="20"/>
      <c r="C74" s="13"/>
      <c r="D74" s="13"/>
      <c r="E74" s="21"/>
      <c r="F74" s="22"/>
      <c r="G74" s="18">
        <f>IF($E74="",0,$E74*IF($F74="",0,$F74))</f>
      </c>
      <c r="H74" s="18">
        <f>IF($E74="","",$E74+$G74)</f>
      </c>
      <c r="I74" s="13"/>
    </row>
    <row r="75" spans="2:9" x14ac:dyDescent="0.25">
      <c r="B75" s="15"/>
      <c r="C75" s="12"/>
      <c r="D75" s="12"/>
      <c r="E75" s="17"/>
      <c r="F75" s="8"/>
      <c r="G75" s="18">
        <f>IF($E75="",0,$E75*IF($F75="",0,$F75))</f>
      </c>
      <c r="H75" s="18">
        <f>IF($E75="","",$E75+$G75)</f>
      </c>
      <c r="I75" s="12"/>
    </row>
    <row r="76" spans="2:9" x14ac:dyDescent="0.25">
      <c r="B76" s="20"/>
      <c r="C76" s="13"/>
      <c r="D76" s="13"/>
      <c r="E76" s="21"/>
      <c r="F76" s="22"/>
      <c r="G76" s="18">
        <f>IF($E76="",0,$E76*IF($F76="",0,$F76))</f>
      </c>
      <c r="H76" s="18">
        <f>IF($E76="","",$E76+$G76)</f>
      </c>
      <c r="I76" s="13"/>
    </row>
    <row r="77" spans="2:9" x14ac:dyDescent="0.25">
      <c r="B77" s="15"/>
      <c r="C77" s="12"/>
      <c r="D77" s="12"/>
      <c r="E77" s="17"/>
      <c r="F77" s="8"/>
      <c r="G77" s="18">
        <f>IF($E77="",0,$E77*IF($F77="",0,$F77))</f>
      </c>
      <c r="H77" s="18">
        <f>IF($E77="","",$E77+$G77)</f>
      </c>
      <c r="I77" s="12"/>
    </row>
    <row r="78" spans="2:9" x14ac:dyDescent="0.25">
      <c r="B78" s="20"/>
      <c r="C78" s="13"/>
      <c r="D78" s="13"/>
      <c r="E78" s="21"/>
      <c r="F78" s="22"/>
      <c r="G78" s="18">
        <f>IF($E78="",0,$E78*IF($F78="",0,$F78))</f>
      </c>
      <c r="H78" s="18">
        <f>IF($E78="","",$E78+$G78)</f>
      </c>
      <c r="I78" s="13"/>
    </row>
    <row r="79" spans="2:9" x14ac:dyDescent="0.25">
      <c r="B79" s="15"/>
      <c r="C79" s="12"/>
      <c r="D79" s="12"/>
      <c r="E79" s="17"/>
      <c r="F79" s="8"/>
      <c r="G79" s="18">
        <f>IF($E79="",0,$E79*IF($F79="",0,$F79))</f>
      </c>
      <c r="H79" s="18">
        <f>IF($E79="","",$E79+$G79)</f>
      </c>
      <c r="I79" s="12"/>
    </row>
    <row r="80" spans="2:9" x14ac:dyDescent="0.25">
      <c r="B80" s="20"/>
      <c r="C80" s="13"/>
      <c r="D80" s="13"/>
      <c r="E80" s="21"/>
      <c r="F80" s="22"/>
      <c r="G80" s="18">
        <f>IF($E80="",0,$E80*IF($F80="",0,$F80))</f>
      </c>
      <c r="H80" s="18">
        <f>IF($E80="","",$E80+$G80)</f>
      </c>
      <c r="I80" s="13"/>
    </row>
    <row r="81" spans="2:9" x14ac:dyDescent="0.25">
      <c r="B81" s="15"/>
      <c r="C81" s="12"/>
      <c r="D81" s="12"/>
      <c r="E81" s="17"/>
      <c r="F81" s="8"/>
      <c r="G81" s="18">
        <f>IF($E81="",0,$E81*IF($F81="",0,$F81))</f>
      </c>
      <c r="H81" s="18">
        <f>IF($E81="","",$E81+$G81)</f>
      </c>
      <c r="I81" s="12"/>
    </row>
    <row r="82" spans="2:9" x14ac:dyDescent="0.25">
      <c r="B82" s="20"/>
      <c r="C82" s="13"/>
      <c r="D82" s="13"/>
      <c r="E82" s="21"/>
      <c r="F82" s="22"/>
      <c r="G82" s="18">
        <f>IF($E82="",0,$E82*IF($F82="",0,$F82))</f>
      </c>
      <c r="H82" s="18">
        <f>IF($E82="","",$E82+$G82)</f>
      </c>
      <c r="I82" s="13"/>
    </row>
    <row r="83" spans="2:9" x14ac:dyDescent="0.25">
      <c r="B83" s="15"/>
      <c r="C83" s="12"/>
      <c r="D83" s="12"/>
      <c r="E83" s="17"/>
      <c r="F83" s="8"/>
      <c r="G83" s="18">
        <f>IF($E83="",0,$E83*IF($F83="",0,$F83))</f>
      </c>
      <c r="H83" s="18">
        <f>IF($E83="","",$E83+$G83)</f>
      </c>
      <c r="I83" s="12"/>
    </row>
    <row r="84" spans="2:9" x14ac:dyDescent="0.25">
      <c r="B84" s="20"/>
      <c r="C84" s="13"/>
      <c r="D84" s="13"/>
      <c r="E84" s="21"/>
      <c r="F84" s="22"/>
      <c r="G84" s="18">
        <f>IF($E84="",0,$E84*IF($F84="",0,$F84))</f>
      </c>
      <c r="H84" s="18">
        <f>IF($E84="","",$E84+$G84)</f>
      </c>
      <c r="I84" s="13"/>
    </row>
    <row r="85" spans="2:9" x14ac:dyDescent="0.25">
      <c r="B85" s="15"/>
      <c r="C85" s="12"/>
      <c r="D85" s="12"/>
      <c r="E85" s="17"/>
      <c r="F85" s="8"/>
      <c r="G85" s="18">
        <f>IF($E85="",0,$E85*IF($F85="",0,$F85))</f>
      </c>
      <c r="H85" s="18">
        <f>IF($E85="","",$E85+$G85)</f>
      </c>
      <c r="I85" s="12"/>
    </row>
    <row r="86" spans="2:9" x14ac:dyDescent="0.25">
      <c r="B86" s="20"/>
      <c r="C86" s="13"/>
      <c r="D86" s="13"/>
      <c r="E86" s="21"/>
      <c r="F86" s="22"/>
      <c r="G86" s="18">
        <f>IF($E86="",0,$E86*IF($F86="",0,$F86))</f>
      </c>
      <c r="H86" s="18">
        <f>IF($E86="","",$E86+$G86)</f>
      </c>
      <c r="I86" s="13"/>
    </row>
    <row r="87" spans="2:9" x14ac:dyDescent="0.25">
      <c r="B87" s="15"/>
      <c r="C87" s="12"/>
      <c r="D87" s="12"/>
      <c r="E87" s="17"/>
      <c r="F87" s="8"/>
      <c r="G87" s="18">
        <f>IF($E87="",0,$E87*IF($F87="",0,$F87))</f>
      </c>
      <c r="H87" s="18">
        <f>IF($E87="","",$E87+$G87)</f>
      </c>
      <c r="I87" s="12"/>
    </row>
    <row r="88" spans="2:9" x14ac:dyDescent="0.25">
      <c r="B88" s="20"/>
      <c r="C88" s="13"/>
      <c r="D88" s="13"/>
      <c r="E88" s="21"/>
      <c r="F88" s="22"/>
      <c r="G88" s="18">
        <f>IF($E88="",0,$E88*IF($F88="",0,$F88))</f>
      </c>
      <c r="H88" s="18">
        <f>IF($E88="","",$E88+$G88)</f>
      </c>
      <c r="I88" s="13"/>
    </row>
    <row r="89" spans="2:9" x14ac:dyDescent="0.25">
      <c r="B89" s="15"/>
      <c r="C89" s="12"/>
      <c r="D89" s="12"/>
      <c r="E89" s="17"/>
      <c r="F89" s="8"/>
      <c r="G89" s="18">
        <f>IF($E89="",0,$E89*IF($F89="",0,$F89))</f>
      </c>
      <c r="H89" s="18">
        <f>IF($E89="","",$E89+$G89)</f>
      </c>
      <c r="I89" s="12"/>
    </row>
    <row r="90" spans="2:9" x14ac:dyDescent="0.25">
      <c r="B90" s="20"/>
      <c r="C90" s="13"/>
      <c r="D90" s="13"/>
      <c r="E90" s="21"/>
      <c r="F90" s="22"/>
      <c r="G90" s="18">
        <f>IF($E90="",0,$E90*IF($F90="",0,$F90))</f>
      </c>
      <c r="H90" s="18">
        <f>IF($E90="","",$E90+$G90)</f>
      </c>
      <c r="I90" s="13"/>
    </row>
    <row r="91" spans="2:9" x14ac:dyDescent="0.25">
      <c r="B91" s="15"/>
      <c r="C91" s="12"/>
      <c r="D91" s="12"/>
      <c r="E91" s="17"/>
      <c r="F91" s="8"/>
      <c r="G91" s="18">
        <f>IF($E91="",0,$E91*IF($F91="",0,$F91))</f>
      </c>
      <c r="H91" s="18">
        <f>IF($E91="","",$E91+$G91)</f>
      </c>
      <c r="I91" s="12"/>
    </row>
    <row r="92" spans="2:9" x14ac:dyDescent="0.25">
      <c r="B92" s="20"/>
      <c r="C92" s="13"/>
      <c r="D92" s="13"/>
      <c r="E92" s="21"/>
      <c r="F92" s="22"/>
      <c r="G92" s="18">
        <f>IF($E92="",0,$E92*IF($F92="",0,$F92))</f>
      </c>
      <c r="H92" s="18">
        <f>IF($E92="","",$E92+$G92)</f>
      </c>
      <c r="I92" s="13"/>
    </row>
    <row r="93" spans="2:9" x14ac:dyDescent="0.25">
      <c r="B93" s="15"/>
      <c r="C93" s="12"/>
      <c r="D93" s="12"/>
      <c r="E93" s="17"/>
      <c r="F93" s="8"/>
      <c r="G93" s="18">
        <f>IF($E93="",0,$E93*IF($F93="",0,$F93))</f>
      </c>
      <c r="H93" s="18">
        <f>IF($E93="","",$E93+$G93)</f>
      </c>
      <c r="I93" s="12"/>
    </row>
    <row r="94" spans="2:9" x14ac:dyDescent="0.25">
      <c r="B94" s="20"/>
      <c r="C94" s="13"/>
      <c r="D94" s="13"/>
      <c r="E94" s="21"/>
      <c r="F94" s="22"/>
      <c r="G94" s="18">
        <f>IF($E94="",0,$E94*IF($F94="",0,$F94))</f>
      </c>
      <c r="H94" s="18">
        <f>IF($E94="","",$E94+$G94)</f>
      </c>
      <c r="I94" s="13"/>
    </row>
    <row r="95" spans="2:9" x14ac:dyDescent="0.25">
      <c r="B95" s="15"/>
      <c r="C95" s="12"/>
      <c r="D95" s="12"/>
      <c r="E95" s="17"/>
      <c r="F95" s="8"/>
      <c r="G95" s="18">
        <f>IF($E95="",0,$E95*IF($F95="",0,$F95))</f>
      </c>
      <c r="H95" s="18">
        <f>IF($E95="","",$E95+$G95)</f>
      </c>
      <c r="I95" s="12"/>
    </row>
    <row r="96" spans="2:9" x14ac:dyDescent="0.25">
      <c r="B96" s="20"/>
      <c r="C96" s="13"/>
      <c r="D96" s="13"/>
      <c r="E96" s="21"/>
      <c r="F96" s="22"/>
      <c r="G96" s="18">
        <f>IF($E96="",0,$E96*IF($F96="",0,$F96))</f>
      </c>
      <c r="H96" s="18">
        <f>IF($E96="","",$E96+$G96)</f>
      </c>
      <c r="I96" s="13"/>
    </row>
    <row r="97" spans="2:9" x14ac:dyDescent="0.25">
      <c r="B97" s="15"/>
      <c r="C97" s="12"/>
      <c r="D97" s="12"/>
      <c r="E97" s="17"/>
      <c r="F97" s="8"/>
      <c r="G97" s="18">
        <f>IF($E97="",0,$E97*IF($F97="",0,$F97))</f>
      </c>
      <c r="H97" s="18">
        <f>IF($E97="","",$E97+$G97)</f>
      </c>
      <c r="I97" s="12"/>
    </row>
    <row r="98" spans="2:9" x14ac:dyDescent="0.25">
      <c r="B98" s="20"/>
      <c r="C98" s="13"/>
      <c r="D98" s="13"/>
      <c r="E98" s="21"/>
      <c r="F98" s="22"/>
      <c r="G98" s="18">
        <f>IF($E98="",0,$E98*IF($F98="",0,$F98))</f>
      </c>
      <c r="H98" s="18">
        <f>IF($E98="","",$E98+$G98)</f>
      </c>
      <c r="I98" s="13"/>
    </row>
    <row r="99" spans="2:9" x14ac:dyDescent="0.25">
      <c r="B99" s="15"/>
      <c r="C99" s="12"/>
      <c r="D99" s="12"/>
      <c r="E99" s="17"/>
      <c r="F99" s="8"/>
      <c r="G99" s="18">
        <f>IF($E99="",0,$E99*IF($F99="",0,$F99))</f>
      </c>
      <c r="H99" s="18">
        <f>IF($E99="","",$E99+$G99)</f>
      </c>
      <c r="I99" s="12"/>
    </row>
    <row r="100" spans="2:9" x14ac:dyDescent="0.25">
      <c r="B100" s="20"/>
      <c r="C100" s="13"/>
      <c r="D100" s="13"/>
      <c r="E100" s="21"/>
      <c r="F100" s="22"/>
      <c r="G100" s="18">
        <f>IF($E100="",0,$E100*IF($F100="",0,$F100))</f>
      </c>
      <c r="H100" s="18">
        <f>IF($E100="","",$E100+$G100)</f>
      </c>
      <c r="I100" s="13"/>
    </row>
    <row r="101" spans="2:9" x14ac:dyDescent="0.25">
      <c r="B101" s="15"/>
      <c r="C101" s="12"/>
      <c r="D101" s="12"/>
      <c r="E101" s="17"/>
      <c r="F101" s="8"/>
      <c r="G101" s="18">
        <f>IF($E101="",0,$E101*IF($F101="",0,$F101))</f>
      </c>
      <c r="H101" s="18">
        <f>IF($E101="","",$E101+$G101)</f>
      </c>
      <c r="I101" s="12"/>
    </row>
    <row r="102" spans="2:9" x14ac:dyDescent="0.25">
      <c r="B102" s="20"/>
      <c r="C102" s="13"/>
      <c r="D102" s="13"/>
      <c r="E102" s="21"/>
      <c r="F102" s="22"/>
      <c r="G102" s="18">
        <f>IF($E102="",0,$E102*IF($F102="",0,$F102))</f>
      </c>
      <c r="H102" s="18">
        <f>IF($E102="","",$E102+$G102)</f>
      </c>
      <c r="I102" s="13"/>
    </row>
    <row r="103" spans="2:9" x14ac:dyDescent="0.25">
      <c r="B103" s="15"/>
      <c r="C103" s="12"/>
      <c r="D103" s="12"/>
      <c r="E103" s="17"/>
      <c r="F103" s="8"/>
      <c r="G103" s="18">
        <f>IF($E103="",0,$E103*IF($F103="",0,$F103))</f>
      </c>
      <c r="H103" s="18">
        <f>IF($E103="","",$E103+$G103)</f>
      </c>
      <c r="I103" s="12"/>
    </row>
    <row r="104" spans="2:9" x14ac:dyDescent="0.25">
      <c r="B104" s="20"/>
      <c r="C104" s="13"/>
      <c r="D104" s="13"/>
      <c r="E104" s="21"/>
      <c r="F104" s="22"/>
      <c r="G104" s="18">
        <f>IF($E104="",0,$E104*IF($F104="",0,$F104))</f>
      </c>
      <c r="H104" s="18">
        <f>IF($E104="","",$E104+$G104)</f>
      </c>
      <c r="I104" s="13"/>
    </row>
    <row r="105" spans="2:9" x14ac:dyDescent="0.25">
      <c r="B105" s="15"/>
      <c r="C105" s="12"/>
      <c r="D105" s="12"/>
      <c r="E105" s="17"/>
      <c r="F105" s="8"/>
      <c r="G105" s="18">
        <f>IF($E105="",0,$E105*IF($F105="",0,$F105))</f>
      </c>
      <c r="H105" s="18">
        <f>IF($E105="","",$E105+$G105)</f>
      </c>
      <c r="I105" s="12"/>
    </row>
    <row r="106" spans="2:9" x14ac:dyDescent="0.25">
      <c r="B106" s="20"/>
      <c r="C106" s="13"/>
      <c r="D106" s="13"/>
      <c r="E106" s="21"/>
      <c r="F106" s="22"/>
      <c r="G106" s="18">
        <f>IF($E106="",0,$E106*IF($F106="",0,$F106))</f>
      </c>
      <c r="H106" s="18">
        <f>IF($E106="","",$E106+$G106)</f>
      </c>
      <c r="I106" s="13"/>
    </row>
    <row r="107" spans="2:9" x14ac:dyDescent="0.25">
      <c r="B107" s="15"/>
      <c r="C107" s="12"/>
      <c r="D107" s="12"/>
      <c r="E107" s="17"/>
      <c r="F107" s="8"/>
      <c r="G107" s="18">
        <f>IF($E107="",0,$E107*IF($F107="",0,$F107))</f>
      </c>
      <c r="H107" s="18">
        <f>IF($E107="","",$E107+$G107)</f>
      </c>
      <c r="I107" s="12"/>
    </row>
    <row r="108" spans="2:9" x14ac:dyDescent="0.25">
      <c r="B108" s="20"/>
      <c r="C108" s="13"/>
      <c r="D108" s="13"/>
      <c r="E108" s="21"/>
      <c r="F108" s="22"/>
      <c r="G108" s="18">
        <f>IF($E108="",0,$E108*IF($F108="",0,$F108))</f>
      </c>
      <c r="H108" s="18">
        <f>IF($E108="","",$E108+$G108)</f>
      </c>
      <c r="I108" s="13"/>
    </row>
    <row r="109" spans="2:9" x14ac:dyDescent="0.25">
      <c r="B109" s="15"/>
      <c r="C109" s="12"/>
      <c r="D109" s="12"/>
      <c r="E109" s="17"/>
      <c r="F109" s="8"/>
      <c r="G109" s="18">
        <f>IF($E109="",0,$E109*IF($F109="",0,$F109))</f>
      </c>
      <c r="H109" s="18">
        <f>IF($E109="","",$E109+$G109)</f>
      </c>
      <c r="I109" s="12"/>
    </row>
    <row r="110" spans="2:9" x14ac:dyDescent="0.25">
      <c r="B110" s="20"/>
      <c r="C110" s="13"/>
      <c r="D110" s="13"/>
      <c r="E110" s="21"/>
      <c r="F110" s="22"/>
      <c r="G110" s="18">
        <f>IF($E110="",0,$E110*IF($F110="",0,$F110))</f>
      </c>
      <c r="H110" s="18">
        <f>IF($E110="","",$E110+$G110)</f>
      </c>
      <c r="I110" s="13"/>
    </row>
    <row r="111" spans="2:9" x14ac:dyDescent="0.25">
      <c r="B111" s="15"/>
      <c r="C111" s="12"/>
      <c r="D111" s="12"/>
      <c r="E111" s="17"/>
      <c r="F111" s="8"/>
      <c r="G111" s="18">
        <f>IF($E111="",0,$E111*IF($F111="",0,$F111))</f>
      </c>
      <c r="H111" s="18">
        <f>IF($E111="","",$E111+$G111)</f>
      </c>
      <c r="I111" s="12"/>
    </row>
    <row r="112" spans="2:9" x14ac:dyDescent="0.25">
      <c r="B112" s="20"/>
      <c r="C112" s="13"/>
      <c r="D112" s="13"/>
      <c r="E112" s="21"/>
      <c r="F112" s="22"/>
      <c r="G112" s="18">
        <f>IF($E112="",0,$E112*IF($F112="",0,$F112))</f>
      </c>
      <c r="H112" s="18">
        <f>IF($E112="","",$E112+$G112)</f>
      </c>
      <c r="I112" s="13"/>
    </row>
    <row r="113" spans="2:9" x14ac:dyDescent="0.25">
      <c r="B113" s="15"/>
      <c r="C113" s="12"/>
      <c r="D113" s="12"/>
      <c r="E113" s="17"/>
      <c r="F113" s="8"/>
      <c r="G113" s="18">
        <f>IF($E113="",0,$E113*IF($F113="",0,$F113))</f>
      </c>
      <c r="H113" s="18">
        <f>IF($E113="","",$E113+$G113)</f>
      </c>
      <c r="I113" s="12"/>
    </row>
    <row r="114" spans="2:9" x14ac:dyDescent="0.25">
      <c r="B114" s="20"/>
      <c r="C114" s="13"/>
      <c r="D114" s="13"/>
      <c r="E114" s="21"/>
      <c r="F114" s="22"/>
      <c r="G114" s="18">
        <f>IF($E114="",0,$E114*IF($F114="",0,$F114))</f>
      </c>
      <c r="H114" s="18">
        <f>IF($E114="","",$E114+$G114)</f>
      </c>
      <c r="I114" s="13"/>
    </row>
    <row r="115" spans="2:9" x14ac:dyDescent="0.25">
      <c r="B115" s="15"/>
      <c r="C115" s="12"/>
      <c r="D115" s="12"/>
      <c r="E115" s="17"/>
      <c r="F115" s="8"/>
      <c r="G115" s="18">
        <f>IF($E115="",0,$E115*IF($F115="",0,$F115))</f>
      </c>
      <c r="H115" s="18">
        <f>IF($E115="","",$E115+$G115)</f>
      </c>
      <c r="I115" s="12"/>
    </row>
    <row r="116" spans="2:9" x14ac:dyDescent="0.25">
      <c r="B116" s="20"/>
      <c r="C116" s="13"/>
      <c r="D116" s="13"/>
      <c r="E116" s="21"/>
      <c r="F116" s="22"/>
      <c r="G116" s="18">
        <f>IF($E116="",0,$E116*IF($F116="",0,$F116))</f>
      </c>
      <c r="H116" s="18">
        <f>IF($E116="","",$E116+$G116)</f>
      </c>
      <c r="I116" s="13"/>
    </row>
    <row r="117" spans="2:9" x14ac:dyDescent="0.25">
      <c r="B117" s="15"/>
      <c r="C117" s="12"/>
      <c r="D117" s="12"/>
      <c r="E117" s="17"/>
      <c r="F117" s="8"/>
      <c r="G117" s="18">
        <f>IF($E117="",0,$E117*IF($F117="",0,$F117))</f>
      </c>
      <c r="H117" s="18">
        <f>IF($E117="","",$E117+$G117)</f>
      </c>
      <c r="I117" s="12"/>
    </row>
    <row r="118" spans="2:9" x14ac:dyDescent="0.25">
      <c r="B118" s="20"/>
      <c r="C118" s="13"/>
      <c r="D118" s="13"/>
      <c r="E118" s="21"/>
      <c r="F118" s="22"/>
      <c r="G118" s="18">
        <f>IF($E118="",0,$E118*IF($F118="",0,$F118))</f>
      </c>
      <c r="H118" s="18">
        <f>IF($E118="","",$E118+$G118)</f>
      </c>
      <c r="I118" s="13"/>
    </row>
    <row r="119" spans="2:9" x14ac:dyDescent="0.25">
      <c r="B119" s="15"/>
      <c r="C119" s="12"/>
      <c r="D119" s="12"/>
      <c r="E119" s="17"/>
      <c r="F119" s="8"/>
      <c r="G119" s="18">
        <f>IF($E119="",0,$E119*IF($F119="",0,$F119))</f>
      </c>
      <c r="H119" s="18">
        <f>IF($E119="","",$E119+$G119)</f>
      </c>
      <c r="I119" s="12"/>
    </row>
    <row r="120" spans="2:9" x14ac:dyDescent="0.25">
      <c r="B120" s="20"/>
      <c r="C120" s="13"/>
      <c r="D120" s="13"/>
      <c r="E120" s="21"/>
      <c r="F120" s="22"/>
      <c r="G120" s="18">
        <f>IF($E120="",0,$E120*IF($F120="",0,$F120))</f>
      </c>
      <c r="H120" s="18">
        <f>IF($E120="","",$E120+$G120)</f>
      </c>
      <c r="I120" s="13"/>
    </row>
    <row r="121" spans="2:9" x14ac:dyDescent="0.25">
      <c r="B121" s="15"/>
      <c r="C121" s="12"/>
      <c r="D121" s="12"/>
      <c r="E121" s="17"/>
      <c r="F121" s="8"/>
      <c r="G121" s="18">
        <f>IF($E121="",0,$E121*IF($F121="",0,$F121))</f>
      </c>
      <c r="H121" s="18">
        <f>IF($E121="","",$E121+$G121)</f>
      </c>
      <c r="I121" s="12"/>
    </row>
    <row r="122" spans="2:9" x14ac:dyDescent="0.25">
      <c r="B122" s="20"/>
      <c r="C122" s="13"/>
      <c r="D122" s="13"/>
      <c r="E122" s="21"/>
      <c r="F122" s="22"/>
      <c r="G122" s="18">
        <f>IF($E122="",0,$E122*IF($F122="",0,$F122))</f>
      </c>
      <c r="H122" s="18">
        <f>IF($E122="","",$E122+$G122)</f>
      </c>
      <c r="I122" s="13"/>
    </row>
    <row r="123" spans="2:9" x14ac:dyDescent="0.25">
      <c r="B123" s="15"/>
      <c r="C123" s="12"/>
      <c r="D123" s="12"/>
      <c r="E123" s="17"/>
      <c r="F123" s="8"/>
      <c r="G123" s="18">
        <f>IF($E123="",0,$E123*IF($F123="",0,$F123))</f>
      </c>
      <c r="H123" s="18">
        <f>IF($E123="","",$E123+$G123)</f>
      </c>
      <c r="I123" s="12"/>
    </row>
    <row r="124" spans="2:9" x14ac:dyDescent="0.25">
      <c r="B124" s="20"/>
      <c r="C124" s="13"/>
      <c r="D124" s="13"/>
      <c r="E124" s="21"/>
      <c r="F124" s="22"/>
      <c r="G124" s="18">
        <f>IF($E124="",0,$E124*IF($F124="",0,$F124))</f>
      </c>
      <c r="H124" s="18">
        <f>IF($E124="","",$E124+$G124)</f>
      </c>
      <c r="I124" s="13"/>
    </row>
    <row r="125" spans="2:9" x14ac:dyDescent="0.25">
      <c r="B125" s="15"/>
      <c r="C125" s="12"/>
      <c r="D125" s="12"/>
      <c r="E125" s="17"/>
      <c r="F125" s="8"/>
      <c r="G125" s="18">
        <f>IF($E125="",0,$E125*IF($F125="",0,$F125))</f>
      </c>
      <c r="H125" s="18">
        <f>IF($E125="","",$E125+$G125)</f>
      </c>
      <c r="I125" s="12"/>
    </row>
    <row r="126" spans="2:9" x14ac:dyDescent="0.25">
      <c r="B126" s="20"/>
      <c r="C126" s="13"/>
      <c r="D126" s="13"/>
      <c r="E126" s="21"/>
      <c r="F126" s="22"/>
      <c r="G126" s="18">
        <f>IF($E126="",0,$E126*IF($F126="",0,$F126))</f>
      </c>
      <c r="H126" s="18">
        <f>IF($E126="","",$E126+$G126)</f>
      </c>
      <c r="I126" s="13"/>
    </row>
    <row r="127" spans="2:9" x14ac:dyDescent="0.25">
      <c r="B127" s="15"/>
      <c r="C127" s="12"/>
      <c r="D127" s="12"/>
      <c r="E127" s="17"/>
      <c r="F127" s="8"/>
      <c r="G127" s="18">
        <f>IF($E127="",0,$E127*IF($F127="",0,$F127))</f>
      </c>
      <c r="H127" s="18">
        <f>IF($E127="","",$E127+$G127)</f>
      </c>
      <c r="I127" s="12"/>
    </row>
    <row r="128" spans="2:9" x14ac:dyDescent="0.25">
      <c r="B128" s="20"/>
      <c r="C128" s="13"/>
      <c r="D128" s="13"/>
      <c r="E128" s="21"/>
      <c r="F128" s="22"/>
      <c r="G128" s="18">
        <f>IF($E128="",0,$E128*IF($F128="",0,$F128))</f>
      </c>
      <c r="H128" s="18">
        <f>IF($E128="","",$E128+$G128)</f>
      </c>
      <c r="I128" s="13"/>
    </row>
    <row r="129" spans="2:9" x14ac:dyDescent="0.25">
      <c r="B129" s="15"/>
      <c r="C129" s="12"/>
      <c r="D129" s="12"/>
      <c r="E129" s="17"/>
      <c r="F129" s="8"/>
      <c r="G129" s="18">
        <f>IF($E129="",0,$E129*IF($F129="",0,$F129))</f>
      </c>
      <c r="H129" s="18">
        <f>IF($E129="","",$E129+$G129)</f>
      </c>
      <c r="I129" s="12"/>
    </row>
    <row r="130" spans="2:9" x14ac:dyDescent="0.25">
      <c r="B130" s="20"/>
      <c r="C130" s="13"/>
      <c r="D130" s="13"/>
      <c r="E130" s="21"/>
      <c r="F130" s="22"/>
      <c r="G130" s="18">
        <f>IF($E130="",0,$E130*IF($F130="",0,$F130))</f>
      </c>
      <c r="H130" s="18">
        <f>IF($E130="","",$E130+$G130)</f>
      </c>
      <c r="I130" s="13"/>
    </row>
    <row r="131" spans="2:9" x14ac:dyDescent="0.25">
      <c r="B131" s="15"/>
      <c r="C131" s="12"/>
      <c r="D131" s="12"/>
      <c r="E131" s="17"/>
      <c r="F131" s="8"/>
      <c r="G131" s="18">
        <f>IF($E131="",0,$E131*IF($F131="",0,$F131))</f>
      </c>
      <c r="H131" s="18">
        <f>IF($E131="","",$E131+$G131)</f>
      </c>
      <c r="I131" s="12"/>
    </row>
    <row r="132" spans="2:9" x14ac:dyDescent="0.25">
      <c r="B132" s="20"/>
      <c r="C132" s="13"/>
      <c r="D132" s="13"/>
      <c r="E132" s="21"/>
      <c r="F132" s="22"/>
      <c r="G132" s="18">
        <f>IF($E132="",0,$E132*IF($F132="",0,$F132))</f>
      </c>
      <c r="H132" s="18">
        <f>IF($E132="","",$E132+$G132)</f>
      </c>
      <c r="I132" s="13"/>
    </row>
    <row r="133" spans="2:9" x14ac:dyDescent="0.25">
      <c r="B133" s="15"/>
      <c r="C133" s="12"/>
      <c r="D133" s="12"/>
      <c r="E133" s="17"/>
      <c r="F133" s="8"/>
      <c r="G133" s="18">
        <f>IF($E133="",0,$E133*IF($F133="",0,$F133))</f>
      </c>
      <c r="H133" s="18">
        <f>IF($E133="","",$E133+$G133)</f>
      </c>
      <c r="I133" s="12"/>
    </row>
    <row r="134" spans="2:9" x14ac:dyDescent="0.25">
      <c r="B134" s="20"/>
      <c r="C134" s="13"/>
      <c r="D134" s="13"/>
      <c r="E134" s="21"/>
      <c r="F134" s="22"/>
      <c r="G134" s="18">
        <f>IF($E134="",0,$E134*IF($F134="",0,$F134))</f>
      </c>
      <c r="H134" s="18">
        <f>IF($E134="","",$E134+$G134)</f>
      </c>
      <c r="I134" s="13"/>
    </row>
    <row r="135" spans="2:9" x14ac:dyDescent="0.25">
      <c r="B135" s="15"/>
      <c r="C135" s="12"/>
      <c r="D135" s="12"/>
      <c r="E135" s="17"/>
      <c r="F135" s="8"/>
      <c r="G135" s="18">
        <f>IF($E135="",0,$E135*IF($F135="",0,$F135))</f>
      </c>
      <c r="H135" s="18">
        <f>IF($E135="","",$E135+$G135)</f>
      </c>
      <c r="I135" s="12"/>
    </row>
    <row r="136" spans="2:9" x14ac:dyDescent="0.25">
      <c r="B136" s="20"/>
      <c r="C136" s="13"/>
      <c r="D136" s="13"/>
      <c r="E136" s="21"/>
      <c r="F136" s="22"/>
      <c r="G136" s="18">
        <f>IF($E136="",0,$E136*IF($F136="",0,$F136))</f>
      </c>
      <c r="H136" s="18">
        <f>IF($E136="","",$E136+$G136)</f>
      </c>
      <c r="I136" s="13"/>
    </row>
    <row r="137" spans="2:9" x14ac:dyDescent="0.25">
      <c r="B137" s="15"/>
      <c r="C137" s="12"/>
      <c r="D137" s="12"/>
      <c r="E137" s="17"/>
      <c r="F137" s="8"/>
      <c r="G137" s="18">
        <f>IF($E137="",0,$E137*IF($F137="",0,$F137))</f>
      </c>
      <c r="H137" s="18">
        <f>IF($E137="","",$E137+$G137)</f>
      </c>
      <c r="I137" s="12"/>
    </row>
    <row r="138" spans="2:9" x14ac:dyDescent="0.25">
      <c r="B138" s="20"/>
      <c r="C138" s="13"/>
      <c r="D138" s="13"/>
      <c r="E138" s="21"/>
      <c r="F138" s="22"/>
      <c r="G138" s="18">
        <f>IF($E138="",0,$E138*IF($F138="",0,$F138))</f>
      </c>
      <c r="H138" s="18">
        <f>IF($E138="","",$E138+$G138)</f>
      </c>
      <c r="I138" s="13"/>
    </row>
    <row r="139" spans="2:9" x14ac:dyDescent="0.25">
      <c r="B139" s="15"/>
      <c r="C139" s="12"/>
      <c r="D139" s="12"/>
      <c r="E139" s="17"/>
      <c r="F139" s="8"/>
      <c r="G139" s="18">
        <f>IF($E139="",0,$E139*IF($F139="",0,$F139))</f>
      </c>
      <c r="H139" s="18">
        <f>IF($E139="","",$E139+$G139)</f>
      </c>
      <c r="I139" s="12"/>
    </row>
    <row r="140" spans="2:9" x14ac:dyDescent="0.25">
      <c r="B140" s="20"/>
      <c r="C140" s="13"/>
      <c r="D140" s="13"/>
      <c r="E140" s="21"/>
      <c r="F140" s="22"/>
      <c r="G140" s="18">
        <f>IF($E140="",0,$E140*IF($F140="",0,$F140))</f>
      </c>
      <c r="H140" s="18">
        <f>IF($E140="","",$E140+$G140)</f>
      </c>
      <c r="I140" s="13"/>
    </row>
    <row r="141" spans="2:9" x14ac:dyDescent="0.25">
      <c r="B141" s="15"/>
      <c r="C141" s="12"/>
      <c r="D141" s="12"/>
      <c r="E141" s="17"/>
      <c r="F141" s="8"/>
      <c r="G141" s="18">
        <f>IF($E141="",0,$E141*IF($F141="",0,$F141))</f>
      </c>
      <c r="H141" s="18">
        <f>IF($E141="","",$E141+$G141)</f>
      </c>
      <c r="I141" s="12"/>
    </row>
    <row r="142" spans="2:9" x14ac:dyDescent="0.25">
      <c r="B142" s="20"/>
      <c r="C142" s="13"/>
      <c r="D142" s="13"/>
      <c r="E142" s="21"/>
      <c r="F142" s="22"/>
      <c r="G142" s="18">
        <f>IF($E142="",0,$E142*IF($F142="",0,$F142))</f>
      </c>
      <c r="H142" s="18">
        <f>IF($E142="","",$E142+$G142)</f>
      </c>
      <c r="I142" s="13"/>
    </row>
    <row r="143" spans="2:9" x14ac:dyDescent="0.25">
      <c r="B143" s="15"/>
      <c r="C143" s="12"/>
      <c r="D143" s="12"/>
      <c r="E143" s="17"/>
      <c r="F143" s="8"/>
      <c r="G143" s="18">
        <f>IF($E143="",0,$E143*IF($F143="",0,$F143))</f>
      </c>
      <c r="H143" s="18">
        <f>IF($E143="","",$E143+$G143)</f>
      </c>
      <c r="I143" s="12"/>
    </row>
    <row r="144" spans="2:9" x14ac:dyDescent="0.25">
      <c r="B144" s="20"/>
      <c r="C144" s="13"/>
      <c r="D144" s="13"/>
      <c r="E144" s="21"/>
      <c r="F144" s="22"/>
      <c r="G144" s="18">
        <f>IF($E144="",0,$E144*IF($F144="",0,$F144))</f>
      </c>
      <c r="H144" s="18">
        <f>IF($E144="","",$E144+$G144)</f>
      </c>
      <c r="I144" s="13"/>
    </row>
    <row r="145" spans="2:9" x14ac:dyDescent="0.25">
      <c r="B145" s="15"/>
      <c r="C145" s="12"/>
      <c r="D145" s="12"/>
      <c r="E145" s="17"/>
      <c r="F145" s="8"/>
      <c r="G145" s="18">
        <f>IF($E145="",0,$E145*IF($F145="",0,$F145))</f>
      </c>
      <c r="H145" s="18">
        <f>IF($E145="","",$E145+$G145)</f>
      </c>
      <c r="I145" s="12"/>
    </row>
    <row r="146" spans="2:9" x14ac:dyDescent="0.25">
      <c r="B146" s="20"/>
      <c r="C146" s="13"/>
      <c r="D146" s="13"/>
      <c r="E146" s="21"/>
      <c r="F146" s="22"/>
      <c r="G146" s="18">
        <f>IF($E146="",0,$E146*IF($F146="",0,$F146))</f>
      </c>
      <c r="H146" s="18">
        <f>IF($E146="","",$E146+$G146)</f>
      </c>
      <c r="I146" s="13"/>
    </row>
    <row r="147" spans="2:9" x14ac:dyDescent="0.25">
      <c r="B147" s="15"/>
      <c r="C147" s="12"/>
      <c r="D147" s="12"/>
      <c r="E147" s="17"/>
      <c r="F147" s="8"/>
      <c r="G147" s="18">
        <f>IF($E147="",0,$E147*IF($F147="",0,$F147))</f>
      </c>
      <c r="H147" s="18">
        <f>IF($E147="","",$E147+$G147)</f>
      </c>
      <c r="I147" s="12"/>
    </row>
    <row r="148" spans="2:9" x14ac:dyDescent="0.25">
      <c r="B148" s="20"/>
      <c r="C148" s="13"/>
      <c r="D148" s="13"/>
      <c r="E148" s="21"/>
      <c r="F148" s="22"/>
      <c r="G148" s="18">
        <f>IF($E148="",0,$E148*IF($F148="",0,$F148))</f>
      </c>
      <c r="H148" s="18">
        <f>IF($E148="","",$E148+$G148)</f>
      </c>
      <c r="I148" s="13"/>
    </row>
    <row r="149" spans="2:9" x14ac:dyDescent="0.25">
      <c r="B149" s="15"/>
      <c r="C149" s="12"/>
      <c r="D149" s="12"/>
      <c r="E149" s="17"/>
      <c r="F149" s="8"/>
      <c r="G149" s="18">
        <f>IF($E149="",0,$E149*IF($F149="",0,$F149))</f>
      </c>
      <c r="H149" s="18">
        <f>IF($E149="","",$E149+$G149)</f>
      </c>
      <c r="I149" s="12"/>
    </row>
    <row r="150" spans="2:9" x14ac:dyDescent="0.25">
      <c r="B150" s="20"/>
      <c r="C150" s="13"/>
      <c r="D150" s="13"/>
      <c r="E150" s="21"/>
      <c r="F150" s="22"/>
      <c r="G150" s="18">
        <f>IF($E150="",0,$E150*IF($F150="",0,$F150))</f>
      </c>
      <c r="H150" s="18">
        <f>IF($E150="","",$E150+$G150)</f>
      </c>
      <c r="I150" s="13"/>
    </row>
    <row r="151" spans="2:9" x14ac:dyDescent="0.25">
      <c r="B151" s="15"/>
      <c r="C151" s="12"/>
      <c r="D151" s="12"/>
      <c r="E151" s="17"/>
      <c r="F151" s="8"/>
      <c r="G151" s="18">
        <f>IF($E151="",0,$E151*IF($F151="",0,$F151))</f>
      </c>
      <c r="H151" s="18">
        <f>IF($E151="","",$E151+$G151)</f>
      </c>
      <c r="I151" s="12"/>
    </row>
    <row r="152" spans="2:9" x14ac:dyDescent="0.25">
      <c r="B152" s="20"/>
      <c r="C152" s="13"/>
      <c r="D152" s="13"/>
      <c r="E152" s="21"/>
      <c r="F152" s="22"/>
      <c r="G152" s="18">
        <f>IF($E152="",0,$E152*IF($F152="",0,$F152))</f>
      </c>
      <c r="H152" s="18">
        <f>IF($E152="","",$E152+$G152)</f>
      </c>
      <c r="I152" s="13"/>
    </row>
    <row r="153" spans="2:9" x14ac:dyDescent="0.25">
      <c r="B153" s="15"/>
      <c r="C153" s="12"/>
      <c r="D153" s="12"/>
      <c r="E153" s="17"/>
      <c r="F153" s="8"/>
      <c r="G153" s="18">
        <f>IF($E153="",0,$E153*IF($F153="",0,$F153))</f>
      </c>
      <c r="H153" s="18">
        <f>IF($E153="","",$E153+$G153)</f>
      </c>
      <c r="I153" s="12"/>
    </row>
    <row r="154" spans="2:9" x14ac:dyDescent="0.25">
      <c r="B154" s="20"/>
      <c r="C154" s="13"/>
      <c r="D154" s="13"/>
      <c r="E154" s="21"/>
      <c r="F154" s="22"/>
      <c r="G154" s="18">
        <f>IF($E154="",0,$E154*IF($F154="",0,$F154))</f>
      </c>
      <c r="H154" s="18">
        <f>IF($E154="","",$E154+$G154)</f>
      </c>
      <c r="I154" s="13"/>
    </row>
    <row r="155" spans="2:9" x14ac:dyDescent="0.25">
      <c r="B155" s="15"/>
      <c r="C155" s="12"/>
      <c r="D155" s="12"/>
      <c r="E155" s="17"/>
      <c r="F155" s="8"/>
      <c r="G155" s="18">
        <f>IF($E155="",0,$E155*IF($F155="",0,$F155))</f>
      </c>
      <c r="H155" s="18">
        <f>IF($E155="","",$E155+$G155)</f>
      </c>
      <c r="I155" s="12"/>
    </row>
    <row r="156" spans="2:9" x14ac:dyDescent="0.25">
      <c r="B156" s="20"/>
      <c r="C156" s="13"/>
      <c r="D156" s="13"/>
      <c r="E156" s="21"/>
      <c r="F156" s="22"/>
      <c r="G156" s="18">
        <f>IF($E156="",0,$E156*IF($F156="",0,$F156))</f>
      </c>
      <c r="H156" s="18">
        <f>IF($E156="","",$E156+$G156)</f>
      </c>
      <c r="I156" s="13"/>
    </row>
    <row r="157" spans="2:9" x14ac:dyDescent="0.25">
      <c r="B157" s="15"/>
      <c r="C157" s="12"/>
      <c r="D157" s="12"/>
      <c r="E157" s="17"/>
      <c r="F157" s="8"/>
      <c r="G157" s="18">
        <f>IF($E157="",0,$E157*IF($F157="",0,$F157))</f>
      </c>
      <c r="H157" s="18">
        <f>IF($E157="","",$E157+$G157)</f>
      </c>
      <c r="I157" s="12"/>
    </row>
    <row r="158" spans="2:9" x14ac:dyDescent="0.25">
      <c r="B158" s="20"/>
      <c r="C158" s="13"/>
      <c r="D158" s="13"/>
      <c r="E158" s="21"/>
      <c r="F158" s="22"/>
      <c r="G158" s="18">
        <f>IF($E158="",0,$E158*IF($F158="",0,$F158))</f>
      </c>
      <c r="H158" s="18">
        <f>IF($E158="","",$E158+$G158)</f>
      </c>
      <c r="I158" s="13"/>
    </row>
    <row r="159" spans="2:9" x14ac:dyDescent="0.25">
      <c r="B159" s="15"/>
      <c r="C159" s="12"/>
      <c r="D159" s="12"/>
      <c r="E159" s="17"/>
      <c r="F159" s="8"/>
      <c r="G159" s="18">
        <f>IF($E159="",0,$E159*IF($F159="",0,$F159))</f>
      </c>
      <c r="H159" s="18">
        <f>IF($E159="","",$E159+$G159)</f>
      </c>
      <c r="I159" s="12"/>
    </row>
    <row r="160" spans="2:9" x14ac:dyDescent="0.25">
      <c r="B160" s="20"/>
      <c r="C160" s="13"/>
      <c r="D160" s="13"/>
      <c r="E160" s="21"/>
      <c r="F160" s="22"/>
      <c r="G160" s="18">
        <f>IF($E160="",0,$E160*IF($F160="",0,$F160))</f>
      </c>
      <c r="H160" s="18">
        <f>IF($E160="","",$E160+$G160)</f>
      </c>
      <c r="I160" s="13"/>
    </row>
    <row r="161" spans="2:9" x14ac:dyDescent="0.25">
      <c r="B161" s="15"/>
      <c r="C161" s="12"/>
      <c r="D161" s="12"/>
      <c r="E161" s="17"/>
      <c r="F161" s="8"/>
      <c r="G161" s="18">
        <f>IF($E161="",0,$E161*IF($F161="",0,$F161))</f>
      </c>
      <c r="H161" s="18">
        <f>IF($E161="","",$E161+$G161)</f>
      </c>
      <c r="I161" s="12"/>
    </row>
    <row r="162" spans="2:9" x14ac:dyDescent="0.25">
      <c r="B162" s="20"/>
      <c r="C162" s="13"/>
      <c r="D162" s="13"/>
      <c r="E162" s="21"/>
      <c r="F162" s="22"/>
      <c r="G162" s="18">
        <f>IF($E162="",0,$E162*IF($F162="",0,$F162))</f>
      </c>
      <c r="H162" s="18">
        <f>IF($E162="","",$E162+$G162)</f>
      </c>
      <c r="I162" s="13"/>
    </row>
    <row r="163" spans="2:9" x14ac:dyDescent="0.25">
      <c r="B163" s="15"/>
      <c r="C163" s="12"/>
      <c r="D163" s="12"/>
      <c r="E163" s="17"/>
      <c r="F163" s="8"/>
      <c r="G163" s="18">
        <f>IF($E163="",0,$E163*IF($F163="",0,$F163))</f>
      </c>
      <c r="H163" s="18">
        <f>IF($E163="","",$E163+$G163)</f>
      </c>
      <c r="I163" s="12"/>
    </row>
    <row r="164" spans="2:9" x14ac:dyDescent="0.25">
      <c r="B164" s="20"/>
      <c r="C164" s="13"/>
      <c r="D164" s="13"/>
      <c r="E164" s="21"/>
      <c r="F164" s="22"/>
      <c r="G164" s="18">
        <f>IF($E164="",0,$E164*IF($F164="",0,$F164))</f>
      </c>
      <c r="H164" s="18">
        <f>IF($E164="","",$E164+$G164)</f>
      </c>
      <c r="I164" s="13"/>
    </row>
    <row r="165" spans="2:9" x14ac:dyDescent="0.25">
      <c r="B165" s="15"/>
      <c r="C165" s="12"/>
      <c r="D165" s="12"/>
      <c r="E165" s="17"/>
      <c r="F165" s="8"/>
      <c r="G165" s="18">
        <f>IF($E165="",0,$E165*IF($F165="",0,$F165))</f>
      </c>
      <c r="H165" s="18">
        <f>IF($E165="","",$E165+$G165)</f>
      </c>
      <c r="I165" s="12"/>
    </row>
    <row r="166" spans="2:9" x14ac:dyDescent="0.25">
      <c r="B166" s="20"/>
      <c r="C166" s="13"/>
      <c r="D166" s="13"/>
      <c r="E166" s="21"/>
      <c r="F166" s="22"/>
      <c r="G166" s="18">
        <f>IF($E166="",0,$E166*IF($F166="",0,$F166))</f>
      </c>
      <c r="H166" s="18">
        <f>IF($E166="","",$E166+$G166)</f>
      </c>
      <c r="I166" s="13"/>
    </row>
    <row r="167" spans="2:9" x14ac:dyDescent="0.25">
      <c r="B167" s="15"/>
      <c r="C167" s="12"/>
      <c r="D167" s="12"/>
      <c r="E167" s="17"/>
      <c r="F167" s="8"/>
      <c r="G167" s="18">
        <f>IF($E167="",0,$E167*IF($F167="",0,$F167))</f>
      </c>
      <c r="H167" s="18">
        <f>IF($E167="","",$E167+$G167)</f>
      </c>
      <c r="I167" s="12"/>
    </row>
    <row r="168" spans="2:9" x14ac:dyDescent="0.25">
      <c r="B168" s="20"/>
      <c r="C168" s="13"/>
      <c r="D168" s="13"/>
      <c r="E168" s="21"/>
      <c r="F168" s="22"/>
      <c r="G168" s="18">
        <f>IF($E168="",0,$E168*IF($F168="",0,$F168))</f>
      </c>
      <c r="H168" s="18">
        <f>IF($E168="","",$E168+$G168)</f>
      </c>
      <c r="I168" s="13"/>
    </row>
    <row r="169" spans="2:9" x14ac:dyDescent="0.25">
      <c r="B169" s="15"/>
      <c r="C169" s="12"/>
      <c r="D169" s="12"/>
      <c r="E169" s="17"/>
      <c r="F169" s="8"/>
      <c r="G169" s="18">
        <f>IF($E169="",0,$E169*IF($F169="",0,$F169))</f>
      </c>
      <c r="H169" s="18">
        <f>IF($E169="","",$E169+$G169)</f>
      </c>
      <c r="I169" s="12"/>
    </row>
    <row r="170" spans="2:9" x14ac:dyDescent="0.25">
      <c r="B170" s="20"/>
      <c r="C170" s="13"/>
      <c r="D170" s="13"/>
      <c r="E170" s="21"/>
      <c r="F170" s="22"/>
      <c r="G170" s="18">
        <f>IF($E170="",0,$E170*IF($F170="",0,$F170))</f>
      </c>
      <c r="H170" s="18">
        <f>IF($E170="","",$E170+$G170)</f>
      </c>
      <c r="I170" s="13"/>
    </row>
    <row r="171" spans="2:9" x14ac:dyDescent="0.25">
      <c r="B171" s="15"/>
      <c r="C171" s="12"/>
      <c r="D171" s="12"/>
      <c r="E171" s="17"/>
      <c r="F171" s="8"/>
      <c r="G171" s="18">
        <f>IF($E171="",0,$E171*IF($F171="",0,$F171))</f>
      </c>
      <c r="H171" s="18">
        <f>IF($E171="","",$E171+$G171)</f>
      </c>
      <c r="I171" s="12"/>
    </row>
    <row r="172" spans="2:9" x14ac:dyDescent="0.25">
      <c r="B172" s="20"/>
      <c r="C172" s="13"/>
      <c r="D172" s="13"/>
      <c r="E172" s="21"/>
      <c r="F172" s="22"/>
      <c r="G172" s="18">
        <f>IF($E172="",0,$E172*IF($F172="",0,$F172))</f>
      </c>
      <c r="H172" s="18">
        <f>IF($E172="","",$E172+$G172)</f>
      </c>
      <c r="I172" s="13"/>
    </row>
    <row r="173" spans="2:9" x14ac:dyDescent="0.25">
      <c r="B173" s="15"/>
      <c r="C173" s="12"/>
      <c r="D173" s="12"/>
      <c r="E173" s="17"/>
      <c r="F173" s="8"/>
      <c r="G173" s="18">
        <f>IF($E173="",0,$E173*IF($F173="",0,$F173))</f>
      </c>
      <c r="H173" s="18">
        <f>IF($E173="","",$E173+$G173)</f>
      </c>
      <c r="I173" s="12"/>
    </row>
    <row r="174" spans="2:9" x14ac:dyDescent="0.25">
      <c r="B174" s="20"/>
      <c r="C174" s="13"/>
      <c r="D174" s="13"/>
      <c r="E174" s="21"/>
      <c r="F174" s="22"/>
      <c r="G174" s="18">
        <f>IF($E174="",0,$E174*IF($F174="",0,$F174))</f>
      </c>
      <c r="H174" s="18">
        <f>IF($E174="","",$E174+$G174)</f>
      </c>
      <c r="I174" s="13"/>
    </row>
    <row r="175" spans="2:9" x14ac:dyDescent="0.25">
      <c r="B175" s="15"/>
      <c r="C175" s="12"/>
      <c r="D175" s="12"/>
      <c r="E175" s="17"/>
      <c r="F175" s="8"/>
      <c r="G175" s="18">
        <f>IF($E175="",0,$E175*IF($F175="",0,$F175))</f>
      </c>
      <c r="H175" s="18">
        <f>IF($E175="","",$E175+$G175)</f>
      </c>
      <c r="I175" s="12"/>
    </row>
    <row r="176" spans="2:9" x14ac:dyDescent="0.25">
      <c r="B176" s="20"/>
      <c r="C176" s="13"/>
      <c r="D176" s="13"/>
      <c r="E176" s="21"/>
      <c r="F176" s="22"/>
      <c r="G176" s="18">
        <f>IF($E176="",0,$E176*IF($F176="",0,$F176))</f>
      </c>
      <c r="H176" s="18">
        <f>IF($E176="","",$E176+$G176)</f>
      </c>
      <c r="I176" s="13"/>
    </row>
    <row r="177" spans="2:9" x14ac:dyDescent="0.25">
      <c r="B177" s="15"/>
      <c r="C177" s="12"/>
      <c r="D177" s="12"/>
      <c r="E177" s="17"/>
      <c r="F177" s="8"/>
      <c r="G177" s="18">
        <f>IF($E177="",0,$E177*IF($F177="",0,$F177))</f>
      </c>
      <c r="H177" s="18">
        <f>IF($E177="","",$E177+$G177)</f>
      </c>
      <c r="I177" s="12"/>
    </row>
    <row r="178" spans="2:9" x14ac:dyDescent="0.25">
      <c r="B178" s="20"/>
      <c r="C178" s="13"/>
      <c r="D178" s="13"/>
      <c r="E178" s="21"/>
      <c r="F178" s="22"/>
      <c r="G178" s="18">
        <f>IF($E178="",0,$E178*IF($F178="",0,$F178))</f>
      </c>
      <c r="H178" s="18">
        <f>IF($E178="","",$E178+$G178)</f>
      </c>
      <c r="I178" s="13"/>
    </row>
    <row r="179" spans="2:9" x14ac:dyDescent="0.25">
      <c r="B179" s="15"/>
      <c r="C179" s="12"/>
      <c r="D179" s="12"/>
      <c r="E179" s="17"/>
      <c r="F179" s="8"/>
      <c r="G179" s="18">
        <f>IF($E179="",0,$E179*IF($F179="",0,$F179))</f>
      </c>
      <c r="H179" s="18">
        <f>IF($E179="","",$E179+$G179)</f>
      </c>
      <c r="I179" s="12"/>
    </row>
    <row r="180" spans="2:9" x14ac:dyDescent="0.25">
      <c r="B180" s="20"/>
      <c r="C180" s="13"/>
      <c r="D180" s="13"/>
      <c r="E180" s="21"/>
      <c r="F180" s="22"/>
      <c r="G180" s="18">
        <f>IF($E180="",0,$E180*IF($F180="",0,$F180))</f>
      </c>
      <c r="H180" s="18">
        <f>IF($E180="","",$E180+$G180)</f>
      </c>
      <c r="I180" s="13"/>
    </row>
    <row r="181" spans="2:9" x14ac:dyDescent="0.25">
      <c r="B181" s="15"/>
      <c r="C181" s="12"/>
      <c r="D181" s="12"/>
      <c r="E181" s="17"/>
      <c r="F181" s="8"/>
      <c r="G181" s="18">
        <f>IF($E181="",0,$E181*IF($F181="",0,$F181))</f>
      </c>
      <c r="H181" s="18">
        <f>IF($E181="","",$E181+$G181)</f>
      </c>
      <c r="I181" s="12"/>
    </row>
    <row r="182" spans="2:9" x14ac:dyDescent="0.25">
      <c r="B182" s="20"/>
      <c r="C182" s="13"/>
      <c r="D182" s="13"/>
      <c r="E182" s="21"/>
      <c r="F182" s="22"/>
      <c r="G182" s="18">
        <f>IF($E182="",0,$E182*IF($F182="",0,$F182))</f>
      </c>
      <c r="H182" s="18">
        <f>IF($E182="","",$E182+$G182)</f>
      </c>
      <c r="I182" s="13"/>
    </row>
    <row r="183" spans="2:9" x14ac:dyDescent="0.25">
      <c r="B183" s="15"/>
      <c r="C183" s="12"/>
      <c r="D183" s="12"/>
      <c r="E183" s="17"/>
      <c r="F183" s="8"/>
      <c r="G183" s="18">
        <f>IF($E183="",0,$E183*IF($F183="",0,$F183))</f>
      </c>
      <c r="H183" s="18">
        <f>IF($E183="","",$E183+$G183)</f>
      </c>
      <c r="I183" s="12"/>
    </row>
    <row r="184" spans="2:9" x14ac:dyDescent="0.25">
      <c r="B184" s="20"/>
      <c r="C184" s="13"/>
      <c r="D184" s="13"/>
      <c r="E184" s="21"/>
      <c r="F184" s="22"/>
      <c r="G184" s="18">
        <f>IF($E184="",0,$E184*IF($F184="",0,$F184))</f>
      </c>
      <c r="H184" s="18">
        <f>IF($E184="","",$E184+$G184)</f>
      </c>
      <c r="I184" s="13"/>
    </row>
    <row r="185" spans="2:9" x14ac:dyDescent="0.25">
      <c r="B185" s="15"/>
      <c r="C185" s="12"/>
      <c r="D185" s="12"/>
      <c r="E185" s="17"/>
      <c r="F185" s="8"/>
      <c r="G185" s="18">
        <f>IF($E185="",0,$E185*IF($F185="",0,$F185))</f>
      </c>
      <c r="H185" s="18">
        <f>IF($E185="","",$E185+$G185)</f>
      </c>
      <c r="I185" s="12"/>
    </row>
    <row r="186" spans="2:9" x14ac:dyDescent="0.25">
      <c r="B186" s="20"/>
      <c r="C186" s="13"/>
      <c r="D186" s="13"/>
      <c r="E186" s="21"/>
      <c r="F186" s="22"/>
      <c r="G186" s="18">
        <f>IF($E186="",0,$E186*IF($F186="",0,$F186))</f>
      </c>
      <c r="H186" s="18">
        <f>IF($E186="","",$E186+$G186)</f>
      </c>
      <c r="I186" s="13"/>
    </row>
    <row r="187" spans="2:9" x14ac:dyDescent="0.25">
      <c r="B187" s="15"/>
      <c r="C187" s="12"/>
      <c r="D187" s="12"/>
      <c r="E187" s="17"/>
      <c r="F187" s="8"/>
      <c r="G187" s="18">
        <f>IF($E187="",0,$E187*IF($F187="",0,$F187))</f>
      </c>
      <c r="H187" s="18">
        <f>IF($E187="","",$E187+$G187)</f>
      </c>
      <c r="I187" s="12"/>
    </row>
    <row r="188" spans="2:9" x14ac:dyDescent="0.25">
      <c r="B188" s="20"/>
      <c r="C188" s="13"/>
      <c r="D188" s="13"/>
      <c r="E188" s="21"/>
      <c r="F188" s="22"/>
      <c r="G188" s="18">
        <f>IF($E188="",0,$E188*IF($F188="",0,$F188))</f>
      </c>
      <c r="H188" s="18">
        <f>IF($E188="","",$E188+$G188)</f>
      </c>
      <c r="I188" s="13"/>
    </row>
    <row r="189" spans="2:9" x14ac:dyDescent="0.25">
      <c r="B189" s="15"/>
      <c r="C189" s="12"/>
      <c r="D189" s="12"/>
      <c r="E189" s="17"/>
      <c r="F189" s="8"/>
      <c r="G189" s="18">
        <f>IF($E189="",0,$E189*IF($F189="",0,$F189))</f>
      </c>
      <c r="H189" s="18">
        <f>IF($E189="","",$E189+$G189)</f>
      </c>
      <c r="I189" s="12"/>
    </row>
    <row r="190" spans="2:9" x14ac:dyDescent="0.25">
      <c r="B190" s="20"/>
      <c r="C190" s="13"/>
      <c r="D190" s="13"/>
      <c r="E190" s="21"/>
      <c r="F190" s="22"/>
      <c r="G190" s="18">
        <f>IF($E190="",0,$E190*IF($F190="",0,$F190))</f>
      </c>
      <c r="H190" s="18">
        <f>IF($E190="","",$E190+$G190)</f>
      </c>
      <c r="I190" s="13"/>
    </row>
    <row r="191" spans="2:9" x14ac:dyDescent="0.25">
      <c r="B191" s="15"/>
      <c r="C191" s="12"/>
      <c r="D191" s="12"/>
      <c r="E191" s="17"/>
      <c r="F191" s="8"/>
      <c r="G191" s="18">
        <f>IF($E191="",0,$E191*IF($F191="",0,$F191))</f>
      </c>
      <c r="H191" s="18">
        <f>IF($E191="","",$E191+$G191)</f>
      </c>
      <c r="I191" s="12"/>
    </row>
    <row r="192" spans="2:9" x14ac:dyDescent="0.25">
      <c r="B192" s="20"/>
      <c r="C192" s="13"/>
      <c r="D192" s="13"/>
      <c r="E192" s="21"/>
      <c r="F192" s="22"/>
      <c r="G192" s="18">
        <f>IF($E192="",0,$E192*IF($F192="",0,$F192))</f>
      </c>
      <c r="H192" s="18">
        <f>IF($E192="","",$E192+$G192)</f>
      </c>
      <c r="I192" s="13"/>
    </row>
    <row r="193" spans="2:9" x14ac:dyDescent="0.25">
      <c r="B193" s="15"/>
      <c r="C193" s="12"/>
      <c r="D193" s="12"/>
      <c r="E193" s="17"/>
      <c r="F193" s="8"/>
      <c r="G193" s="18">
        <f>IF($E193="",0,$E193*IF($F193="",0,$F193))</f>
      </c>
      <c r="H193" s="18">
        <f>IF($E193="","",$E193+$G193)</f>
      </c>
      <c r="I193" s="12"/>
    </row>
    <row r="194" spans="2:9" x14ac:dyDescent="0.25">
      <c r="B194" s="20"/>
      <c r="C194" s="13"/>
      <c r="D194" s="13"/>
      <c r="E194" s="21"/>
      <c r="F194" s="22"/>
      <c r="G194" s="18">
        <f>IF($E194="",0,$E194*IF($F194="",0,$F194))</f>
      </c>
      <c r="H194" s="18">
        <f>IF($E194="","",$E194+$G194)</f>
      </c>
      <c r="I194" s="13"/>
    </row>
    <row r="195" spans="2:9" x14ac:dyDescent="0.25">
      <c r="B195" s="15"/>
      <c r="C195" s="12"/>
      <c r="D195" s="12"/>
      <c r="E195" s="17"/>
      <c r="F195" s="8"/>
      <c r="G195" s="18">
        <f>IF($E195="",0,$E195*IF($F195="",0,$F195))</f>
      </c>
      <c r="H195" s="18">
        <f>IF($E195="","",$E195+$G195)</f>
      </c>
      <c r="I195" s="12"/>
    </row>
    <row r="196" spans="2:9" x14ac:dyDescent="0.25">
      <c r="B196" s="20"/>
      <c r="C196" s="13"/>
      <c r="D196" s="13"/>
      <c r="E196" s="21"/>
      <c r="F196" s="22"/>
      <c r="G196" s="18">
        <f>IF($E196="",0,$E196*IF($F196="",0,$F196))</f>
      </c>
      <c r="H196" s="18">
        <f>IF($E196="","",$E196+$G196)</f>
      </c>
      <c r="I196" s="13"/>
    </row>
    <row r="197" spans="2:9" x14ac:dyDescent="0.25">
      <c r="B197" s="15"/>
      <c r="C197" s="12"/>
      <c r="D197" s="12"/>
      <c r="E197" s="17"/>
      <c r="F197" s="8"/>
      <c r="G197" s="18">
        <f>IF($E197="",0,$E197*IF($F197="",0,$F197))</f>
      </c>
      <c r="H197" s="18">
        <f>IF($E197="","",$E197+$G197)</f>
      </c>
      <c r="I197" s="12"/>
    </row>
    <row r="198" spans="2:9" x14ac:dyDescent="0.25">
      <c r="B198" s="20"/>
      <c r="C198" s="13"/>
      <c r="D198" s="13"/>
      <c r="E198" s="21"/>
      <c r="F198" s="22"/>
      <c r="G198" s="18">
        <f>IF($E198="",0,$E198*IF($F198="",0,$F198))</f>
      </c>
      <c r="H198" s="18">
        <f>IF($E198="","",$E198+$G198)</f>
      </c>
      <c r="I198" s="13"/>
    </row>
    <row r="199" spans="2:9" x14ac:dyDescent="0.25">
      <c r="B199" s="15"/>
      <c r="C199" s="12"/>
      <c r="D199" s="12"/>
      <c r="E199" s="17"/>
      <c r="F199" s="8"/>
      <c r="G199" s="18">
        <f>IF($E199="",0,$E199*IF($F199="",0,$F199))</f>
      </c>
      <c r="H199" s="18">
        <f>IF($E199="","",$E199+$G199)</f>
      </c>
      <c r="I199" s="12"/>
    </row>
    <row r="200" spans="2:9" x14ac:dyDescent="0.25">
      <c r="B200" s="20"/>
      <c r="C200" s="13"/>
      <c r="D200" s="13"/>
      <c r="E200" s="21"/>
      <c r="F200" s="22"/>
      <c r="G200" s="18">
        <f>IF($E200="",0,$E200*IF($F200="",0,$F200))</f>
      </c>
      <c r="H200" s="18">
        <f>IF($E200="","",$E200+$G200)</f>
      </c>
      <c r="I200" s="13"/>
    </row>
    <row r="201" spans="2:9" x14ac:dyDescent="0.25">
      <c r="B201" s="15"/>
      <c r="C201" s="12"/>
      <c r="D201" s="12"/>
      <c r="E201" s="17"/>
      <c r="F201" s="8"/>
      <c r="G201" s="18">
        <f>IF($E201="",0,$E201*IF($F201="",0,$F201))</f>
      </c>
      <c r="H201" s="18">
        <f>IF($E201="","",$E201+$G201)</f>
      </c>
      <c r="I201" s="12"/>
    </row>
    <row r="202" spans="2:9" x14ac:dyDescent="0.25">
      <c r="B202" s="20"/>
      <c r="C202" s="13"/>
      <c r="D202" s="13"/>
      <c r="E202" s="21"/>
      <c r="F202" s="22"/>
      <c r="G202" s="18">
        <f>IF($E202="",0,$E202*IF($F202="",0,$F202))</f>
      </c>
      <c r="H202" s="18">
        <f>IF($E202="","",$E202+$G202)</f>
      </c>
      <c r="I202" s="13"/>
    </row>
    <row r="203" spans="2:9" x14ac:dyDescent="0.25">
      <c r="B203" s="15"/>
      <c r="C203" s="12"/>
      <c r="D203" s="12"/>
      <c r="E203" s="17"/>
      <c r="F203" s="8"/>
      <c r="G203" s="18">
        <f>IF($E203="",0,$E203*IF($F203="",0,$F203))</f>
      </c>
      <c r="H203" s="18">
        <f>IF($E203="","",$E203+$G203)</f>
      </c>
      <c r="I203" s="12"/>
    </row>
    <row r="204" spans="2:9" x14ac:dyDescent="0.25">
      <c r="B204" s="20"/>
      <c r="C204" s="13"/>
      <c r="D204" s="13"/>
      <c r="E204" s="21"/>
      <c r="F204" s="22"/>
      <c r="G204" s="18">
        <f>IF($E204="",0,$E204*IF($F204="",0,$F204))</f>
      </c>
      <c r="H204" s="18">
        <f>IF($E204="","",$E204+$G204)</f>
      </c>
      <c r="I204" s="13"/>
    </row>
    <row r="205" spans="2:9" x14ac:dyDescent="0.25">
      <c r="B205" s="15"/>
      <c r="C205" s="12"/>
      <c r="D205" s="12"/>
      <c r="E205" s="17"/>
      <c r="F205" s="8"/>
      <c r="G205" s="18">
        <f>IF($E205="",0,$E205*IF($F205="",0,$F205))</f>
      </c>
      <c r="H205" s="18">
        <f>IF($E205="","",$E205+$G205)</f>
      </c>
      <c r="I205" s="12"/>
    </row>
    <row r="206" spans="2:9" x14ac:dyDescent="0.25">
      <c r="B206" s="20"/>
      <c r="C206" s="13"/>
      <c r="D206" s="13"/>
      <c r="E206" s="21"/>
      <c r="F206" s="22"/>
      <c r="G206" s="18">
        <f>IF($E206="",0,$E206*IF($F206="",0,$F206))</f>
      </c>
      <c r="H206" s="18">
        <f>IF($E206="","",$E206+$G206)</f>
      </c>
      <c r="I206" s="13"/>
    </row>
    <row r="207" spans="2:9" x14ac:dyDescent="0.25">
      <c r="B207" s="15"/>
      <c r="C207" s="12"/>
      <c r="D207" s="12"/>
      <c r="E207" s="17"/>
      <c r="F207" s="8"/>
      <c r="G207" s="18">
        <f>IF($E207="",0,$E207*IF($F207="",0,$F207))</f>
      </c>
      <c r="H207" s="18">
        <f>IF($E207="","",$E207+$G207)</f>
      </c>
      <c r="I207" s="12"/>
    </row>
    <row r="208" spans="2:9" x14ac:dyDescent="0.25">
      <c r="B208" s="20"/>
      <c r="C208" s="13"/>
      <c r="D208" s="13"/>
      <c r="E208" s="21"/>
      <c r="F208" s="22"/>
      <c r="G208" s="18">
        <f>IF($E208="",0,$E208*IF($F208="",0,$F208))</f>
      </c>
      <c r="H208" s="18">
        <f>IF($E208="","",$E208+$G208)</f>
      </c>
      <c r="I208" s="13"/>
    </row>
    <row r="209" spans="2:9" x14ac:dyDescent="0.25">
      <c r="B209" s="15"/>
      <c r="C209" s="12"/>
      <c r="D209" s="12"/>
      <c r="E209" s="17"/>
      <c r="F209" s="8"/>
      <c r="G209" s="18">
        <f>IF($E209="",0,$E209*IF($F209="",0,$F209))</f>
      </c>
      <c r="H209" s="18">
        <f>IF($E209="","",$E209+$G209)</f>
      </c>
      <c r="I209" s="12"/>
    </row>
    <row r="210" spans="2:9" x14ac:dyDescent="0.25">
      <c r="B210" s="20"/>
      <c r="C210" s="13"/>
      <c r="D210" s="13"/>
      <c r="E210" s="21"/>
      <c r="F210" s="22"/>
      <c r="G210" s="18">
        <f>IF($E210="",0,$E210*IF($F210="",0,$F210))</f>
      </c>
      <c r="H210" s="18">
        <f>IF($E210="","",$E210+$G210)</f>
      </c>
      <c r="I210" s="13"/>
    </row>
    <row r="211" spans="2:9" x14ac:dyDescent="0.25">
      <c r="B211" s="15"/>
      <c r="C211" s="12"/>
      <c r="D211" s="12"/>
      <c r="E211" s="17"/>
      <c r="F211" s="8"/>
      <c r="G211" s="18">
        <f>IF($E211="",0,$E211*IF($F211="",0,$F211))</f>
      </c>
      <c r="H211" s="18">
        <f>IF($E211="","",$E211+$G211)</f>
      </c>
      <c r="I211" s="12"/>
    </row>
    <row r="212" spans="2:9" x14ac:dyDescent="0.25">
      <c r="B212" s="20"/>
      <c r="C212" s="13"/>
      <c r="D212" s="13"/>
      <c r="E212" s="21"/>
      <c r="F212" s="22"/>
      <c r="G212" s="18">
        <f>IF($E212="",0,$E212*IF($F212="",0,$F212))</f>
      </c>
      <c r="H212" s="18">
        <f>IF($E212="","",$E212+$G212)</f>
      </c>
      <c r="I212" s="13"/>
    </row>
    <row r="213" spans="2:9" x14ac:dyDescent="0.25">
      <c r="B213" s="15"/>
      <c r="C213" s="12"/>
      <c r="D213" s="12"/>
      <c r="E213" s="17"/>
      <c r="F213" s="8"/>
      <c r="G213" s="18">
        <f>IF($E213="",0,$E213*IF($F213="",0,$F213))</f>
      </c>
      <c r="H213" s="18">
        <f>IF($E213="","",$E213+$G213)</f>
      </c>
      <c r="I213" s="12"/>
    </row>
    <row r="214" spans="2:9" x14ac:dyDescent="0.25">
      <c r="B214" s="20"/>
      <c r="C214" s="13"/>
      <c r="D214" s="13"/>
      <c r="E214" s="21"/>
      <c r="F214" s="22"/>
      <c r="G214" s="18">
        <f>IF($E214="",0,$E214*IF($F214="",0,$F214))</f>
      </c>
      <c r="H214" s="18">
        <f>IF($E214="","",$E214+$G214)</f>
      </c>
      <c r="I214" s="13"/>
    </row>
    <row r="215" spans="2:9" x14ac:dyDescent="0.25">
      <c r="B215" s="15"/>
      <c r="C215" s="12"/>
      <c r="D215" s="12"/>
      <c r="E215" s="17"/>
      <c r="F215" s="8"/>
      <c r="G215" s="18">
        <f>IF($E215="",0,$E215*IF($F215="",0,$F215))</f>
      </c>
      <c r="H215" s="18">
        <f>IF($E215="","",$E215+$G215)</f>
      </c>
      <c r="I215" s="12"/>
    </row>
    <row r="216" spans="2:9" x14ac:dyDescent="0.25">
      <c r="B216" s="20"/>
      <c r="C216" s="13"/>
      <c r="D216" s="13"/>
      <c r="E216" s="21"/>
      <c r="F216" s="22"/>
      <c r="G216" s="18">
        <f>IF($E216="",0,$E216*IF($F216="",0,$F216))</f>
      </c>
      <c r="H216" s="18">
        <f>IF($E216="","",$E216+$G216)</f>
      </c>
      <c r="I216" s="13"/>
    </row>
    <row r="217" spans="2:9" x14ac:dyDescent="0.25">
      <c r="B217" s="15"/>
      <c r="C217" s="12"/>
      <c r="D217" s="12"/>
      <c r="E217" s="17"/>
      <c r="F217" s="8"/>
      <c r="G217" s="18">
        <f>IF($E217="",0,$E217*IF($F217="",0,$F217))</f>
      </c>
      <c r="H217" s="18">
        <f>IF($E217="","",$E217+$G217)</f>
      </c>
      <c r="I217" s="12"/>
    </row>
    <row r="218" spans="2:9" x14ac:dyDescent="0.25">
      <c r="B218" s="20"/>
      <c r="C218" s="13"/>
      <c r="D218" s="13"/>
      <c r="E218" s="21"/>
      <c r="F218" s="22"/>
      <c r="G218" s="18">
        <f>IF($E218="",0,$E218*IF($F218="",0,$F218))</f>
      </c>
      <c r="H218" s="18">
        <f>IF($E218="","",$E218+$G218)</f>
      </c>
      <c r="I218" s="13"/>
    </row>
    <row r="219" spans="2:9" x14ac:dyDescent="0.25">
      <c r="B219" s="15"/>
      <c r="C219" s="12"/>
      <c r="D219" s="12"/>
      <c r="E219" s="17"/>
      <c r="F219" s="8"/>
      <c r="G219" s="18">
        <f>IF($E219="",0,$E219*IF($F219="",0,$F219))</f>
      </c>
      <c r="H219" s="18">
        <f>IF($E219="","",$E219+$G219)</f>
      </c>
      <c r="I219" s="12"/>
    </row>
    <row r="220" spans="2:9" x14ac:dyDescent="0.25">
      <c r="B220" s="20"/>
      <c r="C220" s="13"/>
      <c r="D220" s="13"/>
      <c r="E220" s="21"/>
      <c r="F220" s="22"/>
      <c r="G220" s="18">
        <f>IF($E220="",0,$E220*IF($F220="",0,$F220))</f>
      </c>
      <c r="H220" s="18">
        <f>IF($E220="","",$E220+$G220)</f>
      </c>
      <c r="I220" s="13"/>
    </row>
    <row r="221" spans="2:9" x14ac:dyDescent="0.25">
      <c r="B221" s="15"/>
      <c r="C221" s="12"/>
      <c r="D221" s="12"/>
      <c r="E221" s="17"/>
      <c r="F221" s="8"/>
      <c r="G221" s="18">
        <f>IF($E221="",0,$E221*IF($F221="",0,$F221))</f>
      </c>
      <c r="H221" s="18">
        <f>IF($E221="","",$E221+$G221)</f>
      </c>
      <c r="I221" s="12"/>
    </row>
    <row r="222" spans="2:9" x14ac:dyDescent="0.25">
      <c r="B222" s="20"/>
      <c r="C222" s="13"/>
      <c r="D222" s="13"/>
      <c r="E222" s="21"/>
      <c r="F222" s="22"/>
      <c r="G222" s="18">
        <f>IF($E222="",0,$E222*IF($F222="",0,$F222))</f>
      </c>
      <c r="H222" s="18">
        <f>IF($E222="","",$E222+$G222)</f>
      </c>
      <c r="I222" s="13"/>
    </row>
    <row r="223" spans="2:9" x14ac:dyDescent="0.25">
      <c r="B223" s="15"/>
      <c r="C223" s="12"/>
      <c r="D223" s="12"/>
      <c r="E223" s="17"/>
      <c r="F223" s="8"/>
      <c r="G223" s="18">
        <f>IF($E223="",0,$E223*IF($F223="",0,$F223))</f>
      </c>
      <c r="H223" s="18">
        <f>IF($E223="","",$E223+$G223)</f>
      </c>
      <c r="I223" s="12"/>
    </row>
    <row r="224" spans="2:9" x14ac:dyDescent="0.25">
      <c r="B224" s="20"/>
      <c r="C224" s="13"/>
      <c r="D224" s="13"/>
      <c r="E224" s="21"/>
      <c r="F224" s="22"/>
      <c r="G224" s="18">
        <f>IF($E224="",0,$E224*IF($F224="",0,$F224))</f>
      </c>
      <c r="H224" s="18">
        <f>IF($E224="","",$E224+$G224)</f>
      </c>
      <c r="I224" s="13"/>
    </row>
    <row r="225" spans="2:9" x14ac:dyDescent="0.25">
      <c r="B225" s="15"/>
      <c r="C225" s="12"/>
      <c r="D225" s="12"/>
      <c r="E225" s="17"/>
      <c r="F225" s="8"/>
      <c r="G225" s="18">
        <f>IF($E225="",0,$E225*IF($F225="",0,$F225))</f>
      </c>
      <c r="H225" s="18">
        <f>IF($E225="","",$E225+$G225)</f>
      </c>
      <c r="I225" s="12"/>
    </row>
    <row r="226" spans="2:9" x14ac:dyDescent="0.25">
      <c r="B226" s="20"/>
      <c r="C226" s="13"/>
      <c r="D226" s="13"/>
      <c r="E226" s="21"/>
      <c r="F226" s="22"/>
      <c r="G226" s="18">
        <f>IF($E226="",0,$E226*IF($F226="",0,$F226))</f>
      </c>
      <c r="H226" s="18">
        <f>IF($E226="","",$E226+$G226)</f>
      </c>
      <c r="I226" s="13"/>
    </row>
    <row r="227" spans="2:9" x14ac:dyDescent="0.25">
      <c r="B227" s="15"/>
      <c r="C227" s="12"/>
      <c r="D227" s="12"/>
      <c r="E227" s="17"/>
      <c r="F227" s="8"/>
      <c r="G227" s="18">
        <f>IF($E227="",0,$E227*IF($F227="",0,$F227))</f>
      </c>
      <c r="H227" s="18">
        <f>IF($E227="","",$E227+$G227)</f>
      </c>
      <c r="I227" s="12"/>
    </row>
    <row r="228" spans="2:9" x14ac:dyDescent="0.25">
      <c r="B228" s="20"/>
      <c r="C228" s="13"/>
      <c r="D228" s="13"/>
      <c r="E228" s="21"/>
      <c r="F228" s="22"/>
      <c r="G228" s="18">
        <f>IF($E228="",0,$E228*IF($F228="",0,$F228))</f>
      </c>
      <c r="H228" s="18">
        <f>IF($E228="","",$E228+$G228)</f>
      </c>
      <c r="I228" s="13"/>
    </row>
    <row r="229" spans="2:9" x14ac:dyDescent="0.25">
      <c r="B229" s="15"/>
      <c r="C229" s="12"/>
      <c r="D229" s="12"/>
      <c r="E229" s="17"/>
      <c r="F229" s="8"/>
      <c r="G229" s="18">
        <f>IF($E229="",0,$E229*IF($F229="",0,$F229))</f>
      </c>
      <c r="H229" s="18">
        <f>IF($E229="","",$E229+$G229)</f>
      </c>
      <c r="I229" s="12"/>
    </row>
    <row r="230" spans="2:9" x14ac:dyDescent="0.25">
      <c r="B230" s="20"/>
      <c r="C230" s="13"/>
      <c r="D230" s="13"/>
      <c r="E230" s="21"/>
      <c r="F230" s="22"/>
      <c r="G230" s="18">
        <f>IF($E230="",0,$E230*IF($F230="",0,$F230))</f>
      </c>
      <c r="H230" s="18">
        <f>IF($E230="","",$E230+$G230)</f>
      </c>
      <c r="I230" s="13"/>
    </row>
    <row r="231" spans="2:9" x14ac:dyDescent="0.25">
      <c r="B231" s="15"/>
      <c r="C231" s="12"/>
      <c r="D231" s="12"/>
      <c r="E231" s="17"/>
      <c r="F231" s="8"/>
      <c r="G231" s="18">
        <f>IF($E231="",0,$E231*IF($F231="",0,$F231))</f>
      </c>
      <c r="H231" s="18">
        <f>IF($E231="","",$E231+$G231)</f>
      </c>
      <c r="I231" s="12"/>
    </row>
    <row r="232" spans="2:9" x14ac:dyDescent="0.25">
      <c r="B232" s="20"/>
      <c r="C232" s="13"/>
      <c r="D232" s="13"/>
      <c r="E232" s="21"/>
      <c r="F232" s="22"/>
      <c r="G232" s="18">
        <f>IF($E232="",0,$E232*IF($F232="",0,$F232))</f>
      </c>
      <c r="H232" s="18">
        <f>IF($E232="","",$E232+$G232)</f>
      </c>
      <c r="I232" s="13"/>
    </row>
    <row r="233" spans="2:9" x14ac:dyDescent="0.25">
      <c r="B233" s="15"/>
      <c r="C233" s="12"/>
      <c r="D233" s="12"/>
      <c r="E233" s="17"/>
      <c r="F233" s="8"/>
      <c r="G233" s="18">
        <f>IF($E233="",0,$E233*IF($F233="",0,$F233))</f>
      </c>
      <c r="H233" s="18">
        <f>IF($E233="","",$E233+$G233)</f>
      </c>
      <c r="I233" s="12"/>
    </row>
    <row r="234" spans="2:9" x14ac:dyDescent="0.25">
      <c r="B234" s="20"/>
      <c r="C234" s="13"/>
      <c r="D234" s="13"/>
      <c r="E234" s="21"/>
      <c r="F234" s="22"/>
      <c r="G234" s="18">
        <f>IF($E234="",0,$E234*IF($F234="",0,$F234))</f>
      </c>
      <c r="H234" s="18">
        <f>IF($E234="","",$E234+$G234)</f>
      </c>
      <c r="I234" s="13"/>
    </row>
    <row r="235" spans="2:9" x14ac:dyDescent="0.25">
      <c r="B235" s="15"/>
      <c r="C235" s="12"/>
      <c r="D235" s="12"/>
      <c r="E235" s="17"/>
      <c r="F235" s="8"/>
      <c r="G235" s="18">
        <f>IF($E235="",0,$E235*IF($F235="",0,$F235))</f>
      </c>
      <c r="H235" s="18">
        <f>IF($E235="","",$E235+$G235)</f>
      </c>
      <c r="I235" s="12"/>
    </row>
    <row r="236" spans="2:9" x14ac:dyDescent="0.25">
      <c r="B236" s="20"/>
      <c r="C236" s="13"/>
      <c r="D236" s="13"/>
      <c r="E236" s="21"/>
      <c r="F236" s="22"/>
      <c r="G236" s="18">
        <f>IF($E236="",0,$E236*IF($F236="",0,$F236))</f>
      </c>
      <c r="H236" s="18">
        <f>IF($E236="","",$E236+$G236)</f>
      </c>
      <c r="I236" s="13"/>
    </row>
    <row r="237" spans="2:9" x14ac:dyDescent="0.25">
      <c r="B237" s="15"/>
      <c r="C237" s="12"/>
      <c r="D237" s="12"/>
      <c r="E237" s="17"/>
      <c r="F237" s="8"/>
      <c r="G237" s="18">
        <f>IF($E237="",0,$E237*IF($F237="",0,$F237))</f>
      </c>
      <c r="H237" s="18">
        <f>IF($E237="","",$E237+$G237)</f>
      </c>
      <c r="I237" s="12"/>
    </row>
    <row r="238" spans="2:9" x14ac:dyDescent="0.25">
      <c r="B238" s="20"/>
      <c r="C238" s="13"/>
      <c r="D238" s="13"/>
      <c r="E238" s="21"/>
      <c r="F238" s="22"/>
      <c r="G238" s="18">
        <f>IF($E238="",0,$E238*IF($F238="",0,$F238))</f>
      </c>
      <c r="H238" s="18">
        <f>IF($E238="","",$E238+$G238)</f>
      </c>
      <c r="I238" s="13"/>
    </row>
    <row r="239" spans="2:9" x14ac:dyDescent="0.25">
      <c r="B239" s="15"/>
      <c r="C239" s="12"/>
      <c r="D239" s="12"/>
      <c r="E239" s="17"/>
      <c r="F239" s="8"/>
      <c r="G239" s="18">
        <f>IF($E239="",0,$E239*IF($F239="",0,$F239))</f>
      </c>
      <c r="H239" s="18">
        <f>IF($E239="","",$E239+$G239)</f>
      </c>
      <c r="I239" s="12"/>
    </row>
    <row r="240" spans="2:9" x14ac:dyDescent="0.25">
      <c r="B240" s="20"/>
      <c r="C240" s="13"/>
      <c r="D240" s="13"/>
      <c r="E240" s="21"/>
      <c r="F240" s="22"/>
      <c r="G240" s="18">
        <f>IF($E240="",0,$E240*IF($F240="",0,$F240))</f>
      </c>
      <c r="H240" s="18">
        <f>IF($E240="","",$E240+$G240)</f>
      </c>
      <c r="I240" s="13"/>
    </row>
    <row r="241" spans="2:9" x14ac:dyDescent="0.25">
      <c r="B241" s="15"/>
      <c r="C241" s="12"/>
      <c r="D241" s="12"/>
      <c r="E241" s="17"/>
      <c r="F241" s="8"/>
      <c r="G241" s="18">
        <f>IF($E241="",0,$E241*IF($F241="",0,$F241))</f>
      </c>
      <c r="H241" s="18">
        <f>IF($E241="","",$E241+$G241)</f>
      </c>
      <c r="I241" s="12"/>
    </row>
    <row r="242" spans="2:9" x14ac:dyDescent="0.25">
      <c r="B242" s="20"/>
      <c r="C242" s="13"/>
      <c r="D242" s="13"/>
      <c r="E242" s="21"/>
      <c r="F242" s="22"/>
      <c r="G242" s="18">
        <f>IF($E242="",0,$E242*IF($F242="",0,$F242))</f>
      </c>
      <c r="H242" s="18">
        <f>IF($E242="","",$E242+$G242)</f>
      </c>
      <c r="I242" s="13"/>
    </row>
    <row r="243" spans="2:9" x14ac:dyDescent="0.25">
      <c r="B243" s="15"/>
      <c r="C243" s="12"/>
      <c r="D243" s="12"/>
      <c r="E243" s="17"/>
      <c r="F243" s="8"/>
      <c r="G243" s="18">
        <f>IF($E243="",0,$E243*IF($F243="",0,$F243))</f>
      </c>
      <c r="H243" s="18">
        <f>IF($E243="","",$E243+$G243)</f>
      </c>
      <c r="I243" s="12"/>
    </row>
    <row r="244" spans="2:9" x14ac:dyDescent="0.25">
      <c r="B244" s="20"/>
      <c r="C244" s="13"/>
      <c r="D244" s="13"/>
      <c r="E244" s="21"/>
      <c r="F244" s="22"/>
      <c r="G244" s="18">
        <f>IF($E244="",0,$E244*IF($F244="",0,$F244))</f>
      </c>
      <c r="H244" s="18">
        <f>IF($E244="","",$E244+$G244)</f>
      </c>
      <c r="I244" s="13"/>
    </row>
    <row r="245" spans="2:9" x14ac:dyDescent="0.25">
      <c r="B245" s="15"/>
      <c r="C245" s="12"/>
      <c r="D245" s="12"/>
      <c r="E245" s="17"/>
      <c r="F245" s="8"/>
      <c r="G245" s="18">
        <f>IF($E245="",0,$E245*IF($F245="",0,$F245))</f>
      </c>
      <c r="H245" s="18">
        <f>IF($E245="","",$E245+$G245)</f>
      </c>
      <c r="I245" s="12"/>
    </row>
    <row r="246" spans="2:9" x14ac:dyDescent="0.25">
      <c r="B246" s="20"/>
      <c r="C246" s="13"/>
      <c r="D246" s="13"/>
      <c r="E246" s="21"/>
      <c r="F246" s="22"/>
      <c r="G246" s="18">
        <f>IF($E246="",0,$E246*IF($F246="",0,$F246))</f>
      </c>
      <c r="H246" s="18">
        <f>IF($E246="","",$E246+$G246)</f>
      </c>
      <c r="I246" s="13"/>
    </row>
    <row r="247" spans="2:9" x14ac:dyDescent="0.25">
      <c r="B247" s="15"/>
      <c r="C247" s="12"/>
      <c r="D247" s="12"/>
      <c r="E247" s="17"/>
      <c r="F247" s="8"/>
      <c r="G247" s="18">
        <f>IF($E247="",0,$E247*IF($F247="",0,$F247))</f>
      </c>
      <c r="H247" s="18">
        <f>IF($E247="","",$E247+$G247)</f>
      </c>
      <c r="I247" s="12"/>
    </row>
    <row r="248" spans="2:9" x14ac:dyDescent="0.25">
      <c r="B248" s="20"/>
      <c r="C248" s="13"/>
      <c r="D248" s="13"/>
      <c r="E248" s="21"/>
      <c r="F248" s="22"/>
      <c r="G248" s="18">
        <f>IF($E248="",0,$E248*IF($F248="",0,$F248))</f>
      </c>
      <c r="H248" s="18">
        <f>IF($E248="","",$E248+$G248)</f>
      </c>
      <c r="I248" s="13"/>
    </row>
    <row r="249" spans="2:9" x14ac:dyDescent="0.25">
      <c r="B249" s="15"/>
      <c r="C249" s="12"/>
      <c r="D249" s="12"/>
      <c r="E249" s="17"/>
      <c r="F249" s="8"/>
      <c r="G249" s="18">
        <f>IF($E249="",0,$E249*IF($F249="",0,$F249))</f>
      </c>
      <c r="H249" s="18">
        <f>IF($E249="","",$E249+$G249)</f>
      </c>
      <c r="I249" s="12"/>
    </row>
    <row r="250" spans="2:9" x14ac:dyDescent="0.25">
      <c r="B250" s="20"/>
      <c r="C250" s="13"/>
      <c r="D250" s="13"/>
      <c r="E250" s="21"/>
      <c r="F250" s="22"/>
      <c r="G250" s="18">
        <f>IF($E250="",0,$E250*IF($F250="",0,$F250))</f>
      </c>
      <c r="H250" s="18">
        <f>IF($E250="","",$E250+$G250)</f>
      </c>
      <c r="I250" s="13"/>
    </row>
    <row r="251" spans="2:9" x14ac:dyDescent="0.25">
      <c r="B251" s="15"/>
      <c r="C251" s="12"/>
      <c r="D251" s="12"/>
      <c r="E251" s="17"/>
      <c r="F251" s="8"/>
      <c r="G251" s="18">
        <f>IF($E251="",0,$E251*IF($F251="",0,$F251))</f>
      </c>
      <c r="H251" s="18">
        <f>IF($E251="","",$E251+$G251)</f>
      </c>
      <c r="I251" s="12"/>
    </row>
    <row r="252" spans="2:9" x14ac:dyDescent="0.25">
      <c r="B252" s="20"/>
      <c r="C252" s="13"/>
      <c r="D252" s="13"/>
      <c r="E252" s="21"/>
      <c r="F252" s="22"/>
      <c r="G252" s="18">
        <f>IF($E252="",0,$E252*IF($F252="",0,$F252))</f>
      </c>
      <c r="H252" s="18">
        <f>IF($E252="","",$E252+$G252)</f>
      </c>
      <c r="I252" s="13"/>
    </row>
    <row r="253" spans="2:9" x14ac:dyDescent="0.25">
      <c r="B253" s="15"/>
      <c r="C253" s="12"/>
      <c r="D253" s="12"/>
      <c r="E253" s="17"/>
      <c r="F253" s="8"/>
      <c r="G253" s="18">
        <f>IF($E253="",0,$E253*IF($F253="",0,$F253))</f>
      </c>
      <c r="H253" s="18">
        <f>IF($E253="","",$E253+$G253)</f>
      </c>
      <c r="I253" s="12"/>
    </row>
    <row r="254" spans="2:9" x14ac:dyDescent="0.25">
      <c r="B254" s="20"/>
      <c r="C254" s="13"/>
      <c r="D254" s="13"/>
      <c r="E254" s="21"/>
      <c r="F254" s="22"/>
      <c r="G254" s="18">
        <f>IF($E254="",0,$E254*IF($F254="",0,$F254))</f>
      </c>
      <c r="H254" s="18">
        <f>IF($E254="","",$E254+$G254)</f>
      </c>
      <c r="I254" s="13"/>
    </row>
    <row r="255" spans="2:9" x14ac:dyDescent="0.25">
      <c r="B255" s="15"/>
      <c r="C255" s="12"/>
      <c r="D255" s="12"/>
      <c r="E255" s="17"/>
      <c r="F255" s="8"/>
      <c r="G255" s="18">
        <f>IF($E255="",0,$E255*IF($F255="",0,$F255))</f>
      </c>
      <c r="H255" s="18">
        <f>IF($E255="","",$E255+$G255)</f>
      </c>
      <c r="I255" s="12"/>
    </row>
    <row r="256" spans="2:9" x14ac:dyDescent="0.25">
      <c r="B256" s="20"/>
      <c r="C256" s="13"/>
      <c r="D256" s="13"/>
      <c r="E256" s="21"/>
      <c r="F256" s="22"/>
      <c r="G256" s="18">
        <f>IF($E256="",0,$E256*IF($F256="",0,$F256))</f>
      </c>
      <c r="H256" s="18">
        <f>IF($E256="","",$E256+$G256)</f>
      </c>
      <c r="I256" s="13"/>
    </row>
    <row r="257" spans="2:9" x14ac:dyDescent="0.25">
      <c r="B257" s="15"/>
      <c r="C257" s="12"/>
      <c r="D257" s="12"/>
      <c r="E257" s="17"/>
      <c r="F257" s="8"/>
      <c r="G257" s="18">
        <f>IF($E257="",0,$E257*IF($F257="",0,$F257))</f>
      </c>
      <c r="H257" s="18">
        <f>IF($E257="","",$E257+$G257)</f>
      </c>
      <c r="I257" s="12"/>
    </row>
    <row r="258" spans="2:9" x14ac:dyDescent="0.25">
      <c r="B258" s="20"/>
      <c r="C258" s="13"/>
      <c r="D258" s="13"/>
      <c r="E258" s="21"/>
      <c r="F258" s="22"/>
      <c r="G258" s="18">
        <f>IF($E258="",0,$E258*IF($F258="",0,$F258))</f>
      </c>
      <c r="H258" s="18">
        <f>IF($E258="","",$E258+$G258)</f>
      </c>
      <c r="I258" s="13"/>
    </row>
    <row r="259" spans="2:9" x14ac:dyDescent="0.25">
      <c r="B259" s="15"/>
      <c r="C259" s="12"/>
      <c r="D259" s="12"/>
      <c r="E259" s="17"/>
      <c r="F259" s="8"/>
      <c r="G259" s="18">
        <f>IF($E259="",0,$E259*IF($F259="",0,$F259))</f>
      </c>
      <c r="H259" s="18">
        <f>IF($E259="","",$E259+$G259)</f>
      </c>
      <c r="I259" s="12"/>
    </row>
    <row r="260" spans="2:9" x14ac:dyDescent="0.25">
      <c r="B260" s="20"/>
      <c r="C260" s="13"/>
      <c r="D260" s="13"/>
      <c r="E260" s="21"/>
      <c r="F260" s="22"/>
      <c r="G260" s="18">
        <f>IF($E260="",0,$E260*IF($F260="",0,$F260))</f>
      </c>
      <c r="H260" s="18">
        <f>IF($E260="","",$E260+$G260)</f>
      </c>
      <c r="I260" s="13"/>
    </row>
    <row r="261" spans="2:9" x14ac:dyDescent="0.25">
      <c r="B261" s="15"/>
      <c r="C261" s="12"/>
      <c r="D261" s="12"/>
      <c r="E261" s="17"/>
      <c r="F261" s="8"/>
      <c r="G261" s="18">
        <f>IF($E261="",0,$E261*IF($F261="",0,$F261))</f>
      </c>
      <c r="H261" s="18">
        <f>IF($E261="","",$E261+$G261)</f>
      </c>
      <c r="I261" s="12"/>
    </row>
    <row r="262" spans="2:9" x14ac:dyDescent="0.25">
      <c r="B262" s="20"/>
      <c r="C262" s="13"/>
      <c r="D262" s="13"/>
      <c r="E262" s="21"/>
      <c r="F262" s="22"/>
      <c r="G262" s="18">
        <f>IF($E262="",0,$E262*IF($F262="",0,$F262))</f>
      </c>
      <c r="H262" s="18">
        <f>IF($E262="","",$E262+$G262)</f>
      </c>
      <c r="I262" s="13"/>
    </row>
    <row r="263" spans="2:9" x14ac:dyDescent="0.25">
      <c r="B263" s="15"/>
      <c r="C263" s="12"/>
      <c r="D263" s="12"/>
      <c r="E263" s="17"/>
      <c r="F263" s="8"/>
      <c r="G263" s="18">
        <f>IF($E263="",0,$E263*IF($F263="",0,$F263))</f>
      </c>
      <c r="H263" s="18">
        <f>IF($E263="","",$E263+$G263)</f>
      </c>
      <c r="I263" s="12"/>
    </row>
    <row r="264" spans="2:9" x14ac:dyDescent="0.25">
      <c r="B264" s="20"/>
      <c r="C264" s="13"/>
      <c r="D264" s="13"/>
      <c r="E264" s="21"/>
      <c r="F264" s="22"/>
      <c r="G264" s="18">
        <f>IF($E264="",0,$E264*IF($F264="",0,$F264))</f>
      </c>
      <c r="H264" s="18">
        <f>IF($E264="","",$E264+$G264)</f>
      </c>
      <c r="I264" s="13"/>
    </row>
    <row r="265" spans="2:9" x14ac:dyDescent="0.25">
      <c r="B265" s="15"/>
      <c r="C265" s="12"/>
      <c r="D265" s="12"/>
      <c r="E265" s="17"/>
      <c r="F265" s="8"/>
      <c r="G265" s="18">
        <f>IF($E265="",0,$E265*IF($F265="",0,$F265))</f>
      </c>
      <c r="H265" s="18">
        <f>IF($E265="","",$E265+$G265)</f>
      </c>
      <c r="I265" s="12"/>
    </row>
    <row r="266" spans="2:9" x14ac:dyDescent="0.25">
      <c r="B266" s="20"/>
      <c r="C266" s="13"/>
      <c r="D266" s="13"/>
      <c r="E266" s="21"/>
      <c r="F266" s="22"/>
      <c r="G266" s="18">
        <f>IF($E266="",0,$E266*IF($F266="",0,$F266))</f>
      </c>
      <c r="H266" s="18">
        <f>IF($E266="","",$E266+$G266)</f>
      </c>
      <c r="I266" s="13"/>
    </row>
    <row r="267" spans="2:9" x14ac:dyDescent="0.25">
      <c r="B267" s="15"/>
      <c r="C267" s="12"/>
      <c r="D267" s="12"/>
      <c r="E267" s="17"/>
      <c r="F267" s="8"/>
      <c r="G267" s="18">
        <f>IF($E267="",0,$E267*IF($F267="",0,$F267))</f>
      </c>
      <c r="H267" s="18">
        <f>IF($E267="","",$E267+$G267)</f>
      </c>
      <c r="I267" s="12"/>
    </row>
    <row r="268" spans="2:9" x14ac:dyDescent="0.25">
      <c r="B268" s="20"/>
      <c r="C268" s="13"/>
      <c r="D268" s="13"/>
      <c r="E268" s="21"/>
      <c r="F268" s="22"/>
      <c r="G268" s="18">
        <f>IF($E268="",0,$E268*IF($F268="",0,$F268))</f>
      </c>
      <c r="H268" s="18">
        <f>IF($E268="","",$E268+$G268)</f>
      </c>
      <c r="I268" s="13"/>
    </row>
    <row r="269" spans="2:9" x14ac:dyDescent="0.25">
      <c r="B269" s="15"/>
      <c r="C269" s="12"/>
      <c r="D269" s="12"/>
      <c r="E269" s="17"/>
      <c r="F269" s="8"/>
      <c r="G269" s="18">
        <f>IF($E269="",0,$E269*IF($F269="",0,$F269))</f>
      </c>
      <c r="H269" s="18">
        <f>IF($E269="","",$E269+$G269)</f>
      </c>
      <c r="I269" s="12"/>
    </row>
    <row r="270" spans="2:9" x14ac:dyDescent="0.25">
      <c r="B270" s="20"/>
      <c r="C270" s="13"/>
      <c r="D270" s="13"/>
      <c r="E270" s="21"/>
      <c r="F270" s="22"/>
      <c r="G270" s="18">
        <f>IF($E270="",0,$E270*IF($F270="",0,$F270))</f>
      </c>
      <c r="H270" s="18">
        <f>IF($E270="","",$E270+$G270)</f>
      </c>
      <c r="I270" s="13"/>
    </row>
    <row r="271" spans="2:9" x14ac:dyDescent="0.25">
      <c r="B271" s="15"/>
      <c r="C271" s="12"/>
      <c r="D271" s="12"/>
      <c r="E271" s="17"/>
      <c r="F271" s="8"/>
      <c r="G271" s="18">
        <f>IF($E271="",0,$E271*IF($F271="",0,$F271))</f>
      </c>
      <c r="H271" s="18">
        <f>IF($E271="","",$E271+$G271)</f>
      </c>
      <c r="I271" s="12"/>
    </row>
    <row r="272" spans="2:9" x14ac:dyDescent="0.25">
      <c r="B272" s="20"/>
      <c r="C272" s="13"/>
      <c r="D272" s="13"/>
      <c r="E272" s="21"/>
      <c r="F272" s="22"/>
      <c r="G272" s="18">
        <f>IF($E272="",0,$E272*IF($F272="",0,$F272))</f>
      </c>
      <c r="H272" s="18">
        <f>IF($E272="","",$E272+$G272)</f>
      </c>
      <c r="I272" s="13"/>
    </row>
    <row r="273" spans="2:9" x14ac:dyDescent="0.25">
      <c r="B273" s="15"/>
      <c r="C273" s="12"/>
      <c r="D273" s="12"/>
      <c r="E273" s="17"/>
      <c r="F273" s="8"/>
      <c r="G273" s="18">
        <f>IF($E273="",0,$E273*IF($F273="",0,$F273))</f>
      </c>
      <c r="H273" s="18">
        <f>IF($E273="","",$E273+$G273)</f>
      </c>
      <c r="I273" s="12"/>
    </row>
    <row r="274" spans="2:9" x14ac:dyDescent="0.25">
      <c r="B274" s="20"/>
      <c r="C274" s="13"/>
      <c r="D274" s="13"/>
      <c r="E274" s="21"/>
      <c r="F274" s="22"/>
      <c r="G274" s="18">
        <f>IF($E274="",0,$E274*IF($F274="",0,$F274))</f>
      </c>
      <c r="H274" s="18">
        <f>IF($E274="","",$E274+$G274)</f>
      </c>
      <c r="I274" s="13"/>
    </row>
    <row r="275" spans="2:9" x14ac:dyDescent="0.25">
      <c r="B275" s="15"/>
      <c r="C275" s="12"/>
      <c r="D275" s="12"/>
      <c r="E275" s="17"/>
      <c r="F275" s="8"/>
      <c r="G275" s="18">
        <f>IF($E275="",0,$E275*IF($F275="",0,$F275))</f>
      </c>
      <c r="H275" s="18">
        <f>IF($E275="","",$E275+$G275)</f>
      </c>
      <c r="I275" s="12"/>
    </row>
    <row r="276" spans="2:9" x14ac:dyDescent="0.25">
      <c r="B276" s="20"/>
      <c r="C276" s="13"/>
      <c r="D276" s="13"/>
      <c r="E276" s="21"/>
      <c r="F276" s="22"/>
      <c r="G276" s="18">
        <f>IF($E276="",0,$E276*IF($F276="",0,$F276))</f>
      </c>
      <c r="H276" s="18">
        <f>IF($E276="","",$E276+$G276)</f>
      </c>
      <c r="I276" s="13"/>
    </row>
    <row r="277" spans="2:9" x14ac:dyDescent="0.25">
      <c r="B277" s="15"/>
      <c r="C277" s="12"/>
      <c r="D277" s="12"/>
      <c r="E277" s="17"/>
      <c r="F277" s="8"/>
      <c r="G277" s="18">
        <f>IF($E277="",0,$E277*IF($F277="",0,$F277))</f>
      </c>
      <c r="H277" s="18">
        <f>IF($E277="","",$E277+$G277)</f>
      </c>
      <c r="I277" s="12"/>
    </row>
    <row r="278" spans="2:9" x14ac:dyDescent="0.25">
      <c r="B278" s="20"/>
      <c r="C278" s="13"/>
      <c r="D278" s="13"/>
      <c r="E278" s="21"/>
      <c r="F278" s="22"/>
      <c r="G278" s="18">
        <f>IF($E278="",0,$E278*IF($F278="",0,$F278))</f>
      </c>
      <c r="H278" s="18">
        <f>IF($E278="","",$E278+$G278)</f>
      </c>
      <c r="I278" s="13"/>
    </row>
    <row r="279" spans="2:9" x14ac:dyDescent="0.25">
      <c r="B279" s="15"/>
      <c r="C279" s="12"/>
      <c r="D279" s="12"/>
      <c r="E279" s="17"/>
      <c r="F279" s="8"/>
      <c r="G279" s="18">
        <f>IF($E279="",0,$E279*IF($F279="",0,$F279))</f>
      </c>
      <c r="H279" s="18">
        <f>IF($E279="","",$E279+$G279)</f>
      </c>
      <c r="I279" s="12"/>
    </row>
    <row r="280" spans="2:9" x14ac:dyDescent="0.25">
      <c r="B280" s="20"/>
      <c r="C280" s="13"/>
      <c r="D280" s="13"/>
      <c r="E280" s="21"/>
      <c r="F280" s="22"/>
      <c r="G280" s="18">
        <f>IF($E280="",0,$E280*IF($F280="",0,$F280))</f>
      </c>
      <c r="H280" s="18">
        <f>IF($E280="","",$E280+$G280)</f>
      </c>
      <c r="I280" s="13"/>
    </row>
    <row r="281" spans="2:9" x14ac:dyDescent="0.25">
      <c r="B281" s="15"/>
      <c r="C281" s="12"/>
      <c r="D281" s="12"/>
      <c r="E281" s="17"/>
      <c r="F281" s="8"/>
      <c r="G281" s="18">
        <f>IF($E281="",0,$E281*IF($F281="",0,$F281))</f>
      </c>
      <c r="H281" s="18">
        <f>IF($E281="","",$E281+$G281)</f>
      </c>
      <c r="I281" s="12"/>
    </row>
    <row r="282" spans="2:9" x14ac:dyDescent="0.25">
      <c r="B282" s="20"/>
      <c r="C282" s="13"/>
      <c r="D282" s="13"/>
      <c r="E282" s="21"/>
      <c r="F282" s="22"/>
      <c r="G282" s="18">
        <f>IF($E282="",0,$E282*IF($F282="",0,$F282))</f>
      </c>
      <c r="H282" s="18">
        <f>IF($E282="","",$E282+$G282)</f>
      </c>
      <c r="I282" s="13"/>
    </row>
    <row r="283" spans="2:9" x14ac:dyDescent="0.25">
      <c r="B283" s="15"/>
      <c r="C283" s="12"/>
      <c r="D283" s="12"/>
      <c r="E283" s="17"/>
      <c r="F283" s="8"/>
      <c r="G283" s="18">
        <f>IF($E283="",0,$E283*IF($F283="",0,$F283))</f>
      </c>
      <c r="H283" s="18">
        <f>IF($E283="","",$E283+$G283)</f>
      </c>
      <c r="I283" s="12"/>
    </row>
    <row r="284" spans="2:9" x14ac:dyDescent="0.25">
      <c r="B284" s="20"/>
      <c r="C284" s="13"/>
      <c r="D284" s="13"/>
      <c r="E284" s="21"/>
      <c r="F284" s="22"/>
      <c r="G284" s="18">
        <f>IF($E284="",0,$E284*IF($F284="",0,$F284))</f>
      </c>
      <c r="H284" s="18">
        <f>IF($E284="","",$E284+$G284)</f>
      </c>
      <c r="I284" s="13"/>
    </row>
    <row r="285" spans="2:9" x14ac:dyDescent="0.25">
      <c r="B285" s="15"/>
      <c r="C285" s="12"/>
      <c r="D285" s="12"/>
      <c r="E285" s="17"/>
      <c r="F285" s="8"/>
      <c r="G285" s="18">
        <f>IF($E285="",0,$E285*IF($F285="",0,$F285))</f>
      </c>
      <c r="H285" s="18">
        <f>IF($E285="","",$E285+$G285)</f>
      </c>
      <c r="I285" s="12"/>
    </row>
    <row r="286" spans="2:9" x14ac:dyDescent="0.25">
      <c r="B286" s="20"/>
      <c r="C286" s="13"/>
      <c r="D286" s="13"/>
      <c r="E286" s="21"/>
      <c r="F286" s="22"/>
      <c r="G286" s="18">
        <f>IF($E286="",0,$E286*IF($F286="",0,$F286))</f>
      </c>
      <c r="H286" s="18">
        <f>IF($E286="","",$E286+$G286)</f>
      </c>
      <c r="I286" s="13"/>
    </row>
    <row r="287" spans="2:9" x14ac:dyDescent="0.25">
      <c r="B287" s="15"/>
      <c r="C287" s="12"/>
      <c r="D287" s="12"/>
      <c r="E287" s="17"/>
      <c r="F287" s="8"/>
      <c r="G287" s="18">
        <f>IF($E287="",0,$E287*IF($F287="",0,$F287))</f>
      </c>
      <c r="H287" s="18">
        <f>IF($E287="","",$E287+$G287)</f>
      </c>
      <c r="I287" s="12"/>
    </row>
    <row r="288" spans="2:9" x14ac:dyDescent="0.25">
      <c r="B288" s="20"/>
      <c r="C288" s="13"/>
      <c r="D288" s="13"/>
      <c r="E288" s="21"/>
      <c r="F288" s="22"/>
      <c r="G288" s="18">
        <f>IF($E288="",0,$E288*IF($F288="",0,$F288))</f>
      </c>
      <c r="H288" s="18">
        <f>IF($E288="","",$E288+$G288)</f>
      </c>
      <c r="I288" s="13"/>
    </row>
    <row r="289" spans="2:9" x14ac:dyDescent="0.25">
      <c r="B289" s="15"/>
      <c r="C289" s="12"/>
      <c r="D289" s="12"/>
      <c r="E289" s="17"/>
      <c r="F289" s="8"/>
      <c r="G289" s="18">
        <f>IF($E289="",0,$E289*IF($F289="",0,$F289))</f>
      </c>
      <c r="H289" s="18">
        <f>IF($E289="","",$E289+$G289)</f>
      </c>
      <c r="I289" s="12"/>
    </row>
    <row r="290" spans="2:9" x14ac:dyDescent="0.25">
      <c r="B290" s="20"/>
      <c r="C290" s="13"/>
      <c r="D290" s="13"/>
      <c r="E290" s="21"/>
      <c r="F290" s="22"/>
      <c r="G290" s="18">
        <f>IF($E290="",0,$E290*IF($F290="",0,$F290))</f>
      </c>
      <c r="H290" s="18">
        <f>IF($E290="","",$E290+$G290)</f>
      </c>
      <c r="I290" s="13"/>
    </row>
    <row r="291" spans="2:9" x14ac:dyDescent="0.25">
      <c r="B291" s="15"/>
      <c r="C291" s="12"/>
      <c r="D291" s="12"/>
      <c r="E291" s="17"/>
      <c r="F291" s="8"/>
      <c r="G291" s="18">
        <f>IF($E291="",0,$E291*IF($F291="",0,$F291))</f>
      </c>
      <c r="H291" s="18">
        <f>IF($E291="","",$E291+$G291)</f>
      </c>
      <c r="I291" s="12"/>
    </row>
    <row r="292" spans="2:9" x14ac:dyDescent="0.25">
      <c r="B292" s="20"/>
      <c r="C292" s="13"/>
      <c r="D292" s="13"/>
      <c r="E292" s="21"/>
      <c r="F292" s="22"/>
      <c r="G292" s="18">
        <f>IF($E292="",0,$E292*IF($F292="",0,$F292))</f>
      </c>
      <c r="H292" s="18">
        <f>IF($E292="","",$E292+$G292)</f>
      </c>
      <c r="I292" s="13"/>
    </row>
    <row r="293" spans="2:9" x14ac:dyDescent="0.25">
      <c r="B293" s="15"/>
      <c r="C293" s="12"/>
      <c r="D293" s="12"/>
      <c r="E293" s="17"/>
      <c r="F293" s="8"/>
      <c r="G293" s="18">
        <f>IF($E293="",0,$E293*IF($F293="",0,$F293))</f>
      </c>
      <c r="H293" s="18">
        <f>IF($E293="","",$E293+$G293)</f>
      </c>
      <c r="I293" s="12"/>
    </row>
    <row r="294" spans="2:9" x14ac:dyDescent="0.25">
      <c r="B294" s="20"/>
      <c r="C294" s="13"/>
      <c r="D294" s="13"/>
      <c r="E294" s="21"/>
      <c r="F294" s="22"/>
      <c r="G294" s="18">
        <f>IF($E294="",0,$E294*IF($F294="",0,$F294))</f>
      </c>
      <c r="H294" s="18">
        <f>IF($E294="","",$E294+$G294)</f>
      </c>
      <c r="I294" s="13"/>
    </row>
    <row r="295" spans="2:9" x14ac:dyDescent="0.25">
      <c r="B295" s="15"/>
      <c r="C295" s="12"/>
      <c r="D295" s="12"/>
      <c r="E295" s="17"/>
      <c r="F295" s="8"/>
      <c r="G295" s="18">
        <f>IF($E295="",0,$E295*IF($F295="",0,$F295))</f>
      </c>
      <c r="H295" s="18">
        <f>IF($E295="","",$E295+$G295)</f>
      </c>
      <c r="I295" s="12"/>
    </row>
    <row r="296" spans="2:9" x14ac:dyDescent="0.25">
      <c r="B296" s="20"/>
      <c r="C296" s="13"/>
      <c r="D296" s="13"/>
      <c r="E296" s="21"/>
      <c r="F296" s="22"/>
      <c r="G296" s="18">
        <f>IF($E296="",0,$E296*IF($F296="",0,$F296))</f>
      </c>
      <c r="H296" s="18">
        <f>IF($E296="","",$E296+$G296)</f>
      </c>
      <c r="I296" s="13"/>
    </row>
    <row r="297" spans="2:9" x14ac:dyDescent="0.25">
      <c r="B297" s="15"/>
      <c r="C297" s="12"/>
      <c r="D297" s="12"/>
      <c r="E297" s="17"/>
      <c r="F297" s="8"/>
      <c r="G297" s="18">
        <f>IF($E297="",0,$E297*IF($F297="",0,$F297))</f>
      </c>
      <c r="H297" s="18">
        <f>IF($E297="","",$E297+$G297)</f>
      </c>
      <c r="I297" s="12"/>
    </row>
    <row r="298" spans="2:9" x14ac:dyDescent="0.25">
      <c r="B298" s="20"/>
      <c r="C298" s="13"/>
      <c r="D298" s="13"/>
      <c r="E298" s="21"/>
      <c r="F298" s="22"/>
      <c r="G298" s="18">
        <f>IF($E298="",0,$E298*IF($F298="",0,$F298))</f>
      </c>
      <c r="H298" s="18">
        <f>IF($E298="","",$E298+$G298)</f>
      </c>
      <c r="I298" s="13"/>
    </row>
    <row r="299" spans="2:9" x14ac:dyDescent="0.25">
      <c r="B299" s="15"/>
      <c r="C299" s="12"/>
      <c r="D299" s="12"/>
      <c r="E299" s="17"/>
      <c r="F299" s="8"/>
      <c r="G299" s="18">
        <f>IF($E299="",0,$E299*IF($F299="",0,$F299))</f>
      </c>
      <c r="H299" s="18">
        <f>IF($E299="","",$E299+$G299)</f>
      </c>
      <c r="I299" s="12"/>
    </row>
    <row r="300" spans="2:9" x14ac:dyDescent="0.25">
      <c r="B300" s="20"/>
      <c r="C300" s="13"/>
      <c r="D300" s="13"/>
      <c r="E300" s="21"/>
      <c r="F300" s="22"/>
      <c r="G300" s="18">
        <f>IF($E300="",0,$E300*IF($F300="",0,$F300))</f>
      </c>
      <c r="H300" s="18">
        <f>IF($E300="","",$E300+$G300)</f>
      </c>
      <c r="I300" s="13"/>
    </row>
    <row r="301" spans="2:9" x14ac:dyDescent="0.25">
      <c r="B301" s="15"/>
      <c r="C301" s="12"/>
      <c r="D301" s="12"/>
      <c r="E301" s="17"/>
      <c r="F301" s="8"/>
      <c r="G301" s="18">
        <f>IF($E301="",0,$E301*IF($F301="",0,$F301))</f>
      </c>
      <c r="H301" s="18">
        <f>IF($E301="","",$E301+$G301)</f>
      </c>
      <c r="I301" s="12"/>
    </row>
    <row r="302" spans="2:9" x14ac:dyDescent="0.25">
      <c r="B302" s="20"/>
      <c r="C302" s="13"/>
      <c r="D302" s="13"/>
      <c r="E302" s="21"/>
      <c r="F302" s="22"/>
      <c r="G302" s="18">
        <f>IF($E302="",0,$E302*IF($F302="",0,$F302))</f>
      </c>
      <c r="H302" s="18">
        <f>IF($E302="","",$E302+$G302)</f>
      </c>
      <c r="I302" s="13"/>
    </row>
    <row r="303" spans="2:9" x14ac:dyDescent="0.25">
      <c r="B303" s="15"/>
      <c r="C303" s="12"/>
      <c r="D303" s="12"/>
      <c r="E303" s="17"/>
      <c r="F303" s="8"/>
      <c r="G303" s="18">
        <f>IF($E303="",0,$E303*IF($F303="",0,$F303))</f>
      </c>
      <c r="H303" s="18">
        <f>IF($E303="","",$E303+$G303)</f>
      </c>
      <c r="I303" s="12"/>
    </row>
    <row r="304" spans="2:9" x14ac:dyDescent="0.25">
      <c r="B304" s="20"/>
      <c r="C304" s="13"/>
      <c r="D304" s="13"/>
      <c r="E304" s="21"/>
      <c r="F304" s="22"/>
      <c r="G304" s="18">
        <f>IF($E304="",0,$E304*IF($F304="",0,$F304))</f>
      </c>
      <c r="H304" s="18">
        <f>IF($E304="","",$E304+$G304)</f>
      </c>
      <c r="I304" s="13"/>
    </row>
    <row r="305" spans="2:9" x14ac:dyDescent="0.25">
      <c r="B305" s="15"/>
      <c r="C305" s="12"/>
      <c r="D305" s="12"/>
      <c r="E305" s="17"/>
      <c r="F305" s="8"/>
      <c r="G305" s="18">
        <f>IF($E305="",0,$E305*IF($F305="",0,$F305))</f>
      </c>
      <c r="H305" s="18">
        <f>IF($E305="","",$E305+$G305)</f>
      </c>
      <c r="I305" s="12"/>
    </row>
    <row r="306" spans="2:9" x14ac:dyDescent="0.25">
      <c r="B306" s="20"/>
      <c r="C306" s="13"/>
      <c r="D306" s="13"/>
      <c r="E306" s="21"/>
      <c r="F306" s="22"/>
      <c r="G306" s="18">
        <f>IF($E306="",0,$E306*IF($F306="",0,$F306))</f>
      </c>
      <c r="H306" s="18">
        <f>IF($E306="","",$E306+$G306)</f>
      </c>
      <c r="I306" s="13"/>
    </row>
    <row r="307" spans="2:9" x14ac:dyDescent="0.25">
      <c r="B307" s="15"/>
      <c r="C307" s="12"/>
      <c r="D307" s="12"/>
      <c r="E307" s="17"/>
      <c r="F307" s="8"/>
      <c r="G307" s="18">
        <f>IF($E307="",0,$E307*IF($F307="",0,$F307))</f>
      </c>
      <c r="H307" s="18">
        <f>IF($E307="","",$E307+$G307)</f>
      </c>
      <c r="I307" s="12"/>
    </row>
    <row r="308" spans="2:9" x14ac:dyDescent="0.25">
      <c r="B308" s="20"/>
      <c r="C308" s="13"/>
      <c r="D308" s="13"/>
      <c r="E308" s="21"/>
      <c r="F308" s="22"/>
      <c r="G308" s="18">
        <f>IF($E308="",0,$E308*IF($F308="",0,$F308))</f>
      </c>
      <c r="H308" s="18">
        <f>IF($E308="","",$E308+$G308)</f>
      </c>
      <c r="I308" s="13"/>
    </row>
    <row r="309" spans="2:9" x14ac:dyDescent="0.25">
      <c r="B309" s="15"/>
      <c r="C309" s="12"/>
      <c r="D309" s="12"/>
      <c r="E309" s="17"/>
      <c r="F309" s="8"/>
      <c r="G309" s="18">
        <f>IF($E309="",0,$E309*IF($F309="",0,$F309))</f>
      </c>
      <c r="H309" s="18">
        <f>IF($E309="","",$E309+$G309)</f>
      </c>
      <c r="I309" s="12"/>
    </row>
    <row r="310" spans="2:9" x14ac:dyDescent="0.25">
      <c r="B310" s="20"/>
      <c r="C310" s="13"/>
      <c r="D310" s="13"/>
      <c r="E310" s="21"/>
      <c r="F310" s="22"/>
      <c r="G310" s="18">
        <f>IF($E310="",0,$E310*IF($F310="",0,$F310))</f>
      </c>
      <c r="H310" s="18">
        <f>IF($E310="","",$E310+$G310)</f>
      </c>
      <c r="I310" s="13"/>
    </row>
    <row r="311" spans="2:9" x14ac:dyDescent="0.25">
      <c r="B311" s="15"/>
      <c r="C311" s="12"/>
      <c r="D311" s="12"/>
      <c r="E311" s="17"/>
      <c r="F311" s="8"/>
      <c r="G311" s="18">
        <f>IF($E311="",0,$E311*IF($F311="",0,$F311))</f>
      </c>
      <c r="H311" s="18">
        <f>IF($E311="","",$E311+$G311)</f>
      </c>
      <c r="I311" s="12"/>
    </row>
    <row r="312" spans="2:9" x14ac:dyDescent="0.25">
      <c r="B312" s="20"/>
      <c r="C312" s="13"/>
      <c r="D312" s="13"/>
      <c r="E312" s="21"/>
      <c r="F312" s="22"/>
      <c r="G312" s="18">
        <f>IF($E312="",0,$E312*IF($F312="",0,$F312))</f>
      </c>
      <c r="H312" s="18">
        <f>IF($E312="","",$E312+$G312)</f>
      </c>
      <c r="I312" s="13"/>
    </row>
    <row r="313" spans="2:9" x14ac:dyDescent="0.25">
      <c r="B313" s="15"/>
      <c r="C313" s="12"/>
      <c r="D313" s="12"/>
      <c r="E313" s="17"/>
      <c r="F313" s="8"/>
      <c r="G313" s="18">
        <f>IF($E313="",0,$E313*IF($F313="",0,$F313))</f>
      </c>
      <c r="H313" s="18">
        <f>IF($E313="","",$E313+$G313)</f>
      </c>
      <c r="I313" s="12"/>
    </row>
    <row r="314" spans="2:9" x14ac:dyDescent="0.25">
      <c r="B314" s="20"/>
      <c r="C314" s="13"/>
      <c r="D314" s="13"/>
      <c r="E314" s="21"/>
      <c r="F314" s="22"/>
      <c r="G314" s="18">
        <f>IF($E314="",0,$E314*IF($F314="",0,$F314))</f>
      </c>
      <c r="H314" s="18">
        <f>IF($E314="","",$E314+$G314)</f>
      </c>
      <c r="I314" s="13"/>
    </row>
    <row r="315" spans="2:9" x14ac:dyDescent="0.25">
      <c r="B315" s="15"/>
      <c r="C315" s="12"/>
      <c r="D315" s="12"/>
      <c r="E315" s="17"/>
      <c r="F315" s="8"/>
      <c r="G315" s="18">
        <f>IF($E315="",0,$E315*IF($F315="",0,$F315))</f>
      </c>
      <c r="H315" s="18">
        <f>IF($E315="","",$E315+$G315)</f>
      </c>
      <c r="I315" s="12"/>
    </row>
    <row r="316" spans="2:9" x14ac:dyDescent="0.25">
      <c r="B316" s="20"/>
      <c r="C316" s="13"/>
      <c r="D316" s="13"/>
      <c r="E316" s="21"/>
      <c r="F316" s="22"/>
      <c r="G316" s="18">
        <f>IF($E316="",0,$E316*IF($F316="",0,$F316))</f>
      </c>
      <c r="H316" s="18">
        <f>IF($E316="","",$E316+$G316)</f>
      </c>
      <c r="I316" s="13"/>
    </row>
    <row r="317" spans="2:9" x14ac:dyDescent="0.25">
      <c r="B317" s="15"/>
      <c r="C317" s="12"/>
      <c r="D317" s="12"/>
      <c r="E317" s="17"/>
      <c r="F317" s="8"/>
      <c r="G317" s="18">
        <f>IF($E317="",0,$E317*IF($F317="",0,$F317))</f>
      </c>
      <c r="H317" s="18">
        <f>IF($E317="","",$E317+$G317)</f>
      </c>
      <c r="I317" s="12"/>
    </row>
    <row r="318" spans="2:9" x14ac:dyDescent="0.25">
      <c r="B318" s="20"/>
      <c r="C318" s="13"/>
      <c r="D318" s="13"/>
      <c r="E318" s="21"/>
      <c r="F318" s="22"/>
      <c r="G318" s="18">
        <f>IF($E318="",0,$E318*IF($F318="",0,$F318))</f>
      </c>
      <c r="H318" s="18">
        <f>IF($E318="","",$E318+$G318)</f>
      </c>
      <c r="I318" s="13"/>
    </row>
    <row r="319" spans="2:9" x14ac:dyDescent="0.25">
      <c r="B319" s="15"/>
      <c r="C319" s="12"/>
      <c r="D319" s="12"/>
      <c r="E319" s="17"/>
      <c r="F319" s="8"/>
      <c r="G319" s="18">
        <f>IF($E319="",0,$E319*IF($F319="",0,$F319))</f>
      </c>
      <c r="H319" s="18">
        <f>IF($E319="","",$E319+$G319)</f>
      </c>
      <c r="I319" s="12"/>
    </row>
    <row r="320" spans="2:9" x14ac:dyDescent="0.25">
      <c r="B320" s="20"/>
      <c r="C320" s="13"/>
      <c r="D320" s="13"/>
      <c r="E320" s="21"/>
      <c r="F320" s="22"/>
      <c r="G320" s="18">
        <f>IF($E320="",0,$E320*IF($F320="",0,$F320))</f>
      </c>
      <c r="H320" s="18">
        <f>IF($E320="","",$E320+$G320)</f>
      </c>
      <c r="I320" s="13"/>
    </row>
    <row r="321" spans="2:9" x14ac:dyDescent="0.25">
      <c r="B321" s="15"/>
      <c r="C321" s="12"/>
      <c r="D321" s="12"/>
      <c r="E321" s="17"/>
      <c r="F321" s="8"/>
      <c r="G321" s="18">
        <f>IF($E321="",0,$E321*IF($F321="",0,$F321))</f>
      </c>
      <c r="H321" s="18">
        <f>IF($E321="","",$E321+$G321)</f>
      </c>
      <c r="I321" s="12"/>
    </row>
    <row r="322" spans="2:9" x14ac:dyDescent="0.25">
      <c r="B322" s="20"/>
      <c r="C322" s="13"/>
      <c r="D322" s="13"/>
      <c r="E322" s="21"/>
      <c r="F322" s="22"/>
      <c r="G322" s="18">
        <f>IF($E322="",0,$E322*IF($F322="",0,$F322))</f>
      </c>
      <c r="H322" s="18">
        <f>IF($E322="","",$E322+$G322)</f>
      </c>
      <c r="I322" s="13"/>
    </row>
    <row r="323" spans="2:9" x14ac:dyDescent="0.25">
      <c r="B323" s="15"/>
      <c r="C323" s="12"/>
      <c r="D323" s="12"/>
      <c r="E323" s="17"/>
      <c r="F323" s="8"/>
      <c r="G323" s="18">
        <f>IF($E323="",0,$E323*IF($F323="",0,$F323))</f>
      </c>
      <c r="H323" s="18">
        <f>IF($E323="","",$E323+$G323)</f>
      </c>
      <c r="I323" s="12"/>
    </row>
    <row r="324" spans="2:9" x14ac:dyDescent="0.25">
      <c r="B324" s="20"/>
      <c r="C324" s="13"/>
      <c r="D324" s="13"/>
      <c r="E324" s="21"/>
      <c r="F324" s="22"/>
      <c r="G324" s="18">
        <f>IF($E324="",0,$E324*IF($F324="",0,$F324))</f>
      </c>
      <c r="H324" s="18">
        <f>IF($E324="","",$E324+$G324)</f>
      </c>
      <c r="I324" s="13"/>
    </row>
    <row r="325" spans="2:9" x14ac:dyDescent="0.25">
      <c r="B325" s="15"/>
      <c r="C325" s="12"/>
      <c r="D325" s="12"/>
      <c r="E325" s="17"/>
      <c r="F325" s="8"/>
      <c r="G325" s="18">
        <f>IF($E325="",0,$E325*IF($F325="",0,$F325))</f>
      </c>
      <c r="H325" s="18">
        <f>IF($E325="","",$E325+$G325)</f>
      </c>
      <c r="I325" s="12"/>
    </row>
    <row r="326" spans="2:9" x14ac:dyDescent="0.25">
      <c r="B326" s="20"/>
      <c r="C326" s="13"/>
      <c r="D326" s="13"/>
      <c r="E326" s="21"/>
      <c r="F326" s="22"/>
      <c r="G326" s="18">
        <f>IF($E326="",0,$E326*IF($F326="",0,$F326))</f>
      </c>
      <c r="H326" s="18">
        <f>IF($E326="","",$E326+$G326)</f>
      </c>
      <c r="I326" s="13"/>
    </row>
    <row r="327" spans="2:9" x14ac:dyDescent="0.25">
      <c r="B327" s="15"/>
      <c r="C327" s="12"/>
      <c r="D327" s="12"/>
      <c r="E327" s="17"/>
      <c r="F327" s="8"/>
      <c r="G327" s="18">
        <f>IF($E327="",0,$E327*IF($F327="",0,$F327))</f>
      </c>
      <c r="H327" s="18">
        <f>IF($E327="","",$E327+$G327)</f>
      </c>
      <c r="I327" s="12"/>
    </row>
    <row r="328" spans="2:9" x14ac:dyDescent="0.25">
      <c r="B328" s="20"/>
      <c r="C328" s="13"/>
      <c r="D328" s="13"/>
      <c r="E328" s="21"/>
      <c r="F328" s="22"/>
      <c r="G328" s="18">
        <f>IF($E328="",0,$E328*IF($F328="",0,$F328))</f>
      </c>
      <c r="H328" s="18">
        <f>IF($E328="","",$E328+$G328)</f>
      </c>
      <c r="I328" s="13"/>
    </row>
    <row r="329" spans="2:9" x14ac:dyDescent="0.25">
      <c r="B329" s="15"/>
      <c r="C329" s="12"/>
      <c r="D329" s="12"/>
      <c r="E329" s="17"/>
      <c r="F329" s="8"/>
      <c r="G329" s="18">
        <f>IF($E329="",0,$E329*IF($F329="",0,$F329))</f>
      </c>
      <c r="H329" s="18">
        <f>IF($E329="","",$E329+$G329)</f>
      </c>
      <c r="I329" s="12"/>
    </row>
    <row r="330" spans="2:9" x14ac:dyDescent="0.25">
      <c r="B330" s="20"/>
      <c r="C330" s="13"/>
      <c r="D330" s="13"/>
      <c r="E330" s="21"/>
      <c r="F330" s="22"/>
      <c r="G330" s="18">
        <f>IF($E330="",0,$E330*IF($F330="",0,$F330))</f>
      </c>
      <c r="H330" s="18">
        <f>IF($E330="","",$E330+$G330)</f>
      </c>
      <c r="I330" s="13"/>
    </row>
    <row r="331" spans="2:9" x14ac:dyDescent="0.25">
      <c r="B331" s="15"/>
      <c r="C331" s="12"/>
      <c r="D331" s="12"/>
      <c r="E331" s="17"/>
      <c r="F331" s="8"/>
      <c r="G331" s="18">
        <f>IF($E331="",0,$E331*IF($F331="",0,$F331))</f>
      </c>
      <c r="H331" s="18">
        <f>IF($E331="","",$E331+$G331)</f>
      </c>
      <c r="I331" s="12"/>
    </row>
    <row r="332" spans="2:9" x14ac:dyDescent="0.25">
      <c r="B332" s="20"/>
      <c r="C332" s="13"/>
      <c r="D332" s="13"/>
      <c r="E332" s="21"/>
      <c r="F332" s="22"/>
      <c r="G332" s="18">
        <f>IF($E332="",0,$E332*IF($F332="",0,$F332))</f>
      </c>
      <c r="H332" s="18">
        <f>IF($E332="","",$E332+$G332)</f>
      </c>
      <c r="I332" s="13"/>
    </row>
    <row r="333" spans="2:9" x14ac:dyDescent="0.25">
      <c r="B333" s="15"/>
      <c r="C333" s="12"/>
      <c r="D333" s="12"/>
      <c r="E333" s="17"/>
      <c r="F333" s="8"/>
      <c r="G333" s="18">
        <f>IF($E333="",0,$E333*IF($F333="",0,$F333))</f>
      </c>
      <c r="H333" s="18">
        <f>IF($E333="","",$E333+$G333)</f>
      </c>
      <c r="I333" s="12"/>
    </row>
    <row r="334" spans="2:9" x14ac:dyDescent="0.25">
      <c r="B334" s="20"/>
      <c r="C334" s="13"/>
      <c r="D334" s="13"/>
      <c r="E334" s="21"/>
      <c r="F334" s="22"/>
      <c r="G334" s="18">
        <f>IF($E334="",0,$E334*IF($F334="",0,$F334))</f>
      </c>
      <c r="H334" s="18">
        <f>IF($E334="","",$E334+$G334)</f>
      </c>
      <c r="I334" s="13"/>
    </row>
    <row r="335" spans="2:9" x14ac:dyDescent="0.25">
      <c r="B335" s="15"/>
      <c r="C335" s="12"/>
      <c r="D335" s="12"/>
      <c r="E335" s="17"/>
      <c r="F335" s="8"/>
      <c r="G335" s="18">
        <f>IF($E335="",0,$E335*IF($F335="",0,$F335))</f>
      </c>
      <c r="H335" s="18">
        <f>IF($E335="","",$E335+$G335)</f>
      </c>
      <c r="I335" s="12"/>
    </row>
    <row r="336" spans="2:9" x14ac:dyDescent="0.25">
      <c r="B336" s="20"/>
      <c r="C336" s="13"/>
      <c r="D336" s="13"/>
      <c r="E336" s="21"/>
      <c r="F336" s="22"/>
      <c r="G336" s="18">
        <f>IF($E336="",0,$E336*IF($F336="",0,$F336))</f>
      </c>
      <c r="H336" s="18">
        <f>IF($E336="","",$E336+$G336)</f>
      </c>
      <c r="I336" s="13"/>
    </row>
    <row r="337" spans="2:9" x14ac:dyDescent="0.25">
      <c r="B337" s="15"/>
      <c r="C337" s="12"/>
      <c r="D337" s="12"/>
      <c r="E337" s="17"/>
      <c r="F337" s="8"/>
      <c r="G337" s="18">
        <f>IF($E337="",0,$E337*IF($F337="",0,$F337))</f>
      </c>
      <c r="H337" s="18">
        <f>IF($E337="","",$E337+$G337)</f>
      </c>
      <c r="I337" s="12"/>
    </row>
    <row r="338" spans="2:9" x14ac:dyDescent="0.25">
      <c r="B338" s="20"/>
      <c r="C338" s="13"/>
      <c r="D338" s="13"/>
      <c r="E338" s="21"/>
      <c r="F338" s="22"/>
      <c r="G338" s="18">
        <f>IF($E338="",0,$E338*IF($F338="",0,$F338))</f>
      </c>
      <c r="H338" s="18">
        <f>IF($E338="","",$E338+$G338)</f>
      </c>
      <c r="I338" s="13"/>
    </row>
    <row r="339" spans="2:9" x14ac:dyDescent="0.25">
      <c r="B339" s="15"/>
      <c r="C339" s="12"/>
      <c r="D339" s="12"/>
      <c r="E339" s="17"/>
      <c r="F339" s="8"/>
      <c r="G339" s="18">
        <f>IF($E339="",0,$E339*IF($F339="",0,$F339))</f>
      </c>
      <c r="H339" s="18">
        <f>IF($E339="","",$E339+$G339)</f>
      </c>
      <c r="I339" s="12"/>
    </row>
    <row r="340" spans="2:9" x14ac:dyDescent="0.25">
      <c r="B340" s="20"/>
      <c r="C340" s="13"/>
      <c r="D340" s="13"/>
      <c r="E340" s="21"/>
      <c r="F340" s="22"/>
      <c r="G340" s="18">
        <f>IF($E340="",0,$E340*IF($F340="",0,$F340))</f>
      </c>
      <c r="H340" s="18">
        <f>IF($E340="","",$E340+$G340)</f>
      </c>
      <c r="I340" s="13"/>
    </row>
    <row r="341" spans="2:9" x14ac:dyDescent="0.25">
      <c r="B341" s="15"/>
      <c r="C341" s="12"/>
      <c r="D341" s="12"/>
      <c r="E341" s="17"/>
      <c r="F341" s="8"/>
      <c r="G341" s="18">
        <f>IF($E341="",0,$E341*IF($F341="",0,$F341))</f>
      </c>
      <c r="H341" s="18">
        <f>IF($E341="","",$E341+$G341)</f>
      </c>
      <c r="I341" s="12"/>
    </row>
    <row r="342" spans="2:9" x14ac:dyDescent="0.25">
      <c r="B342" s="20"/>
      <c r="C342" s="13"/>
      <c r="D342" s="13"/>
      <c r="E342" s="21"/>
      <c r="F342" s="22"/>
      <c r="G342" s="18">
        <f>IF($E342="",0,$E342*IF($F342="",0,$F342))</f>
      </c>
      <c r="H342" s="18">
        <f>IF($E342="","",$E342+$G342)</f>
      </c>
      <c r="I342" s="13"/>
    </row>
    <row r="343" spans="2:9" x14ac:dyDescent="0.25">
      <c r="B343" s="15"/>
      <c r="C343" s="12"/>
      <c r="D343" s="12"/>
      <c r="E343" s="17"/>
      <c r="F343" s="8"/>
      <c r="G343" s="18">
        <f>IF($E343="",0,$E343*IF($F343="",0,$F343))</f>
      </c>
      <c r="H343" s="18">
        <f>IF($E343="","",$E343+$G343)</f>
      </c>
      <c r="I343" s="12"/>
    </row>
    <row r="344" spans="2:9" x14ac:dyDescent="0.25">
      <c r="B344" s="20"/>
      <c r="C344" s="13"/>
      <c r="D344" s="13"/>
      <c r="E344" s="21"/>
      <c r="F344" s="22"/>
      <c r="G344" s="18">
        <f>IF($E344="",0,$E344*IF($F344="",0,$F344))</f>
      </c>
      <c r="H344" s="18">
        <f>IF($E344="","",$E344+$G344)</f>
      </c>
      <c r="I344" s="13"/>
    </row>
    <row r="345" spans="2:9" x14ac:dyDescent="0.25">
      <c r="B345" s="15"/>
      <c r="C345" s="12"/>
      <c r="D345" s="12"/>
      <c r="E345" s="17"/>
      <c r="F345" s="8"/>
      <c r="G345" s="18">
        <f>IF($E345="",0,$E345*IF($F345="",0,$F345))</f>
      </c>
      <c r="H345" s="18">
        <f>IF($E345="","",$E345+$G345)</f>
      </c>
      <c r="I345" s="12"/>
    </row>
    <row r="346" spans="2:9" x14ac:dyDescent="0.25">
      <c r="B346" s="20"/>
      <c r="C346" s="13"/>
      <c r="D346" s="13"/>
      <c r="E346" s="21"/>
      <c r="F346" s="22"/>
      <c r="G346" s="18">
        <f>IF($E346="",0,$E346*IF($F346="",0,$F346))</f>
      </c>
      <c r="H346" s="18">
        <f>IF($E346="","",$E346+$G346)</f>
      </c>
      <c r="I346" s="13"/>
    </row>
    <row r="347" spans="2:9" x14ac:dyDescent="0.25">
      <c r="B347" s="15"/>
      <c r="C347" s="12"/>
      <c r="D347" s="12"/>
      <c r="E347" s="17"/>
      <c r="F347" s="8"/>
      <c r="G347" s="18">
        <f>IF($E347="",0,$E347*IF($F347="",0,$F347))</f>
      </c>
      <c r="H347" s="18">
        <f>IF($E347="","",$E347+$G347)</f>
      </c>
      <c r="I347" s="12"/>
    </row>
    <row r="348" spans="2:9" x14ac:dyDescent="0.25">
      <c r="B348" s="20"/>
      <c r="C348" s="13"/>
      <c r="D348" s="13"/>
      <c r="E348" s="21"/>
      <c r="F348" s="22"/>
      <c r="G348" s="18">
        <f>IF($E348="",0,$E348*IF($F348="",0,$F348))</f>
      </c>
      <c r="H348" s="18">
        <f>IF($E348="","",$E348+$G348)</f>
      </c>
      <c r="I348" s="13"/>
    </row>
    <row r="349" spans="2:9" x14ac:dyDescent="0.25">
      <c r="B349" s="15"/>
      <c r="C349" s="12"/>
      <c r="D349" s="12"/>
      <c r="E349" s="17"/>
      <c r="F349" s="8"/>
      <c r="G349" s="18">
        <f>IF($E349="",0,$E349*IF($F349="",0,$F349))</f>
      </c>
      <c r="H349" s="18">
        <f>IF($E349="","",$E349+$G349)</f>
      </c>
      <c r="I349" s="12"/>
    </row>
    <row r="350" spans="2:9" x14ac:dyDescent="0.25">
      <c r="B350" s="20"/>
      <c r="C350" s="13"/>
      <c r="D350" s="13"/>
      <c r="E350" s="21"/>
      <c r="F350" s="22"/>
      <c r="G350" s="18">
        <f>IF($E350="",0,$E350*IF($F350="",0,$F350))</f>
      </c>
      <c r="H350" s="18">
        <f>IF($E350="","",$E350+$G350)</f>
      </c>
      <c r="I350" s="13"/>
    </row>
    <row r="351" spans="2:9" x14ac:dyDescent="0.25">
      <c r="B351" s="15"/>
      <c r="C351" s="12"/>
      <c r="D351" s="12"/>
      <c r="E351" s="17"/>
      <c r="F351" s="8"/>
      <c r="G351" s="18">
        <f>IF($E351="",0,$E351*IF($F351="",0,$F351))</f>
      </c>
      <c r="H351" s="18">
        <f>IF($E351="","",$E351+$G351)</f>
      </c>
      <c r="I351" s="12"/>
    </row>
    <row r="352" spans="2:9" x14ac:dyDescent="0.25">
      <c r="B352" s="20"/>
      <c r="C352" s="13"/>
      <c r="D352" s="13"/>
      <c r="E352" s="21"/>
      <c r="F352" s="22"/>
      <c r="G352" s="18">
        <f>IF($E352="",0,$E352*IF($F352="",0,$F352))</f>
      </c>
      <c r="H352" s="18">
        <f>IF($E352="","",$E352+$G352)</f>
      </c>
      <c r="I352" s="13"/>
    </row>
    <row r="353" spans="2:9" x14ac:dyDescent="0.25">
      <c r="B353" s="15"/>
      <c r="C353" s="12"/>
      <c r="D353" s="12"/>
      <c r="E353" s="17"/>
      <c r="F353" s="8"/>
      <c r="G353" s="18">
        <f>IF($E353="",0,$E353*IF($F353="",0,$F353))</f>
      </c>
      <c r="H353" s="18">
        <f>IF($E353="","",$E353+$G353)</f>
      </c>
      <c r="I353" s="12"/>
    </row>
    <row r="354" spans="2:9" x14ac:dyDescent="0.25">
      <c r="B354" s="20"/>
      <c r="C354" s="13"/>
      <c r="D354" s="13"/>
      <c r="E354" s="21"/>
      <c r="F354" s="22"/>
      <c r="G354" s="18">
        <f>IF($E354="",0,$E354*IF($F354="",0,$F354))</f>
      </c>
      <c r="H354" s="18">
        <f>IF($E354="","",$E354+$G354)</f>
      </c>
      <c r="I354" s="13"/>
    </row>
    <row r="355" spans="2:9" x14ac:dyDescent="0.25">
      <c r="B355" s="15"/>
      <c r="C355" s="12"/>
      <c r="D355" s="12"/>
      <c r="E355" s="17"/>
      <c r="F355" s="8"/>
      <c r="G355" s="18">
        <f>IF($E355="",0,$E355*IF($F355="",0,$F355))</f>
      </c>
      <c r="H355" s="18">
        <f>IF($E355="","",$E355+$G355)</f>
      </c>
      <c r="I355" s="12"/>
    </row>
    <row r="356" spans="2:9" x14ac:dyDescent="0.25">
      <c r="B356" s="20"/>
      <c r="C356" s="13"/>
      <c r="D356" s="13"/>
      <c r="E356" s="21"/>
      <c r="F356" s="22"/>
      <c r="G356" s="18">
        <f>IF($E356="",0,$E356*IF($F356="",0,$F356))</f>
      </c>
      <c r="H356" s="18">
        <f>IF($E356="","",$E356+$G356)</f>
      </c>
      <c r="I356" s="13"/>
    </row>
    <row r="357" spans="2:9" x14ac:dyDescent="0.25">
      <c r="B357" s="15"/>
      <c r="C357" s="12"/>
      <c r="D357" s="12"/>
      <c r="E357" s="17"/>
      <c r="F357" s="8"/>
      <c r="G357" s="18">
        <f>IF($E357="",0,$E357*IF($F357="",0,$F357))</f>
      </c>
      <c r="H357" s="18">
        <f>IF($E357="","",$E357+$G357)</f>
      </c>
      <c r="I357" s="12"/>
    </row>
    <row r="358" spans="2:9" x14ac:dyDescent="0.25">
      <c r="B358" s="20"/>
      <c r="C358" s="13"/>
      <c r="D358" s="13"/>
      <c r="E358" s="21"/>
      <c r="F358" s="22"/>
      <c r="G358" s="18">
        <f>IF($E358="",0,$E358*IF($F358="",0,$F358))</f>
      </c>
      <c r="H358" s="18">
        <f>IF($E358="","",$E358+$G358)</f>
      </c>
      <c r="I358" s="13"/>
    </row>
    <row r="359" spans="2:9" x14ac:dyDescent="0.25">
      <c r="B359" s="15"/>
      <c r="C359" s="12"/>
      <c r="D359" s="12"/>
      <c r="E359" s="17"/>
      <c r="F359" s="8"/>
      <c r="G359" s="18">
        <f>IF($E359="",0,$E359*IF($F359="",0,$F359))</f>
      </c>
      <c r="H359" s="18">
        <f>IF($E359="","",$E359+$G359)</f>
      </c>
      <c r="I359" s="12"/>
    </row>
    <row r="360" spans="2:9" x14ac:dyDescent="0.25">
      <c r="B360" s="20"/>
      <c r="C360" s="13"/>
      <c r="D360" s="13"/>
      <c r="E360" s="21"/>
      <c r="F360" s="22"/>
      <c r="G360" s="18">
        <f>IF($E360="",0,$E360*IF($F360="",0,$F360))</f>
      </c>
      <c r="H360" s="18">
        <f>IF($E360="","",$E360+$G360)</f>
      </c>
      <c r="I360" s="13"/>
    </row>
    <row r="361" spans="2:9" x14ac:dyDescent="0.25">
      <c r="B361" s="15"/>
      <c r="C361" s="12"/>
      <c r="D361" s="12"/>
      <c r="E361" s="17"/>
      <c r="F361" s="8"/>
      <c r="G361" s="18">
        <f>IF($E361="",0,$E361*IF($F361="",0,$F361))</f>
      </c>
      <c r="H361" s="18">
        <f>IF($E361="","",$E361+$G361)</f>
      </c>
      <c r="I361" s="12"/>
    </row>
    <row r="362" spans="2:9" x14ac:dyDescent="0.25">
      <c r="B362" s="20"/>
      <c r="C362" s="13"/>
      <c r="D362" s="13"/>
      <c r="E362" s="21"/>
      <c r="F362" s="22"/>
      <c r="G362" s="18">
        <f>IF($E362="",0,$E362*IF($F362="",0,$F362))</f>
      </c>
      <c r="H362" s="18">
        <f>IF($E362="","",$E362+$G362)</f>
      </c>
      <c r="I362" s="13"/>
    </row>
    <row r="363" spans="2:9" x14ac:dyDescent="0.25">
      <c r="B363" s="15"/>
      <c r="C363" s="12"/>
      <c r="D363" s="12"/>
      <c r="E363" s="17"/>
      <c r="F363" s="8"/>
      <c r="G363" s="18">
        <f>IF($E363="",0,$E363*IF($F363="",0,$F363))</f>
      </c>
      <c r="H363" s="18">
        <f>IF($E363="","",$E363+$G363)</f>
      </c>
      <c r="I363" s="12"/>
    </row>
    <row r="364" spans="2:9" x14ac:dyDescent="0.25">
      <c r="B364" s="20"/>
      <c r="C364" s="13"/>
      <c r="D364" s="13"/>
      <c r="E364" s="21"/>
      <c r="F364" s="22"/>
      <c r="G364" s="18">
        <f>IF($E364="",0,$E364*IF($F364="",0,$F364))</f>
      </c>
      <c r="H364" s="18">
        <f>IF($E364="","",$E364+$G364)</f>
      </c>
      <c r="I364" s="13"/>
    </row>
    <row r="365" spans="2:9" x14ac:dyDescent="0.25">
      <c r="B365" s="15"/>
      <c r="C365" s="12"/>
      <c r="D365" s="12"/>
      <c r="E365" s="17"/>
      <c r="F365" s="8"/>
      <c r="G365" s="18">
        <f>IF($E365="",0,$E365*IF($F365="",0,$F365))</f>
      </c>
      <c r="H365" s="18">
        <f>IF($E365="","",$E365+$G365)</f>
      </c>
      <c r="I365" s="12"/>
    </row>
    <row r="366" spans="2:9" x14ac:dyDescent="0.25">
      <c r="B366" s="20"/>
      <c r="C366" s="13"/>
      <c r="D366" s="13"/>
      <c r="E366" s="21"/>
      <c r="F366" s="22"/>
      <c r="G366" s="18">
        <f>IF($E366="",0,$E366*IF($F366="",0,$F366))</f>
      </c>
      <c r="H366" s="18">
        <f>IF($E366="","",$E366+$G366)</f>
      </c>
      <c r="I366" s="13"/>
    </row>
    <row r="367" spans="2:9" x14ac:dyDescent="0.25">
      <c r="B367" s="15"/>
      <c r="C367" s="12"/>
      <c r="D367" s="12"/>
      <c r="E367" s="17"/>
      <c r="F367" s="8"/>
      <c r="G367" s="18">
        <f>IF($E367="",0,$E367*IF($F367="",0,$F367))</f>
      </c>
      <c r="H367" s="18">
        <f>IF($E367="","",$E367+$G367)</f>
      </c>
      <c r="I367" s="12"/>
    </row>
    <row r="368" spans="2:9" x14ac:dyDescent="0.25">
      <c r="B368" s="20"/>
      <c r="C368" s="13"/>
      <c r="D368" s="13"/>
      <c r="E368" s="21"/>
      <c r="F368" s="22"/>
      <c r="G368" s="18">
        <f>IF($E368="",0,$E368*IF($F368="",0,$F368))</f>
      </c>
      <c r="H368" s="18">
        <f>IF($E368="","",$E368+$G368)</f>
      </c>
      <c r="I368" s="13"/>
    </row>
    <row r="369" spans="2:9" x14ac:dyDescent="0.25">
      <c r="B369" s="15"/>
      <c r="C369" s="12"/>
      <c r="D369" s="12"/>
      <c r="E369" s="17"/>
      <c r="F369" s="8"/>
      <c r="G369" s="18">
        <f>IF($E369="",0,$E369*IF($F369="",0,$F369))</f>
      </c>
      <c r="H369" s="18">
        <f>IF($E369="","",$E369+$G369)</f>
      </c>
      <c r="I369" s="12"/>
    </row>
    <row r="370" spans="2:9" x14ac:dyDescent="0.25">
      <c r="B370" s="20"/>
      <c r="C370" s="13"/>
      <c r="D370" s="13"/>
      <c r="E370" s="21"/>
      <c r="F370" s="22"/>
      <c r="G370" s="18">
        <f>IF($E370="",0,$E370*IF($F370="",0,$F370))</f>
      </c>
      <c r="H370" s="18">
        <f>IF($E370="","",$E370+$G370)</f>
      </c>
      <c r="I370" s="13"/>
    </row>
    <row r="371" spans="2:9" x14ac:dyDescent="0.25">
      <c r="B371" s="15"/>
      <c r="C371" s="12"/>
      <c r="D371" s="12"/>
      <c r="E371" s="17"/>
      <c r="F371" s="8"/>
      <c r="G371" s="18">
        <f>IF($E371="",0,$E371*IF($F371="",0,$F371))</f>
      </c>
      <c r="H371" s="18">
        <f>IF($E371="","",$E371+$G371)</f>
      </c>
      <c r="I371" s="12"/>
    </row>
    <row r="372" spans="2:9" x14ac:dyDescent="0.25">
      <c r="B372" s="20"/>
      <c r="C372" s="13"/>
      <c r="D372" s="13"/>
      <c r="E372" s="21"/>
      <c r="F372" s="22"/>
      <c r="G372" s="18">
        <f>IF($E372="",0,$E372*IF($F372="",0,$F372))</f>
      </c>
      <c r="H372" s="18">
        <f>IF($E372="","",$E372+$G372)</f>
      </c>
      <c r="I372" s="13"/>
    </row>
    <row r="373" spans="2:9" x14ac:dyDescent="0.25">
      <c r="B373" s="15"/>
      <c r="C373" s="12"/>
      <c r="D373" s="12"/>
      <c r="E373" s="17"/>
      <c r="F373" s="8"/>
      <c r="G373" s="18">
        <f>IF($E373="",0,$E373*IF($F373="",0,$F373))</f>
      </c>
      <c r="H373" s="18">
        <f>IF($E373="","",$E373+$G373)</f>
      </c>
      <c r="I373" s="12"/>
    </row>
    <row r="374" spans="2:9" x14ac:dyDescent="0.25">
      <c r="B374" s="20"/>
      <c r="C374" s="13"/>
      <c r="D374" s="13"/>
      <c r="E374" s="21"/>
      <c r="F374" s="22"/>
      <c r="G374" s="18">
        <f>IF($E374="",0,$E374*IF($F374="",0,$F374))</f>
      </c>
      <c r="H374" s="18">
        <f>IF($E374="","",$E374+$G374)</f>
      </c>
      <c r="I374" s="13"/>
    </row>
    <row r="375" spans="2:9" x14ac:dyDescent="0.25">
      <c r="B375" s="15"/>
      <c r="C375" s="12"/>
      <c r="D375" s="12"/>
      <c r="E375" s="17"/>
      <c r="F375" s="8"/>
      <c r="G375" s="18">
        <f>IF($E375="",0,$E375*IF($F375="",0,$F375))</f>
      </c>
      <c r="H375" s="18">
        <f>IF($E375="","",$E375+$G375)</f>
      </c>
      <c r="I375" s="12"/>
    </row>
    <row r="376" spans="2:9" x14ac:dyDescent="0.25">
      <c r="B376" s="20"/>
      <c r="C376" s="13"/>
      <c r="D376" s="13"/>
      <c r="E376" s="21"/>
      <c r="F376" s="22"/>
      <c r="G376" s="18">
        <f>IF($E376="",0,$E376*IF($F376="",0,$F376))</f>
      </c>
      <c r="H376" s="18">
        <f>IF($E376="","",$E376+$G376)</f>
      </c>
      <c r="I376" s="13"/>
    </row>
    <row r="377" spans="2:9" x14ac:dyDescent="0.25">
      <c r="B377" s="15"/>
      <c r="C377" s="12"/>
      <c r="D377" s="12"/>
      <c r="E377" s="17"/>
      <c r="F377" s="8"/>
      <c r="G377" s="18">
        <f>IF($E377="",0,$E377*IF($F377="",0,$F377))</f>
      </c>
      <c r="H377" s="18">
        <f>IF($E377="","",$E377+$G377)</f>
      </c>
      <c r="I377" s="12"/>
    </row>
    <row r="378" spans="2:9" x14ac:dyDescent="0.25">
      <c r="B378" s="20"/>
      <c r="C378" s="13"/>
      <c r="D378" s="13"/>
      <c r="E378" s="21"/>
      <c r="F378" s="22"/>
      <c r="G378" s="18">
        <f>IF($E378="",0,$E378*IF($F378="",0,$F378))</f>
      </c>
      <c r="H378" s="18">
        <f>IF($E378="","",$E378+$G378)</f>
      </c>
      <c r="I378" s="13"/>
    </row>
    <row r="379" spans="2:9" x14ac:dyDescent="0.25">
      <c r="B379" s="15"/>
      <c r="C379" s="12"/>
      <c r="D379" s="12"/>
      <c r="E379" s="17"/>
      <c r="F379" s="8"/>
      <c r="G379" s="18">
        <f>IF($E379="",0,$E379*IF($F379="",0,$F379))</f>
      </c>
      <c r="H379" s="18">
        <f>IF($E379="","",$E379+$G379)</f>
      </c>
      <c r="I379" s="12"/>
    </row>
    <row r="380" spans="2:9" x14ac:dyDescent="0.25">
      <c r="B380" s="20"/>
      <c r="C380" s="13"/>
      <c r="D380" s="13"/>
      <c r="E380" s="21"/>
      <c r="F380" s="22"/>
      <c r="G380" s="18">
        <f>IF($E380="",0,$E380*IF($F380="",0,$F380))</f>
      </c>
      <c r="H380" s="18">
        <f>IF($E380="","",$E380+$G380)</f>
      </c>
      <c r="I380" s="13"/>
    </row>
    <row r="381" spans="2:9" x14ac:dyDescent="0.25">
      <c r="B381" s="15"/>
      <c r="C381" s="12"/>
      <c r="D381" s="12"/>
      <c r="E381" s="17"/>
      <c r="F381" s="8"/>
      <c r="G381" s="18">
        <f>IF($E381="",0,$E381*IF($F381="",0,$F381))</f>
      </c>
      <c r="H381" s="18">
        <f>IF($E381="","",$E381+$G381)</f>
      </c>
      <c r="I381" s="12"/>
    </row>
    <row r="382" spans="2:9" x14ac:dyDescent="0.25">
      <c r="B382" s="20"/>
      <c r="C382" s="13"/>
      <c r="D382" s="13"/>
      <c r="E382" s="21"/>
      <c r="F382" s="22"/>
      <c r="G382" s="18">
        <f>IF($E382="",0,$E382*IF($F382="",0,$F382))</f>
      </c>
      <c r="H382" s="18">
        <f>IF($E382="","",$E382+$G382)</f>
      </c>
      <c r="I382" s="13"/>
    </row>
    <row r="383" spans="2:9" x14ac:dyDescent="0.25">
      <c r="B383" s="15"/>
      <c r="C383" s="12"/>
      <c r="D383" s="12"/>
      <c r="E383" s="17"/>
      <c r="F383" s="8"/>
      <c r="G383" s="18">
        <f>IF($E383="",0,$E383*IF($F383="",0,$F383))</f>
      </c>
      <c r="H383" s="18">
        <f>IF($E383="","",$E383+$G383)</f>
      </c>
      <c r="I383" s="12"/>
    </row>
    <row r="384" spans="2:9" x14ac:dyDescent="0.25">
      <c r="B384" s="20"/>
      <c r="C384" s="13"/>
      <c r="D384" s="13"/>
      <c r="E384" s="21"/>
      <c r="F384" s="22"/>
      <c r="G384" s="18">
        <f>IF($E384="",0,$E384*IF($F384="",0,$F384))</f>
      </c>
      <c r="H384" s="18">
        <f>IF($E384="","",$E384+$G384)</f>
      </c>
      <c r="I384" s="13"/>
    </row>
    <row r="385" spans="2:9" x14ac:dyDescent="0.25">
      <c r="B385" s="15"/>
      <c r="C385" s="12"/>
      <c r="D385" s="12"/>
      <c r="E385" s="17"/>
      <c r="F385" s="8"/>
      <c r="G385" s="18">
        <f>IF($E385="",0,$E385*IF($F385="",0,$F385))</f>
      </c>
      <c r="H385" s="18">
        <f>IF($E385="","",$E385+$G385)</f>
      </c>
      <c r="I385" s="12"/>
    </row>
    <row r="386" spans="2:9" x14ac:dyDescent="0.25">
      <c r="B386" s="20"/>
      <c r="C386" s="13"/>
      <c r="D386" s="13"/>
      <c r="E386" s="21"/>
      <c r="F386" s="22"/>
      <c r="G386" s="18">
        <f>IF($E386="",0,$E386*IF($F386="",0,$F386))</f>
      </c>
      <c r="H386" s="18">
        <f>IF($E386="","",$E386+$G386)</f>
      </c>
      <c r="I386" s="13"/>
    </row>
    <row r="387" spans="2:9" x14ac:dyDescent="0.25">
      <c r="B387" s="15"/>
      <c r="C387" s="12"/>
      <c r="D387" s="12"/>
      <c r="E387" s="17"/>
      <c r="F387" s="8"/>
      <c r="G387" s="18">
        <f>IF($E387="",0,$E387*IF($F387="",0,$F387))</f>
      </c>
      <c r="H387" s="18">
        <f>IF($E387="","",$E387+$G387)</f>
      </c>
      <c r="I387" s="12"/>
    </row>
    <row r="388" spans="2:9" x14ac:dyDescent="0.25">
      <c r="B388" s="20"/>
      <c r="C388" s="13"/>
      <c r="D388" s="13"/>
      <c r="E388" s="21"/>
      <c r="F388" s="22"/>
      <c r="G388" s="18">
        <f>IF($E388="",0,$E388*IF($F388="",0,$F388))</f>
      </c>
      <c r="H388" s="18">
        <f>IF($E388="","",$E388+$G388)</f>
      </c>
      <c r="I388" s="13"/>
    </row>
    <row r="389" spans="2:9" x14ac:dyDescent="0.25">
      <c r="B389" s="15"/>
      <c r="C389" s="12"/>
      <c r="D389" s="12"/>
      <c r="E389" s="17"/>
      <c r="F389" s="8"/>
      <c r="G389" s="18">
        <f>IF($E389="",0,$E389*IF($F389="",0,$F389))</f>
      </c>
      <c r="H389" s="18">
        <f>IF($E389="","",$E389+$G389)</f>
      </c>
      <c r="I389" s="12"/>
    </row>
    <row r="390" spans="2:9" x14ac:dyDescent="0.25">
      <c r="B390" s="20"/>
      <c r="C390" s="13"/>
      <c r="D390" s="13"/>
      <c r="E390" s="21"/>
      <c r="F390" s="22"/>
      <c r="G390" s="18">
        <f>IF($E390="",0,$E390*IF($F390="",0,$F390))</f>
      </c>
      <c r="H390" s="18">
        <f>IF($E390="","",$E390+$G390)</f>
      </c>
      <c r="I390" s="13"/>
    </row>
    <row r="391" spans="2:9" x14ac:dyDescent="0.25">
      <c r="B391" s="15"/>
      <c r="C391" s="12"/>
      <c r="D391" s="12"/>
      <c r="E391" s="17"/>
      <c r="F391" s="8"/>
      <c r="G391" s="18">
        <f>IF($E391="",0,$E391*IF($F391="",0,$F391))</f>
      </c>
      <c r="H391" s="18">
        <f>IF($E391="","",$E391+$G391)</f>
      </c>
      <c r="I391" s="12"/>
    </row>
    <row r="392" spans="2:9" x14ac:dyDescent="0.25">
      <c r="B392" s="20"/>
      <c r="C392" s="13"/>
      <c r="D392" s="13"/>
      <c r="E392" s="21"/>
      <c r="F392" s="22"/>
      <c r="G392" s="18">
        <f>IF($E392="",0,$E392*IF($F392="",0,$F392))</f>
      </c>
      <c r="H392" s="18">
        <f>IF($E392="","",$E392+$G392)</f>
      </c>
      <c r="I392" s="13"/>
    </row>
    <row r="393" spans="2:9" x14ac:dyDescent="0.25">
      <c r="B393" s="15"/>
      <c r="C393" s="12"/>
      <c r="D393" s="12"/>
      <c r="E393" s="17"/>
      <c r="F393" s="8"/>
      <c r="G393" s="18">
        <f>IF($E393="",0,$E393*IF($F393="",0,$F393))</f>
      </c>
      <c r="H393" s="18">
        <f>IF($E393="","",$E393+$G393)</f>
      </c>
      <c r="I393" s="12"/>
    </row>
    <row r="394" spans="2:9" x14ac:dyDescent="0.25">
      <c r="B394" s="20"/>
      <c r="C394" s="13"/>
      <c r="D394" s="13"/>
      <c r="E394" s="21"/>
      <c r="F394" s="22"/>
      <c r="G394" s="18">
        <f>IF($E394="",0,$E394*IF($F394="",0,$F394))</f>
      </c>
      <c r="H394" s="18">
        <f>IF($E394="","",$E394+$G394)</f>
      </c>
      <c r="I394" s="13"/>
    </row>
    <row r="395" spans="2:9" x14ac:dyDescent="0.25">
      <c r="B395" s="15"/>
      <c r="C395" s="12"/>
      <c r="D395" s="12"/>
      <c r="E395" s="17"/>
      <c r="F395" s="8"/>
      <c r="G395" s="18">
        <f>IF($E395="",0,$E395*IF($F395="",0,$F395))</f>
      </c>
      <c r="H395" s="18">
        <f>IF($E395="","",$E395+$G395)</f>
      </c>
      <c r="I395" s="12"/>
    </row>
    <row r="396" spans="2:9" x14ac:dyDescent="0.25">
      <c r="B396" s="20"/>
      <c r="C396" s="13"/>
      <c r="D396" s="13"/>
      <c r="E396" s="21"/>
      <c r="F396" s="22"/>
      <c r="G396" s="18">
        <f>IF($E396="",0,$E396*IF($F396="",0,$F396))</f>
      </c>
      <c r="H396" s="18">
        <f>IF($E396="","",$E396+$G396)</f>
      </c>
      <c r="I396" s="13"/>
    </row>
    <row r="397" spans="2:9" x14ac:dyDescent="0.25">
      <c r="B397" s="15"/>
      <c r="C397" s="12"/>
      <c r="D397" s="12"/>
      <c r="E397" s="17"/>
      <c r="F397" s="8"/>
      <c r="G397" s="18">
        <f>IF($E397="",0,$E397*IF($F397="",0,$F397))</f>
      </c>
      <c r="H397" s="18">
        <f>IF($E397="","",$E397+$G397)</f>
      </c>
      <c r="I397" s="12"/>
    </row>
    <row r="398" spans="2:9" x14ac:dyDescent="0.25">
      <c r="B398" s="20"/>
      <c r="C398" s="13"/>
      <c r="D398" s="13"/>
      <c r="E398" s="21"/>
      <c r="F398" s="22"/>
      <c r="G398" s="18">
        <f>IF($E398="",0,$E398*IF($F398="",0,$F398))</f>
      </c>
      <c r="H398" s="18">
        <f>IF($E398="","",$E398+$G398)</f>
      </c>
      <c r="I398" s="13"/>
    </row>
    <row r="399" spans="2:9" x14ac:dyDescent="0.25">
      <c r="B399" s="15"/>
      <c r="C399" s="12"/>
      <c r="D399" s="12"/>
      <c r="E399" s="17"/>
      <c r="F399" s="8"/>
      <c r="G399" s="18">
        <f>IF($E399="",0,$E399*IF($F399="",0,$F399))</f>
      </c>
      <c r="H399" s="18">
        <f>IF($E399="","",$E399+$G399)</f>
      </c>
      <c r="I399" s="12"/>
    </row>
    <row r="400" spans="2:9" x14ac:dyDescent="0.25">
      <c r="B400" s="20"/>
      <c r="C400" s="13"/>
      <c r="D400" s="13"/>
      <c r="E400" s="21"/>
      <c r="F400" s="22"/>
      <c r="G400" s="18">
        <f>IF($E400="",0,$E400*IF($F400="",0,$F400))</f>
      </c>
      <c r="H400" s="18">
        <f>IF($E400="","",$E400+$G400)</f>
      </c>
      <c r="I400" s="13"/>
    </row>
    <row r="401" spans="2:9" x14ac:dyDescent="0.25">
      <c r="B401" s="15"/>
      <c r="C401" s="12"/>
      <c r="D401" s="12"/>
      <c r="E401" s="17"/>
      <c r="F401" s="8"/>
      <c r="G401" s="18">
        <f>IF($E401="",0,$E401*IF($F401="",0,$F401))</f>
      </c>
      <c r="H401" s="18">
        <f>IF($E401="","",$E401+$G401)</f>
      </c>
      <c r="I401" s="12"/>
    </row>
    <row r="402" spans="2:9" x14ac:dyDescent="0.25">
      <c r="B402" s="20"/>
      <c r="C402" s="13"/>
      <c r="D402" s="13"/>
      <c r="E402" s="21"/>
      <c r="F402" s="22"/>
      <c r="G402" s="18">
        <f>IF($E402="",0,$E402*IF($F402="",0,$F402))</f>
      </c>
      <c r="H402" s="18">
        <f>IF($E402="","",$E402+$G402)</f>
      </c>
      <c r="I402" s="13"/>
    </row>
    <row r="403" spans="2:9" x14ac:dyDescent="0.25">
      <c r="B403" s="15"/>
      <c r="C403" s="12"/>
      <c r="D403" s="12"/>
      <c r="E403" s="17"/>
      <c r="F403" s="8"/>
      <c r="G403" s="18">
        <f>IF($E403="",0,$E403*IF($F403="",0,$F403))</f>
      </c>
      <c r="H403" s="18">
        <f>IF($E403="","",$E403+$G403)</f>
      </c>
      <c r="I403" s="12"/>
    </row>
    <row r="404" spans="2:9" x14ac:dyDescent="0.25">
      <c r="B404" s="20"/>
      <c r="C404" s="13"/>
      <c r="D404" s="13"/>
      <c r="E404" s="21"/>
      <c r="F404" s="22"/>
      <c r="G404" s="18">
        <f>IF($E404="",0,$E404*IF($F404="",0,$F404))</f>
      </c>
      <c r="H404" s="18">
        <f>IF($E404="","",$E404+$G404)</f>
      </c>
      <c r="I404" s="13"/>
    </row>
  </sheetData>
  <mergeCells count="2">
    <mergeCell ref="A1:I1"/>
    <mergeCell ref="A2:I2"/>
  </mergeCells>
  <dataValidations count="1">
    <dataValidation type="list" allowBlank="1" sqref="C5:C404">
      <formula1>=GiderKategorileri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534"/>
  </sheetPr>
  <dimension ref="A1:F18"/>
  <sheetFormatPr defaultRowHeight="15" outlineLevelRow="0" outlineLevelCol="0" x14ac:dyDescent="55"/>
  <cols>
    <col min="1" max="1" width="3" customWidth="1"/>
    <col min="2" max="2" width="30" customWidth="1"/>
    <col min="3" max="6" width="18" customWidth="1"/>
  </cols>
  <sheetData>
    <row r="1" ht="34" customHeight="1" spans="1:6" x14ac:dyDescent="0.25">
      <c r="A1" s="1" t="s">
        <v>81</v>
      </c>
      <c r="B1" s="1"/>
      <c r="C1" s="1"/>
      <c r="D1" s="1"/>
      <c r="E1" s="1"/>
      <c r="F1" s="1"/>
    </row>
    <row r="2" ht="20" customHeight="1" spans="1:6" x14ac:dyDescent="0.25">
      <c r="A2" s="2" t="s">
        <v>82</v>
      </c>
      <c r="B2" s="2"/>
      <c r="C2" s="2"/>
      <c r="D2" s="2"/>
      <c r="E2" s="2"/>
      <c r="F2" s="2"/>
    </row>
    <row r="4" ht="30" customHeight="1" spans="1:6" x14ac:dyDescent="0.25">
      <c r="A4" s="11" t="s">
        <v>29</v>
      </c>
      <c r="B4" s="11" t="s">
        <v>83</v>
      </c>
      <c r="C4" s="11" t="s">
        <v>84</v>
      </c>
      <c r="D4" s="11" t="s">
        <v>85</v>
      </c>
      <c r="E4" s="11" t="s">
        <v>86</v>
      </c>
      <c r="F4" s="11" t="s">
        <v>87</v>
      </c>
    </row>
    <row r="5" spans="2:6" x14ac:dyDescent="0.25">
      <c r="B5" s="7" t="s">
        <v>88</v>
      </c>
      <c r="C5" s="18">
        <f>SUMIFS('Makbuzlar'!$J$5:$J$404,'Makbuzlar'!$B$5:$B$404,"&gt;="&amp;DATE(Parametreler!$C$7,1,1),'Makbuzlar'!$B$5:$B$404,"&lt;"&amp;DATE(Parametreler!$C$7,3+1,1))</f>
      </c>
      <c r="D5" s="18">
        <f>SUMIFS('Makbuzlar'!$J$5:$J$404,'Makbuzlar'!$B$5:$B$404,"&gt;="&amp;DATE(Parametreler!$C$7,4,1),'Makbuzlar'!$B$5:$B$404,"&lt;"&amp;DATE(Parametreler!$C$7,6+1,1))</f>
      </c>
      <c r="E5" s="18">
        <f>SUMIFS('Makbuzlar'!$J$5:$J$404,'Makbuzlar'!$B$5:$B$404,"&gt;="&amp;DATE(Parametreler!$C$7,7,1),'Makbuzlar'!$B$5:$B$404,"&lt;"&amp;DATE(Parametreler!$C$7,9+1,1))</f>
      </c>
      <c r="F5" s="23">
        <f>SUM(C5:E5)</f>
      </c>
    </row>
    <row r="6" spans="2:6" x14ac:dyDescent="0.25">
      <c r="B6" s="7" t="s">
        <v>89</v>
      </c>
      <c r="C6" s="18">
        <f>SUMIFS('Giderler'!$E$5:$E$404,'Giderler'!$B$5:$B$404,"&gt;="&amp;DATE(Parametreler!$C$7,1,1),'Giderler'!$B$5:$B$404,"&lt;"&amp;DATE(Parametreler!$C$7,3+1,1))</f>
      </c>
      <c r="D6" s="18">
        <f>SUMIFS('Giderler'!$E$5:$E$404,'Giderler'!$B$5:$B$404,"&gt;="&amp;DATE(Parametreler!$C$7,4,1),'Giderler'!$B$5:$B$404,"&lt;"&amp;DATE(Parametreler!$C$7,6+1,1))</f>
      </c>
      <c r="E6" s="18">
        <f>SUMIFS('Giderler'!$E$5:$E$404,'Giderler'!$B$5:$B$404,"&gt;="&amp;DATE(Parametreler!$C$7,7,1),'Giderler'!$B$5:$B$404,"&lt;"&amp;DATE(Parametreler!$C$7,9+1,1))</f>
      </c>
      <c r="F6" s="23">
        <f>SUM(C6:E6)</f>
      </c>
    </row>
    <row r="7" spans="2:6" x14ac:dyDescent="0.25">
      <c r="B7" s="7" t="s">
        <v>90</v>
      </c>
      <c r="C7" s="19">
        <f>C5-C6</f>
      </c>
      <c r="D7" s="19">
        <f>D5-D6</f>
      </c>
      <c r="E7" s="19">
        <f>E5-E6</f>
      </c>
      <c r="F7" s="23">
        <f>SUM(C7:E7)</f>
      </c>
    </row>
    <row r="8" spans="2:6" x14ac:dyDescent="0.25">
      <c r="B8" s="7" t="s">
        <v>91</v>
      </c>
      <c r="C8" s="18">
        <f>MAX(C7,0)*Parametreler!$C$6</f>
      </c>
      <c r="D8" s="18">
        <f>MAX(D7,0)*Parametreler!$C$6</f>
      </c>
      <c r="E8" s="18">
        <f>MAX(E7,0)*Parametreler!$C$6</f>
      </c>
      <c r="F8" s="23">
        <f>SUM(C8:E8)</f>
      </c>
    </row>
    <row r="9" spans="2:6" x14ac:dyDescent="0.25">
      <c r="B9" s="7" t="s">
        <v>92</v>
      </c>
      <c r="C9" s="18">
        <f>SUMIFS('Makbuzlar'!$G$5:$G$404,'Makbuzlar'!$B$5:$B$404,"&gt;="&amp;DATE(Parametreler!$C$7,1,1),'Makbuzlar'!$B$5:$B$404,"&lt;"&amp;DATE(Parametreler!$C$7,3+1,1))</f>
      </c>
      <c r="D9" s="18">
        <f>SUMIFS('Makbuzlar'!$G$5:$G$404,'Makbuzlar'!$B$5:$B$404,"&gt;="&amp;DATE(Parametreler!$C$7,4,1),'Makbuzlar'!$B$5:$B$404,"&lt;"&amp;DATE(Parametreler!$C$7,6+1,1))</f>
      </c>
      <c r="E9" s="18">
        <f>SUMIFS('Makbuzlar'!$G$5:$G$404,'Makbuzlar'!$B$5:$B$404,"&gt;="&amp;DATE(Parametreler!$C$7,7,1),'Makbuzlar'!$B$5:$B$404,"&lt;"&amp;DATE(Parametreler!$C$7,9+1,1))</f>
      </c>
      <c r="F9" s="23">
        <f>SUM(C9:E9)</f>
      </c>
    </row>
    <row r="10" spans="2:6" x14ac:dyDescent="0.25">
      <c r="B10" s="7" t="s">
        <v>93</v>
      </c>
      <c r="C10" s="24">
        <f>MAX(C8-C9,0)</f>
      </c>
      <c r="D10" s="24">
        <f>MAX(D8-D9,0)</f>
      </c>
      <c r="E10" s="24">
        <f>MAX(E8-E9,0)</f>
      </c>
      <c r="F10" s="23">
        <f>SUM(C10:E10)</f>
      </c>
    </row>
    <row r="13" spans="2:6" x14ac:dyDescent="0.25">
      <c r="B13" s="25" t="s">
        <v>94</v>
      </c>
      <c r="C13" s="26">
        <f>SUM('Makbuzlar'!$I$5:$I$404)</f>
      </c>
      <c r="E13" s="25" t="s">
        <v>95</v>
      </c>
      <c r="F13" s="26">
        <f>SUM('Makbuzlar'!$H$5:$H$404)</f>
      </c>
    </row>
    <row r="14" spans="2:6" x14ac:dyDescent="0.25">
      <c r="B14" s="25" t="s">
        <v>96</v>
      </c>
      <c r="C14" s="26">
        <f>SUMIF('Makbuzlar'!$K$5:$K$404,0,'Makbuzlar'!$I$5:$I$404)</f>
      </c>
      <c r="E14" s="25" t="s">
        <v>97</v>
      </c>
      <c r="F14" s="26">
        <f>SUM('Giderler'!$G$5:$G$404)</f>
      </c>
    </row>
    <row r="16" spans="2:6" x14ac:dyDescent="0.25">
      <c r="B16" s="10" t="s">
        <v>98</v>
      </c>
      <c r="C16" s="10"/>
      <c r="D16" s="10"/>
      <c r="E16" s="10"/>
      <c r="F16" s="10"/>
    </row>
    <row r="17" spans="2:6" x14ac:dyDescent="0.25">
      <c r="B17" s="10"/>
      <c r="C17" s="10"/>
      <c r="D17" s="10"/>
      <c r="E17" s="10"/>
      <c r="F17" s="10"/>
    </row>
    <row r="18" spans="2:6" x14ac:dyDescent="0.25">
      <c r="B18" s="10"/>
      <c r="C18" s="10"/>
      <c r="D18" s="10"/>
      <c r="E18" s="10"/>
      <c r="F18" s="10"/>
    </row>
  </sheetData>
  <mergeCells count="3">
    <mergeCell ref="A1:F1"/>
    <mergeCell ref="A2:F2"/>
    <mergeCell ref="B16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9A"/>
  </sheetPr>
  <dimension ref="A1:B18"/>
  <sheetFormatPr defaultRowHeight="15" outlineLevelRow="0" outlineLevelCol="0" x14ac:dyDescent="55"/>
  <cols>
    <col min="1" max="1" width="3" customWidth="1"/>
    <col min="2" max="2" width="28" customWidth="1"/>
  </cols>
  <sheetData>
    <row r="1" ht="34" customHeight="1" spans="1:2" x14ac:dyDescent="0.25">
      <c r="A1" s="1" t="s">
        <v>99</v>
      </c>
      <c r="B1" s="1"/>
    </row>
    <row r="2" ht="20" customHeight="1" spans="1:2" x14ac:dyDescent="0.25">
      <c r="A2" s="2" t="s">
        <v>100</v>
      </c>
      <c r="B2" s="2"/>
    </row>
    <row r="4" ht="30" customHeight="1" spans="1:2" x14ac:dyDescent="0.25">
      <c r="A4" s="11" t="s">
        <v>29</v>
      </c>
      <c r="B4" s="11" t="s">
        <v>101</v>
      </c>
    </row>
    <row r="5" spans="2:2" x14ac:dyDescent="0.25">
      <c r="B5" s="27" t="s">
        <v>75</v>
      </c>
    </row>
    <row r="6" spans="2:2" x14ac:dyDescent="0.25">
      <c r="B6" s="27" t="s">
        <v>102</v>
      </c>
    </row>
    <row r="7" spans="2:2" x14ac:dyDescent="0.25">
      <c r="B7" s="27" t="s">
        <v>103</v>
      </c>
    </row>
    <row r="8" spans="2:2" x14ac:dyDescent="0.25">
      <c r="B8" s="27" t="s">
        <v>104</v>
      </c>
    </row>
    <row r="9" spans="2:2" x14ac:dyDescent="0.25">
      <c r="B9" s="27" t="s">
        <v>105</v>
      </c>
    </row>
    <row r="10" spans="2:2" x14ac:dyDescent="0.25">
      <c r="B10" s="27" t="s">
        <v>106</v>
      </c>
    </row>
    <row r="11" spans="2:2" x14ac:dyDescent="0.25">
      <c r="B11" s="27" t="s">
        <v>78</v>
      </c>
    </row>
    <row r="12" spans="2:2" x14ac:dyDescent="0.25">
      <c r="B12" s="27" t="s">
        <v>107</v>
      </c>
    </row>
    <row r="13" spans="2:2" x14ac:dyDescent="0.25">
      <c r="B13" s="27" t="s">
        <v>108</v>
      </c>
    </row>
    <row r="14" spans="2:2" x14ac:dyDescent="0.25">
      <c r="B14" s="27" t="s">
        <v>109</v>
      </c>
    </row>
    <row r="15" spans="2:2" x14ac:dyDescent="0.25">
      <c r="B15" s="27" t="s">
        <v>110</v>
      </c>
    </row>
    <row r="16" spans="2:2" x14ac:dyDescent="0.25">
      <c r="B16" s="27" t="s">
        <v>111</v>
      </c>
    </row>
    <row r="17" spans="2:2" x14ac:dyDescent="0.25">
      <c r="B17" s="27" t="s">
        <v>112</v>
      </c>
    </row>
    <row r="18" spans="2:2" x14ac:dyDescent="0.25">
      <c r="B18" s="27" t="s">
        <v>113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Nasıl Kullanılır</vt:lpstr>
      <vt:lpstr>Parametreler</vt:lpstr>
      <vt:lpstr>Müşteri Kartları</vt:lpstr>
      <vt:lpstr>Makbuzlar</vt:lpstr>
      <vt:lpstr>Giderler</vt:lpstr>
      <vt:lpstr>Geçici Vergi</vt:lpstr>
      <vt:lpstr>Listeler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MiniHesap</dc:creator>
  <dc:title/>
  <dc:subject/>
  <dc:description/>
  <cp:keywords/>
  <cp:category/>
  <cp:lastModifiedBy>Unknown</cp:lastModifiedBy>
  <dcterms:created xsi:type="dcterms:W3CDTF">2026-09-11T07:41:18Z</dcterms:created>
  <dcterms:modified xsi:type="dcterms:W3CDTF">2026-09-11T07:41:18Z</dcterms:modified>
</cp:coreProperties>
</file>