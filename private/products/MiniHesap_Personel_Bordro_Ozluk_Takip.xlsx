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asıl Kullanılır" state="visible" r:id="rId4"/>
    <sheet sheetId="2" name="Parametreler" state="visible" r:id="rId5"/>
    <sheet sheetId="3" name="Personel Kartları" state="visible" r:id="rId6"/>
    <sheet sheetId="4" name="Aylık Bordro" state="visible" r:id="rId7"/>
    <sheet sheetId="5" name="İzin Takibi" state="visible" r:id="rId8"/>
    <sheet sheetId="6" name="Kıdem Yükü" state="visible" r:id="rId9"/>
  </sheets>
  <calcPr calcId="171027"/>
</workbook>
</file>

<file path=xl/sharedStrings.xml><?xml version="1.0" encoding="utf-8"?>
<sst xmlns="http://schemas.openxmlformats.org/spreadsheetml/2006/main" count="94" uniqueCount="81">
  <si>
    <t>Nasıl Kullanılır?</t>
  </si>
  <si>
    <t>MiniHesap · minihesap.net</t>
  </si>
  <si>
    <t>Bu dosya ne işe yarar?</t>
  </si>
  <si>
    <t>Çalışanlarınızın özlük bilgilerini, aylık bordrolarını, yıllık izin haklarını ve biriken kıdem tazminatı yükünüzü tek dosyada takip eder.</t>
  </si>
  <si>
    <t>Dosyanın yapısı</t>
  </si>
  <si>
    <t>PERSONEL KARTLARI: her çalışan için bir satır (bir kez doldurulur).</t>
  </si>
  <si>
    <t>AYLIK BORDRO: seçilen ay için brütten nete kesinti dökümü.</t>
  </si>
  <si>
    <t>İZİN TAKİBİ: hak edilen, kullanılan ve kalan yıllık izin günleri.</t>
  </si>
  <si>
    <t>KIDEM YÜKÜ: bugün itibarıyla tüm çalışanlar işten ayrılsa ödenecek toplam tazminat.</t>
  </si>
  <si>
    <t>Adım adım</t>
  </si>
  <si>
    <t>1. PARAMETRELER sayfasına dönemin SGK ve vergi oranlarını girin. Bu oranlar her yıl değişir.</t>
  </si>
  <si>
    <t>2. PERSONEL KARTLARI sayfasına çalışanlarınızı ekleyin: ad, işe giriş tarihi, brüt ücret, yan haklar.</t>
  </si>
  <si>
    <t>3. AYLIK BORDRO sayfası personel kartlarından otomatik dolar; kesintiler ve net ücret hesaplanır.</t>
  </si>
  <si>
    <t>4. İZİN TAKİBİ sayfasında kullanılan izin günlerini girin; hak edilen gün hizmet yılına göre otomatik gelir.</t>
  </si>
  <si>
    <t>5. KIDEM YÜKÜ sayfası, işten çıkış senaryosu için toplam yükümlülüğünüzü gösterir.</t>
  </si>
  <si>
    <t>Önemli</t>
  </si>
  <si>
    <t>SGK işçi payı %14, işsizlik işçi payı %1, gelir vergisi dilimleri ve damga vergisi oranı PARAMETRELER sayfasından yönetilir.</t>
  </si>
  <si>
    <t>Gelir vergisi bu dosyada tek oran üzerinden hesaplanır; kümülatif matrah nedeniyle yıl içinde dilim değişirse oranı elle güncelleyin.</t>
  </si>
  <si>
    <t>Asgari ücret istisnası uygulanıyorsa PARAMETRELER sayfasındaki istisna tutarını girin.</t>
  </si>
  <si>
    <t>SARI hücreler sizin dolduracağınız alanlardır. GRİ ve YEŞİL hücreler formüllüdür, üzerlerine yazmayın.</t>
  </si>
  <si>
    <t>Bu dosyadaki hesaplamalar bilgilendirme amaçlıdır; resmî defter, bordro veya mali müşavir hizmeti yerine geçmez. © MiniHesap</t>
  </si>
  <si>
    <t>Parametreler</t>
  </si>
  <si>
    <t>Dönem oranları · her yıl güncelleyin</t>
  </si>
  <si>
    <t>SGK İşçi Payı</t>
  </si>
  <si>
    <t>İşsizlik Sigortası İşçi Payı</t>
  </si>
  <si>
    <t>Gelir Vergisi Oranı</t>
  </si>
  <si>
    <t>Damga Vergisi Oranı</t>
  </si>
  <si>
    <t>Aylık Gelir Vergisi İstisnası</t>
  </si>
  <si>
    <t>Aylık Damga Vergisi İstisnası</t>
  </si>
  <si>
    <t>SGK Tavanı (aylık)</t>
  </si>
  <si>
    <t>Kıdem Tazminatı Tavanı</t>
  </si>
  <si>
    <t>Bordro Dönemi</t>
  </si>
  <si>
    <t>Eylül 2026</t>
  </si>
  <si>
    <t>Bu tutarlar 2026 dönemi için örnek değerlerdir. Resmî Gazete'de yayımlanan güncel tutarlarla değiştirin.</t>
  </si>
  <si>
    <t>Personel Kartları</t>
  </si>
  <si>
    <t>Her çalışan için bir satır</t>
  </si>
  <si>
    <t/>
  </si>
  <si>
    <t>Sicil</t>
  </si>
  <si>
    <t>Ad Soyad</t>
  </si>
  <si>
    <t>Görev</t>
  </si>
  <si>
    <t>İşe Giriş</t>
  </si>
  <si>
    <t>Brüt Ücret</t>
  </si>
  <si>
    <t>Yemek Yardımı</t>
  </si>
  <si>
    <t>Yol Yardımı</t>
  </si>
  <si>
    <t>Diğer Yan Hak</t>
  </si>
  <si>
    <t>Doğum Tarihi</t>
  </si>
  <si>
    <t>Durum</t>
  </si>
  <si>
    <t>P001</t>
  </si>
  <si>
    <t>Ahmet Yılmaz</t>
  </si>
  <si>
    <t>Satış Uzmanı</t>
  </si>
  <si>
    <t>Aktif</t>
  </si>
  <si>
    <t>P002</t>
  </si>
  <si>
    <t>Elif Demir</t>
  </si>
  <si>
    <t>Muhasebe</t>
  </si>
  <si>
    <t>P003</t>
  </si>
  <si>
    <t>Mert Kaya</t>
  </si>
  <si>
    <t>Depo Sorumlusu</t>
  </si>
  <si>
    <t>Aylık Bordro</t>
  </si>
  <si>
    <t>Personel kartlarından otomatik hesaplanır</t>
  </si>
  <si>
    <t>SGK İşçi</t>
  </si>
  <si>
    <t>İşsizlik</t>
  </si>
  <si>
    <t>Gelir Vergisi</t>
  </si>
  <si>
    <t>Damga Vergisi</t>
  </si>
  <si>
    <t>Toplam Kesinti</t>
  </si>
  <si>
    <t>NET ÜCRET</t>
  </si>
  <si>
    <t>İşverene Maliyet</t>
  </si>
  <si>
    <t>TOPLAM</t>
  </si>
  <si>
    <t>Yıllık İzin Takibi</t>
  </si>
  <si>
    <t>Hak edilen gün hizmet yılına göre otomatik gelir</t>
  </si>
  <si>
    <t>Hizmet Yılı</t>
  </si>
  <si>
    <t>Yıllık Hak (gün)</t>
  </si>
  <si>
    <t>Devreden</t>
  </si>
  <si>
    <t>Kullanılan</t>
  </si>
  <si>
    <t>KALAN</t>
  </si>
  <si>
    <t>Kıdem Tazminatı Yükü</t>
  </si>
  <si>
    <t>Bugün itibarıyla tüm personel ayrılsa ödenecek tutar</t>
  </si>
  <si>
    <t>Giydirilmiş Brüt</t>
  </si>
  <si>
    <t>Kıdeme Esas Ücret</t>
  </si>
  <si>
    <t>KIDEM YÜKÜ</t>
  </si>
  <si>
    <t>TOPLAM KIDEM YÜKÜ</t>
  </si>
  <si>
    <t>Bu tutar bilanço dışı bir yükümlülüktür. Nakit planlamanızda dikkate alın.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</si>
</sst>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\ &quot;₺&quot;"/>
    <numFmt numFmtId="165" formatCode="dd.mm.yyyy"/>
    <numFmt numFmtId="166" formatCode="0.0"/>
  </numFmts>
  <fonts count="13" x14ac:knownFonts="1">
    <font>
      <color theme="1"/>
      <family val="2"/>
      <scheme val="minor"/>
      <sz val="11"/>
      <name val="Calibri"/>
    </font>
    <font>
      <b/>
      <color rgb="FFFFFFFF"/>
      <sz val="18"/>
    </font>
    <font>
      <i/>
      <color rgb="FF617066"/>
      <sz val="10"/>
    </font>
    <font>
      <b/>
      <color rgb="FF166534"/>
      <sz val="12"/>
    </font>
    <font>
      <i/>
      <color rgb="FF854D0E"/>
      <sz val="10"/>
    </font>
    <font>
      <i/>
      <color rgb="FF617066"/>
      <sz val="9"/>
    </font>
    <font>
      <b/>
      <sz val="10"/>
    </font>
    <font>
      <i/>
      <color rgb="FF854D0E"/>
      <sz val="9"/>
    </font>
    <font>
      <b/>
      <color rgb="FFFFFFFF"/>
      <sz val="10"/>
    </font>
    <font>
      <b/>
      <color rgb="FF405248"/>
      <sz val="10"/>
    </font>
    <font>
      <b/>
      <color rgb="FF166534"/>
      <sz val="11"/>
    </font>
    <font>
      <b/>
      <color rgb="FF10231A"/>
      <sz val="12"/>
    </font>
    <font>
      <b/>
      <color rgb="FF166534"/>
      <sz val="14"/>
    </font>
  </fonts>
  <fills count="7">
    <fill>
      <patternFill patternType="none"/>
    </fill>
    <fill>
      <patternFill patternType="gray125"/>
    </fill>
    <fill>
      <patternFill patternType="solid">
        <fgColor rgb="FF16A34A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166534"/>
      </patternFill>
    </fill>
    <fill>
      <patternFill patternType="solid">
        <fgColor rgb="FFF8FAF9"/>
      </patternFill>
    </fill>
  </fills>
  <borders count="3">
    <border>
      <left/>
      <right/>
      <top/>
      <bottom/>
      <diagonal/>
    </border>
    <border>
      <left style="hair">
        <color rgb="FFDCE7DF"/>
      </left>
      <right style="hair">
        <color rgb="FFDCE7DF"/>
      </right>
      <top style="hair">
        <color rgb="FFDCE7DF"/>
      </top>
      <bottom style="hair">
        <color rgb="FFDCE7DF"/>
      </bottom>
      <diagonal/>
    </border>
    <border>
      <left style="thin">
        <color rgb="FFDCE7DF"/>
      </left>
      <right style="thin">
        <color rgb="FFDCE7DF"/>
      </right>
      <top style="thin">
        <color rgb="FFDCE7DF"/>
      </top>
      <bottom style="thin">
        <color rgb="FFDCE7D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0" borderId="0" xfId="0" applyFont="1"/>
    <xf numFmtId="0" fontId="0" fillId="0" borderId="0" xfId="0" applyAlignment="1">
      <alignment vertical="top"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/>
    <xf numFmtId="9" fontId="0" fillId="4" borderId="1" xfId="0" applyNumberFormat="1" applyFill="1" applyBorder="1"/>
    <xf numFmtId="164" fontId="0" fillId="4" borderId="1" xfId="0" applyNumberFormat="1" applyFill="1" applyBorder="1"/>
    <xf numFmtId="0" fontId="0" fillId="4" borderId="1" xfId="0" applyFill="1" applyBorder="1"/>
    <xf numFmtId="0" fontId="7" fillId="0" borderId="0" xfId="0" applyFont="1" applyAlignment="1">
      <alignment vertical="top" wrapText="1"/>
    </xf>
    <xf numFmtId="0" fontId="8" fillId="5" borderId="2" xfId="0" applyFont="1" applyFill="1" applyBorder="1" applyAlignment="1">
      <alignment horizontal="center" vertical="center" wrapText="1"/>
    </xf>
    <xf numFmtId="165" fontId="0" fillId="4" borderId="1" xfId="0" applyNumberFormat="1" applyFill="1" applyBorder="1"/>
    <xf numFmtId="0" fontId="9" fillId="6" borderId="1" xfId="0" applyFont="1" applyFill="1" applyBorder="1"/>
    <xf numFmtId="164" fontId="9" fillId="6" borderId="1" xfId="0" applyNumberFormat="1" applyFont="1" applyFill="1" applyBorder="1"/>
    <xf numFmtId="164" fontId="10" fillId="6" borderId="1" xfId="0" applyNumberFormat="1" applyFont="1" applyFill="1" applyBorder="1"/>
    <xf numFmtId="0" fontId="11" fillId="0" borderId="0" xfId="0" applyFont="1"/>
    <xf numFmtId="164" fontId="10" fillId="3" borderId="2" xfId="0" applyNumberFormat="1" applyFont="1" applyFill="1" applyBorder="1"/>
    <xf numFmtId="166" fontId="9" fillId="6" borderId="1" xfId="0" applyNumberFormat="1" applyFont="1" applyFill="1" applyBorder="1"/>
    <xf numFmtId="3" fontId="9" fillId="6" borderId="1" xfId="0" applyNumberFormat="1" applyFont="1" applyFill="1" applyBorder="1"/>
    <xf numFmtId="3" fontId="0" fillId="4" borderId="1" xfId="0" applyNumberFormat="1" applyFill="1" applyBorder="1"/>
    <xf numFmtId="3" fontId="10" fillId="6" borderId="1" xfId="0" applyNumberFormat="1" applyFont="1" applyFill="1" applyBorder="1"/>
    <xf numFmtId="2" fontId="9" fillId="6" borderId="1" xfId="0" applyNumberFormat="1" applyFont="1" applyFill="1" applyBorder="1"/>
    <xf numFmtId="164" fontId="12" fillId="3" borderId="2" xfId="0" applyNumberFormat="1" applyFont="1" applyFill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A34A"/>
  </sheetPr>
  <dimension ref="A1:B27"/>
  <sheetFormatPr defaultRowHeight="15" outlineLevelRow="0" outlineLevelCol="0" x14ac:dyDescent="55"/>
  <cols>
    <col min="1" max="1" width="4" customWidth="1"/>
    <col min="2" max="2" width="112" customWidth="1"/>
  </cols>
  <sheetData>
    <row r="1" ht="34" customHeight="1" spans="1:2" x14ac:dyDescent="0.25">
      <c r="A1" s="1" t="s">
        <v>0</v>
      </c>
      <c r="B1" s="1"/>
    </row>
    <row r="2" ht="20" customHeight="1" spans="1:2" x14ac:dyDescent="0.25">
      <c r="A2" s="2" t="s">
        <v>1</v>
      </c>
      <c r="B2" s="2"/>
    </row>
    <row r="4" spans="2:2" x14ac:dyDescent="0.25">
      <c r="B4" s="3" t="s">
        <v>2</v>
      </c>
    </row>
    <row r="5" ht="32" customHeight="1" spans="2:2" x14ac:dyDescent="0.25">
      <c r="B5" s="4" t="s">
        <v>3</v>
      </c>
    </row>
    <row r="7" spans="2:2" x14ac:dyDescent="0.25">
      <c r="B7" s="3" t="s">
        <v>4</v>
      </c>
    </row>
    <row r="8" ht="18" customHeight="1" spans="2:2" x14ac:dyDescent="0.25">
      <c r="B8" s="4" t="s">
        <v>5</v>
      </c>
    </row>
    <row r="9" ht="18" customHeight="1" spans="2:2" x14ac:dyDescent="0.25">
      <c r="B9" s="4" t="s">
        <v>6</v>
      </c>
    </row>
    <row r="10" ht="18" customHeight="1" spans="2:2" x14ac:dyDescent="0.25">
      <c r="B10" s="4" t="s">
        <v>7</v>
      </c>
    </row>
    <row r="11" ht="18" customHeight="1" spans="2:2" x14ac:dyDescent="0.25">
      <c r="B11" s="4" t="s">
        <v>8</v>
      </c>
    </row>
    <row r="13" spans="2:2" x14ac:dyDescent="0.25">
      <c r="B13" s="3" t="s">
        <v>9</v>
      </c>
    </row>
    <row r="14" ht="18" customHeight="1" spans="2:2" x14ac:dyDescent="0.25">
      <c r="B14" s="4" t="s">
        <v>10</v>
      </c>
    </row>
    <row r="15" ht="32" customHeight="1" spans="2:2" x14ac:dyDescent="0.25">
      <c r="B15" s="4" t="s">
        <v>11</v>
      </c>
    </row>
    <row r="16" ht="32" customHeight="1" spans="2:2" x14ac:dyDescent="0.25">
      <c r="B16" s="4" t="s">
        <v>12</v>
      </c>
    </row>
    <row r="17" ht="32" customHeight="1" spans="2:2" x14ac:dyDescent="0.25">
      <c r="B17" s="4" t="s">
        <v>13</v>
      </c>
    </row>
    <row r="18" ht="18" customHeight="1" spans="2:2" x14ac:dyDescent="0.25">
      <c r="B18" s="4" t="s">
        <v>14</v>
      </c>
    </row>
    <row r="20" spans="2:2" x14ac:dyDescent="0.25">
      <c r="B20" s="3" t="s">
        <v>15</v>
      </c>
    </row>
    <row r="21" ht="32" customHeight="1" spans="2:2" x14ac:dyDescent="0.25">
      <c r="B21" s="4" t="s">
        <v>16</v>
      </c>
    </row>
    <row r="22" ht="32" customHeight="1" spans="2:2" x14ac:dyDescent="0.25">
      <c r="B22" s="4" t="s">
        <v>17</v>
      </c>
    </row>
    <row r="23" ht="18" customHeight="1" spans="2:2" x14ac:dyDescent="0.25">
      <c r="B23" s="4" t="s">
        <v>18</v>
      </c>
    </row>
    <row r="25" spans="2:2" x14ac:dyDescent="0.25">
      <c r="B25" s="5" t="s">
        <v>19</v>
      </c>
    </row>
    <row r="27" spans="2:2" x14ac:dyDescent="0.25">
      <c r="B27" s="6" t="s">
        <v>20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4A39A"/>
  </sheetPr>
  <dimension ref="A1:C16"/>
  <sheetFormatPr defaultRowHeight="15" outlineLevelRow="0" outlineLevelCol="0" x14ac:dyDescent="55"/>
  <cols>
    <col min="1" max="1" width="3" customWidth="1"/>
    <col min="2" max="2" width="38" customWidth="1"/>
    <col min="3" max="3" width="20" customWidth="1"/>
  </cols>
  <sheetData>
    <row r="1" ht="34" customHeight="1" spans="1:3" x14ac:dyDescent="0.25">
      <c r="A1" s="1" t="s">
        <v>21</v>
      </c>
      <c r="B1" s="1"/>
      <c r="C1" s="1"/>
    </row>
    <row r="2" ht="20" customHeight="1" spans="1:3" x14ac:dyDescent="0.25">
      <c r="A2" s="2" t="s">
        <v>22</v>
      </c>
      <c r="B2" s="2"/>
      <c r="C2" s="2"/>
    </row>
    <row r="4" spans="2:3" x14ac:dyDescent="0.25">
      <c r="B4" s="7" t="s">
        <v>23</v>
      </c>
      <c r="C4" s="8">
        <v>0.14</v>
      </c>
    </row>
    <row r="5" spans="2:3" x14ac:dyDescent="0.25">
      <c r="B5" s="7" t="s">
        <v>24</v>
      </c>
      <c r="C5" s="8">
        <v>0.01</v>
      </c>
    </row>
    <row r="6" spans="2:3" x14ac:dyDescent="0.25">
      <c r="B6" s="7" t="s">
        <v>25</v>
      </c>
      <c r="C6" s="8">
        <v>0.15</v>
      </c>
    </row>
    <row r="7" spans="2:3" x14ac:dyDescent="0.25">
      <c r="B7" s="7" t="s">
        <v>26</v>
      </c>
      <c r="C7" s="8">
        <v>0.00759</v>
      </c>
    </row>
    <row r="8" spans="2:3" x14ac:dyDescent="0.25">
      <c r="B8" s="7" t="s">
        <v>27</v>
      </c>
      <c r="C8" s="9">
        <v>3315.7</v>
      </c>
    </row>
    <row r="9" spans="2:3" x14ac:dyDescent="0.25">
      <c r="B9" s="7" t="s">
        <v>28</v>
      </c>
      <c r="C9" s="9">
        <v>197.38</v>
      </c>
    </row>
    <row r="10" spans="2:3" x14ac:dyDescent="0.25">
      <c r="B10" s="7" t="s">
        <v>29</v>
      </c>
      <c r="C10" s="9">
        <v>195041.4</v>
      </c>
    </row>
    <row r="11" spans="2:3" x14ac:dyDescent="0.25">
      <c r="B11" s="7" t="s">
        <v>30</v>
      </c>
      <c r="C11" s="9">
        <v>53919.68</v>
      </c>
    </row>
    <row r="12" spans="2:3" x14ac:dyDescent="0.25">
      <c r="B12" s="7" t="s">
        <v>31</v>
      </c>
      <c r="C12" s="10" t="s">
        <v>32</v>
      </c>
    </row>
    <row r="14" spans="2:3" x14ac:dyDescent="0.25">
      <c r="B14" s="11" t="s">
        <v>33</v>
      </c>
      <c r="C14" s="11"/>
    </row>
    <row r="15" spans="2:3" x14ac:dyDescent="0.25">
      <c r="B15" s="11"/>
      <c r="C15" s="11"/>
    </row>
    <row r="16" spans="2:3" x14ac:dyDescent="0.25">
      <c r="B16" s="11"/>
      <c r="C16" s="11"/>
    </row>
  </sheetData>
  <mergeCells count="3">
    <mergeCell ref="A1:C1"/>
    <mergeCell ref="A2:C2"/>
    <mergeCell ref="B14:C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K10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10" customWidth="1"/>
    <col min="3" max="3" width="26" customWidth="1"/>
    <col min="4" max="4" width="18" customWidth="1"/>
    <col min="5" max="5" width="14" customWidth="1"/>
    <col min="6" max="7" width="16" customWidth="1"/>
    <col min="8" max="10" width="14" customWidth="1"/>
    <col min="11" max="11" width="12" customWidth="1"/>
  </cols>
  <sheetData>
    <row r="1" ht="34" customHeight="1" spans="1:11" x14ac:dyDescent="0.25">
      <c r="A1" s="1" t="s">
        <v>34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0" customHeight="1" spans="1:11" x14ac:dyDescent="0.25">
      <c r="A2" s="2" t="s">
        <v>35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30" customHeight="1" spans="1:11" x14ac:dyDescent="0.25">
      <c r="A4" s="12" t="s">
        <v>36</v>
      </c>
      <c r="B4" s="12" t="s">
        <v>37</v>
      </c>
      <c r="C4" s="12" t="s">
        <v>38</v>
      </c>
      <c r="D4" s="12" t="s">
        <v>39</v>
      </c>
      <c r="E4" s="12" t="s">
        <v>40</v>
      </c>
      <c r="F4" s="12" t="s">
        <v>41</v>
      </c>
      <c r="G4" s="12" t="s">
        <v>42</v>
      </c>
      <c r="H4" s="12" t="s">
        <v>43</v>
      </c>
      <c r="I4" s="12" t="s">
        <v>44</v>
      </c>
      <c r="J4" s="12" t="s">
        <v>45</v>
      </c>
      <c r="K4" s="12" t="s">
        <v>46</v>
      </c>
    </row>
    <row r="5" spans="2:11" x14ac:dyDescent="0.25">
      <c r="B5" s="10" t="s">
        <v>47</v>
      </c>
      <c r="C5" s="10" t="s">
        <v>48</v>
      </c>
      <c r="D5" s="10" t="s">
        <v>49</v>
      </c>
      <c r="E5" s="13">
        <v>43527.875</v>
      </c>
      <c r="F5" s="9">
        <v>62000</v>
      </c>
      <c r="G5" s="9">
        <v>3000</v>
      </c>
      <c r="H5" s="9">
        <v>2500</v>
      </c>
      <c r="I5" s="9">
        <v>0</v>
      </c>
      <c r="J5" s="13">
        <v>33004.875</v>
      </c>
      <c r="K5" s="10" t="s">
        <v>50</v>
      </c>
    </row>
    <row r="6" spans="2:11" x14ac:dyDescent="0.25">
      <c r="B6" s="10" t="s">
        <v>51</v>
      </c>
      <c r="C6" s="10" t="s">
        <v>52</v>
      </c>
      <c r="D6" s="10" t="s">
        <v>53</v>
      </c>
      <c r="E6" s="13">
        <v>44453.875</v>
      </c>
      <c r="F6" s="9">
        <v>58000</v>
      </c>
      <c r="G6" s="9">
        <v>3000</v>
      </c>
      <c r="H6" s="9">
        <v>2500</v>
      </c>
      <c r="I6" s="9">
        <v>1500</v>
      </c>
      <c r="J6" s="13">
        <v>34639.916666666664</v>
      </c>
      <c r="K6" s="10" t="s">
        <v>50</v>
      </c>
    </row>
    <row r="7" spans="2:11" x14ac:dyDescent="0.25">
      <c r="B7" s="10" t="s">
        <v>54</v>
      </c>
      <c r="C7" s="10" t="s">
        <v>55</v>
      </c>
      <c r="D7" s="10" t="s">
        <v>56</v>
      </c>
      <c r="E7" s="13">
        <v>44934.875</v>
      </c>
      <c r="F7" s="9">
        <v>47000</v>
      </c>
      <c r="G7" s="9">
        <v>3000</v>
      </c>
      <c r="H7" s="9">
        <v>2500</v>
      </c>
      <c r="I7" s="9">
        <v>0</v>
      </c>
      <c r="J7" s="13">
        <v>35480.916666666664</v>
      </c>
      <c r="K7" s="10" t="s">
        <v>50</v>
      </c>
    </row>
    <row r="8" spans="2:11" x14ac:dyDescent="0.25">
      <c r="B8" s="10"/>
      <c r="C8" s="10"/>
      <c r="D8" s="10"/>
      <c r="E8" s="13"/>
      <c r="F8" s="9"/>
      <c r="G8" s="9"/>
      <c r="H8" s="9"/>
      <c r="I8" s="9"/>
      <c r="J8" s="13"/>
      <c r="K8" s="10"/>
    </row>
    <row r="9" spans="2:11" x14ac:dyDescent="0.25">
      <c r="B9" s="10"/>
      <c r="C9" s="10"/>
      <c r="D9" s="10"/>
      <c r="E9" s="13"/>
      <c r="F9" s="9"/>
      <c r="G9" s="9"/>
      <c r="H9" s="9"/>
      <c r="I9" s="9"/>
      <c r="J9" s="13"/>
      <c r="K9" s="10"/>
    </row>
    <row r="10" spans="2:11" x14ac:dyDescent="0.25">
      <c r="B10" s="10"/>
      <c r="C10" s="10"/>
      <c r="D10" s="10"/>
      <c r="E10" s="13"/>
      <c r="F10" s="9"/>
      <c r="G10" s="9"/>
      <c r="H10" s="9"/>
      <c r="I10" s="9"/>
      <c r="J10" s="13"/>
      <c r="K10" s="10"/>
    </row>
    <row r="11" spans="2:11" x14ac:dyDescent="0.25">
      <c r="B11" s="10"/>
      <c r="C11" s="10"/>
      <c r="D11" s="10"/>
      <c r="E11" s="13"/>
      <c r="F11" s="9"/>
      <c r="G11" s="9"/>
      <c r="H11" s="9"/>
      <c r="I11" s="9"/>
      <c r="J11" s="13"/>
      <c r="K11" s="10"/>
    </row>
    <row r="12" spans="2:11" x14ac:dyDescent="0.25">
      <c r="B12" s="10"/>
      <c r="C12" s="10"/>
      <c r="D12" s="10"/>
      <c r="E12" s="13"/>
      <c r="F12" s="9"/>
      <c r="G12" s="9"/>
      <c r="H12" s="9"/>
      <c r="I12" s="9"/>
      <c r="J12" s="13"/>
      <c r="K12" s="10"/>
    </row>
    <row r="13" spans="2:11" x14ac:dyDescent="0.25">
      <c r="B13" s="10"/>
      <c r="C13" s="10"/>
      <c r="D13" s="10"/>
      <c r="E13" s="13"/>
      <c r="F13" s="9"/>
      <c r="G13" s="9"/>
      <c r="H13" s="9"/>
      <c r="I13" s="9"/>
      <c r="J13" s="13"/>
      <c r="K13" s="10"/>
    </row>
    <row r="14" spans="2:11" x14ac:dyDescent="0.25">
      <c r="B14" s="10"/>
      <c r="C14" s="10"/>
      <c r="D14" s="10"/>
      <c r="E14" s="13"/>
      <c r="F14" s="9"/>
      <c r="G14" s="9"/>
      <c r="H14" s="9"/>
      <c r="I14" s="9"/>
      <c r="J14" s="13"/>
      <c r="K14" s="10"/>
    </row>
    <row r="15" spans="2:11" x14ac:dyDescent="0.25">
      <c r="B15" s="10"/>
      <c r="C15" s="10"/>
      <c r="D15" s="10"/>
      <c r="E15" s="13"/>
      <c r="F15" s="9"/>
      <c r="G15" s="9"/>
      <c r="H15" s="9"/>
      <c r="I15" s="9"/>
      <c r="J15" s="13"/>
      <c r="K15" s="10"/>
    </row>
    <row r="16" spans="2:11" x14ac:dyDescent="0.25">
      <c r="B16" s="10"/>
      <c r="C16" s="10"/>
      <c r="D16" s="10"/>
      <c r="E16" s="13"/>
      <c r="F16" s="9"/>
      <c r="G16" s="9"/>
      <c r="H16" s="9"/>
      <c r="I16" s="9"/>
      <c r="J16" s="13"/>
      <c r="K16" s="10"/>
    </row>
    <row r="17" spans="2:11" x14ac:dyDescent="0.25">
      <c r="B17" s="10"/>
      <c r="C17" s="10"/>
      <c r="D17" s="10"/>
      <c r="E17" s="13"/>
      <c r="F17" s="9"/>
      <c r="G17" s="9"/>
      <c r="H17" s="9"/>
      <c r="I17" s="9"/>
      <c r="J17" s="13"/>
      <c r="K17" s="10"/>
    </row>
    <row r="18" spans="2:11" x14ac:dyDescent="0.25">
      <c r="B18" s="10"/>
      <c r="C18" s="10"/>
      <c r="D18" s="10"/>
      <c r="E18" s="13"/>
      <c r="F18" s="9"/>
      <c r="G18" s="9"/>
      <c r="H18" s="9"/>
      <c r="I18" s="9"/>
      <c r="J18" s="13"/>
      <c r="K18" s="10"/>
    </row>
    <row r="19" spans="2:11" x14ac:dyDescent="0.25">
      <c r="B19" s="10"/>
      <c r="C19" s="10"/>
      <c r="D19" s="10"/>
      <c r="E19" s="13"/>
      <c r="F19" s="9"/>
      <c r="G19" s="9"/>
      <c r="H19" s="9"/>
      <c r="I19" s="9"/>
      <c r="J19" s="13"/>
      <c r="K19" s="10"/>
    </row>
    <row r="20" spans="2:11" x14ac:dyDescent="0.25">
      <c r="B20" s="10"/>
      <c r="C20" s="10"/>
      <c r="D20" s="10"/>
      <c r="E20" s="13"/>
      <c r="F20" s="9"/>
      <c r="G20" s="9"/>
      <c r="H20" s="9"/>
      <c r="I20" s="9"/>
      <c r="J20" s="13"/>
      <c r="K20" s="10"/>
    </row>
    <row r="21" spans="2:11" x14ac:dyDescent="0.25">
      <c r="B21" s="10"/>
      <c r="C21" s="10"/>
      <c r="D21" s="10"/>
      <c r="E21" s="13"/>
      <c r="F21" s="9"/>
      <c r="G21" s="9"/>
      <c r="H21" s="9"/>
      <c r="I21" s="9"/>
      <c r="J21" s="13"/>
      <c r="K21" s="10"/>
    </row>
    <row r="22" spans="2:11" x14ac:dyDescent="0.25">
      <c r="B22" s="10"/>
      <c r="C22" s="10"/>
      <c r="D22" s="10"/>
      <c r="E22" s="13"/>
      <c r="F22" s="9"/>
      <c r="G22" s="9"/>
      <c r="H22" s="9"/>
      <c r="I22" s="9"/>
      <c r="J22" s="13"/>
      <c r="K22" s="10"/>
    </row>
    <row r="23" spans="2:11" x14ac:dyDescent="0.25">
      <c r="B23" s="10"/>
      <c r="C23" s="10"/>
      <c r="D23" s="10"/>
      <c r="E23" s="13"/>
      <c r="F23" s="9"/>
      <c r="G23" s="9"/>
      <c r="H23" s="9"/>
      <c r="I23" s="9"/>
      <c r="J23" s="13"/>
      <c r="K23" s="10"/>
    </row>
    <row r="24" spans="2:11" x14ac:dyDescent="0.25">
      <c r="B24" s="10"/>
      <c r="C24" s="10"/>
      <c r="D24" s="10"/>
      <c r="E24" s="13"/>
      <c r="F24" s="9"/>
      <c r="G24" s="9"/>
      <c r="H24" s="9"/>
      <c r="I24" s="9"/>
      <c r="J24" s="13"/>
      <c r="K24" s="10"/>
    </row>
    <row r="25" spans="2:11" x14ac:dyDescent="0.25">
      <c r="B25" s="10"/>
      <c r="C25" s="10"/>
      <c r="D25" s="10"/>
      <c r="E25" s="13"/>
      <c r="F25" s="9"/>
      <c r="G25" s="9"/>
      <c r="H25" s="9"/>
      <c r="I25" s="9"/>
      <c r="J25" s="13"/>
      <c r="K25" s="10"/>
    </row>
    <row r="26" spans="2:11" x14ac:dyDescent="0.25">
      <c r="B26" s="10"/>
      <c r="C26" s="10"/>
      <c r="D26" s="10"/>
      <c r="E26" s="13"/>
      <c r="F26" s="9"/>
      <c r="G26" s="9"/>
      <c r="H26" s="9"/>
      <c r="I26" s="9"/>
      <c r="J26" s="13"/>
      <c r="K26" s="10"/>
    </row>
    <row r="27" spans="2:11" x14ac:dyDescent="0.25">
      <c r="B27" s="10"/>
      <c r="C27" s="10"/>
      <c r="D27" s="10"/>
      <c r="E27" s="13"/>
      <c r="F27" s="9"/>
      <c r="G27" s="9"/>
      <c r="H27" s="9"/>
      <c r="I27" s="9"/>
      <c r="J27" s="13"/>
      <c r="K27" s="10"/>
    </row>
    <row r="28" spans="2:11" x14ac:dyDescent="0.25">
      <c r="B28" s="10"/>
      <c r="C28" s="10"/>
      <c r="D28" s="10"/>
      <c r="E28" s="13"/>
      <c r="F28" s="9"/>
      <c r="G28" s="9"/>
      <c r="H28" s="9"/>
      <c r="I28" s="9"/>
      <c r="J28" s="13"/>
      <c r="K28" s="10"/>
    </row>
    <row r="29" spans="2:11" x14ac:dyDescent="0.25">
      <c r="B29" s="10"/>
      <c r="C29" s="10"/>
      <c r="D29" s="10"/>
      <c r="E29" s="13"/>
      <c r="F29" s="9"/>
      <c r="G29" s="9"/>
      <c r="H29" s="9"/>
      <c r="I29" s="9"/>
      <c r="J29" s="13"/>
      <c r="K29" s="10"/>
    </row>
    <row r="30" spans="2:11" x14ac:dyDescent="0.25">
      <c r="B30" s="10"/>
      <c r="C30" s="10"/>
      <c r="D30" s="10"/>
      <c r="E30" s="13"/>
      <c r="F30" s="9"/>
      <c r="G30" s="9"/>
      <c r="H30" s="9"/>
      <c r="I30" s="9"/>
      <c r="J30" s="13"/>
      <c r="K30" s="10"/>
    </row>
    <row r="31" spans="2:11" x14ac:dyDescent="0.25">
      <c r="B31" s="10"/>
      <c r="C31" s="10"/>
      <c r="D31" s="10"/>
      <c r="E31" s="13"/>
      <c r="F31" s="9"/>
      <c r="G31" s="9"/>
      <c r="H31" s="9"/>
      <c r="I31" s="9"/>
      <c r="J31" s="13"/>
      <c r="K31" s="10"/>
    </row>
    <row r="32" spans="2:11" x14ac:dyDescent="0.25">
      <c r="B32" s="10"/>
      <c r="C32" s="10"/>
      <c r="D32" s="10"/>
      <c r="E32" s="13"/>
      <c r="F32" s="9"/>
      <c r="G32" s="9"/>
      <c r="H32" s="9"/>
      <c r="I32" s="9"/>
      <c r="J32" s="13"/>
      <c r="K32" s="10"/>
    </row>
    <row r="33" spans="2:11" x14ac:dyDescent="0.25">
      <c r="B33" s="10"/>
      <c r="C33" s="10"/>
      <c r="D33" s="10"/>
      <c r="E33" s="13"/>
      <c r="F33" s="9"/>
      <c r="G33" s="9"/>
      <c r="H33" s="9"/>
      <c r="I33" s="9"/>
      <c r="J33" s="13"/>
      <c r="K33" s="10"/>
    </row>
    <row r="34" spans="2:11" x14ac:dyDescent="0.25">
      <c r="B34" s="10"/>
      <c r="C34" s="10"/>
      <c r="D34" s="10"/>
      <c r="E34" s="13"/>
      <c r="F34" s="9"/>
      <c r="G34" s="9"/>
      <c r="H34" s="9"/>
      <c r="I34" s="9"/>
      <c r="J34" s="13"/>
      <c r="K34" s="10"/>
    </row>
    <row r="35" spans="2:11" x14ac:dyDescent="0.25">
      <c r="B35" s="10"/>
      <c r="C35" s="10"/>
      <c r="D35" s="10"/>
      <c r="E35" s="13"/>
      <c r="F35" s="9"/>
      <c r="G35" s="9"/>
      <c r="H35" s="9"/>
      <c r="I35" s="9"/>
      <c r="J35" s="13"/>
      <c r="K35" s="10"/>
    </row>
    <row r="36" spans="2:11" x14ac:dyDescent="0.25">
      <c r="B36" s="10"/>
      <c r="C36" s="10"/>
      <c r="D36" s="10"/>
      <c r="E36" s="13"/>
      <c r="F36" s="9"/>
      <c r="G36" s="9"/>
      <c r="H36" s="9"/>
      <c r="I36" s="9"/>
      <c r="J36" s="13"/>
      <c r="K36" s="10"/>
    </row>
    <row r="37" spans="2:11" x14ac:dyDescent="0.25">
      <c r="B37" s="10"/>
      <c r="C37" s="10"/>
      <c r="D37" s="10"/>
      <c r="E37" s="13"/>
      <c r="F37" s="9"/>
      <c r="G37" s="9"/>
      <c r="H37" s="9"/>
      <c r="I37" s="9"/>
      <c r="J37" s="13"/>
      <c r="K37" s="10"/>
    </row>
    <row r="38" spans="2:11" x14ac:dyDescent="0.25">
      <c r="B38" s="10"/>
      <c r="C38" s="10"/>
      <c r="D38" s="10"/>
      <c r="E38" s="13"/>
      <c r="F38" s="9"/>
      <c r="G38" s="9"/>
      <c r="H38" s="9"/>
      <c r="I38" s="9"/>
      <c r="J38" s="13"/>
      <c r="K38" s="10"/>
    </row>
    <row r="39" spans="2:11" x14ac:dyDescent="0.25">
      <c r="B39" s="10"/>
      <c r="C39" s="10"/>
      <c r="D39" s="10"/>
      <c r="E39" s="13"/>
      <c r="F39" s="9"/>
      <c r="G39" s="9"/>
      <c r="H39" s="9"/>
      <c r="I39" s="9"/>
      <c r="J39" s="13"/>
      <c r="K39" s="10"/>
    </row>
    <row r="40" spans="2:11" x14ac:dyDescent="0.25">
      <c r="B40" s="10"/>
      <c r="C40" s="10"/>
      <c r="D40" s="10"/>
      <c r="E40" s="13"/>
      <c r="F40" s="9"/>
      <c r="G40" s="9"/>
      <c r="H40" s="9"/>
      <c r="I40" s="9"/>
      <c r="J40" s="13"/>
      <c r="K40" s="10"/>
    </row>
    <row r="41" spans="2:11" x14ac:dyDescent="0.25">
      <c r="B41" s="10"/>
      <c r="C41" s="10"/>
      <c r="D41" s="10"/>
      <c r="E41" s="13"/>
      <c r="F41" s="9"/>
      <c r="G41" s="9"/>
      <c r="H41" s="9"/>
      <c r="I41" s="9"/>
      <c r="J41" s="13"/>
      <c r="K41" s="10"/>
    </row>
    <row r="42" spans="2:11" x14ac:dyDescent="0.25">
      <c r="B42" s="10"/>
      <c r="C42" s="10"/>
      <c r="D42" s="10"/>
      <c r="E42" s="13"/>
      <c r="F42" s="9"/>
      <c r="G42" s="9"/>
      <c r="H42" s="9"/>
      <c r="I42" s="9"/>
      <c r="J42" s="13"/>
      <c r="K42" s="10"/>
    </row>
    <row r="43" spans="2:11" x14ac:dyDescent="0.25">
      <c r="B43" s="10"/>
      <c r="C43" s="10"/>
      <c r="D43" s="10"/>
      <c r="E43" s="13"/>
      <c r="F43" s="9"/>
      <c r="G43" s="9"/>
      <c r="H43" s="9"/>
      <c r="I43" s="9"/>
      <c r="J43" s="13"/>
      <c r="K43" s="10"/>
    </row>
    <row r="44" spans="2:11" x14ac:dyDescent="0.25">
      <c r="B44" s="10"/>
      <c r="C44" s="10"/>
      <c r="D44" s="10"/>
      <c r="E44" s="13"/>
      <c r="F44" s="9"/>
      <c r="G44" s="9"/>
      <c r="H44" s="9"/>
      <c r="I44" s="9"/>
      <c r="J44" s="13"/>
      <c r="K44" s="10"/>
    </row>
    <row r="45" spans="2:11" x14ac:dyDescent="0.25">
      <c r="B45" s="10"/>
      <c r="C45" s="10"/>
      <c r="D45" s="10"/>
      <c r="E45" s="13"/>
      <c r="F45" s="9"/>
      <c r="G45" s="9"/>
      <c r="H45" s="9"/>
      <c r="I45" s="9"/>
      <c r="J45" s="13"/>
      <c r="K45" s="10"/>
    </row>
    <row r="46" spans="2:11" x14ac:dyDescent="0.25">
      <c r="B46" s="10"/>
      <c r="C46" s="10"/>
      <c r="D46" s="10"/>
      <c r="E46" s="13"/>
      <c r="F46" s="9"/>
      <c r="G46" s="9"/>
      <c r="H46" s="9"/>
      <c r="I46" s="9"/>
      <c r="J46" s="13"/>
      <c r="K46" s="10"/>
    </row>
    <row r="47" spans="2:11" x14ac:dyDescent="0.25">
      <c r="B47" s="10"/>
      <c r="C47" s="10"/>
      <c r="D47" s="10"/>
      <c r="E47" s="13"/>
      <c r="F47" s="9"/>
      <c r="G47" s="9"/>
      <c r="H47" s="9"/>
      <c r="I47" s="9"/>
      <c r="J47" s="13"/>
      <c r="K47" s="10"/>
    </row>
    <row r="48" spans="2:11" x14ac:dyDescent="0.25">
      <c r="B48" s="10"/>
      <c r="C48" s="10"/>
      <c r="D48" s="10"/>
      <c r="E48" s="13"/>
      <c r="F48" s="9"/>
      <c r="G48" s="9"/>
      <c r="H48" s="9"/>
      <c r="I48" s="9"/>
      <c r="J48" s="13"/>
      <c r="K48" s="10"/>
    </row>
    <row r="49" spans="2:11" x14ac:dyDescent="0.25">
      <c r="B49" s="10"/>
      <c r="C49" s="10"/>
      <c r="D49" s="10"/>
      <c r="E49" s="13"/>
      <c r="F49" s="9"/>
      <c r="G49" s="9"/>
      <c r="H49" s="9"/>
      <c r="I49" s="9"/>
      <c r="J49" s="13"/>
      <c r="K49" s="10"/>
    </row>
    <row r="50" spans="2:11" x14ac:dyDescent="0.25">
      <c r="B50" s="10"/>
      <c r="C50" s="10"/>
      <c r="D50" s="10"/>
      <c r="E50" s="13"/>
      <c r="F50" s="9"/>
      <c r="G50" s="9"/>
      <c r="H50" s="9"/>
      <c r="I50" s="9"/>
      <c r="J50" s="13"/>
      <c r="K50" s="10"/>
    </row>
    <row r="51" spans="2:11" x14ac:dyDescent="0.25">
      <c r="B51" s="10"/>
      <c r="C51" s="10"/>
      <c r="D51" s="10"/>
      <c r="E51" s="13"/>
      <c r="F51" s="9"/>
      <c r="G51" s="9"/>
      <c r="H51" s="9"/>
      <c r="I51" s="9"/>
      <c r="J51" s="13"/>
      <c r="K51" s="10"/>
    </row>
    <row r="52" spans="2:11" x14ac:dyDescent="0.25">
      <c r="B52" s="10"/>
      <c r="C52" s="10"/>
      <c r="D52" s="10"/>
      <c r="E52" s="13"/>
      <c r="F52" s="9"/>
      <c r="G52" s="9"/>
      <c r="H52" s="9"/>
      <c r="I52" s="9"/>
      <c r="J52" s="13"/>
      <c r="K52" s="10"/>
    </row>
    <row r="53" spans="2:11" x14ac:dyDescent="0.25">
      <c r="B53" s="10"/>
      <c r="C53" s="10"/>
      <c r="D53" s="10"/>
      <c r="E53" s="13"/>
      <c r="F53" s="9"/>
      <c r="G53" s="9"/>
      <c r="H53" s="9"/>
      <c r="I53" s="9"/>
      <c r="J53" s="13"/>
      <c r="K53" s="10"/>
    </row>
    <row r="54" spans="2:11" x14ac:dyDescent="0.25">
      <c r="B54" s="10"/>
      <c r="C54" s="10"/>
      <c r="D54" s="10"/>
      <c r="E54" s="13"/>
      <c r="F54" s="9"/>
      <c r="G54" s="9"/>
      <c r="H54" s="9"/>
      <c r="I54" s="9"/>
      <c r="J54" s="13"/>
      <c r="K54" s="10"/>
    </row>
    <row r="55" spans="2:11" x14ac:dyDescent="0.25">
      <c r="B55" s="10"/>
      <c r="C55" s="10"/>
      <c r="D55" s="10"/>
      <c r="E55" s="13"/>
      <c r="F55" s="9"/>
      <c r="G55" s="9"/>
      <c r="H55" s="9"/>
      <c r="I55" s="9"/>
      <c r="J55" s="13"/>
      <c r="K55" s="10"/>
    </row>
    <row r="56" spans="2:11" x14ac:dyDescent="0.25">
      <c r="B56" s="10"/>
      <c r="C56" s="10"/>
      <c r="D56" s="10"/>
      <c r="E56" s="13"/>
      <c r="F56" s="9"/>
      <c r="G56" s="9"/>
      <c r="H56" s="9"/>
      <c r="I56" s="9"/>
      <c r="J56" s="13"/>
      <c r="K56" s="10"/>
    </row>
    <row r="57" spans="2:11" x14ac:dyDescent="0.25">
      <c r="B57" s="10"/>
      <c r="C57" s="10"/>
      <c r="D57" s="10"/>
      <c r="E57" s="13"/>
      <c r="F57" s="9"/>
      <c r="G57" s="9"/>
      <c r="H57" s="9"/>
      <c r="I57" s="9"/>
      <c r="J57" s="13"/>
      <c r="K57" s="10"/>
    </row>
    <row r="58" spans="2:11" x14ac:dyDescent="0.25">
      <c r="B58" s="10"/>
      <c r="C58" s="10"/>
      <c r="D58" s="10"/>
      <c r="E58" s="13"/>
      <c r="F58" s="9"/>
      <c r="G58" s="9"/>
      <c r="H58" s="9"/>
      <c r="I58" s="9"/>
      <c r="J58" s="13"/>
      <c r="K58" s="10"/>
    </row>
    <row r="59" spans="2:11" x14ac:dyDescent="0.25">
      <c r="B59" s="10"/>
      <c r="C59" s="10"/>
      <c r="D59" s="10"/>
      <c r="E59" s="13"/>
      <c r="F59" s="9"/>
      <c r="G59" s="9"/>
      <c r="H59" s="9"/>
      <c r="I59" s="9"/>
      <c r="J59" s="13"/>
      <c r="K59" s="10"/>
    </row>
    <row r="60" spans="2:11" x14ac:dyDescent="0.25">
      <c r="B60" s="10"/>
      <c r="C60" s="10"/>
      <c r="D60" s="10"/>
      <c r="E60" s="13"/>
      <c r="F60" s="9"/>
      <c r="G60" s="9"/>
      <c r="H60" s="9"/>
      <c r="I60" s="9"/>
      <c r="J60" s="13"/>
      <c r="K60" s="10"/>
    </row>
    <row r="61" spans="2:11" x14ac:dyDescent="0.25">
      <c r="B61" s="10"/>
      <c r="C61" s="10"/>
      <c r="D61" s="10"/>
      <c r="E61" s="13"/>
      <c r="F61" s="9"/>
      <c r="G61" s="9"/>
      <c r="H61" s="9"/>
      <c r="I61" s="9"/>
      <c r="J61" s="13"/>
      <c r="K61" s="10"/>
    </row>
    <row r="62" spans="2:11" x14ac:dyDescent="0.25">
      <c r="B62" s="10"/>
      <c r="C62" s="10"/>
      <c r="D62" s="10"/>
      <c r="E62" s="13"/>
      <c r="F62" s="9"/>
      <c r="G62" s="9"/>
      <c r="H62" s="9"/>
      <c r="I62" s="9"/>
      <c r="J62" s="13"/>
      <c r="K62" s="10"/>
    </row>
    <row r="63" spans="2:11" x14ac:dyDescent="0.25">
      <c r="B63" s="10"/>
      <c r="C63" s="10"/>
      <c r="D63" s="10"/>
      <c r="E63" s="13"/>
      <c r="F63" s="9"/>
      <c r="G63" s="9"/>
      <c r="H63" s="9"/>
      <c r="I63" s="9"/>
      <c r="J63" s="13"/>
      <c r="K63" s="10"/>
    </row>
    <row r="64" spans="2:11" x14ac:dyDescent="0.25">
      <c r="B64" s="10"/>
      <c r="C64" s="10"/>
      <c r="D64" s="10"/>
      <c r="E64" s="13"/>
      <c r="F64" s="9"/>
      <c r="G64" s="9"/>
      <c r="H64" s="9"/>
      <c r="I64" s="9"/>
      <c r="J64" s="13"/>
      <c r="K64" s="10"/>
    </row>
    <row r="65" spans="2:11" x14ac:dyDescent="0.25">
      <c r="B65" s="10"/>
      <c r="C65" s="10"/>
      <c r="D65" s="10"/>
      <c r="E65" s="13"/>
      <c r="F65" s="9"/>
      <c r="G65" s="9"/>
      <c r="H65" s="9"/>
      <c r="I65" s="9"/>
      <c r="J65" s="13"/>
      <c r="K65" s="10"/>
    </row>
    <row r="66" spans="2:11" x14ac:dyDescent="0.25">
      <c r="B66" s="10"/>
      <c r="C66" s="10"/>
      <c r="D66" s="10"/>
      <c r="E66" s="13"/>
      <c r="F66" s="9"/>
      <c r="G66" s="9"/>
      <c r="H66" s="9"/>
      <c r="I66" s="9"/>
      <c r="J66" s="13"/>
      <c r="K66" s="10"/>
    </row>
    <row r="67" spans="2:11" x14ac:dyDescent="0.25">
      <c r="B67" s="10"/>
      <c r="C67" s="10"/>
      <c r="D67" s="10"/>
      <c r="E67" s="13"/>
      <c r="F67" s="9"/>
      <c r="G67" s="9"/>
      <c r="H67" s="9"/>
      <c r="I67" s="9"/>
      <c r="J67" s="13"/>
      <c r="K67" s="10"/>
    </row>
    <row r="68" spans="2:11" x14ac:dyDescent="0.25">
      <c r="B68" s="10"/>
      <c r="C68" s="10"/>
      <c r="D68" s="10"/>
      <c r="E68" s="13"/>
      <c r="F68" s="9"/>
      <c r="G68" s="9"/>
      <c r="H68" s="9"/>
      <c r="I68" s="9"/>
      <c r="J68" s="13"/>
      <c r="K68" s="10"/>
    </row>
    <row r="69" spans="2:11" x14ac:dyDescent="0.25">
      <c r="B69" s="10"/>
      <c r="C69" s="10"/>
      <c r="D69" s="10"/>
      <c r="E69" s="13"/>
      <c r="F69" s="9"/>
      <c r="G69" s="9"/>
      <c r="H69" s="9"/>
      <c r="I69" s="9"/>
      <c r="J69" s="13"/>
      <c r="K69" s="10"/>
    </row>
    <row r="70" spans="2:11" x14ac:dyDescent="0.25">
      <c r="B70" s="10"/>
      <c r="C70" s="10"/>
      <c r="D70" s="10"/>
      <c r="E70" s="13"/>
      <c r="F70" s="9"/>
      <c r="G70" s="9"/>
      <c r="H70" s="9"/>
      <c r="I70" s="9"/>
      <c r="J70" s="13"/>
      <c r="K70" s="10"/>
    </row>
    <row r="71" spans="2:11" x14ac:dyDescent="0.25">
      <c r="B71" s="10"/>
      <c r="C71" s="10"/>
      <c r="D71" s="10"/>
      <c r="E71" s="13"/>
      <c r="F71" s="9"/>
      <c r="G71" s="9"/>
      <c r="H71" s="9"/>
      <c r="I71" s="9"/>
      <c r="J71" s="13"/>
      <c r="K71" s="10"/>
    </row>
    <row r="72" spans="2:11" x14ac:dyDescent="0.25">
      <c r="B72" s="10"/>
      <c r="C72" s="10"/>
      <c r="D72" s="10"/>
      <c r="E72" s="13"/>
      <c r="F72" s="9"/>
      <c r="G72" s="9"/>
      <c r="H72" s="9"/>
      <c r="I72" s="9"/>
      <c r="J72" s="13"/>
      <c r="K72" s="10"/>
    </row>
    <row r="73" spans="2:11" x14ac:dyDescent="0.25">
      <c r="B73" s="10"/>
      <c r="C73" s="10"/>
      <c r="D73" s="10"/>
      <c r="E73" s="13"/>
      <c r="F73" s="9"/>
      <c r="G73" s="9"/>
      <c r="H73" s="9"/>
      <c r="I73" s="9"/>
      <c r="J73" s="13"/>
      <c r="K73" s="10"/>
    </row>
    <row r="74" spans="2:11" x14ac:dyDescent="0.25">
      <c r="B74" s="10"/>
      <c r="C74" s="10"/>
      <c r="D74" s="10"/>
      <c r="E74" s="13"/>
      <c r="F74" s="9"/>
      <c r="G74" s="9"/>
      <c r="H74" s="9"/>
      <c r="I74" s="9"/>
      <c r="J74" s="13"/>
      <c r="K74" s="10"/>
    </row>
    <row r="75" spans="2:11" x14ac:dyDescent="0.25">
      <c r="B75" s="10"/>
      <c r="C75" s="10"/>
      <c r="D75" s="10"/>
      <c r="E75" s="13"/>
      <c r="F75" s="9"/>
      <c r="G75" s="9"/>
      <c r="H75" s="9"/>
      <c r="I75" s="9"/>
      <c r="J75" s="13"/>
      <c r="K75" s="10"/>
    </row>
    <row r="76" spans="2:11" x14ac:dyDescent="0.25">
      <c r="B76" s="10"/>
      <c r="C76" s="10"/>
      <c r="D76" s="10"/>
      <c r="E76" s="13"/>
      <c r="F76" s="9"/>
      <c r="G76" s="9"/>
      <c r="H76" s="9"/>
      <c r="I76" s="9"/>
      <c r="J76" s="13"/>
      <c r="K76" s="10"/>
    </row>
    <row r="77" spans="2:11" x14ac:dyDescent="0.25">
      <c r="B77" s="10"/>
      <c r="C77" s="10"/>
      <c r="D77" s="10"/>
      <c r="E77" s="13"/>
      <c r="F77" s="9"/>
      <c r="G77" s="9"/>
      <c r="H77" s="9"/>
      <c r="I77" s="9"/>
      <c r="J77" s="13"/>
      <c r="K77" s="10"/>
    </row>
    <row r="78" spans="2:11" x14ac:dyDescent="0.25">
      <c r="B78" s="10"/>
      <c r="C78" s="10"/>
      <c r="D78" s="10"/>
      <c r="E78" s="13"/>
      <c r="F78" s="9"/>
      <c r="G78" s="9"/>
      <c r="H78" s="9"/>
      <c r="I78" s="9"/>
      <c r="J78" s="13"/>
      <c r="K78" s="10"/>
    </row>
    <row r="79" spans="2:11" x14ac:dyDescent="0.25">
      <c r="B79" s="10"/>
      <c r="C79" s="10"/>
      <c r="D79" s="10"/>
      <c r="E79" s="13"/>
      <c r="F79" s="9"/>
      <c r="G79" s="9"/>
      <c r="H79" s="9"/>
      <c r="I79" s="9"/>
      <c r="J79" s="13"/>
      <c r="K79" s="10"/>
    </row>
    <row r="80" spans="2:11" x14ac:dyDescent="0.25">
      <c r="B80" s="10"/>
      <c r="C80" s="10"/>
      <c r="D80" s="10"/>
      <c r="E80" s="13"/>
      <c r="F80" s="9"/>
      <c r="G80" s="9"/>
      <c r="H80" s="9"/>
      <c r="I80" s="9"/>
      <c r="J80" s="13"/>
      <c r="K80" s="10"/>
    </row>
    <row r="81" spans="2:11" x14ac:dyDescent="0.25">
      <c r="B81" s="10"/>
      <c r="C81" s="10"/>
      <c r="D81" s="10"/>
      <c r="E81" s="13"/>
      <c r="F81" s="9"/>
      <c r="G81" s="9"/>
      <c r="H81" s="9"/>
      <c r="I81" s="9"/>
      <c r="J81" s="13"/>
      <c r="K81" s="10"/>
    </row>
    <row r="82" spans="2:11" x14ac:dyDescent="0.25">
      <c r="B82" s="10"/>
      <c r="C82" s="10"/>
      <c r="D82" s="10"/>
      <c r="E82" s="13"/>
      <c r="F82" s="9"/>
      <c r="G82" s="9"/>
      <c r="H82" s="9"/>
      <c r="I82" s="9"/>
      <c r="J82" s="13"/>
      <c r="K82" s="10"/>
    </row>
    <row r="83" spans="2:11" x14ac:dyDescent="0.25">
      <c r="B83" s="10"/>
      <c r="C83" s="10"/>
      <c r="D83" s="10"/>
      <c r="E83" s="13"/>
      <c r="F83" s="9"/>
      <c r="G83" s="9"/>
      <c r="H83" s="9"/>
      <c r="I83" s="9"/>
      <c r="J83" s="13"/>
      <c r="K83" s="10"/>
    </row>
    <row r="84" spans="2:11" x14ac:dyDescent="0.25">
      <c r="B84" s="10"/>
      <c r="C84" s="10"/>
      <c r="D84" s="10"/>
      <c r="E84" s="13"/>
      <c r="F84" s="9"/>
      <c r="G84" s="9"/>
      <c r="H84" s="9"/>
      <c r="I84" s="9"/>
      <c r="J84" s="13"/>
      <c r="K84" s="10"/>
    </row>
    <row r="85" spans="2:11" x14ac:dyDescent="0.25">
      <c r="B85" s="10"/>
      <c r="C85" s="10"/>
      <c r="D85" s="10"/>
      <c r="E85" s="13"/>
      <c r="F85" s="9"/>
      <c r="G85" s="9"/>
      <c r="H85" s="9"/>
      <c r="I85" s="9"/>
      <c r="J85" s="13"/>
      <c r="K85" s="10"/>
    </row>
    <row r="86" spans="2:11" x14ac:dyDescent="0.25">
      <c r="B86" s="10"/>
      <c r="C86" s="10"/>
      <c r="D86" s="10"/>
      <c r="E86" s="13"/>
      <c r="F86" s="9"/>
      <c r="G86" s="9"/>
      <c r="H86" s="9"/>
      <c r="I86" s="9"/>
      <c r="J86" s="13"/>
      <c r="K86" s="10"/>
    </row>
    <row r="87" spans="2:11" x14ac:dyDescent="0.25">
      <c r="B87" s="10"/>
      <c r="C87" s="10"/>
      <c r="D87" s="10"/>
      <c r="E87" s="13"/>
      <c r="F87" s="9"/>
      <c r="G87" s="9"/>
      <c r="H87" s="9"/>
      <c r="I87" s="9"/>
      <c r="J87" s="13"/>
      <c r="K87" s="10"/>
    </row>
    <row r="88" spans="2:11" x14ac:dyDescent="0.25">
      <c r="B88" s="10"/>
      <c r="C88" s="10"/>
      <c r="D88" s="10"/>
      <c r="E88" s="13"/>
      <c r="F88" s="9"/>
      <c r="G88" s="9"/>
      <c r="H88" s="9"/>
      <c r="I88" s="9"/>
      <c r="J88" s="13"/>
      <c r="K88" s="10"/>
    </row>
    <row r="89" spans="2:11" x14ac:dyDescent="0.25">
      <c r="B89" s="10"/>
      <c r="C89" s="10"/>
      <c r="D89" s="10"/>
      <c r="E89" s="13"/>
      <c r="F89" s="9"/>
      <c r="G89" s="9"/>
      <c r="H89" s="9"/>
      <c r="I89" s="9"/>
      <c r="J89" s="13"/>
      <c r="K89" s="10"/>
    </row>
    <row r="90" spans="2:11" x14ac:dyDescent="0.25">
      <c r="B90" s="10"/>
      <c r="C90" s="10"/>
      <c r="D90" s="10"/>
      <c r="E90" s="13"/>
      <c r="F90" s="9"/>
      <c r="G90" s="9"/>
      <c r="H90" s="9"/>
      <c r="I90" s="9"/>
      <c r="J90" s="13"/>
      <c r="K90" s="10"/>
    </row>
    <row r="91" spans="2:11" x14ac:dyDescent="0.25">
      <c r="B91" s="10"/>
      <c r="C91" s="10"/>
      <c r="D91" s="10"/>
      <c r="E91" s="13"/>
      <c r="F91" s="9"/>
      <c r="G91" s="9"/>
      <c r="H91" s="9"/>
      <c r="I91" s="9"/>
      <c r="J91" s="13"/>
      <c r="K91" s="10"/>
    </row>
    <row r="92" spans="2:11" x14ac:dyDescent="0.25">
      <c r="B92" s="10"/>
      <c r="C92" s="10"/>
      <c r="D92" s="10"/>
      <c r="E92" s="13"/>
      <c r="F92" s="9"/>
      <c r="G92" s="9"/>
      <c r="H92" s="9"/>
      <c r="I92" s="9"/>
      <c r="J92" s="13"/>
      <c r="K92" s="10"/>
    </row>
    <row r="93" spans="2:11" x14ac:dyDescent="0.25">
      <c r="B93" s="10"/>
      <c r="C93" s="10"/>
      <c r="D93" s="10"/>
      <c r="E93" s="13"/>
      <c r="F93" s="9"/>
      <c r="G93" s="9"/>
      <c r="H93" s="9"/>
      <c r="I93" s="9"/>
      <c r="J93" s="13"/>
      <c r="K93" s="10"/>
    </row>
    <row r="94" spans="2:11" x14ac:dyDescent="0.25">
      <c r="B94" s="10"/>
      <c r="C94" s="10"/>
      <c r="D94" s="10"/>
      <c r="E94" s="13"/>
      <c r="F94" s="9"/>
      <c r="G94" s="9"/>
      <c r="H94" s="9"/>
      <c r="I94" s="9"/>
      <c r="J94" s="13"/>
      <c r="K94" s="10"/>
    </row>
    <row r="95" spans="2:11" x14ac:dyDescent="0.25">
      <c r="B95" s="10"/>
      <c r="C95" s="10"/>
      <c r="D95" s="10"/>
      <c r="E95" s="13"/>
      <c r="F95" s="9"/>
      <c r="G95" s="9"/>
      <c r="H95" s="9"/>
      <c r="I95" s="9"/>
      <c r="J95" s="13"/>
      <c r="K95" s="10"/>
    </row>
    <row r="96" spans="2:11" x14ac:dyDescent="0.25">
      <c r="B96" s="10"/>
      <c r="C96" s="10"/>
      <c r="D96" s="10"/>
      <c r="E96" s="13"/>
      <c r="F96" s="9"/>
      <c r="G96" s="9"/>
      <c r="H96" s="9"/>
      <c r="I96" s="9"/>
      <c r="J96" s="13"/>
      <c r="K96" s="10"/>
    </row>
    <row r="97" spans="2:11" x14ac:dyDescent="0.25">
      <c r="B97" s="10"/>
      <c r="C97" s="10"/>
      <c r="D97" s="10"/>
      <c r="E97" s="13"/>
      <c r="F97" s="9"/>
      <c r="G97" s="9"/>
      <c r="H97" s="9"/>
      <c r="I97" s="9"/>
      <c r="J97" s="13"/>
      <c r="K97" s="10"/>
    </row>
    <row r="98" spans="2:11" x14ac:dyDescent="0.25">
      <c r="B98" s="10"/>
      <c r="C98" s="10"/>
      <c r="D98" s="10"/>
      <c r="E98" s="13"/>
      <c r="F98" s="9"/>
      <c r="G98" s="9"/>
      <c r="H98" s="9"/>
      <c r="I98" s="9"/>
      <c r="J98" s="13"/>
      <c r="K98" s="10"/>
    </row>
    <row r="99" spans="2:11" x14ac:dyDescent="0.25">
      <c r="B99" s="10"/>
      <c r="C99" s="10"/>
      <c r="D99" s="10"/>
      <c r="E99" s="13"/>
      <c r="F99" s="9"/>
      <c r="G99" s="9"/>
      <c r="H99" s="9"/>
      <c r="I99" s="9"/>
      <c r="J99" s="13"/>
      <c r="K99" s="10"/>
    </row>
    <row r="100" spans="2:11" x14ac:dyDescent="0.25">
      <c r="B100" s="10"/>
      <c r="C100" s="10"/>
      <c r="D100" s="10"/>
      <c r="E100" s="13"/>
      <c r="F100" s="9"/>
      <c r="G100" s="9"/>
      <c r="H100" s="9"/>
      <c r="I100" s="9"/>
      <c r="J100" s="13"/>
      <c r="K100" s="10"/>
    </row>
    <row r="101" spans="2:11" x14ac:dyDescent="0.25">
      <c r="B101" s="10"/>
      <c r="C101" s="10"/>
      <c r="D101" s="10"/>
      <c r="E101" s="13"/>
      <c r="F101" s="9"/>
      <c r="G101" s="9"/>
      <c r="H101" s="9"/>
      <c r="I101" s="9"/>
      <c r="J101" s="13"/>
      <c r="K101" s="10"/>
    </row>
    <row r="102" spans="2:11" x14ac:dyDescent="0.25">
      <c r="B102" s="10"/>
      <c r="C102" s="10"/>
      <c r="D102" s="10"/>
      <c r="E102" s="13"/>
      <c r="F102" s="9"/>
      <c r="G102" s="9"/>
      <c r="H102" s="9"/>
      <c r="I102" s="9"/>
      <c r="J102" s="13"/>
      <c r="K102" s="10"/>
    </row>
    <row r="103" spans="2:11" x14ac:dyDescent="0.25">
      <c r="B103" s="10"/>
      <c r="C103" s="10"/>
      <c r="D103" s="10"/>
      <c r="E103" s="13"/>
      <c r="F103" s="9"/>
      <c r="G103" s="9"/>
      <c r="H103" s="9"/>
      <c r="I103" s="9"/>
      <c r="J103" s="13"/>
      <c r="K103" s="10"/>
    </row>
    <row r="104" spans="2:11" x14ac:dyDescent="0.25">
      <c r="B104" s="10"/>
      <c r="C104" s="10"/>
      <c r="D104" s="10"/>
      <c r="E104" s="13"/>
      <c r="F104" s="9"/>
      <c r="G104" s="9"/>
      <c r="H104" s="9"/>
      <c r="I104" s="9"/>
      <c r="J104" s="13"/>
      <c r="K104" s="10"/>
    </row>
  </sheetData>
  <mergeCells count="2">
    <mergeCell ref="A1:K1"/>
    <mergeCell ref="A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A34A"/>
  </sheetPr>
  <dimension ref="A1:K10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10" customWidth="1"/>
    <col min="3" max="3" width="26" customWidth="1"/>
    <col min="4" max="10" width="16" customWidth="1"/>
    <col min="11" max="11" width="18" customWidth="1"/>
  </cols>
  <sheetData>
    <row r="1" ht="34" customHeight="1" spans="1:11" x14ac:dyDescent="0.25">
      <c r="A1" s="1" t="s">
        <v>57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0" customHeight="1" spans="1:11" x14ac:dyDescent="0.25">
      <c r="A2" s="2" t="s">
        <v>58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30" customHeight="1" spans="1:11" x14ac:dyDescent="0.25">
      <c r="A4" s="12" t="s">
        <v>36</v>
      </c>
      <c r="B4" s="12" t="s">
        <v>37</v>
      </c>
      <c r="C4" s="12" t="s">
        <v>38</v>
      </c>
      <c r="D4" s="12" t="s">
        <v>41</v>
      </c>
      <c r="E4" s="12" t="s">
        <v>59</v>
      </c>
      <c r="F4" s="12" t="s">
        <v>60</v>
      </c>
      <c r="G4" s="12" t="s">
        <v>61</v>
      </c>
      <c r="H4" s="12" t="s">
        <v>62</v>
      </c>
      <c r="I4" s="12" t="s">
        <v>63</v>
      </c>
      <c r="J4" s="12" t="s">
        <v>64</v>
      </c>
      <c r="K4" s="12" t="s">
        <v>65</v>
      </c>
    </row>
    <row r="5" spans="2:11" x14ac:dyDescent="0.25">
      <c r="B5" s="14">
        <f>IF('Personel Kartları'!B5="","",'Personel Kartları'!B5)</f>
      </c>
      <c r="C5" s="14">
        <f>IF('Personel Kartları'!C5="","",'Personel Kartları'!C5)</f>
      </c>
      <c r="D5" s="15">
        <f>IF($B5="",0,'Personel Kartları'!F5)</f>
      </c>
      <c r="E5" s="15">
        <f>IF($B5="",0,MIN($D5,Parametreler!$C$10)*Parametreler!$C$4)</f>
      </c>
      <c r="F5" s="15">
        <f>IF($B5="",0,MIN($D5,Parametreler!$C$10)*Parametreler!$C$5)</f>
      </c>
      <c r="G5" s="15">
        <f>IF($B5="",0,MAX(($D5-$E5-$F5)*Parametreler!$C$6-Parametreler!$C$8,0))</f>
      </c>
      <c r="H5" s="15">
        <f>IF($B5="",0,MAX($D5*Parametreler!$C$7-Parametreler!$C$9,0))</f>
      </c>
      <c r="I5" s="15">
        <f>SUM($E5:$H5)</f>
      </c>
      <c r="J5" s="16">
        <f>IF($B5="","",$D5-$I5)</f>
      </c>
      <c r="K5" s="15">
        <f>IF($B5="","",$D5*1.225+'Personel Kartları'!G5+'Personel Kartları'!H5+'Personel Kartları'!I5)</f>
      </c>
    </row>
    <row r="6" spans="2:11" x14ac:dyDescent="0.25">
      <c r="B6" s="14">
        <f>IF('Personel Kartları'!B6="","",'Personel Kartları'!B6)</f>
      </c>
      <c r="C6" s="14">
        <f>IF('Personel Kartları'!C6="","",'Personel Kartları'!C6)</f>
      </c>
      <c r="D6" s="15">
        <f>IF($B6="",0,'Personel Kartları'!F6)</f>
      </c>
      <c r="E6" s="15">
        <f>IF($B6="",0,MIN($D6,Parametreler!$C$10)*Parametreler!$C$4)</f>
      </c>
      <c r="F6" s="15">
        <f>IF($B6="",0,MIN($D6,Parametreler!$C$10)*Parametreler!$C$5)</f>
      </c>
      <c r="G6" s="15">
        <f>IF($B6="",0,MAX(($D6-$E6-$F6)*Parametreler!$C$6-Parametreler!$C$8,0))</f>
      </c>
      <c r="H6" s="15">
        <f>IF($B6="",0,MAX($D6*Parametreler!$C$7-Parametreler!$C$9,0))</f>
      </c>
      <c r="I6" s="15">
        <f>SUM($E6:$H6)</f>
      </c>
      <c r="J6" s="16">
        <f>IF($B6="","",$D6-$I6)</f>
      </c>
      <c r="K6" s="15">
        <f>IF($B6="","",$D6*1.225+'Personel Kartları'!G6+'Personel Kartları'!H6+'Personel Kartları'!I6)</f>
      </c>
    </row>
    <row r="7" spans="2:11" x14ac:dyDescent="0.25">
      <c r="B7" s="14">
        <f>IF('Personel Kartları'!B7="","",'Personel Kartları'!B7)</f>
      </c>
      <c r="C7" s="14">
        <f>IF('Personel Kartları'!C7="","",'Personel Kartları'!C7)</f>
      </c>
      <c r="D7" s="15">
        <f>IF($B7="",0,'Personel Kartları'!F7)</f>
      </c>
      <c r="E7" s="15">
        <f>IF($B7="",0,MIN($D7,Parametreler!$C$10)*Parametreler!$C$4)</f>
      </c>
      <c r="F7" s="15">
        <f>IF($B7="",0,MIN($D7,Parametreler!$C$10)*Parametreler!$C$5)</f>
      </c>
      <c r="G7" s="15">
        <f>IF($B7="",0,MAX(($D7-$E7-$F7)*Parametreler!$C$6-Parametreler!$C$8,0))</f>
      </c>
      <c r="H7" s="15">
        <f>IF($B7="",0,MAX($D7*Parametreler!$C$7-Parametreler!$C$9,0))</f>
      </c>
      <c r="I7" s="15">
        <f>SUM($E7:$H7)</f>
      </c>
      <c r="J7" s="16">
        <f>IF($B7="","",$D7-$I7)</f>
      </c>
      <c r="K7" s="15">
        <f>IF($B7="","",$D7*1.225+'Personel Kartları'!G7+'Personel Kartları'!H7+'Personel Kartları'!I7)</f>
      </c>
    </row>
    <row r="8" spans="2:11" x14ac:dyDescent="0.25">
      <c r="B8" s="14">
        <f>IF('Personel Kartları'!B8="","",'Personel Kartları'!B8)</f>
      </c>
      <c r="C8" s="14">
        <f>IF('Personel Kartları'!C8="","",'Personel Kartları'!C8)</f>
      </c>
      <c r="D8" s="15">
        <f>IF($B8="",0,'Personel Kartları'!F8)</f>
      </c>
      <c r="E8" s="15">
        <f>IF($B8="",0,MIN($D8,Parametreler!$C$10)*Parametreler!$C$4)</f>
      </c>
      <c r="F8" s="15">
        <f>IF($B8="",0,MIN($D8,Parametreler!$C$10)*Parametreler!$C$5)</f>
      </c>
      <c r="G8" s="15">
        <f>IF($B8="",0,MAX(($D8-$E8-$F8)*Parametreler!$C$6-Parametreler!$C$8,0))</f>
      </c>
      <c r="H8" s="15">
        <f>IF($B8="",0,MAX($D8*Parametreler!$C$7-Parametreler!$C$9,0))</f>
      </c>
      <c r="I8" s="15">
        <f>SUM($E8:$H8)</f>
      </c>
      <c r="J8" s="16">
        <f>IF($B8="","",$D8-$I8)</f>
      </c>
      <c r="K8" s="15">
        <f>IF($B8="","",$D8*1.225+'Personel Kartları'!G8+'Personel Kartları'!H8+'Personel Kartları'!I8)</f>
      </c>
    </row>
    <row r="9" spans="2:11" x14ac:dyDescent="0.25">
      <c r="B9" s="14">
        <f>IF('Personel Kartları'!B9="","",'Personel Kartları'!B9)</f>
      </c>
      <c r="C9" s="14">
        <f>IF('Personel Kartları'!C9="","",'Personel Kartları'!C9)</f>
      </c>
      <c r="D9" s="15">
        <f>IF($B9="",0,'Personel Kartları'!F9)</f>
      </c>
      <c r="E9" s="15">
        <f>IF($B9="",0,MIN($D9,Parametreler!$C$10)*Parametreler!$C$4)</f>
      </c>
      <c r="F9" s="15">
        <f>IF($B9="",0,MIN($D9,Parametreler!$C$10)*Parametreler!$C$5)</f>
      </c>
      <c r="G9" s="15">
        <f>IF($B9="",0,MAX(($D9-$E9-$F9)*Parametreler!$C$6-Parametreler!$C$8,0))</f>
      </c>
      <c r="H9" s="15">
        <f>IF($B9="",0,MAX($D9*Parametreler!$C$7-Parametreler!$C$9,0))</f>
      </c>
      <c r="I9" s="15">
        <f>SUM($E9:$H9)</f>
      </c>
      <c r="J9" s="16">
        <f>IF($B9="","",$D9-$I9)</f>
      </c>
      <c r="K9" s="15">
        <f>IF($B9="","",$D9*1.225+'Personel Kartları'!G9+'Personel Kartları'!H9+'Personel Kartları'!I9)</f>
      </c>
    </row>
    <row r="10" spans="2:11" x14ac:dyDescent="0.25">
      <c r="B10" s="14">
        <f>IF('Personel Kartları'!B10="","",'Personel Kartları'!B10)</f>
      </c>
      <c r="C10" s="14">
        <f>IF('Personel Kartları'!C10="","",'Personel Kartları'!C10)</f>
      </c>
      <c r="D10" s="15">
        <f>IF($B10="",0,'Personel Kartları'!F10)</f>
      </c>
      <c r="E10" s="15">
        <f>IF($B10="",0,MIN($D10,Parametreler!$C$10)*Parametreler!$C$4)</f>
      </c>
      <c r="F10" s="15">
        <f>IF($B10="",0,MIN($D10,Parametreler!$C$10)*Parametreler!$C$5)</f>
      </c>
      <c r="G10" s="15">
        <f>IF($B10="",0,MAX(($D10-$E10-$F10)*Parametreler!$C$6-Parametreler!$C$8,0))</f>
      </c>
      <c r="H10" s="15">
        <f>IF($B10="",0,MAX($D10*Parametreler!$C$7-Parametreler!$C$9,0))</f>
      </c>
      <c r="I10" s="15">
        <f>SUM($E10:$H10)</f>
      </c>
      <c r="J10" s="16">
        <f>IF($B10="","",$D10-$I10)</f>
      </c>
      <c r="K10" s="15">
        <f>IF($B10="","",$D10*1.225+'Personel Kartları'!G10+'Personel Kartları'!H10+'Personel Kartları'!I10)</f>
      </c>
    </row>
    <row r="11" spans="2:11" x14ac:dyDescent="0.25">
      <c r="B11" s="14">
        <f>IF('Personel Kartları'!B11="","",'Personel Kartları'!B11)</f>
      </c>
      <c r="C11" s="14">
        <f>IF('Personel Kartları'!C11="","",'Personel Kartları'!C11)</f>
      </c>
      <c r="D11" s="15">
        <f>IF($B11="",0,'Personel Kartları'!F11)</f>
      </c>
      <c r="E11" s="15">
        <f>IF($B11="",0,MIN($D11,Parametreler!$C$10)*Parametreler!$C$4)</f>
      </c>
      <c r="F11" s="15">
        <f>IF($B11="",0,MIN($D11,Parametreler!$C$10)*Parametreler!$C$5)</f>
      </c>
      <c r="G11" s="15">
        <f>IF($B11="",0,MAX(($D11-$E11-$F11)*Parametreler!$C$6-Parametreler!$C$8,0))</f>
      </c>
      <c r="H11" s="15">
        <f>IF($B11="",0,MAX($D11*Parametreler!$C$7-Parametreler!$C$9,0))</f>
      </c>
      <c r="I11" s="15">
        <f>SUM($E11:$H11)</f>
      </c>
      <c r="J11" s="16">
        <f>IF($B11="","",$D11-$I11)</f>
      </c>
      <c r="K11" s="15">
        <f>IF($B11="","",$D11*1.225+'Personel Kartları'!G11+'Personel Kartları'!H11+'Personel Kartları'!I11)</f>
      </c>
    </row>
    <row r="12" spans="2:11" x14ac:dyDescent="0.25">
      <c r="B12" s="14">
        <f>IF('Personel Kartları'!B12="","",'Personel Kartları'!B12)</f>
      </c>
      <c r="C12" s="14">
        <f>IF('Personel Kartları'!C12="","",'Personel Kartları'!C12)</f>
      </c>
      <c r="D12" s="15">
        <f>IF($B12="",0,'Personel Kartları'!F12)</f>
      </c>
      <c r="E12" s="15">
        <f>IF($B12="",0,MIN($D12,Parametreler!$C$10)*Parametreler!$C$4)</f>
      </c>
      <c r="F12" s="15">
        <f>IF($B12="",0,MIN($D12,Parametreler!$C$10)*Parametreler!$C$5)</f>
      </c>
      <c r="G12" s="15">
        <f>IF($B12="",0,MAX(($D12-$E12-$F12)*Parametreler!$C$6-Parametreler!$C$8,0))</f>
      </c>
      <c r="H12" s="15">
        <f>IF($B12="",0,MAX($D12*Parametreler!$C$7-Parametreler!$C$9,0))</f>
      </c>
      <c r="I12" s="15">
        <f>SUM($E12:$H12)</f>
      </c>
      <c r="J12" s="16">
        <f>IF($B12="","",$D12-$I12)</f>
      </c>
      <c r="K12" s="15">
        <f>IF($B12="","",$D12*1.225+'Personel Kartları'!G12+'Personel Kartları'!H12+'Personel Kartları'!I12)</f>
      </c>
    </row>
    <row r="13" spans="2:11" x14ac:dyDescent="0.25">
      <c r="B13" s="14">
        <f>IF('Personel Kartları'!B13="","",'Personel Kartları'!B13)</f>
      </c>
      <c r="C13" s="14">
        <f>IF('Personel Kartları'!C13="","",'Personel Kartları'!C13)</f>
      </c>
      <c r="D13" s="15">
        <f>IF($B13="",0,'Personel Kartları'!F13)</f>
      </c>
      <c r="E13" s="15">
        <f>IF($B13="",0,MIN($D13,Parametreler!$C$10)*Parametreler!$C$4)</f>
      </c>
      <c r="F13" s="15">
        <f>IF($B13="",0,MIN($D13,Parametreler!$C$10)*Parametreler!$C$5)</f>
      </c>
      <c r="G13" s="15">
        <f>IF($B13="",0,MAX(($D13-$E13-$F13)*Parametreler!$C$6-Parametreler!$C$8,0))</f>
      </c>
      <c r="H13" s="15">
        <f>IF($B13="",0,MAX($D13*Parametreler!$C$7-Parametreler!$C$9,0))</f>
      </c>
      <c r="I13" s="15">
        <f>SUM($E13:$H13)</f>
      </c>
      <c r="J13" s="16">
        <f>IF($B13="","",$D13-$I13)</f>
      </c>
      <c r="K13" s="15">
        <f>IF($B13="","",$D13*1.225+'Personel Kartları'!G13+'Personel Kartları'!H13+'Personel Kartları'!I13)</f>
      </c>
    </row>
    <row r="14" spans="2:11" x14ac:dyDescent="0.25">
      <c r="B14" s="14">
        <f>IF('Personel Kartları'!B14="","",'Personel Kartları'!B14)</f>
      </c>
      <c r="C14" s="14">
        <f>IF('Personel Kartları'!C14="","",'Personel Kartları'!C14)</f>
      </c>
      <c r="D14" s="15">
        <f>IF($B14="",0,'Personel Kartları'!F14)</f>
      </c>
      <c r="E14" s="15">
        <f>IF($B14="",0,MIN($D14,Parametreler!$C$10)*Parametreler!$C$4)</f>
      </c>
      <c r="F14" s="15">
        <f>IF($B14="",0,MIN($D14,Parametreler!$C$10)*Parametreler!$C$5)</f>
      </c>
      <c r="G14" s="15">
        <f>IF($B14="",0,MAX(($D14-$E14-$F14)*Parametreler!$C$6-Parametreler!$C$8,0))</f>
      </c>
      <c r="H14" s="15">
        <f>IF($B14="",0,MAX($D14*Parametreler!$C$7-Parametreler!$C$9,0))</f>
      </c>
      <c r="I14" s="15">
        <f>SUM($E14:$H14)</f>
      </c>
      <c r="J14" s="16">
        <f>IF($B14="","",$D14-$I14)</f>
      </c>
      <c r="K14" s="15">
        <f>IF($B14="","",$D14*1.225+'Personel Kartları'!G14+'Personel Kartları'!H14+'Personel Kartları'!I14)</f>
      </c>
    </row>
    <row r="15" spans="2:11" x14ac:dyDescent="0.25">
      <c r="B15" s="14">
        <f>IF('Personel Kartları'!B15="","",'Personel Kartları'!B15)</f>
      </c>
      <c r="C15" s="14">
        <f>IF('Personel Kartları'!C15="","",'Personel Kartları'!C15)</f>
      </c>
      <c r="D15" s="15">
        <f>IF($B15="",0,'Personel Kartları'!F15)</f>
      </c>
      <c r="E15" s="15">
        <f>IF($B15="",0,MIN($D15,Parametreler!$C$10)*Parametreler!$C$4)</f>
      </c>
      <c r="F15" s="15">
        <f>IF($B15="",0,MIN($D15,Parametreler!$C$10)*Parametreler!$C$5)</f>
      </c>
      <c r="G15" s="15">
        <f>IF($B15="",0,MAX(($D15-$E15-$F15)*Parametreler!$C$6-Parametreler!$C$8,0))</f>
      </c>
      <c r="H15" s="15">
        <f>IF($B15="",0,MAX($D15*Parametreler!$C$7-Parametreler!$C$9,0))</f>
      </c>
      <c r="I15" s="15">
        <f>SUM($E15:$H15)</f>
      </c>
      <c r="J15" s="16">
        <f>IF($B15="","",$D15-$I15)</f>
      </c>
      <c r="K15" s="15">
        <f>IF($B15="","",$D15*1.225+'Personel Kartları'!G15+'Personel Kartları'!H15+'Personel Kartları'!I15)</f>
      </c>
    </row>
    <row r="16" spans="2:11" x14ac:dyDescent="0.25">
      <c r="B16" s="14">
        <f>IF('Personel Kartları'!B16="","",'Personel Kartları'!B16)</f>
      </c>
      <c r="C16" s="14">
        <f>IF('Personel Kartları'!C16="","",'Personel Kartları'!C16)</f>
      </c>
      <c r="D16" s="15">
        <f>IF($B16="",0,'Personel Kartları'!F16)</f>
      </c>
      <c r="E16" s="15">
        <f>IF($B16="",0,MIN($D16,Parametreler!$C$10)*Parametreler!$C$4)</f>
      </c>
      <c r="F16" s="15">
        <f>IF($B16="",0,MIN($D16,Parametreler!$C$10)*Parametreler!$C$5)</f>
      </c>
      <c r="G16" s="15">
        <f>IF($B16="",0,MAX(($D16-$E16-$F16)*Parametreler!$C$6-Parametreler!$C$8,0))</f>
      </c>
      <c r="H16" s="15">
        <f>IF($B16="",0,MAX($D16*Parametreler!$C$7-Parametreler!$C$9,0))</f>
      </c>
      <c r="I16" s="15">
        <f>SUM($E16:$H16)</f>
      </c>
      <c r="J16" s="16">
        <f>IF($B16="","",$D16-$I16)</f>
      </c>
      <c r="K16" s="15">
        <f>IF($B16="","",$D16*1.225+'Personel Kartları'!G16+'Personel Kartları'!H16+'Personel Kartları'!I16)</f>
      </c>
    </row>
    <row r="17" spans="2:11" x14ac:dyDescent="0.25">
      <c r="B17" s="14">
        <f>IF('Personel Kartları'!B17="","",'Personel Kartları'!B17)</f>
      </c>
      <c r="C17" s="14">
        <f>IF('Personel Kartları'!C17="","",'Personel Kartları'!C17)</f>
      </c>
      <c r="D17" s="15">
        <f>IF($B17="",0,'Personel Kartları'!F17)</f>
      </c>
      <c r="E17" s="15">
        <f>IF($B17="",0,MIN($D17,Parametreler!$C$10)*Parametreler!$C$4)</f>
      </c>
      <c r="F17" s="15">
        <f>IF($B17="",0,MIN($D17,Parametreler!$C$10)*Parametreler!$C$5)</f>
      </c>
      <c r="G17" s="15">
        <f>IF($B17="",0,MAX(($D17-$E17-$F17)*Parametreler!$C$6-Parametreler!$C$8,0))</f>
      </c>
      <c r="H17" s="15">
        <f>IF($B17="",0,MAX($D17*Parametreler!$C$7-Parametreler!$C$9,0))</f>
      </c>
      <c r="I17" s="15">
        <f>SUM($E17:$H17)</f>
      </c>
      <c r="J17" s="16">
        <f>IF($B17="","",$D17-$I17)</f>
      </c>
      <c r="K17" s="15">
        <f>IF($B17="","",$D17*1.225+'Personel Kartları'!G17+'Personel Kartları'!H17+'Personel Kartları'!I17)</f>
      </c>
    </row>
    <row r="18" spans="2:11" x14ac:dyDescent="0.25">
      <c r="B18" s="14">
        <f>IF('Personel Kartları'!B18="","",'Personel Kartları'!B18)</f>
      </c>
      <c r="C18" s="14">
        <f>IF('Personel Kartları'!C18="","",'Personel Kartları'!C18)</f>
      </c>
      <c r="D18" s="15">
        <f>IF($B18="",0,'Personel Kartları'!F18)</f>
      </c>
      <c r="E18" s="15">
        <f>IF($B18="",0,MIN($D18,Parametreler!$C$10)*Parametreler!$C$4)</f>
      </c>
      <c r="F18" s="15">
        <f>IF($B18="",0,MIN($D18,Parametreler!$C$10)*Parametreler!$C$5)</f>
      </c>
      <c r="G18" s="15">
        <f>IF($B18="",0,MAX(($D18-$E18-$F18)*Parametreler!$C$6-Parametreler!$C$8,0))</f>
      </c>
      <c r="H18" s="15">
        <f>IF($B18="",0,MAX($D18*Parametreler!$C$7-Parametreler!$C$9,0))</f>
      </c>
      <c r="I18" s="15">
        <f>SUM($E18:$H18)</f>
      </c>
      <c r="J18" s="16">
        <f>IF($B18="","",$D18-$I18)</f>
      </c>
      <c r="K18" s="15">
        <f>IF($B18="","",$D18*1.225+'Personel Kartları'!G18+'Personel Kartları'!H18+'Personel Kartları'!I18)</f>
      </c>
    </row>
    <row r="19" spans="2:11" x14ac:dyDescent="0.25">
      <c r="B19" s="14">
        <f>IF('Personel Kartları'!B19="","",'Personel Kartları'!B19)</f>
      </c>
      <c r="C19" s="14">
        <f>IF('Personel Kartları'!C19="","",'Personel Kartları'!C19)</f>
      </c>
      <c r="D19" s="15">
        <f>IF($B19="",0,'Personel Kartları'!F19)</f>
      </c>
      <c r="E19" s="15">
        <f>IF($B19="",0,MIN($D19,Parametreler!$C$10)*Parametreler!$C$4)</f>
      </c>
      <c r="F19" s="15">
        <f>IF($B19="",0,MIN($D19,Parametreler!$C$10)*Parametreler!$C$5)</f>
      </c>
      <c r="G19" s="15">
        <f>IF($B19="",0,MAX(($D19-$E19-$F19)*Parametreler!$C$6-Parametreler!$C$8,0))</f>
      </c>
      <c r="H19" s="15">
        <f>IF($B19="",0,MAX($D19*Parametreler!$C$7-Parametreler!$C$9,0))</f>
      </c>
      <c r="I19" s="15">
        <f>SUM($E19:$H19)</f>
      </c>
      <c r="J19" s="16">
        <f>IF($B19="","",$D19-$I19)</f>
      </c>
      <c r="K19" s="15">
        <f>IF($B19="","",$D19*1.225+'Personel Kartları'!G19+'Personel Kartları'!H19+'Personel Kartları'!I19)</f>
      </c>
    </row>
    <row r="20" spans="2:11" x14ac:dyDescent="0.25">
      <c r="B20" s="14">
        <f>IF('Personel Kartları'!B20="","",'Personel Kartları'!B20)</f>
      </c>
      <c r="C20" s="14">
        <f>IF('Personel Kartları'!C20="","",'Personel Kartları'!C20)</f>
      </c>
      <c r="D20" s="15">
        <f>IF($B20="",0,'Personel Kartları'!F20)</f>
      </c>
      <c r="E20" s="15">
        <f>IF($B20="",0,MIN($D20,Parametreler!$C$10)*Parametreler!$C$4)</f>
      </c>
      <c r="F20" s="15">
        <f>IF($B20="",0,MIN($D20,Parametreler!$C$10)*Parametreler!$C$5)</f>
      </c>
      <c r="G20" s="15">
        <f>IF($B20="",0,MAX(($D20-$E20-$F20)*Parametreler!$C$6-Parametreler!$C$8,0))</f>
      </c>
      <c r="H20" s="15">
        <f>IF($B20="",0,MAX($D20*Parametreler!$C$7-Parametreler!$C$9,0))</f>
      </c>
      <c r="I20" s="15">
        <f>SUM($E20:$H20)</f>
      </c>
      <c r="J20" s="16">
        <f>IF($B20="","",$D20-$I20)</f>
      </c>
      <c r="K20" s="15">
        <f>IF($B20="","",$D20*1.225+'Personel Kartları'!G20+'Personel Kartları'!H20+'Personel Kartları'!I20)</f>
      </c>
    </row>
    <row r="21" spans="2:11" x14ac:dyDescent="0.25">
      <c r="B21" s="14">
        <f>IF('Personel Kartları'!B21="","",'Personel Kartları'!B21)</f>
      </c>
      <c r="C21" s="14">
        <f>IF('Personel Kartları'!C21="","",'Personel Kartları'!C21)</f>
      </c>
      <c r="D21" s="15">
        <f>IF($B21="",0,'Personel Kartları'!F21)</f>
      </c>
      <c r="E21" s="15">
        <f>IF($B21="",0,MIN($D21,Parametreler!$C$10)*Parametreler!$C$4)</f>
      </c>
      <c r="F21" s="15">
        <f>IF($B21="",0,MIN($D21,Parametreler!$C$10)*Parametreler!$C$5)</f>
      </c>
      <c r="G21" s="15">
        <f>IF($B21="",0,MAX(($D21-$E21-$F21)*Parametreler!$C$6-Parametreler!$C$8,0))</f>
      </c>
      <c r="H21" s="15">
        <f>IF($B21="",0,MAX($D21*Parametreler!$C$7-Parametreler!$C$9,0))</f>
      </c>
      <c r="I21" s="15">
        <f>SUM($E21:$H21)</f>
      </c>
      <c r="J21" s="16">
        <f>IF($B21="","",$D21-$I21)</f>
      </c>
      <c r="K21" s="15">
        <f>IF($B21="","",$D21*1.225+'Personel Kartları'!G21+'Personel Kartları'!H21+'Personel Kartları'!I21)</f>
      </c>
    </row>
    <row r="22" spans="2:11" x14ac:dyDescent="0.25">
      <c r="B22" s="14">
        <f>IF('Personel Kartları'!B22="","",'Personel Kartları'!B22)</f>
      </c>
      <c r="C22" s="14">
        <f>IF('Personel Kartları'!C22="","",'Personel Kartları'!C22)</f>
      </c>
      <c r="D22" s="15">
        <f>IF($B22="",0,'Personel Kartları'!F22)</f>
      </c>
      <c r="E22" s="15">
        <f>IF($B22="",0,MIN($D22,Parametreler!$C$10)*Parametreler!$C$4)</f>
      </c>
      <c r="F22" s="15">
        <f>IF($B22="",0,MIN($D22,Parametreler!$C$10)*Parametreler!$C$5)</f>
      </c>
      <c r="G22" s="15">
        <f>IF($B22="",0,MAX(($D22-$E22-$F22)*Parametreler!$C$6-Parametreler!$C$8,0))</f>
      </c>
      <c r="H22" s="15">
        <f>IF($B22="",0,MAX($D22*Parametreler!$C$7-Parametreler!$C$9,0))</f>
      </c>
      <c r="I22" s="15">
        <f>SUM($E22:$H22)</f>
      </c>
      <c r="J22" s="16">
        <f>IF($B22="","",$D22-$I22)</f>
      </c>
      <c r="K22" s="15">
        <f>IF($B22="","",$D22*1.225+'Personel Kartları'!G22+'Personel Kartları'!H22+'Personel Kartları'!I22)</f>
      </c>
    </row>
    <row r="23" spans="2:11" x14ac:dyDescent="0.25">
      <c r="B23" s="14">
        <f>IF('Personel Kartları'!B23="","",'Personel Kartları'!B23)</f>
      </c>
      <c r="C23" s="14">
        <f>IF('Personel Kartları'!C23="","",'Personel Kartları'!C23)</f>
      </c>
      <c r="D23" s="15">
        <f>IF($B23="",0,'Personel Kartları'!F23)</f>
      </c>
      <c r="E23" s="15">
        <f>IF($B23="",0,MIN($D23,Parametreler!$C$10)*Parametreler!$C$4)</f>
      </c>
      <c r="F23" s="15">
        <f>IF($B23="",0,MIN($D23,Parametreler!$C$10)*Parametreler!$C$5)</f>
      </c>
      <c r="G23" s="15">
        <f>IF($B23="",0,MAX(($D23-$E23-$F23)*Parametreler!$C$6-Parametreler!$C$8,0))</f>
      </c>
      <c r="H23" s="15">
        <f>IF($B23="",0,MAX($D23*Parametreler!$C$7-Parametreler!$C$9,0))</f>
      </c>
      <c r="I23" s="15">
        <f>SUM($E23:$H23)</f>
      </c>
      <c r="J23" s="16">
        <f>IF($B23="","",$D23-$I23)</f>
      </c>
      <c r="K23" s="15">
        <f>IF($B23="","",$D23*1.225+'Personel Kartları'!G23+'Personel Kartları'!H23+'Personel Kartları'!I23)</f>
      </c>
    </row>
    <row r="24" spans="2:11" x14ac:dyDescent="0.25">
      <c r="B24" s="14">
        <f>IF('Personel Kartları'!B24="","",'Personel Kartları'!B24)</f>
      </c>
      <c r="C24" s="14">
        <f>IF('Personel Kartları'!C24="","",'Personel Kartları'!C24)</f>
      </c>
      <c r="D24" s="15">
        <f>IF($B24="",0,'Personel Kartları'!F24)</f>
      </c>
      <c r="E24" s="15">
        <f>IF($B24="",0,MIN($D24,Parametreler!$C$10)*Parametreler!$C$4)</f>
      </c>
      <c r="F24" s="15">
        <f>IF($B24="",0,MIN($D24,Parametreler!$C$10)*Parametreler!$C$5)</f>
      </c>
      <c r="G24" s="15">
        <f>IF($B24="",0,MAX(($D24-$E24-$F24)*Parametreler!$C$6-Parametreler!$C$8,0))</f>
      </c>
      <c r="H24" s="15">
        <f>IF($B24="",0,MAX($D24*Parametreler!$C$7-Parametreler!$C$9,0))</f>
      </c>
      <c r="I24" s="15">
        <f>SUM($E24:$H24)</f>
      </c>
      <c r="J24" s="16">
        <f>IF($B24="","",$D24-$I24)</f>
      </c>
      <c r="K24" s="15">
        <f>IF($B24="","",$D24*1.225+'Personel Kartları'!G24+'Personel Kartları'!H24+'Personel Kartları'!I24)</f>
      </c>
    </row>
    <row r="25" spans="2:11" x14ac:dyDescent="0.25">
      <c r="B25" s="14">
        <f>IF('Personel Kartları'!B25="","",'Personel Kartları'!B25)</f>
      </c>
      <c r="C25" s="14">
        <f>IF('Personel Kartları'!C25="","",'Personel Kartları'!C25)</f>
      </c>
      <c r="D25" s="15">
        <f>IF($B25="",0,'Personel Kartları'!F25)</f>
      </c>
      <c r="E25" s="15">
        <f>IF($B25="",0,MIN($D25,Parametreler!$C$10)*Parametreler!$C$4)</f>
      </c>
      <c r="F25" s="15">
        <f>IF($B25="",0,MIN($D25,Parametreler!$C$10)*Parametreler!$C$5)</f>
      </c>
      <c r="G25" s="15">
        <f>IF($B25="",0,MAX(($D25-$E25-$F25)*Parametreler!$C$6-Parametreler!$C$8,0))</f>
      </c>
      <c r="H25" s="15">
        <f>IF($B25="",0,MAX($D25*Parametreler!$C$7-Parametreler!$C$9,0))</f>
      </c>
      <c r="I25" s="15">
        <f>SUM($E25:$H25)</f>
      </c>
      <c r="J25" s="16">
        <f>IF($B25="","",$D25-$I25)</f>
      </c>
      <c r="K25" s="15">
        <f>IF($B25="","",$D25*1.225+'Personel Kartları'!G25+'Personel Kartları'!H25+'Personel Kartları'!I25)</f>
      </c>
    </row>
    <row r="26" spans="2:11" x14ac:dyDescent="0.25">
      <c r="B26" s="14">
        <f>IF('Personel Kartları'!B26="","",'Personel Kartları'!B26)</f>
      </c>
      <c r="C26" s="14">
        <f>IF('Personel Kartları'!C26="","",'Personel Kartları'!C26)</f>
      </c>
      <c r="D26" s="15">
        <f>IF($B26="",0,'Personel Kartları'!F26)</f>
      </c>
      <c r="E26" s="15">
        <f>IF($B26="",0,MIN($D26,Parametreler!$C$10)*Parametreler!$C$4)</f>
      </c>
      <c r="F26" s="15">
        <f>IF($B26="",0,MIN($D26,Parametreler!$C$10)*Parametreler!$C$5)</f>
      </c>
      <c r="G26" s="15">
        <f>IF($B26="",0,MAX(($D26-$E26-$F26)*Parametreler!$C$6-Parametreler!$C$8,0))</f>
      </c>
      <c r="H26" s="15">
        <f>IF($B26="",0,MAX($D26*Parametreler!$C$7-Parametreler!$C$9,0))</f>
      </c>
      <c r="I26" s="15">
        <f>SUM($E26:$H26)</f>
      </c>
      <c r="J26" s="16">
        <f>IF($B26="","",$D26-$I26)</f>
      </c>
      <c r="K26" s="15">
        <f>IF($B26="","",$D26*1.225+'Personel Kartları'!G26+'Personel Kartları'!H26+'Personel Kartları'!I26)</f>
      </c>
    </row>
    <row r="27" spans="2:11" x14ac:dyDescent="0.25">
      <c r="B27" s="14">
        <f>IF('Personel Kartları'!B27="","",'Personel Kartları'!B27)</f>
      </c>
      <c r="C27" s="14">
        <f>IF('Personel Kartları'!C27="","",'Personel Kartları'!C27)</f>
      </c>
      <c r="D27" s="15">
        <f>IF($B27="",0,'Personel Kartları'!F27)</f>
      </c>
      <c r="E27" s="15">
        <f>IF($B27="",0,MIN($D27,Parametreler!$C$10)*Parametreler!$C$4)</f>
      </c>
      <c r="F27" s="15">
        <f>IF($B27="",0,MIN($D27,Parametreler!$C$10)*Parametreler!$C$5)</f>
      </c>
      <c r="G27" s="15">
        <f>IF($B27="",0,MAX(($D27-$E27-$F27)*Parametreler!$C$6-Parametreler!$C$8,0))</f>
      </c>
      <c r="H27" s="15">
        <f>IF($B27="",0,MAX($D27*Parametreler!$C$7-Parametreler!$C$9,0))</f>
      </c>
      <c r="I27" s="15">
        <f>SUM($E27:$H27)</f>
      </c>
      <c r="J27" s="16">
        <f>IF($B27="","",$D27-$I27)</f>
      </c>
      <c r="K27" s="15">
        <f>IF($B27="","",$D27*1.225+'Personel Kartları'!G27+'Personel Kartları'!H27+'Personel Kartları'!I27)</f>
      </c>
    </row>
    <row r="28" spans="2:11" x14ac:dyDescent="0.25">
      <c r="B28" s="14">
        <f>IF('Personel Kartları'!B28="","",'Personel Kartları'!B28)</f>
      </c>
      <c r="C28" s="14">
        <f>IF('Personel Kartları'!C28="","",'Personel Kartları'!C28)</f>
      </c>
      <c r="D28" s="15">
        <f>IF($B28="",0,'Personel Kartları'!F28)</f>
      </c>
      <c r="E28" s="15">
        <f>IF($B28="",0,MIN($D28,Parametreler!$C$10)*Parametreler!$C$4)</f>
      </c>
      <c r="F28" s="15">
        <f>IF($B28="",0,MIN($D28,Parametreler!$C$10)*Parametreler!$C$5)</f>
      </c>
      <c r="G28" s="15">
        <f>IF($B28="",0,MAX(($D28-$E28-$F28)*Parametreler!$C$6-Parametreler!$C$8,0))</f>
      </c>
      <c r="H28" s="15">
        <f>IF($B28="",0,MAX($D28*Parametreler!$C$7-Parametreler!$C$9,0))</f>
      </c>
      <c r="I28" s="15">
        <f>SUM($E28:$H28)</f>
      </c>
      <c r="J28" s="16">
        <f>IF($B28="","",$D28-$I28)</f>
      </c>
      <c r="K28" s="15">
        <f>IF($B28="","",$D28*1.225+'Personel Kartları'!G28+'Personel Kartları'!H28+'Personel Kartları'!I28)</f>
      </c>
    </row>
    <row r="29" spans="2:11" x14ac:dyDescent="0.25">
      <c r="B29" s="14">
        <f>IF('Personel Kartları'!B29="","",'Personel Kartları'!B29)</f>
      </c>
      <c r="C29" s="14">
        <f>IF('Personel Kartları'!C29="","",'Personel Kartları'!C29)</f>
      </c>
      <c r="D29" s="15">
        <f>IF($B29="",0,'Personel Kartları'!F29)</f>
      </c>
      <c r="E29" s="15">
        <f>IF($B29="",0,MIN($D29,Parametreler!$C$10)*Parametreler!$C$4)</f>
      </c>
      <c r="F29" s="15">
        <f>IF($B29="",0,MIN($D29,Parametreler!$C$10)*Parametreler!$C$5)</f>
      </c>
      <c r="G29" s="15">
        <f>IF($B29="",0,MAX(($D29-$E29-$F29)*Parametreler!$C$6-Parametreler!$C$8,0))</f>
      </c>
      <c r="H29" s="15">
        <f>IF($B29="",0,MAX($D29*Parametreler!$C$7-Parametreler!$C$9,0))</f>
      </c>
      <c r="I29" s="15">
        <f>SUM($E29:$H29)</f>
      </c>
      <c r="J29" s="16">
        <f>IF($B29="","",$D29-$I29)</f>
      </c>
      <c r="K29" s="15">
        <f>IF($B29="","",$D29*1.225+'Personel Kartları'!G29+'Personel Kartları'!H29+'Personel Kartları'!I29)</f>
      </c>
    </row>
    <row r="30" spans="2:11" x14ac:dyDescent="0.25">
      <c r="B30" s="14">
        <f>IF('Personel Kartları'!B30="","",'Personel Kartları'!B30)</f>
      </c>
      <c r="C30" s="14">
        <f>IF('Personel Kartları'!C30="","",'Personel Kartları'!C30)</f>
      </c>
      <c r="D30" s="15">
        <f>IF($B30="",0,'Personel Kartları'!F30)</f>
      </c>
      <c r="E30" s="15">
        <f>IF($B30="",0,MIN($D30,Parametreler!$C$10)*Parametreler!$C$4)</f>
      </c>
      <c r="F30" s="15">
        <f>IF($B30="",0,MIN($D30,Parametreler!$C$10)*Parametreler!$C$5)</f>
      </c>
      <c r="G30" s="15">
        <f>IF($B30="",0,MAX(($D30-$E30-$F30)*Parametreler!$C$6-Parametreler!$C$8,0))</f>
      </c>
      <c r="H30" s="15">
        <f>IF($B30="",0,MAX($D30*Parametreler!$C$7-Parametreler!$C$9,0))</f>
      </c>
      <c r="I30" s="15">
        <f>SUM($E30:$H30)</f>
      </c>
      <c r="J30" s="16">
        <f>IF($B30="","",$D30-$I30)</f>
      </c>
      <c r="K30" s="15">
        <f>IF($B30="","",$D30*1.225+'Personel Kartları'!G30+'Personel Kartları'!H30+'Personel Kartları'!I30)</f>
      </c>
    </row>
    <row r="31" spans="2:11" x14ac:dyDescent="0.25">
      <c r="B31" s="14">
        <f>IF('Personel Kartları'!B31="","",'Personel Kartları'!B31)</f>
      </c>
      <c r="C31" s="14">
        <f>IF('Personel Kartları'!C31="","",'Personel Kartları'!C31)</f>
      </c>
      <c r="D31" s="15">
        <f>IF($B31="",0,'Personel Kartları'!F31)</f>
      </c>
      <c r="E31" s="15">
        <f>IF($B31="",0,MIN($D31,Parametreler!$C$10)*Parametreler!$C$4)</f>
      </c>
      <c r="F31" s="15">
        <f>IF($B31="",0,MIN($D31,Parametreler!$C$10)*Parametreler!$C$5)</f>
      </c>
      <c r="G31" s="15">
        <f>IF($B31="",0,MAX(($D31-$E31-$F31)*Parametreler!$C$6-Parametreler!$C$8,0))</f>
      </c>
      <c r="H31" s="15">
        <f>IF($B31="",0,MAX($D31*Parametreler!$C$7-Parametreler!$C$9,0))</f>
      </c>
      <c r="I31" s="15">
        <f>SUM($E31:$H31)</f>
      </c>
      <c r="J31" s="16">
        <f>IF($B31="","",$D31-$I31)</f>
      </c>
      <c r="K31" s="15">
        <f>IF($B31="","",$D31*1.225+'Personel Kartları'!G31+'Personel Kartları'!H31+'Personel Kartları'!I31)</f>
      </c>
    </row>
    <row r="32" spans="2:11" x14ac:dyDescent="0.25">
      <c r="B32" s="14">
        <f>IF('Personel Kartları'!B32="","",'Personel Kartları'!B32)</f>
      </c>
      <c r="C32" s="14">
        <f>IF('Personel Kartları'!C32="","",'Personel Kartları'!C32)</f>
      </c>
      <c r="D32" s="15">
        <f>IF($B32="",0,'Personel Kartları'!F32)</f>
      </c>
      <c r="E32" s="15">
        <f>IF($B32="",0,MIN($D32,Parametreler!$C$10)*Parametreler!$C$4)</f>
      </c>
      <c r="F32" s="15">
        <f>IF($B32="",0,MIN($D32,Parametreler!$C$10)*Parametreler!$C$5)</f>
      </c>
      <c r="G32" s="15">
        <f>IF($B32="",0,MAX(($D32-$E32-$F32)*Parametreler!$C$6-Parametreler!$C$8,0))</f>
      </c>
      <c r="H32" s="15">
        <f>IF($B32="",0,MAX($D32*Parametreler!$C$7-Parametreler!$C$9,0))</f>
      </c>
      <c r="I32" s="15">
        <f>SUM($E32:$H32)</f>
      </c>
      <c r="J32" s="16">
        <f>IF($B32="","",$D32-$I32)</f>
      </c>
      <c r="K32" s="15">
        <f>IF($B32="","",$D32*1.225+'Personel Kartları'!G32+'Personel Kartları'!H32+'Personel Kartları'!I32)</f>
      </c>
    </row>
    <row r="33" spans="2:11" x14ac:dyDescent="0.25">
      <c r="B33" s="14">
        <f>IF('Personel Kartları'!B33="","",'Personel Kartları'!B33)</f>
      </c>
      <c r="C33" s="14">
        <f>IF('Personel Kartları'!C33="","",'Personel Kartları'!C33)</f>
      </c>
      <c r="D33" s="15">
        <f>IF($B33="",0,'Personel Kartları'!F33)</f>
      </c>
      <c r="E33" s="15">
        <f>IF($B33="",0,MIN($D33,Parametreler!$C$10)*Parametreler!$C$4)</f>
      </c>
      <c r="F33" s="15">
        <f>IF($B33="",0,MIN($D33,Parametreler!$C$10)*Parametreler!$C$5)</f>
      </c>
      <c r="G33" s="15">
        <f>IF($B33="",0,MAX(($D33-$E33-$F33)*Parametreler!$C$6-Parametreler!$C$8,0))</f>
      </c>
      <c r="H33" s="15">
        <f>IF($B33="",0,MAX($D33*Parametreler!$C$7-Parametreler!$C$9,0))</f>
      </c>
      <c r="I33" s="15">
        <f>SUM($E33:$H33)</f>
      </c>
      <c r="J33" s="16">
        <f>IF($B33="","",$D33-$I33)</f>
      </c>
      <c r="K33" s="15">
        <f>IF($B33="","",$D33*1.225+'Personel Kartları'!G33+'Personel Kartları'!H33+'Personel Kartları'!I33)</f>
      </c>
    </row>
    <row r="34" spans="2:11" x14ac:dyDescent="0.25">
      <c r="B34" s="14">
        <f>IF('Personel Kartları'!B34="","",'Personel Kartları'!B34)</f>
      </c>
      <c r="C34" s="14">
        <f>IF('Personel Kartları'!C34="","",'Personel Kartları'!C34)</f>
      </c>
      <c r="D34" s="15">
        <f>IF($B34="",0,'Personel Kartları'!F34)</f>
      </c>
      <c r="E34" s="15">
        <f>IF($B34="",0,MIN($D34,Parametreler!$C$10)*Parametreler!$C$4)</f>
      </c>
      <c r="F34" s="15">
        <f>IF($B34="",0,MIN($D34,Parametreler!$C$10)*Parametreler!$C$5)</f>
      </c>
      <c r="G34" s="15">
        <f>IF($B34="",0,MAX(($D34-$E34-$F34)*Parametreler!$C$6-Parametreler!$C$8,0))</f>
      </c>
      <c r="H34" s="15">
        <f>IF($B34="",0,MAX($D34*Parametreler!$C$7-Parametreler!$C$9,0))</f>
      </c>
      <c r="I34" s="15">
        <f>SUM($E34:$H34)</f>
      </c>
      <c r="J34" s="16">
        <f>IF($B34="","",$D34-$I34)</f>
      </c>
      <c r="K34" s="15">
        <f>IF($B34="","",$D34*1.225+'Personel Kartları'!G34+'Personel Kartları'!H34+'Personel Kartları'!I34)</f>
      </c>
    </row>
    <row r="35" spans="2:11" x14ac:dyDescent="0.25">
      <c r="B35" s="14">
        <f>IF('Personel Kartları'!B35="","",'Personel Kartları'!B35)</f>
      </c>
      <c r="C35" s="14">
        <f>IF('Personel Kartları'!C35="","",'Personel Kartları'!C35)</f>
      </c>
      <c r="D35" s="15">
        <f>IF($B35="",0,'Personel Kartları'!F35)</f>
      </c>
      <c r="E35" s="15">
        <f>IF($B35="",0,MIN($D35,Parametreler!$C$10)*Parametreler!$C$4)</f>
      </c>
      <c r="F35" s="15">
        <f>IF($B35="",0,MIN($D35,Parametreler!$C$10)*Parametreler!$C$5)</f>
      </c>
      <c r="G35" s="15">
        <f>IF($B35="",0,MAX(($D35-$E35-$F35)*Parametreler!$C$6-Parametreler!$C$8,0))</f>
      </c>
      <c r="H35" s="15">
        <f>IF($B35="",0,MAX($D35*Parametreler!$C$7-Parametreler!$C$9,0))</f>
      </c>
      <c r="I35" s="15">
        <f>SUM($E35:$H35)</f>
      </c>
      <c r="J35" s="16">
        <f>IF($B35="","",$D35-$I35)</f>
      </c>
      <c r="K35" s="15">
        <f>IF($B35="","",$D35*1.225+'Personel Kartları'!G35+'Personel Kartları'!H35+'Personel Kartları'!I35)</f>
      </c>
    </row>
    <row r="36" spans="2:11" x14ac:dyDescent="0.25">
      <c r="B36" s="14">
        <f>IF('Personel Kartları'!B36="","",'Personel Kartları'!B36)</f>
      </c>
      <c r="C36" s="14">
        <f>IF('Personel Kartları'!C36="","",'Personel Kartları'!C36)</f>
      </c>
      <c r="D36" s="15">
        <f>IF($B36="",0,'Personel Kartları'!F36)</f>
      </c>
      <c r="E36" s="15">
        <f>IF($B36="",0,MIN($D36,Parametreler!$C$10)*Parametreler!$C$4)</f>
      </c>
      <c r="F36" s="15">
        <f>IF($B36="",0,MIN($D36,Parametreler!$C$10)*Parametreler!$C$5)</f>
      </c>
      <c r="G36" s="15">
        <f>IF($B36="",0,MAX(($D36-$E36-$F36)*Parametreler!$C$6-Parametreler!$C$8,0))</f>
      </c>
      <c r="H36" s="15">
        <f>IF($B36="",0,MAX($D36*Parametreler!$C$7-Parametreler!$C$9,0))</f>
      </c>
      <c r="I36" s="15">
        <f>SUM($E36:$H36)</f>
      </c>
      <c r="J36" s="16">
        <f>IF($B36="","",$D36-$I36)</f>
      </c>
      <c r="K36" s="15">
        <f>IF($B36="","",$D36*1.225+'Personel Kartları'!G36+'Personel Kartları'!H36+'Personel Kartları'!I36)</f>
      </c>
    </row>
    <row r="37" spans="2:11" x14ac:dyDescent="0.25">
      <c r="B37" s="14">
        <f>IF('Personel Kartları'!B37="","",'Personel Kartları'!B37)</f>
      </c>
      <c r="C37" s="14">
        <f>IF('Personel Kartları'!C37="","",'Personel Kartları'!C37)</f>
      </c>
      <c r="D37" s="15">
        <f>IF($B37="",0,'Personel Kartları'!F37)</f>
      </c>
      <c r="E37" s="15">
        <f>IF($B37="",0,MIN($D37,Parametreler!$C$10)*Parametreler!$C$4)</f>
      </c>
      <c r="F37" s="15">
        <f>IF($B37="",0,MIN($D37,Parametreler!$C$10)*Parametreler!$C$5)</f>
      </c>
      <c r="G37" s="15">
        <f>IF($B37="",0,MAX(($D37-$E37-$F37)*Parametreler!$C$6-Parametreler!$C$8,0))</f>
      </c>
      <c r="H37" s="15">
        <f>IF($B37="",0,MAX($D37*Parametreler!$C$7-Parametreler!$C$9,0))</f>
      </c>
      <c r="I37" s="15">
        <f>SUM($E37:$H37)</f>
      </c>
      <c r="J37" s="16">
        <f>IF($B37="","",$D37-$I37)</f>
      </c>
      <c r="K37" s="15">
        <f>IF($B37="","",$D37*1.225+'Personel Kartları'!G37+'Personel Kartları'!H37+'Personel Kartları'!I37)</f>
      </c>
    </row>
    <row r="38" spans="2:11" x14ac:dyDescent="0.25">
      <c r="B38" s="14">
        <f>IF('Personel Kartları'!B38="","",'Personel Kartları'!B38)</f>
      </c>
      <c r="C38" s="14">
        <f>IF('Personel Kartları'!C38="","",'Personel Kartları'!C38)</f>
      </c>
      <c r="D38" s="15">
        <f>IF($B38="",0,'Personel Kartları'!F38)</f>
      </c>
      <c r="E38" s="15">
        <f>IF($B38="",0,MIN($D38,Parametreler!$C$10)*Parametreler!$C$4)</f>
      </c>
      <c r="F38" s="15">
        <f>IF($B38="",0,MIN($D38,Parametreler!$C$10)*Parametreler!$C$5)</f>
      </c>
      <c r="G38" s="15">
        <f>IF($B38="",0,MAX(($D38-$E38-$F38)*Parametreler!$C$6-Parametreler!$C$8,0))</f>
      </c>
      <c r="H38" s="15">
        <f>IF($B38="",0,MAX($D38*Parametreler!$C$7-Parametreler!$C$9,0))</f>
      </c>
      <c r="I38" s="15">
        <f>SUM($E38:$H38)</f>
      </c>
      <c r="J38" s="16">
        <f>IF($B38="","",$D38-$I38)</f>
      </c>
      <c r="K38" s="15">
        <f>IF($B38="","",$D38*1.225+'Personel Kartları'!G38+'Personel Kartları'!H38+'Personel Kartları'!I38)</f>
      </c>
    </row>
    <row r="39" spans="2:11" x14ac:dyDescent="0.25">
      <c r="B39" s="14">
        <f>IF('Personel Kartları'!B39="","",'Personel Kartları'!B39)</f>
      </c>
      <c r="C39" s="14">
        <f>IF('Personel Kartları'!C39="","",'Personel Kartları'!C39)</f>
      </c>
      <c r="D39" s="15">
        <f>IF($B39="",0,'Personel Kartları'!F39)</f>
      </c>
      <c r="E39" s="15">
        <f>IF($B39="",0,MIN($D39,Parametreler!$C$10)*Parametreler!$C$4)</f>
      </c>
      <c r="F39" s="15">
        <f>IF($B39="",0,MIN($D39,Parametreler!$C$10)*Parametreler!$C$5)</f>
      </c>
      <c r="G39" s="15">
        <f>IF($B39="",0,MAX(($D39-$E39-$F39)*Parametreler!$C$6-Parametreler!$C$8,0))</f>
      </c>
      <c r="H39" s="15">
        <f>IF($B39="",0,MAX($D39*Parametreler!$C$7-Parametreler!$C$9,0))</f>
      </c>
      <c r="I39" s="15">
        <f>SUM($E39:$H39)</f>
      </c>
      <c r="J39" s="16">
        <f>IF($B39="","",$D39-$I39)</f>
      </c>
      <c r="K39" s="15">
        <f>IF($B39="","",$D39*1.225+'Personel Kartları'!G39+'Personel Kartları'!H39+'Personel Kartları'!I39)</f>
      </c>
    </row>
    <row r="40" spans="2:11" x14ac:dyDescent="0.25">
      <c r="B40" s="14">
        <f>IF('Personel Kartları'!B40="","",'Personel Kartları'!B40)</f>
      </c>
      <c r="C40" s="14">
        <f>IF('Personel Kartları'!C40="","",'Personel Kartları'!C40)</f>
      </c>
      <c r="D40" s="15">
        <f>IF($B40="",0,'Personel Kartları'!F40)</f>
      </c>
      <c r="E40" s="15">
        <f>IF($B40="",0,MIN($D40,Parametreler!$C$10)*Parametreler!$C$4)</f>
      </c>
      <c r="F40" s="15">
        <f>IF($B40="",0,MIN($D40,Parametreler!$C$10)*Parametreler!$C$5)</f>
      </c>
      <c r="G40" s="15">
        <f>IF($B40="",0,MAX(($D40-$E40-$F40)*Parametreler!$C$6-Parametreler!$C$8,0))</f>
      </c>
      <c r="H40" s="15">
        <f>IF($B40="",0,MAX($D40*Parametreler!$C$7-Parametreler!$C$9,0))</f>
      </c>
      <c r="I40" s="15">
        <f>SUM($E40:$H40)</f>
      </c>
      <c r="J40" s="16">
        <f>IF($B40="","",$D40-$I40)</f>
      </c>
      <c r="K40" s="15">
        <f>IF($B40="","",$D40*1.225+'Personel Kartları'!G40+'Personel Kartları'!H40+'Personel Kartları'!I40)</f>
      </c>
    </row>
    <row r="41" spans="2:11" x14ac:dyDescent="0.25">
      <c r="B41" s="14">
        <f>IF('Personel Kartları'!B41="","",'Personel Kartları'!B41)</f>
      </c>
      <c r="C41" s="14">
        <f>IF('Personel Kartları'!C41="","",'Personel Kartları'!C41)</f>
      </c>
      <c r="D41" s="15">
        <f>IF($B41="",0,'Personel Kartları'!F41)</f>
      </c>
      <c r="E41" s="15">
        <f>IF($B41="",0,MIN($D41,Parametreler!$C$10)*Parametreler!$C$4)</f>
      </c>
      <c r="F41" s="15">
        <f>IF($B41="",0,MIN($D41,Parametreler!$C$10)*Parametreler!$C$5)</f>
      </c>
      <c r="G41" s="15">
        <f>IF($B41="",0,MAX(($D41-$E41-$F41)*Parametreler!$C$6-Parametreler!$C$8,0))</f>
      </c>
      <c r="H41" s="15">
        <f>IF($B41="",0,MAX($D41*Parametreler!$C$7-Parametreler!$C$9,0))</f>
      </c>
      <c r="I41" s="15">
        <f>SUM($E41:$H41)</f>
      </c>
      <c r="J41" s="16">
        <f>IF($B41="","",$D41-$I41)</f>
      </c>
      <c r="K41" s="15">
        <f>IF($B41="","",$D41*1.225+'Personel Kartları'!G41+'Personel Kartları'!H41+'Personel Kartları'!I41)</f>
      </c>
    </row>
    <row r="42" spans="2:11" x14ac:dyDescent="0.25">
      <c r="B42" s="14">
        <f>IF('Personel Kartları'!B42="","",'Personel Kartları'!B42)</f>
      </c>
      <c r="C42" s="14">
        <f>IF('Personel Kartları'!C42="","",'Personel Kartları'!C42)</f>
      </c>
      <c r="D42" s="15">
        <f>IF($B42="",0,'Personel Kartları'!F42)</f>
      </c>
      <c r="E42" s="15">
        <f>IF($B42="",0,MIN($D42,Parametreler!$C$10)*Parametreler!$C$4)</f>
      </c>
      <c r="F42" s="15">
        <f>IF($B42="",0,MIN($D42,Parametreler!$C$10)*Parametreler!$C$5)</f>
      </c>
      <c r="G42" s="15">
        <f>IF($B42="",0,MAX(($D42-$E42-$F42)*Parametreler!$C$6-Parametreler!$C$8,0))</f>
      </c>
      <c r="H42" s="15">
        <f>IF($B42="",0,MAX($D42*Parametreler!$C$7-Parametreler!$C$9,0))</f>
      </c>
      <c r="I42" s="15">
        <f>SUM($E42:$H42)</f>
      </c>
      <c r="J42" s="16">
        <f>IF($B42="","",$D42-$I42)</f>
      </c>
      <c r="K42" s="15">
        <f>IF($B42="","",$D42*1.225+'Personel Kartları'!G42+'Personel Kartları'!H42+'Personel Kartları'!I42)</f>
      </c>
    </row>
    <row r="43" spans="2:11" x14ac:dyDescent="0.25">
      <c r="B43" s="14">
        <f>IF('Personel Kartları'!B43="","",'Personel Kartları'!B43)</f>
      </c>
      <c r="C43" s="14">
        <f>IF('Personel Kartları'!C43="","",'Personel Kartları'!C43)</f>
      </c>
      <c r="D43" s="15">
        <f>IF($B43="",0,'Personel Kartları'!F43)</f>
      </c>
      <c r="E43" s="15">
        <f>IF($B43="",0,MIN($D43,Parametreler!$C$10)*Parametreler!$C$4)</f>
      </c>
      <c r="F43" s="15">
        <f>IF($B43="",0,MIN($D43,Parametreler!$C$10)*Parametreler!$C$5)</f>
      </c>
      <c r="G43" s="15">
        <f>IF($B43="",0,MAX(($D43-$E43-$F43)*Parametreler!$C$6-Parametreler!$C$8,0))</f>
      </c>
      <c r="H43" s="15">
        <f>IF($B43="",0,MAX($D43*Parametreler!$C$7-Parametreler!$C$9,0))</f>
      </c>
      <c r="I43" s="15">
        <f>SUM($E43:$H43)</f>
      </c>
      <c r="J43" s="16">
        <f>IF($B43="","",$D43-$I43)</f>
      </c>
      <c r="K43" s="15">
        <f>IF($B43="","",$D43*1.225+'Personel Kartları'!G43+'Personel Kartları'!H43+'Personel Kartları'!I43)</f>
      </c>
    </row>
    <row r="44" spans="2:11" x14ac:dyDescent="0.25">
      <c r="B44" s="14">
        <f>IF('Personel Kartları'!B44="","",'Personel Kartları'!B44)</f>
      </c>
      <c r="C44" s="14">
        <f>IF('Personel Kartları'!C44="","",'Personel Kartları'!C44)</f>
      </c>
      <c r="D44" s="15">
        <f>IF($B44="",0,'Personel Kartları'!F44)</f>
      </c>
      <c r="E44" s="15">
        <f>IF($B44="",0,MIN($D44,Parametreler!$C$10)*Parametreler!$C$4)</f>
      </c>
      <c r="F44" s="15">
        <f>IF($B44="",0,MIN($D44,Parametreler!$C$10)*Parametreler!$C$5)</f>
      </c>
      <c r="G44" s="15">
        <f>IF($B44="",0,MAX(($D44-$E44-$F44)*Parametreler!$C$6-Parametreler!$C$8,0))</f>
      </c>
      <c r="H44" s="15">
        <f>IF($B44="",0,MAX($D44*Parametreler!$C$7-Parametreler!$C$9,0))</f>
      </c>
      <c r="I44" s="15">
        <f>SUM($E44:$H44)</f>
      </c>
      <c r="J44" s="16">
        <f>IF($B44="","",$D44-$I44)</f>
      </c>
      <c r="K44" s="15">
        <f>IF($B44="","",$D44*1.225+'Personel Kartları'!G44+'Personel Kartları'!H44+'Personel Kartları'!I44)</f>
      </c>
    </row>
    <row r="45" spans="2:11" x14ac:dyDescent="0.25">
      <c r="B45" s="14">
        <f>IF('Personel Kartları'!B45="","",'Personel Kartları'!B45)</f>
      </c>
      <c r="C45" s="14">
        <f>IF('Personel Kartları'!C45="","",'Personel Kartları'!C45)</f>
      </c>
      <c r="D45" s="15">
        <f>IF($B45="",0,'Personel Kartları'!F45)</f>
      </c>
      <c r="E45" s="15">
        <f>IF($B45="",0,MIN($D45,Parametreler!$C$10)*Parametreler!$C$4)</f>
      </c>
      <c r="F45" s="15">
        <f>IF($B45="",0,MIN($D45,Parametreler!$C$10)*Parametreler!$C$5)</f>
      </c>
      <c r="G45" s="15">
        <f>IF($B45="",0,MAX(($D45-$E45-$F45)*Parametreler!$C$6-Parametreler!$C$8,0))</f>
      </c>
      <c r="H45" s="15">
        <f>IF($B45="",0,MAX($D45*Parametreler!$C$7-Parametreler!$C$9,0))</f>
      </c>
      <c r="I45" s="15">
        <f>SUM($E45:$H45)</f>
      </c>
      <c r="J45" s="16">
        <f>IF($B45="","",$D45-$I45)</f>
      </c>
      <c r="K45" s="15">
        <f>IF($B45="","",$D45*1.225+'Personel Kartları'!G45+'Personel Kartları'!H45+'Personel Kartları'!I45)</f>
      </c>
    </row>
    <row r="46" spans="2:11" x14ac:dyDescent="0.25">
      <c r="B46" s="14">
        <f>IF('Personel Kartları'!B46="","",'Personel Kartları'!B46)</f>
      </c>
      <c r="C46" s="14">
        <f>IF('Personel Kartları'!C46="","",'Personel Kartları'!C46)</f>
      </c>
      <c r="D46" s="15">
        <f>IF($B46="",0,'Personel Kartları'!F46)</f>
      </c>
      <c r="E46" s="15">
        <f>IF($B46="",0,MIN($D46,Parametreler!$C$10)*Parametreler!$C$4)</f>
      </c>
      <c r="F46" s="15">
        <f>IF($B46="",0,MIN($D46,Parametreler!$C$10)*Parametreler!$C$5)</f>
      </c>
      <c r="G46" s="15">
        <f>IF($B46="",0,MAX(($D46-$E46-$F46)*Parametreler!$C$6-Parametreler!$C$8,0))</f>
      </c>
      <c r="H46" s="15">
        <f>IF($B46="",0,MAX($D46*Parametreler!$C$7-Parametreler!$C$9,0))</f>
      </c>
      <c r="I46" s="15">
        <f>SUM($E46:$H46)</f>
      </c>
      <c r="J46" s="16">
        <f>IF($B46="","",$D46-$I46)</f>
      </c>
      <c r="K46" s="15">
        <f>IF($B46="","",$D46*1.225+'Personel Kartları'!G46+'Personel Kartları'!H46+'Personel Kartları'!I46)</f>
      </c>
    </row>
    <row r="47" spans="2:11" x14ac:dyDescent="0.25">
      <c r="B47" s="14">
        <f>IF('Personel Kartları'!B47="","",'Personel Kartları'!B47)</f>
      </c>
      <c r="C47" s="14">
        <f>IF('Personel Kartları'!C47="","",'Personel Kartları'!C47)</f>
      </c>
      <c r="D47" s="15">
        <f>IF($B47="",0,'Personel Kartları'!F47)</f>
      </c>
      <c r="E47" s="15">
        <f>IF($B47="",0,MIN($D47,Parametreler!$C$10)*Parametreler!$C$4)</f>
      </c>
      <c r="F47" s="15">
        <f>IF($B47="",0,MIN($D47,Parametreler!$C$10)*Parametreler!$C$5)</f>
      </c>
      <c r="G47" s="15">
        <f>IF($B47="",0,MAX(($D47-$E47-$F47)*Parametreler!$C$6-Parametreler!$C$8,0))</f>
      </c>
      <c r="H47" s="15">
        <f>IF($B47="",0,MAX($D47*Parametreler!$C$7-Parametreler!$C$9,0))</f>
      </c>
      <c r="I47" s="15">
        <f>SUM($E47:$H47)</f>
      </c>
      <c r="J47" s="16">
        <f>IF($B47="","",$D47-$I47)</f>
      </c>
      <c r="K47" s="15">
        <f>IF($B47="","",$D47*1.225+'Personel Kartları'!G47+'Personel Kartları'!H47+'Personel Kartları'!I47)</f>
      </c>
    </row>
    <row r="48" spans="2:11" x14ac:dyDescent="0.25">
      <c r="B48" s="14">
        <f>IF('Personel Kartları'!B48="","",'Personel Kartları'!B48)</f>
      </c>
      <c r="C48" s="14">
        <f>IF('Personel Kartları'!C48="","",'Personel Kartları'!C48)</f>
      </c>
      <c r="D48" s="15">
        <f>IF($B48="",0,'Personel Kartları'!F48)</f>
      </c>
      <c r="E48" s="15">
        <f>IF($B48="",0,MIN($D48,Parametreler!$C$10)*Parametreler!$C$4)</f>
      </c>
      <c r="F48" s="15">
        <f>IF($B48="",0,MIN($D48,Parametreler!$C$10)*Parametreler!$C$5)</f>
      </c>
      <c r="G48" s="15">
        <f>IF($B48="",0,MAX(($D48-$E48-$F48)*Parametreler!$C$6-Parametreler!$C$8,0))</f>
      </c>
      <c r="H48" s="15">
        <f>IF($B48="",0,MAX($D48*Parametreler!$C$7-Parametreler!$C$9,0))</f>
      </c>
      <c r="I48" s="15">
        <f>SUM($E48:$H48)</f>
      </c>
      <c r="J48" s="16">
        <f>IF($B48="","",$D48-$I48)</f>
      </c>
      <c r="K48" s="15">
        <f>IF($B48="","",$D48*1.225+'Personel Kartları'!G48+'Personel Kartları'!H48+'Personel Kartları'!I48)</f>
      </c>
    </row>
    <row r="49" spans="2:11" x14ac:dyDescent="0.25">
      <c r="B49" s="14">
        <f>IF('Personel Kartları'!B49="","",'Personel Kartları'!B49)</f>
      </c>
      <c r="C49" s="14">
        <f>IF('Personel Kartları'!C49="","",'Personel Kartları'!C49)</f>
      </c>
      <c r="D49" s="15">
        <f>IF($B49="",0,'Personel Kartları'!F49)</f>
      </c>
      <c r="E49" s="15">
        <f>IF($B49="",0,MIN($D49,Parametreler!$C$10)*Parametreler!$C$4)</f>
      </c>
      <c r="F49" s="15">
        <f>IF($B49="",0,MIN($D49,Parametreler!$C$10)*Parametreler!$C$5)</f>
      </c>
      <c r="G49" s="15">
        <f>IF($B49="",0,MAX(($D49-$E49-$F49)*Parametreler!$C$6-Parametreler!$C$8,0))</f>
      </c>
      <c r="H49" s="15">
        <f>IF($B49="",0,MAX($D49*Parametreler!$C$7-Parametreler!$C$9,0))</f>
      </c>
      <c r="I49" s="15">
        <f>SUM($E49:$H49)</f>
      </c>
      <c r="J49" s="16">
        <f>IF($B49="","",$D49-$I49)</f>
      </c>
      <c r="K49" s="15">
        <f>IF($B49="","",$D49*1.225+'Personel Kartları'!G49+'Personel Kartları'!H49+'Personel Kartları'!I49)</f>
      </c>
    </row>
    <row r="50" spans="2:11" x14ac:dyDescent="0.25">
      <c r="B50" s="14">
        <f>IF('Personel Kartları'!B50="","",'Personel Kartları'!B50)</f>
      </c>
      <c r="C50" s="14">
        <f>IF('Personel Kartları'!C50="","",'Personel Kartları'!C50)</f>
      </c>
      <c r="D50" s="15">
        <f>IF($B50="",0,'Personel Kartları'!F50)</f>
      </c>
      <c r="E50" s="15">
        <f>IF($B50="",0,MIN($D50,Parametreler!$C$10)*Parametreler!$C$4)</f>
      </c>
      <c r="F50" s="15">
        <f>IF($B50="",0,MIN($D50,Parametreler!$C$10)*Parametreler!$C$5)</f>
      </c>
      <c r="G50" s="15">
        <f>IF($B50="",0,MAX(($D50-$E50-$F50)*Parametreler!$C$6-Parametreler!$C$8,0))</f>
      </c>
      <c r="H50" s="15">
        <f>IF($B50="",0,MAX($D50*Parametreler!$C$7-Parametreler!$C$9,0))</f>
      </c>
      <c r="I50" s="15">
        <f>SUM($E50:$H50)</f>
      </c>
      <c r="J50" s="16">
        <f>IF($B50="","",$D50-$I50)</f>
      </c>
      <c r="K50" s="15">
        <f>IF($B50="","",$D50*1.225+'Personel Kartları'!G50+'Personel Kartları'!H50+'Personel Kartları'!I50)</f>
      </c>
    </row>
    <row r="51" spans="2:11" x14ac:dyDescent="0.25">
      <c r="B51" s="14">
        <f>IF('Personel Kartları'!B51="","",'Personel Kartları'!B51)</f>
      </c>
      <c r="C51" s="14">
        <f>IF('Personel Kartları'!C51="","",'Personel Kartları'!C51)</f>
      </c>
      <c r="D51" s="15">
        <f>IF($B51="",0,'Personel Kartları'!F51)</f>
      </c>
      <c r="E51" s="15">
        <f>IF($B51="",0,MIN($D51,Parametreler!$C$10)*Parametreler!$C$4)</f>
      </c>
      <c r="F51" s="15">
        <f>IF($B51="",0,MIN($D51,Parametreler!$C$10)*Parametreler!$C$5)</f>
      </c>
      <c r="G51" s="15">
        <f>IF($B51="",0,MAX(($D51-$E51-$F51)*Parametreler!$C$6-Parametreler!$C$8,0))</f>
      </c>
      <c r="H51" s="15">
        <f>IF($B51="",0,MAX($D51*Parametreler!$C$7-Parametreler!$C$9,0))</f>
      </c>
      <c r="I51" s="15">
        <f>SUM($E51:$H51)</f>
      </c>
      <c r="J51" s="16">
        <f>IF($B51="","",$D51-$I51)</f>
      </c>
      <c r="K51" s="15">
        <f>IF($B51="","",$D51*1.225+'Personel Kartları'!G51+'Personel Kartları'!H51+'Personel Kartları'!I51)</f>
      </c>
    </row>
    <row r="52" spans="2:11" x14ac:dyDescent="0.25">
      <c r="B52" s="14">
        <f>IF('Personel Kartları'!B52="","",'Personel Kartları'!B52)</f>
      </c>
      <c r="C52" s="14">
        <f>IF('Personel Kartları'!C52="","",'Personel Kartları'!C52)</f>
      </c>
      <c r="D52" s="15">
        <f>IF($B52="",0,'Personel Kartları'!F52)</f>
      </c>
      <c r="E52" s="15">
        <f>IF($B52="",0,MIN($D52,Parametreler!$C$10)*Parametreler!$C$4)</f>
      </c>
      <c r="F52" s="15">
        <f>IF($B52="",0,MIN($D52,Parametreler!$C$10)*Parametreler!$C$5)</f>
      </c>
      <c r="G52" s="15">
        <f>IF($B52="",0,MAX(($D52-$E52-$F52)*Parametreler!$C$6-Parametreler!$C$8,0))</f>
      </c>
      <c r="H52" s="15">
        <f>IF($B52="",0,MAX($D52*Parametreler!$C$7-Parametreler!$C$9,0))</f>
      </c>
      <c r="I52" s="15">
        <f>SUM($E52:$H52)</f>
      </c>
      <c r="J52" s="16">
        <f>IF($B52="","",$D52-$I52)</f>
      </c>
      <c r="K52" s="15">
        <f>IF($B52="","",$D52*1.225+'Personel Kartları'!G52+'Personel Kartları'!H52+'Personel Kartları'!I52)</f>
      </c>
    </row>
    <row r="53" spans="2:11" x14ac:dyDescent="0.25">
      <c r="B53" s="14">
        <f>IF('Personel Kartları'!B53="","",'Personel Kartları'!B53)</f>
      </c>
      <c r="C53" s="14">
        <f>IF('Personel Kartları'!C53="","",'Personel Kartları'!C53)</f>
      </c>
      <c r="D53" s="15">
        <f>IF($B53="",0,'Personel Kartları'!F53)</f>
      </c>
      <c r="E53" s="15">
        <f>IF($B53="",0,MIN($D53,Parametreler!$C$10)*Parametreler!$C$4)</f>
      </c>
      <c r="F53" s="15">
        <f>IF($B53="",0,MIN($D53,Parametreler!$C$10)*Parametreler!$C$5)</f>
      </c>
      <c r="G53" s="15">
        <f>IF($B53="",0,MAX(($D53-$E53-$F53)*Parametreler!$C$6-Parametreler!$C$8,0))</f>
      </c>
      <c r="H53" s="15">
        <f>IF($B53="",0,MAX($D53*Parametreler!$C$7-Parametreler!$C$9,0))</f>
      </c>
      <c r="I53" s="15">
        <f>SUM($E53:$H53)</f>
      </c>
      <c r="J53" s="16">
        <f>IF($B53="","",$D53-$I53)</f>
      </c>
      <c r="K53" s="15">
        <f>IF($B53="","",$D53*1.225+'Personel Kartları'!G53+'Personel Kartları'!H53+'Personel Kartları'!I53)</f>
      </c>
    </row>
    <row r="54" spans="2:11" x14ac:dyDescent="0.25">
      <c r="B54" s="14">
        <f>IF('Personel Kartları'!B54="","",'Personel Kartları'!B54)</f>
      </c>
      <c r="C54" s="14">
        <f>IF('Personel Kartları'!C54="","",'Personel Kartları'!C54)</f>
      </c>
      <c r="D54" s="15">
        <f>IF($B54="",0,'Personel Kartları'!F54)</f>
      </c>
      <c r="E54" s="15">
        <f>IF($B54="",0,MIN($D54,Parametreler!$C$10)*Parametreler!$C$4)</f>
      </c>
      <c r="F54" s="15">
        <f>IF($B54="",0,MIN($D54,Parametreler!$C$10)*Parametreler!$C$5)</f>
      </c>
      <c r="G54" s="15">
        <f>IF($B54="",0,MAX(($D54-$E54-$F54)*Parametreler!$C$6-Parametreler!$C$8,0))</f>
      </c>
      <c r="H54" s="15">
        <f>IF($B54="",0,MAX($D54*Parametreler!$C$7-Parametreler!$C$9,0))</f>
      </c>
      <c r="I54" s="15">
        <f>SUM($E54:$H54)</f>
      </c>
      <c r="J54" s="16">
        <f>IF($B54="","",$D54-$I54)</f>
      </c>
      <c r="K54" s="15">
        <f>IF($B54="","",$D54*1.225+'Personel Kartları'!G54+'Personel Kartları'!H54+'Personel Kartları'!I54)</f>
      </c>
    </row>
    <row r="55" spans="2:11" x14ac:dyDescent="0.25">
      <c r="B55" s="14">
        <f>IF('Personel Kartları'!B55="","",'Personel Kartları'!B55)</f>
      </c>
      <c r="C55" s="14">
        <f>IF('Personel Kartları'!C55="","",'Personel Kartları'!C55)</f>
      </c>
      <c r="D55" s="15">
        <f>IF($B55="",0,'Personel Kartları'!F55)</f>
      </c>
      <c r="E55" s="15">
        <f>IF($B55="",0,MIN($D55,Parametreler!$C$10)*Parametreler!$C$4)</f>
      </c>
      <c r="F55" s="15">
        <f>IF($B55="",0,MIN($D55,Parametreler!$C$10)*Parametreler!$C$5)</f>
      </c>
      <c r="G55" s="15">
        <f>IF($B55="",0,MAX(($D55-$E55-$F55)*Parametreler!$C$6-Parametreler!$C$8,0))</f>
      </c>
      <c r="H55" s="15">
        <f>IF($B55="",0,MAX($D55*Parametreler!$C$7-Parametreler!$C$9,0))</f>
      </c>
      <c r="I55" s="15">
        <f>SUM($E55:$H55)</f>
      </c>
      <c r="J55" s="16">
        <f>IF($B55="","",$D55-$I55)</f>
      </c>
      <c r="K55" s="15">
        <f>IF($B55="","",$D55*1.225+'Personel Kartları'!G55+'Personel Kartları'!H55+'Personel Kartları'!I55)</f>
      </c>
    </row>
    <row r="56" spans="2:11" x14ac:dyDescent="0.25">
      <c r="B56" s="14">
        <f>IF('Personel Kartları'!B56="","",'Personel Kartları'!B56)</f>
      </c>
      <c r="C56" s="14">
        <f>IF('Personel Kartları'!C56="","",'Personel Kartları'!C56)</f>
      </c>
      <c r="D56" s="15">
        <f>IF($B56="",0,'Personel Kartları'!F56)</f>
      </c>
      <c r="E56" s="15">
        <f>IF($B56="",0,MIN($D56,Parametreler!$C$10)*Parametreler!$C$4)</f>
      </c>
      <c r="F56" s="15">
        <f>IF($B56="",0,MIN($D56,Parametreler!$C$10)*Parametreler!$C$5)</f>
      </c>
      <c r="G56" s="15">
        <f>IF($B56="",0,MAX(($D56-$E56-$F56)*Parametreler!$C$6-Parametreler!$C$8,0))</f>
      </c>
      <c r="H56" s="15">
        <f>IF($B56="",0,MAX($D56*Parametreler!$C$7-Parametreler!$C$9,0))</f>
      </c>
      <c r="I56" s="15">
        <f>SUM($E56:$H56)</f>
      </c>
      <c r="J56" s="16">
        <f>IF($B56="","",$D56-$I56)</f>
      </c>
      <c r="K56" s="15">
        <f>IF($B56="","",$D56*1.225+'Personel Kartları'!G56+'Personel Kartları'!H56+'Personel Kartları'!I56)</f>
      </c>
    </row>
    <row r="57" spans="2:11" x14ac:dyDescent="0.25">
      <c r="B57" s="14">
        <f>IF('Personel Kartları'!B57="","",'Personel Kartları'!B57)</f>
      </c>
      <c r="C57" s="14">
        <f>IF('Personel Kartları'!C57="","",'Personel Kartları'!C57)</f>
      </c>
      <c r="D57" s="15">
        <f>IF($B57="",0,'Personel Kartları'!F57)</f>
      </c>
      <c r="E57" s="15">
        <f>IF($B57="",0,MIN($D57,Parametreler!$C$10)*Parametreler!$C$4)</f>
      </c>
      <c r="F57" s="15">
        <f>IF($B57="",0,MIN($D57,Parametreler!$C$10)*Parametreler!$C$5)</f>
      </c>
      <c r="G57" s="15">
        <f>IF($B57="",0,MAX(($D57-$E57-$F57)*Parametreler!$C$6-Parametreler!$C$8,0))</f>
      </c>
      <c r="H57" s="15">
        <f>IF($B57="",0,MAX($D57*Parametreler!$C$7-Parametreler!$C$9,0))</f>
      </c>
      <c r="I57" s="15">
        <f>SUM($E57:$H57)</f>
      </c>
      <c r="J57" s="16">
        <f>IF($B57="","",$D57-$I57)</f>
      </c>
      <c r="K57" s="15">
        <f>IF($B57="","",$D57*1.225+'Personel Kartları'!G57+'Personel Kartları'!H57+'Personel Kartları'!I57)</f>
      </c>
    </row>
    <row r="58" spans="2:11" x14ac:dyDescent="0.25">
      <c r="B58" s="14">
        <f>IF('Personel Kartları'!B58="","",'Personel Kartları'!B58)</f>
      </c>
      <c r="C58" s="14">
        <f>IF('Personel Kartları'!C58="","",'Personel Kartları'!C58)</f>
      </c>
      <c r="D58" s="15">
        <f>IF($B58="",0,'Personel Kartları'!F58)</f>
      </c>
      <c r="E58" s="15">
        <f>IF($B58="",0,MIN($D58,Parametreler!$C$10)*Parametreler!$C$4)</f>
      </c>
      <c r="F58" s="15">
        <f>IF($B58="",0,MIN($D58,Parametreler!$C$10)*Parametreler!$C$5)</f>
      </c>
      <c r="G58" s="15">
        <f>IF($B58="",0,MAX(($D58-$E58-$F58)*Parametreler!$C$6-Parametreler!$C$8,0))</f>
      </c>
      <c r="H58" s="15">
        <f>IF($B58="",0,MAX($D58*Parametreler!$C$7-Parametreler!$C$9,0))</f>
      </c>
      <c r="I58" s="15">
        <f>SUM($E58:$H58)</f>
      </c>
      <c r="J58" s="16">
        <f>IF($B58="","",$D58-$I58)</f>
      </c>
      <c r="K58" s="15">
        <f>IF($B58="","",$D58*1.225+'Personel Kartları'!G58+'Personel Kartları'!H58+'Personel Kartları'!I58)</f>
      </c>
    </row>
    <row r="59" spans="2:11" x14ac:dyDescent="0.25">
      <c r="B59" s="14">
        <f>IF('Personel Kartları'!B59="","",'Personel Kartları'!B59)</f>
      </c>
      <c r="C59" s="14">
        <f>IF('Personel Kartları'!C59="","",'Personel Kartları'!C59)</f>
      </c>
      <c r="D59" s="15">
        <f>IF($B59="",0,'Personel Kartları'!F59)</f>
      </c>
      <c r="E59" s="15">
        <f>IF($B59="",0,MIN($D59,Parametreler!$C$10)*Parametreler!$C$4)</f>
      </c>
      <c r="F59" s="15">
        <f>IF($B59="",0,MIN($D59,Parametreler!$C$10)*Parametreler!$C$5)</f>
      </c>
      <c r="G59" s="15">
        <f>IF($B59="",0,MAX(($D59-$E59-$F59)*Parametreler!$C$6-Parametreler!$C$8,0))</f>
      </c>
      <c r="H59" s="15">
        <f>IF($B59="",0,MAX($D59*Parametreler!$C$7-Parametreler!$C$9,0))</f>
      </c>
      <c r="I59" s="15">
        <f>SUM($E59:$H59)</f>
      </c>
      <c r="J59" s="16">
        <f>IF($B59="","",$D59-$I59)</f>
      </c>
      <c r="K59" s="15">
        <f>IF($B59="","",$D59*1.225+'Personel Kartları'!G59+'Personel Kartları'!H59+'Personel Kartları'!I59)</f>
      </c>
    </row>
    <row r="60" spans="2:11" x14ac:dyDescent="0.25">
      <c r="B60" s="14">
        <f>IF('Personel Kartları'!B60="","",'Personel Kartları'!B60)</f>
      </c>
      <c r="C60" s="14">
        <f>IF('Personel Kartları'!C60="","",'Personel Kartları'!C60)</f>
      </c>
      <c r="D60" s="15">
        <f>IF($B60="",0,'Personel Kartları'!F60)</f>
      </c>
      <c r="E60" s="15">
        <f>IF($B60="",0,MIN($D60,Parametreler!$C$10)*Parametreler!$C$4)</f>
      </c>
      <c r="F60" s="15">
        <f>IF($B60="",0,MIN($D60,Parametreler!$C$10)*Parametreler!$C$5)</f>
      </c>
      <c r="G60" s="15">
        <f>IF($B60="",0,MAX(($D60-$E60-$F60)*Parametreler!$C$6-Parametreler!$C$8,0))</f>
      </c>
      <c r="H60" s="15">
        <f>IF($B60="",0,MAX($D60*Parametreler!$C$7-Parametreler!$C$9,0))</f>
      </c>
      <c r="I60" s="15">
        <f>SUM($E60:$H60)</f>
      </c>
      <c r="J60" s="16">
        <f>IF($B60="","",$D60-$I60)</f>
      </c>
      <c r="K60" s="15">
        <f>IF($B60="","",$D60*1.225+'Personel Kartları'!G60+'Personel Kartları'!H60+'Personel Kartları'!I60)</f>
      </c>
    </row>
    <row r="61" spans="2:11" x14ac:dyDescent="0.25">
      <c r="B61" s="14">
        <f>IF('Personel Kartları'!B61="","",'Personel Kartları'!B61)</f>
      </c>
      <c r="C61" s="14">
        <f>IF('Personel Kartları'!C61="","",'Personel Kartları'!C61)</f>
      </c>
      <c r="D61" s="15">
        <f>IF($B61="",0,'Personel Kartları'!F61)</f>
      </c>
      <c r="E61" s="15">
        <f>IF($B61="",0,MIN($D61,Parametreler!$C$10)*Parametreler!$C$4)</f>
      </c>
      <c r="F61" s="15">
        <f>IF($B61="",0,MIN($D61,Parametreler!$C$10)*Parametreler!$C$5)</f>
      </c>
      <c r="G61" s="15">
        <f>IF($B61="",0,MAX(($D61-$E61-$F61)*Parametreler!$C$6-Parametreler!$C$8,0))</f>
      </c>
      <c r="H61" s="15">
        <f>IF($B61="",0,MAX($D61*Parametreler!$C$7-Parametreler!$C$9,0))</f>
      </c>
      <c r="I61" s="15">
        <f>SUM($E61:$H61)</f>
      </c>
      <c r="J61" s="16">
        <f>IF($B61="","",$D61-$I61)</f>
      </c>
      <c r="K61" s="15">
        <f>IF($B61="","",$D61*1.225+'Personel Kartları'!G61+'Personel Kartları'!H61+'Personel Kartları'!I61)</f>
      </c>
    </row>
    <row r="62" spans="2:11" x14ac:dyDescent="0.25">
      <c r="B62" s="14">
        <f>IF('Personel Kartları'!B62="","",'Personel Kartları'!B62)</f>
      </c>
      <c r="C62" s="14">
        <f>IF('Personel Kartları'!C62="","",'Personel Kartları'!C62)</f>
      </c>
      <c r="D62" s="15">
        <f>IF($B62="",0,'Personel Kartları'!F62)</f>
      </c>
      <c r="E62" s="15">
        <f>IF($B62="",0,MIN($D62,Parametreler!$C$10)*Parametreler!$C$4)</f>
      </c>
      <c r="F62" s="15">
        <f>IF($B62="",0,MIN($D62,Parametreler!$C$10)*Parametreler!$C$5)</f>
      </c>
      <c r="G62" s="15">
        <f>IF($B62="",0,MAX(($D62-$E62-$F62)*Parametreler!$C$6-Parametreler!$C$8,0))</f>
      </c>
      <c r="H62" s="15">
        <f>IF($B62="",0,MAX($D62*Parametreler!$C$7-Parametreler!$C$9,0))</f>
      </c>
      <c r="I62" s="15">
        <f>SUM($E62:$H62)</f>
      </c>
      <c r="J62" s="16">
        <f>IF($B62="","",$D62-$I62)</f>
      </c>
      <c r="K62" s="15">
        <f>IF($B62="","",$D62*1.225+'Personel Kartları'!G62+'Personel Kartları'!H62+'Personel Kartları'!I62)</f>
      </c>
    </row>
    <row r="63" spans="2:11" x14ac:dyDescent="0.25">
      <c r="B63" s="14">
        <f>IF('Personel Kartları'!B63="","",'Personel Kartları'!B63)</f>
      </c>
      <c r="C63" s="14">
        <f>IF('Personel Kartları'!C63="","",'Personel Kartları'!C63)</f>
      </c>
      <c r="D63" s="15">
        <f>IF($B63="",0,'Personel Kartları'!F63)</f>
      </c>
      <c r="E63" s="15">
        <f>IF($B63="",0,MIN($D63,Parametreler!$C$10)*Parametreler!$C$4)</f>
      </c>
      <c r="F63" s="15">
        <f>IF($B63="",0,MIN($D63,Parametreler!$C$10)*Parametreler!$C$5)</f>
      </c>
      <c r="G63" s="15">
        <f>IF($B63="",0,MAX(($D63-$E63-$F63)*Parametreler!$C$6-Parametreler!$C$8,0))</f>
      </c>
      <c r="H63" s="15">
        <f>IF($B63="",0,MAX($D63*Parametreler!$C$7-Parametreler!$C$9,0))</f>
      </c>
      <c r="I63" s="15">
        <f>SUM($E63:$H63)</f>
      </c>
      <c r="J63" s="16">
        <f>IF($B63="","",$D63-$I63)</f>
      </c>
      <c r="K63" s="15">
        <f>IF($B63="","",$D63*1.225+'Personel Kartları'!G63+'Personel Kartları'!H63+'Personel Kartları'!I63)</f>
      </c>
    </row>
    <row r="64" spans="2:11" x14ac:dyDescent="0.25">
      <c r="B64" s="14">
        <f>IF('Personel Kartları'!B64="","",'Personel Kartları'!B64)</f>
      </c>
      <c r="C64" s="14">
        <f>IF('Personel Kartları'!C64="","",'Personel Kartları'!C64)</f>
      </c>
      <c r="D64" s="15">
        <f>IF($B64="",0,'Personel Kartları'!F64)</f>
      </c>
      <c r="E64" s="15">
        <f>IF($B64="",0,MIN($D64,Parametreler!$C$10)*Parametreler!$C$4)</f>
      </c>
      <c r="F64" s="15">
        <f>IF($B64="",0,MIN($D64,Parametreler!$C$10)*Parametreler!$C$5)</f>
      </c>
      <c r="G64" s="15">
        <f>IF($B64="",0,MAX(($D64-$E64-$F64)*Parametreler!$C$6-Parametreler!$C$8,0))</f>
      </c>
      <c r="H64" s="15">
        <f>IF($B64="",0,MAX($D64*Parametreler!$C$7-Parametreler!$C$9,0))</f>
      </c>
      <c r="I64" s="15">
        <f>SUM($E64:$H64)</f>
      </c>
      <c r="J64" s="16">
        <f>IF($B64="","",$D64-$I64)</f>
      </c>
      <c r="K64" s="15">
        <f>IF($B64="","",$D64*1.225+'Personel Kartları'!G64+'Personel Kartları'!H64+'Personel Kartları'!I64)</f>
      </c>
    </row>
    <row r="65" spans="2:11" x14ac:dyDescent="0.25">
      <c r="B65" s="14">
        <f>IF('Personel Kartları'!B65="","",'Personel Kartları'!B65)</f>
      </c>
      <c r="C65" s="14">
        <f>IF('Personel Kartları'!C65="","",'Personel Kartları'!C65)</f>
      </c>
      <c r="D65" s="15">
        <f>IF($B65="",0,'Personel Kartları'!F65)</f>
      </c>
      <c r="E65" s="15">
        <f>IF($B65="",0,MIN($D65,Parametreler!$C$10)*Parametreler!$C$4)</f>
      </c>
      <c r="F65" s="15">
        <f>IF($B65="",0,MIN($D65,Parametreler!$C$10)*Parametreler!$C$5)</f>
      </c>
      <c r="G65" s="15">
        <f>IF($B65="",0,MAX(($D65-$E65-$F65)*Parametreler!$C$6-Parametreler!$C$8,0))</f>
      </c>
      <c r="H65" s="15">
        <f>IF($B65="",0,MAX($D65*Parametreler!$C$7-Parametreler!$C$9,0))</f>
      </c>
      <c r="I65" s="15">
        <f>SUM($E65:$H65)</f>
      </c>
      <c r="J65" s="16">
        <f>IF($B65="","",$D65-$I65)</f>
      </c>
      <c r="K65" s="15">
        <f>IF($B65="","",$D65*1.225+'Personel Kartları'!G65+'Personel Kartları'!H65+'Personel Kartları'!I65)</f>
      </c>
    </row>
    <row r="66" spans="2:11" x14ac:dyDescent="0.25">
      <c r="B66" s="14">
        <f>IF('Personel Kartları'!B66="","",'Personel Kartları'!B66)</f>
      </c>
      <c r="C66" s="14">
        <f>IF('Personel Kartları'!C66="","",'Personel Kartları'!C66)</f>
      </c>
      <c r="D66" s="15">
        <f>IF($B66="",0,'Personel Kartları'!F66)</f>
      </c>
      <c r="E66" s="15">
        <f>IF($B66="",0,MIN($D66,Parametreler!$C$10)*Parametreler!$C$4)</f>
      </c>
      <c r="F66" s="15">
        <f>IF($B66="",0,MIN($D66,Parametreler!$C$10)*Parametreler!$C$5)</f>
      </c>
      <c r="G66" s="15">
        <f>IF($B66="",0,MAX(($D66-$E66-$F66)*Parametreler!$C$6-Parametreler!$C$8,0))</f>
      </c>
      <c r="H66" s="15">
        <f>IF($B66="",0,MAX($D66*Parametreler!$C$7-Parametreler!$C$9,0))</f>
      </c>
      <c r="I66" s="15">
        <f>SUM($E66:$H66)</f>
      </c>
      <c r="J66" s="16">
        <f>IF($B66="","",$D66-$I66)</f>
      </c>
      <c r="K66" s="15">
        <f>IF($B66="","",$D66*1.225+'Personel Kartları'!G66+'Personel Kartları'!H66+'Personel Kartları'!I66)</f>
      </c>
    </row>
    <row r="67" spans="2:11" x14ac:dyDescent="0.25">
      <c r="B67" s="14">
        <f>IF('Personel Kartları'!B67="","",'Personel Kartları'!B67)</f>
      </c>
      <c r="C67" s="14">
        <f>IF('Personel Kartları'!C67="","",'Personel Kartları'!C67)</f>
      </c>
      <c r="D67" s="15">
        <f>IF($B67="",0,'Personel Kartları'!F67)</f>
      </c>
      <c r="E67" s="15">
        <f>IF($B67="",0,MIN($D67,Parametreler!$C$10)*Parametreler!$C$4)</f>
      </c>
      <c r="F67" s="15">
        <f>IF($B67="",0,MIN($D67,Parametreler!$C$10)*Parametreler!$C$5)</f>
      </c>
      <c r="G67" s="15">
        <f>IF($B67="",0,MAX(($D67-$E67-$F67)*Parametreler!$C$6-Parametreler!$C$8,0))</f>
      </c>
      <c r="H67" s="15">
        <f>IF($B67="",0,MAX($D67*Parametreler!$C$7-Parametreler!$C$9,0))</f>
      </c>
      <c r="I67" s="15">
        <f>SUM($E67:$H67)</f>
      </c>
      <c r="J67" s="16">
        <f>IF($B67="","",$D67-$I67)</f>
      </c>
      <c r="K67" s="15">
        <f>IF($B67="","",$D67*1.225+'Personel Kartları'!G67+'Personel Kartları'!H67+'Personel Kartları'!I67)</f>
      </c>
    </row>
    <row r="68" spans="2:11" x14ac:dyDescent="0.25">
      <c r="B68" s="14">
        <f>IF('Personel Kartları'!B68="","",'Personel Kartları'!B68)</f>
      </c>
      <c r="C68" s="14">
        <f>IF('Personel Kartları'!C68="","",'Personel Kartları'!C68)</f>
      </c>
      <c r="D68" s="15">
        <f>IF($B68="",0,'Personel Kartları'!F68)</f>
      </c>
      <c r="E68" s="15">
        <f>IF($B68="",0,MIN($D68,Parametreler!$C$10)*Parametreler!$C$4)</f>
      </c>
      <c r="F68" s="15">
        <f>IF($B68="",0,MIN($D68,Parametreler!$C$10)*Parametreler!$C$5)</f>
      </c>
      <c r="G68" s="15">
        <f>IF($B68="",0,MAX(($D68-$E68-$F68)*Parametreler!$C$6-Parametreler!$C$8,0))</f>
      </c>
      <c r="H68" s="15">
        <f>IF($B68="",0,MAX($D68*Parametreler!$C$7-Parametreler!$C$9,0))</f>
      </c>
      <c r="I68" s="15">
        <f>SUM($E68:$H68)</f>
      </c>
      <c r="J68" s="16">
        <f>IF($B68="","",$D68-$I68)</f>
      </c>
      <c r="K68" s="15">
        <f>IF($B68="","",$D68*1.225+'Personel Kartları'!G68+'Personel Kartları'!H68+'Personel Kartları'!I68)</f>
      </c>
    </row>
    <row r="69" spans="2:11" x14ac:dyDescent="0.25">
      <c r="B69" s="14">
        <f>IF('Personel Kartları'!B69="","",'Personel Kartları'!B69)</f>
      </c>
      <c r="C69" s="14">
        <f>IF('Personel Kartları'!C69="","",'Personel Kartları'!C69)</f>
      </c>
      <c r="D69" s="15">
        <f>IF($B69="",0,'Personel Kartları'!F69)</f>
      </c>
      <c r="E69" s="15">
        <f>IF($B69="",0,MIN($D69,Parametreler!$C$10)*Parametreler!$C$4)</f>
      </c>
      <c r="F69" s="15">
        <f>IF($B69="",0,MIN($D69,Parametreler!$C$10)*Parametreler!$C$5)</f>
      </c>
      <c r="G69" s="15">
        <f>IF($B69="",0,MAX(($D69-$E69-$F69)*Parametreler!$C$6-Parametreler!$C$8,0))</f>
      </c>
      <c r="H69" s="15">
        <f>IF($B69="",0,MAX($D69*Parametreler!$C$7-Parametreler!$C$9,0))</f>
      </c>
      <c r="I69" s="15">
        <f>SUM($E69:$H69)</f>
      </c>
      <c r="J69" s="16">
        <f>IF($B69="","",$D69-$I69)</f>
      </c>
      <c r="K69" s="15">
        <f>IF($B69="","",$D69*1.225+'Personel Kartları'!G69+'Personel Kartları'!H69+'Personel Kartları'!I69)</f>
      </c>
    </row>
    <row r="70" spans="2:11" x14ac:dyDescent="0.25">
      <c r="B70" s="14">
        <f>IF('Personel Kartları'!B70="","",'Personel Kartları'!B70)</f>
      </c>
      <c r="C70" s="14">
        <f>IF('Personel Kartları'!C70="","",'Personel Kartları'!C70)</f>
      </c>
      <c r="D70" s="15">
        <f>IF($B70="",0,'Personel Kartları'!F70)</f>
      </c>
      <c r="E70" s="15">
        <f>IF($B70="",0,MIN($D70,Parametreler!$C$10)*Parametreler!$C$4)</f>
      </c>
      <c r="F70" s="15">
        <f>IF($B70="",0,MIN($D70,Parametreler!$C$10)*Parametreler!$C$5)</f>
      </c>
      <c r="G70" s="15">
        <f>IF($B70="",0,MAX(($D70-$E70-$F70)*Parametreler!$C$6-Parametreler!$C$8,0))</f>
      </c>
      <c r="H70" s="15">
        <f>IF($B70="",0,MAX($D70*Parametreler!$C$7-Parametreler!$C$9,0))</f>
      </c>
      <c r="I70" s="15">
        <f>SUM($E70:$H70)</f>
      </c>
      <c r="J70" s="16">
        <f>IF($B70="","",$D70-$I70)</f>
      </c>
      <c r="K70" s="15">
        <f>IF($B70="","",$D70*1.225+'Personel Kartları'!G70+'Personel Kartları'!H70+'Personel Kartları'!I70)</f>
      </c>
    </row>
    <row r="71" spans="2:11" x14ac:dyDescent="0.25">
      <c r="B71" s="14">
        <f>IF('Personel Kartları'!B71="","",'Personel Kartları'!B71)</f>
      </c>
      <c r="C71" s="14">
        <f>IF('Personel Kartları'!C71="","",'Personel Kartları'!C71)</f>
      </c>
      <c r="D71" s="15">
        <f>IF($B71="",0,'Personel Kartları'!F71)</f>
      </c>
      <c r="E71" s="15">
        <f>IF($B71="",0,MIN($D71,Parametreler!$C$10)*Parametreler!$C$4)</f>
      </c>
      <c r="F71" s="15">
        <f>IF($B71="",0,MIN($D71,Parametreler!$C$10)*Parametreler!$C$5)</f>
      </c>
      <c r="G71" s="15">
        <f>IF($B71="",0,MAX(($D71-$E71-$F71)*Parametreler!$C$6-Parametreler!$C$8,0))</f>
      </c>
      <c r="H71" s="15">
        <f>IF($B71="",0,MAX($D71*Parametreler!$C$7-Parametreler!$C$9,0))</f>
      </c>
      <c r="I71" s="15">
        <f>SUM($E71:$H71)</f>
      </c>
      <c r="J71" s="16">
        <f>IF($B71="","",$D71-$I71)</f>
      </c>
      <c r="K71" s="15">
        <f>IF($B71="","",$D71*1.225+'Personel Kartları'!G71+'Personel Kartları'!H71+'Personel Kartları'!I71)</f>
      </c>
    </row>
    <row r="72" spans="2:11" x14ac:dyDescent="0.25">
      <c r="B72" s="14">
        <f>IF('Personel Kartları'!B72="","",'Personel Kartları'!B72)</f>
      </c>
      <c r="C72" s="14">
        <f>IF('Personel Kartları'!C72="","",'Personel Kartları'!C72)</f>
      </c>
      <c r="D72" s="15">
        <f>IF($B72="",0,'Personel Kartları'!F72)</f>
      </c>
      <c r="E72" s="15">
        <f>IF($B72="",0,MIN($D72,Parametreler!$C$10)*Parametreler!$C$4)</f>
      </c>
      <c r="F72" s="15">
        <f>IF($B72="",0,MIN($D72,Parametreler!$C$10)*Parametreler!$C$5)</f>
      </c>
      <c r="G72" s="15">
        <f>IF($B72="",0,MAX(($D72-$E72-$F72)*Parametreler!$C$6-Parametreler!$C$8,0))</f>
      </c>
      <c r="H72" s="15">
        <f>IF($B72="",0,MAX($D72*Parametreler!$C$7-Parametreler!$C$9,0))</f>
      </c>
      <c r="I72" s="15">
        <f>SUM($E72:$H72)</f>
      </c>
      <c r="J72" s="16">
        <f>IF($B72="","",$D72-$I72)</f>
      </c>
      <c r="K72" s="15">
        <f>IF($B72="","",$D72*1.225+'Personel Kartları'!G72+'Personel Kartları'!H72+'Personel Kartları'!I72)</f>
      </c>
    </row>
    <row r="73" spans="2:11" x14ac:dyDescent="0.25">
      <c r="B73" s="14">
        <f>IF('Personel Kartları'!B73="","",'Personel Kartları'!B73)</f>
      </c>
      <c r="C73" s="14">
        <f>IF('Personel Kartları'!C73="","",'Personel Kartları'!C73)</f>
      </c>
      <c r="D73" s="15">
        <f>IF($B73="",0,'Personel Kartları'!F73)</f>
      </c>
      <c r="E73" s="15">
        <f>IF($B73="",0,MIN($D73,Parametreler!$C$10)*Parametreler!$C$4)</f>
      </c>
      <c r="F73" s="15">
        <f>IF($B73="",0,MIN($D73,Parametreler!$C$10)*Parametreler!$C$5)</f>
      </c>
      <c r="G73" s="15">
        <f>IF($B73="",0,MAX(($D73-$E73-$F73)*Parametreler!$C$6-Parametreler!$C$8,0))</f>
      </c>
      <c r="H73" s="15">
        <f>IF($B73="",0,MAX($D73*Parametreler!$C$7-Parametreler!$C$9,0))</f>
      </c>
      <c r="I73" s="15">
        <f>SUM($E73:$H73)</f>
      </c>
      <c r="J73" s="16">
        <f>IF($B73="","",$D73-$I73)</f>
      </c>
      <c r="K73" s="15">
        <f>IF($B73="","",$D73*1.225+'Personel Kartları'!G73+'Personel Kartları'!H73+'Personel Kartları'!I73)</f>
      </c>
    </row>
    <row r="74" spans="2:11" x14ac:dyDescent="0.25">
      <c r="B74" s="14">
        <f>IF('Personel Kartları'!B74="","",'Personel Kartları'!B74)</f>
      </c>
      <c r="C74" s="14">
        <f>IF('Personel Kartları'!C74="","",'Personel Kartları'!C74)</f>
      </c>
      <c r="D74" s="15">
        <f>IF($B74="",0,'Personel Kartları'!F74)</f>
      </c>
      <c r="E74" s="15">
        <f>IF($B74="",0,MIN($D74,Parametreler!$C$10)*Parametreler!$C$4)</f>
      </c>
      <c r="F74" s="15">
        <f>IF($B74="",0,MIN($D74,Parametreler!$C$10)*Parametreler!$C$5)</f>
      </c>
      <c r="G74" s="15">
        <f>IF($B74="",0,MAX(($D74-$E74-$F74)*Parametreler!$C$6-Parametreler!$C$8,0))</f>
      </c>
      <c r="H74" s="15">
        <f>IF($B74="",0,MAX($D74*Parametreler!$C$7-Parametreler!$C$9,0))</f>
      </c>
      <c r="I74" s="15">
        <f>SUM($E74:$H74)</f>
      </c>
      <c r="J74" s="16">
        <f>IF($B74="","",$D74-$I74)</f>
      </c>
      <c r="K74" s="15">
        <f>IF($B74="","",$D74*1.225+'Personel Kartları'!G74+'Personel Kartları'!H74+'Personel Kartları'!I74)</f>
      </c>
    </row>
    <row r="75" spans="2:11" x14ac:dyDescent="0.25">
      <c r="B75" s="14">
        <f>IF('Personel Kartları'!B75="","",'Personel Kartları'!B75)</f>
      </c>
      <c r="C75" s="14">
        <f>IF('Personel Kartları'!C75="","",'Personel Kartları'!C75)</f>
      </c>
      <c r="D75" s="15">
        <f>IF($B75="",0,'Personel Kartları'!F75)</f>
      </c>
      <c r="E75" s="15">
        <f>IF($B75="",0,MIN($D75,Parametreler!$C$10)*Parametreler!$C$4)</f>
      </c>
      <c r="F75" s="15">
        <f>IF($B75="",0,MIN($D75,Parametreler!$C$10)*Parametreler!$C$5)</f>
      </c>
      <c r="G75" s="15">
        <f>IF($B75="",0,MAX(($D75-$E75-$F75)*Parametreler!$C$6-Parametreler!$C$8,0))</f>
      </c>
      <c r="H75" s="15">
        <f>IF($B75="",0,MAX($D75*Parametreler!$C$7-Parametreler!$C$9,0))</f>
      </c>
      <c r="I75" s="15">
        <f>SUM($E75:$H75)</f>
      </c>
      <c r="J75" s="16">
        <f>IF($B75="","",$D75-$I75)</f>
      </c>
      <c r="K75" s="15">
        <f>IF($B75="","",$D75*1.225+'Personel Kartları'!G75+'Personel Kartları'!H75+'Personel Kartları'!I75)</f>
      </c>
    </row>
    <row r="76" spans="2:11" x14ac:dyDescent="0.25">
      <c r="B76" s="14">
        <f>IF('Personel Kartları'!B76="","",'Personel Kartları'!B76)</f>
      </c>
      <c r="C76" s="14">
        <f>IF('Personel Kartları'!C76="","",'Personel Kartları'!C76)</f>
      </c>
      <c r="D76" s="15">
        <f>IF($B76="",0,'Personel Kartları'!F76)</f>
      </c>
      <c r="E76" s="15">
        <f>IF($B76="",0,MIN($D76,Parametreler!$C$10)*Parametreler!$C$4)</f>
      </c>
      <c r="F76" s="15">
        <f>IF($B76="",0,MIN($D76,Parametreler!$C$10)*Parametreler!$C$5)</f>
      </c>
      <c r="G76" s="15">
        <f>IF($B76="",0,MAX(($D76-$E76-$F76)*Parametreler!$C$6-Parametreler!$C$8,0))</f>
      </c>
      <c r="H76" s="15">
        <f>IF($B76="",0,MAX($D76*Parametreler!$C$7-Parametreler!$C$9,0))</f>
      </c>
      <c r="I76" s="15">
        <f>SUM($E76:$H76)</f>
      </c>
      <c r="J76" s="16">
        <f>IF($B76="","",$D76-$I76)</f>
      </c>
      <c r="K76" s="15">
        <f>IF($B76="","",$D76*1.225+'Personel Kartları'!G76+'Personel Kartları'!H76+'Personel Kartları'!I76)</f>
      </c>
    </row>
    <row r="77" spans="2:11" x14ac:dyDescent="0.25">
      <c r="B77" s="14">
        <f>IF('Personel Kartları'!B77="","",'Personel Kartları'!B77)</f>
      </c>
      <c r="C77" s="14">
        <f>IF('Personel Kartları'!C77="","",'Personel Kartları'!C77)</f>
      </c>
      <c r="D77" s="15">
        <f>IF($B77="",0,'Personel Kartları'!F77)</f>
      </c>
      <c r="E77" s="15">
        <f>IF($B77="",0,MIN($D77,Parametreler!$C$10)*Parametreler!$C$4)</f>
      </c>
      <c r="F77" s="15">
        <f>IF($B77="",0,MIN($D77,Parametreler!$C$10)*Parametreler!$C$5)</f>
      </c>
      <c r="G77" s="15">
        <f>IF($B77="",0,MAX(($D77-$E77-$F77)*Parametreler!$C$6-Parametreler!$C$8,0))</f>
      </c>
      <c r="H77" s="15">
        <f>IF($B77="",0,MAX($D77*Parametreler!$C$7-Parametreler!$C$9,0))</f>
      </c>
      <c r="I77" s="15">
        <f>SUM($E77:$H77)</f>
      </c>
      <c r="J77" s="16">
        <f>IF($B77="","",$D77-$I77)</f>
      </c>
      <c r="K77" s="15">
        <f>IF($B77="","",$D77*1.225+'Personel Kartları'!G77+'Personel Kartları'!H77+'Personel Kartları'!I77)</f>
      </c>
    </row>
    <row r="78" spans="2:11" x14ac:dyDescent="0.25">
      <c r="B78" s="14">
        <f>IF('Personel Kartları'!B78="","",'Personel Kartları'!B78)</f>
      </c>
      <c r="C78" s="14">
        <f>IF('Personel Kartları'!C78="","",'Personel Kartları'!C78)</f>
      </c>
      <c r="D78" s="15">
        <f>IF($B78="",0,'Personel Kartları'!F78)</f>
      </c>
      <c r="E78" s="15">
        <f>IF($B78="",0,MIN($D78,Parametreler!$C$10)*Parametreler!$C$4)</f>
      </c>
      <c r="F78" s="15">
        <f>IF($B78="",0,MIN($D78,Parametreler!$C$10)*Parametreler!$C$5)</f>
      </c>
      <c r="G78" s="15">
        <f>IF($B78="",0,MAX(($D78-$E78-$F78)*Parametreler!$C$6-Parametreler!$C$8,0))</f>
      </c>
      <c r="H78" s="15">
        <f>IF($B78="",0,MAX($D78*Parametreler!$C$7-Parametreler!$C$9,0))</f>
      </c>
      <c r="I78" s="15">
        <f>SUM($E78:$H78)</f>
      </c>
      <c r="J78" s="16">
        <f>IF($B78="","",$D78-$I78)</f>
      </c>
      <c r="K78" s="15">
        <f>IF($B78="","",$D78*1.225+'Personel Kartları'!G78+'Personel Kartları'!H78+'Personel Kartları'!I78)</f>
      </c>
    </row>
    <row r="79" spans="2:11" x14ac:dyDescent="0.25">
      <c r="B79" s="14">
        <f>IF('Personel Kartları'!B79="","",'Personel Kartları'!B79)</f>
      </c>
      <c r="C79" s="14">
        <f>IF('Personel Kartları'!C79="","",'Personel Kartları'!C79)</f>
      </c>
      <c r="D79" s="15">
        <f>IF($B79="",0,'Personel Kartları'!F79)</f>
      </c>
      <c r="E79" s="15">
        <f>IF($B79="",0,MIN($D79,Parametreler!$C$10)*Parametreler!$C$4)</f>
      </c>
      <c r="F79" s="15">
        <f>IF($B79="",0,MIN($D79,Parametreler!$C$10)*Parametreler!$C$5)</f>
      </c>
      <c r="G79" s="15">
        <f>IF($B79="",0,MAX(($D79-$E79-$F79)*Parametreler!$C$6-Parametreler!$C$8,0))</f>
      </c>
      <c r="H79" s="15">
        <f>IF($B79="",0,MAX($D79*Parametreler!$C$7-Parametreler!$C$9,0))</f>
      </c>
      <c r="I79" s="15">
        <f>SUM($E79:$H79)</f>
      </c>
      <c r="J79" s="16">
        <f>IF($B79="","",$D79-$I79)</f>
      </c>
      <c r="K79" s="15">
        <f>IF($B79="","",$D79*1.225+'Personel Kartları'!G79+'Personel Kartları'!H79+'Personel Kartları'!I79)</f>
      </c>
    </row>
    <row r="80" spans="2:11" x14ac:dyDescent="0.25">
      <c r="B80" s="14">
        <f>IF('Personel Kartları'!B80="","",'Personel Kartları'!B80)</f>
      </c>
      <c r="C80" s="14">
        <f>IF('Personel Kartları'!C80="","",'Personel Kartları'!C80)</f>
      </c>
      <c r="D80" s="15">
        <f>IF($B80="",0,'Personel Kartları'!F80)</f>
      </c>
      <c r="E80" s="15">
        <f>IF($B80="",0,MIN($D80,Parametreler!$C$10)*Parametreler!$C$4)</f>
      </c>
      <c r="F80" s="15">
        <f>IF($B80="",0,MIN($D80,Parametreler!$C$10)*Parametreler!$C$5)</f>
      </c>
      <c r="G80" s="15">
        <f>IF($B80="",0,MAX(($D80-$E80-$F80)*Parametreler!$C$6-Parametreler!$C$8,0))</f>
      </c>
      <c r="H80" s="15">
        <f>IF($B80="",0,MAX($D80*Parametreler!$C$7-Parametreler!$C$9,0))</f>
      </c>
      <c r="I80" s="15">
        <f>SUM($E80:$H80)</f>
      </c>
      <c r="J80" s="16">
        <f>IF($B80="","",$D80-$I80)</f>
      </c>
      <c r="K80" s="15">
        <f>IF($B80="","",$D80*1.225+'Personel Kartları'!G80+'Personel Kartları'!H80+'Personel Kartları'!I80)</f>
      </c>
    </row>
    <row r="81" spans="2:11" x14ac:dyDescent="0.25">
      <c r="B81" s="14">
        <f>IF('Personel Kartları'!B81="","",'Personel Kartları'!B81)</f>
      </c>
      <c r="C81" s="14">
        <f>IF('Personel Kartları'!C81="","",'Personel Kartları'!C81)</f>
      </c>
      <c r="D81" s="15">
        <f>IF($B81="",0,'Personel Kartları'!F81)</f>
      </c>
      <c r="E81" s="15">
        <f>IF($B81="",0,MIN($D81,Parametreler!$C$10)*Parametreler!$C$4)</f>
      </c>
      <c r="F81" s="15">
        <f>IF($B81="",0,MIN($D81,Parametreler!$C$10)*Parametreler!$C$5)</f>
      </c>
      <c r="G81" s="15">
        <f>IF($B81="",0,MAX(($D81-$E81-$F81)*Parametreler!$C$6-Parametreler!$C$8,0))</f>
      </c>
      <c r="H81" s="15">
        <f>IF($B81="",0,MAX($D81*Parametreler!$C$7-Parametreler!$C$9,0))</f>
      </c>
      <c r="I81" s="15">
        <f>SUM($E81:$H81)</f>
      </c>
      <c r="J81" s="16">
        <f>IF($B81="","",$D81-$I81)</f>
      </c>
      <c r="K81" s="15">
        <f>IF($B81="","",$D81*1.225+'Personel Kartları'!G81+'Personel Kartları'!H81+'Personel Kartları'!I81)</f>
      </c>
    </row>
    <row r="82" spans="2:11" x14ac:dyDescent="0.25">
      <c r="B82" s="14">
        <f>IF('Personel Kartları'!B82="","",'Personel Kartları'!B82)</f>
      </c>
      <c r="C82" s="14">
        <f>IF('Personel Kartları'!C82="","",'Personel Kartları'!C82)</f>
      </c>
      <c r="D82" s="15">
        <f>IF($B82="",0,'Personel Kartları'!F82)</f>
      </c>
      <c r="E82" s="15">
        <f>IF($B82="",0,MIN($D82,Parametreler!$C$10)*Parametreler!$C$4)</f>
      </c>
      <c r="F82" s="15">
        <f>IF($B82="",0,MIN($D82,Parametreler!$C$10)*Parametreler!$C$5)</f>
      </c>
      <c r="G82" s="15">
        <f>IF($B82="",0,MAX(($D82-$E82-$F82)*Parametreler!$C$6-Parametreler!$C$8,0))</f>
      </c>
      <c r="H82" s="15">
        <f>IF($B82="",0,MAX($D82*Parametreler!$C$7-Parametreler!$C$9,0))</f>
      </c>
      <c r="I82" s="15">
        <f>SUM($E82:$H82)</f>
      </c>
      <c r="J82" s="16">
        <f>IF($B82="","",$D82-$I82)</f>
      </c>
      <c r="K82" s="15">
        <f>IF($B82="","",$D82*1.225+'Personel Kartları'!G82+'Personel Kartları'!H82+'Personel Kartları'!I82)</f>
      </c>
    </row>
    <row r="83" spans="2:11" x14ac:dyDescent="0.25">
      <c r="B83" s="14">
        <f>IF('Personel Kartları'!B83="","",'Personel Kartları'!B83)</f>
      </c>
      <c r="C83" s="14">
        <f>IF('Personel Kartları'!C83="","",'Personel Kartları'!C83)</f>
      </c>
      <c r="D83" s="15">
        <f>IF($B83="",0,'Personel Kartları'!F83)</f>
      </c>
      <c r="E83" s="15">
        <f>IF($B83="",0,MIN($D83,Parametreler!$C$10)*Parametreler!$C$4)</f>
      </c>
      <c r="F83" s="15">
        <f>IF($B83="",0,MIN($D83,Parametreler!$C$10)*Parametreler!$C$5)</f>
      </c>
      <c r="G83" s="15">
        <f>IF($B83="",0,MAX(($D83-$E83-$F83)*Parametreler!$C$6-Parametreler!$C$8,0))</f>
      </c>
      <c r="H83" s="15">
        <f>IF($B83="",0,MAX($D83*Parametreler!$C$7-Parametreler!$C$9,0))</f>
      </c>
      <c r="I83" s="15">
        <f>SUM($E83:$H83)</f>
      </c>
      <c r="J83" s="16">
        <f>IF($B83="","",$D83-$I83)</f>
      </c>
      <c r="K83" s="15">
        <f>IF($B83="","",$D83*1.225+'Personel Kartları'!G83+'Personel Kartları'!H83+'Personel Kartları'!I83)</f>
      </c>
    </row>
    <row r="84" spans="2:11" x14ac:dyDescent="0.25">
      <c r="B84" s="14">
        <f>IF('Personel Kartları'!B84="","",'Personel Kartları'!B84)</f>
      </c>
      <c r="C84" s="14">
        <f>IF('Personel Kartları'!C84="","",'Personel Kartları'!C84)</f>
      </c>
      <c r="D84" s="15">
        <f>IF($B84="",0,'Personel Kartları'!F84)</f>
      </c>
      <c r="E84" s="15">
        <f>IF($B84="",0,MIN($D84,Parametreler!$C$10)*Parametreler!$C$4)</f>
      </c>
      <c r="F84" s="15">
        <f>IF($B84="",0,MIN($D84,Parametreler!$C$10)*Parametreler!$C$5)</f>
      </c>
      <c r="G84" s="15">
        <f>IF($B84="",0,MAX(($D84-$E84-$F84)*Parametreler!$C$6-Parametreler!$C$8,0))</f>
      </c>
      <c r="H84" s="15">
        <f>IF($B84="",0,MAX($D84*Parametreler!$C$7-Parametreler!$C$9,0))</f>
      </c>
      <c r="I84" s="15">
        <f>SUM($E84:$H84)</f>
      </c>
      <c r="J84" s="16">
        <f>IF($B84="","",$D84-$I84)</f>
      </c>
      <c r="K84" s="15">
        <f>IF($B84="","",$D84*1.225+'Personel Kartları'!G84+'Personel Kartları'!H84+'Personel Kartları'!I84)</f>
      </c>
    </row>
    <row r="85" spans="2:11" x14ac:dyDescent="0.25">
      <c r="B85" s="14">
        <f>IF('Personel Kartları'!B85="","",'Personel Kartları'!B85)</f>
      </c>
      <c r="C85" s="14">
        <f>IF('Personel Kartları'!C85="","",'Personel Kartları'!C85)</f>
      </c>
      <c r="D85" s="15">
        <f>IF($B85="",0,'Personel Kartları'!F85)</f>
      </c>
      <c r="E85" s="15">
        <f>IF($B85="",0,MIN($D85,Parametreler!$C$10)*Parametreler!$C$4)</f>
      </c>
      <c r="F85" s="15">
        <f>IF($B85="",0,MIN($D85,Parametreler!$C$10)*Parametreler!$C$5)</f>
      </c>
      <c r="G85" s="15">
        <f>IF($B85="",0,MAX(($D85-$E85-$F85)*Parametreler!$C$6-Parametreler!$C$8,0))</f>
      </c>
      <c r="H85" s="15">
        <f>IF($B85="",0,MAX($D85*Parametreler!$C$7-Parametreler!$C$9,0))</f>
      </c>
      <c r="I85" s="15">
        <f>SUM($E85:$H85)</f>
      </c>
      <c r="J85" s="16">
        <f>IF($B85="","",$D85-$I85)</f>
      </c>
      <c r="K85" s="15">
        <f>IF($B85="","",$D85*1.225+'Personel Kartları'!G85+'Personel Kartları'!H85+'Personel Kartları'!I85)</f>
      </c>
    </row>
    <row r="86" spans="2:11" x14ac:dyDescent="0.25">
      <c r="B86" s="14">
        <f>IF('Personel Kartları'!B86="","",'Personel Kartları'!B86)</f>
      </c>
      <c r="C86" s="14">
        <f>IF('Personel Kartları'!C86="","",'Personel Kartları'!C86)</f>
      </c>
      <c r="D86" s="15">
        <f>IF($B86="",0,'Personel Kartları'!F86)</f>
      </c>
      <c r="E86" s="15">
        <f>IF($B86="",0,MIN($D86,Parametreler!$C$10)*Parametreler!$C$4)</f>
      </c>
      <c r="F86" s="15">
        <f>IF($B86="",0,MIN($D86,Parametreler!$C$10)*Parametreler!$C$5)</f>
      </c>
      <c r="G86" s="15">
        <f>IF($B86="",0,MAX(($D86-$E86-$F86)*Parametreler!$C$6-Parametreler!$C$8,0))</f>
      </c>
      <c r="H86" s="15">
        <f>IF($B86="",0,MAX($D86*Parametreler!$C$7-Parametreler!$C$9,0))</f>
      </c>
      <c r="I86" s="15">
        <f>SUM($E86:$H86)</f>
      </c>
      <c r="J86" s="16">
        <f>IF($B86="","",$D86-$I86)</f>
      </c>
      <c r="K86" s="15">
        <f>IF($B86="","",$D86*1.225+'Personel Kartları'!G86+'Personel Kartları'!H86+'Personel Kartları'!I86)</f>
      </c>
    </row>
    <row r="87" spans="2:11" x14ac:dyDescent="0.25">
      <c r="B87" s="14">
        <f>IF('Personel Kartları'!B87="","",'Personel Kartları'!B87)</f>
      </c>
      <c r="C87" s="14">
        <f>IF('Personel Kartları'!C87="","",'Personel Kartları'!C87)</f>
      </c>
      <c r="D87" s="15">
        <f>IF($B87="",0,'Personel Kartları'!F87)</f>
      </c>
      <c r="E87" s="15">
        <f>IF($B87="",0,MIN($D87,Parametreler!$C$10)*Parametreler!$C$4)</f>
      </c>
      <c r="F87" s="15">
        <f>IF($B87="",0,MIN($D87,Parametreler!$C$10)*Parametreler!$C$5)</f>
      </c>
      <c r="G87" s="15">
        <f>IF($B87="",0,MAX(($D87-$E87-$F87)*Parametreler!$C$6-Parametreler!$C$8,0))</f>
      </c>
      <c r="H87" s="15">
        <f>IF($B87="",0,MAX($D87*Parametreler!$C$7-Parametreler!$C$9,0))</f>
      </c>
      <c r="I87" s="15">
        <f>SUM($E87:$H87)</f>
      </c>
      <c r="J87" s="16">
        <f>IF($B87="","",$D87-$I87)</f>
      </c>
      <c r="K87" s="15">
        <f>IF($B87="","",$D87*1.225+'Personel Kartları'!G87+'Personel Kartları'!H87+'Personel Kartları'!I87)</f>
      </c>
    </row>
    <row r="88" spans="2:11" x14ac:dyDescent="0.25">
      <c r="B88" s="14">
        <f>IF('Personel Kartları'!B88="","",'Personel Kartları'!B88)</f>
      </c>
      <c r="C88" s="14">
        <f>IF('Personel Kartları'!C88="","",'Personel Kartları'!C88)</f>
      </c>
      <c r="D88" s="15">
        <f>IF($B88="",0,'Personel Kartları'!F88)</f>
      </c>
      <c r="E88" s="15">
        <f>IF($B88="",0,MIN($D88,Parametreler!$C$10)*Parametreler!$C$4)</f>
      </c>
      <c r="F88" s="15">
        <f>IF($B88="",0,MIN($D88,Parametreler!$C$10)*Parametreler!$C$5)</f>
      </c>
      <c r="G88" s="15">
        <f>IF($B88="",0,MAX(($D88-$E88-$F88)*Parametreler!$C$6-Parametreler!$C$8,0))</f>
      </c>
      <c r="H88" s="15">
        <f>IF($B88="",0,MAX($D88*Parametreler!$C$7-Parametreler!$C$9,0))</f>
      </c>
      <c r="I88" s="15">
        <f>SUM($E88:$H88)</f>
      </c>
      <c r="J88" s="16">
        <f>IF($B88="","",$D88-$I88)</f>
      </c>
      <c r="K88" s="15">
        <f>IF($B88="","",$D88*1.225+'Personel Kartları'!G88+'Personel Kartları'!H88+'Personel Kartları'!I88)</f>
      </c>
    </row>
    <row r="89" spans="2:11" x14ac:dyDescent="0.25">
      <c r="B89" s="14">
        <f>IF('Personel Kartları'!B89="","",'Personel Kartları'!B89)</f>
      </c>
      <c r="C89" s="14">
        <f>IF('Personel Kartları'!C89="","",'Personel Kartları'!C89)</f>
      </c>
      <c r="D89" s="15">
        <f>IF($B89="",0,'Personel Kartları'!F89)</f>
      </c>
      <c r="E89" s="15">
        <f>IF($B89="",0,MIN($D89,Parametreler!$C$10)*Parametreler!$C$4)</f>
      </c>
      <c r="F89" s="15">
        <f>IF($B89="",0,MIN($D89,Parametreler!$C$10)*Parametreler!$C$5)</f>
      </c>
      <c r="G89" s="15">
        <f>IF($B89="",0,MAX(($D89-$E89-$F89)*Parametreler!$C$6-Parametreler!$C$8,0))</f>
      </c>
      <c r="H89" s="15">
        <f>IF($B89="",0,MAX($D89*Parametreler!$C$7-Parametreler!$C$9,0))</f>
      </c>
      <c r="I89" s="15">
        <f>SUM($E89:$H89)</f>
      </c>
      <c r="J89" s="16">
        <f>IF($B89="","",$D89-$I89)</f>
      </c>
      <c r="K89" s="15">
        <f>IF($B89="","",$D89*1.225+'Personel Kartları'!G89+'Personel Kartları'!H89+'Personel Kartları'!I89)</f>
      </c>
    </row>
    <row r="90" spans="2:11" x14ac:dyDescent="0.25">
      <c r="B90" s="14">
        <f>IF('Personel Kartları'!B90="","",'Personel Kartları'!B90)</f>
      </c>
      <c r="C90" s="14">
        <f>IF('Personel Kartları'!C90="","",'Personel Kartları'!C90)</f>
      </c>
      <c r="D90" s="15">
        <f>IF($B90="",0,'Personel Kartları'!F90)</f>
      </c>
      <c r="E90" s="15">
        <f>IF($B90="",0,MIN($D90,Parametreler!$C$10)*Parametreler!$C$4)</f>
      </c>
      <c r="F90" s="15">
        <f>IF($B90="",0,MIN($D90,Parametreler!$C$10)*Parametreler!$C$5)</f>
      </c>
      <c r="G90" s="15">
        <f>IF($B90="",0,MAX(($D90-$E90-$F90)*Parametreler!$C$6-Parametreler!$C$8,0))</f>
      </c>
      <c r="H90" s="15">
        <f>IF($B90="",0,MAX($D90*Parametreler!$C$7-Parametreler!$C$9,0))</f>
      </c>
      <c r="I90" s="15">
        <f>SUM($E90:$H90)</f>
      </c>
      <c r="J90" s="16">
        <f>IF($B90="","",$D90-$I90)</f>
      </c>
      <c r="K90" s="15">
        <f>IF($B90="","",$D90*1.225+'Personel Kartları'!G90+'Personel Kartları'!H90+'Personel Kartları'!I90)</f>
      </c>
    </row>
    <row r="91" spans="2:11" x14ac:dyDescent="0.25">
      <c r="B91" s="14">
        <f>IF('Personel Kartları'!B91="","",'Personel Kartları'!B91)</f>
      </c>
      <c r="C91" s="14">
        <f>IF('Personel Kartları'!C91="","",'Personel Kartları'!C91)</f>
      </c>
      <c r="D91" s="15">
        <f>IF($B91="",0,'Personel Kartları'!F91)</f>
      </c>
      <c r="E91" s="15">
        <f>IF($B91="",0,MIN($D91,Parametreler!$C$10)*Parametreler!$C$4)</f>
      </c>
      <c r="F91" s="15">
        <f>IF($B91="",0,MIN($D91,Parametreler!$C$10)*Parametreler!$C$5)</f>
      </c>
      <c r="G91" s="15">
        <f>IF($B91="",0,MAX(($D91-$E91-$F91)*Parametreler!$C$6-Parametreler!$C$8,0))</f>
      </c>
      <c r="H91" s="15">
        <f>IF($B91="",0,MAX($D91*Parametreler!$C$7-Parametreler!$C$9,0))</f>
      </c>
      <c r="I91" s="15">
        <f>SUM($E91:$H91)</f>
      </c>
      <c r="J91" s="16">
        <f>IF($B91="","",$D91-$I91)</f>
      </c>
      <c r="K91" s="15">
        <f>IF($B91="","",$D91*1.225+'Personel Kartları'!G91+'Personel Kartları'!H91+'Personel Kartları'!I91)</f>
      </c>
    </row>
    <row r="92" spans="2:11" x14ac:dyDescent="0.25">
      <c r="B92" s="14">
        <f>IF('Personel Kartları'!B92="","",'Personel Kartları'!B92)</f>
      </c>
      <c r="C92" s="14">
        <f>IF('Personel Kartları'!C92="","",'Personel Kartları'!C92)</f>
      </c>
      <c r="D92" s="15">
        <f>IF($B92="",0,'Personel Kartları'!F92)</f>
      </c>
      <c r="E92" s="15">
        <f>IF($B92="",0,MIN($D92,Parametreler!$C$10)*Parametreler!$C$4)</f>
      </c>
      <c r="F92" s="15">
        <f>IF($B92="",0,MIN($D92,Parametreler!$C$10)*Parametreler!$C$5)</f>
      </c>
      <c r="G92" s="15">
        <f>IF($B92="",0,MAX(($D92-$E92-$F92)*Parametreler!$C$6-Parametreler!$C$8,0))</f>
      </c>
      <c r="H92" s="15">
        <f>IF($B92="",0,MAX($D92*Parametreler!$C$7-Parametreler!$C$9,0))</f>
      </c>
      <c r="I92" s="15">
        <f>SUM($E92:$H92)</f>
      </c>
      <c r="J92" s="16">
        <f>IF($B92="","",$D92-$I92)</f>
      </c>
      <c r="K92" s="15">
        <f>IF($B92="","",$D92*1.225+'Personel Kartları'!G92+'Personel Kartları'!H92+'Personel Kartları'!I92)</f>
      </c>
    </row>
    <row r="93" spans="2:11" x14ac:dyDescent="0.25">
      <c r="B93" s="14">
        <f>IF('Personel Kartları'!B93="","",'Personel Kartları'!B93)</f>
      </c>
      <c r="C93" s="14">
        <f>IF('Personel Kartları'!C93="","",'Personel Kartları'!C93)</f>
      </c>
      <c r="D93" s="15">
        <f>IF($B93="",0,'Personel Kartları'!F93)</f>
      </c>
      <c r="E93" s="15">
        <f>IF($B93="",0,MIN($D93,Parametreler!$C$10)*Parametreler!$C$4)</f>
      </c>
      <c r="F93" s="15">
        <f>IF($B93="",0,MIN($D93,Parametreler!$C$10)*Parametreler!$C$5)</f>
      </c>
      <c r="G93" s="15">
        <f>IF($B93="",0,MAX(($D93-$E93-$F93)*Parametreler!$C$6-Parametreler!$C$8,0))</f>
      </c>
      <c r="H93" s="15">
        <f>IF($B93="",0,MAX($D93*Parametreler!$C$7-Parametreler!$C$9,0))</f>
      </c>
      <c r="I93" s="15">
        <f>SUM($E93:$H93)</f>
      </c>
      <c r="J93" s="16">
        <f>IF($B93="","",$D93-$I93)</f>
      </c>
      <c r="K93" s="15">
        <f>IF($B93="","",$D93*1.225+'Personel Kartları'!G93+'Personel Kartları'!H93+'Personel Kartları'!I93)</f>
      </c>
    </row>
    <row r="94" spans="2:11" x14ac:dyDescent="0.25">
      <c r="B94" s="14">
        <f>IF('Personel Kartları'!B94="","",'Personel Kartları'!B94)</f>
      </c>
      <c r="C94" s="14">
        <f>IF('Personel Kartları'!C94="","",'Personel Kartları'!C94)</f>
      </c>
      <c r="D94" s="15">
        <f>IF($B94="",0,'Personel Kartları'!F94)</f>
      </c>
      <c r="E94" s="15">
        <f>IF($B94="",0,MIN($D94,Parametreler!$C$10)*Parametreler!$C$4)</f>
      </c>
      <c r="F94" s="15">
        <f>IF($B94="",0,MIN($D94,Parametreler!$C$10)*Parametreler!$C$5)</f>
      </c>
      <c r="G94" s="15">
        <f>IF($B94="",0,MAX(($D94-$E94-$F94)*Parametreler!$C$6-Parametreler!$C$8,0))</f>
      </c>
      <c r="H94" s="15">
        <f>IF($B94="",0,MAX($D94*Parametreler!$C$7-Parametreler!$C$9,0))</f>
      </c>
      <c r="I94" s="15">
        <f>SUM($E94:$H94)</f>
      </c>
      <c r="J94" s="16">
        <f>IF($B94="","",$D94-$I94)</f>
      </c>
      <c r="K94" s="15">
        <f>IF($B94="","",$D94*1.225+'Personel Kartları'!G94+'Personel Kartları'!H94+'Personel Kartları'!I94)</f>
      </c>
    </row>
    <row r="95" spans="2:11" x14ac:dyDescent="0.25">
      <c r="B95" s="14">
        <f>IF('Personel Kartları'!B95="","",'Personel Kartları'!B95)</f>
      </c>
      <c r="C95" s="14">
        <f>IF('Personel Kartları'!C95="","",'Personel Kartları'!C95)</f>
      </c>
      <c r="D95" s="15">
        <f>IF($B95="",0,'Personel Kartları'!F95)</f>
      </c>
      <c r="E95" s="15">
        <f>IF($B95="",0,MIN($D95,Parametreler!$C$10)*Parametreler!$C$4)</f>
      </c>
      <c r="F95" s="15">
        <f>IF($B95="",0,MIN($D95,Parametreler!$C$10)*Parametreler!$C$5)</f>
      </c>
      <c r="G95" s="15">
        <f>IF($B95="",0,MAX(($D95-$E95-$F95)*Parametreler!$C$6-Parametreler!$C$8,0))</f>
      </c>
      <c r="H95" s="15">
        <f>IF($B95="",0,MAX($D95*Parametreler!$C$7-Parametreler!$C$9,0))</f>
      </c>
      <c r="I95" s="15">
        <f>SUM($E95:$H95)</f>
      </c>
      <c r="J95" s="16">
        <f>IF($B95="","",$D95-$I95)</f>
      </c>
      <c r="K95" s="15">
        <f>IF($B95="","",$D95*1.225+'Personel Kartları'!G95+'Personel Kartları'!H95+'Personel Kartları'!I95)</f>
      </c>
    </row>
    <row r="96" spans="2:11" x14ac:dyDescent="0.25">
      <c r="B96" s="14">
        <f>IF('Personel Kartları'!B96="","",'Personel Kartları'!B96)</f>
      </c>
      <c r="C96" s="14">
        <f>IF('Personel Kartları'!C96="","",'Personel Kartları'!C96)</f>
      </c>
      <c r="D96" s="15">
        <f>IF($B96="",0,'Personel Kartları'!F96)</f>
      </c>
      <c r="E96" s="15">
        <f>IF($B96="",0,MIN($D96,Parametreler!$C$10)*Parametreler!$C$4)</f>
      </c>
      <c r="F96" s="15">
        <f>IF($B96="",0,MIN($D96,Parametreler!$C$10)*Parametreler!$C$5)</f>
      </c>
      <c r="G96" s="15">
        <f>IF($B96="",0,MAX(($D96-$E96-$F96)*Parametreler!$C$6-Parametreler!$C$8,0))</f>
      </c>
      <c r="H96" s="15">
        <f>IF($B96="",0,MAX($D96*Parametreler!$C$7-Parametreler!$C$9,0))</f>
      </c>
      <c r="I96" s="15">
        <f>SUM($E96:$H96)</f>
      </c>
      <c r="J96" s="16">
        <f>IF($B96="","",$D96-$I96)</f>
      </c>
      <c r="K96" s="15">
        <f>IF($B96="","",$D96*1.225+'Personel Kartları'!G96+'Personel Kartları'!H96+'Personel Kartları'!I96)</f>
      </c>
    </row>
    <row r="97" spans="2:11" x14ac:dyDescent="0.25">
      <c r="B97" s="14">
        <f>IF('Personel Kartları'!B97="","",'Personel Kartları'!B97)</f>
      </c>
      <c r="C97" s="14">
        <f>IF('Personel Kartları'!C97="","",'Personel Kartları'!C97)</f>
      </c>
      <c r="D97" s="15">
        <f>IF($B97="",0,'Personel Kartları'!F97)</f>
      </c>
      <c r="E97" s="15">
        <f>IF($B97="",0,MIN($D97,Parametreler!$C$10)*Parametreler!$C$4)</f>
      </c>
      <c r="F97" s="15">
        <f>IF($B97="",0,MIN($D97,Parametreler!$C$10)*Parametreler!$C$5)</f>
      </c>
      <c r="G97" s="15">
        <f>IF($B97="",0,MAX(($D97-$E97-$F97)*Parametreler!$C$6-Parametreler!$C$8,0))</f>
      </c>
      <c r="H97" s="15">
        <f>IF($B97="",0,MAX($D97*Parametreler!$C$7-Parametreler!$C$9,0))</f>
      </c>
      <c r="I97" s="15">
        <f>SUM($E97:$H97)</f>
      </c>
      <c r="J97" s="16">
        <f>IF($B97="","",$D97-$I97)</f>
      </c>
      <c r="K97" s="15">
        <f>IF($B97="","",$D97*1.225+'Personel Kartları'!G97+'Personel Kartları'!H97+'Personel Kartları'!I97)</f>
      </c>
    </row>
    <row r="98" spans="2:11" x14ac:dyDescent="0.25">
      <c r="B98" s="14">
        <f>IF('Personel Kartları'!B98="","",'Personel Kartları'!B98)</f>
      </c>
      <c r="C98" s="14">
        <f>IF('Personel Kartları'!C98="","",'Personel Kartları'!C98)</f>
      </c>
      <c r="D98" s="15">
        <f>IF($B98="",0,'Personel Kartları'!F98)</f>
      </c>
      <c r="E98" s="15">
        <f>IF($B98="",0,MIN($D98,Parametreler!$C$10)*Parametreler!$C$4)</f>
      </c>
      <c r="F98" s="15">
        <f>IF($B98="",0,MIN($D98,Parametreler!$C$10)*Parametreler!$C$5)</f>
      </c>
      <c r="G98" s="15">
        <f>IF($B98="",0,MAX(($D98-$E98-$F98)*Parametreler!$C$6-Parametreler!$C$8,0))</f>
      </c>
      <c r="H98" s="15">
        <f>IF($B98="",0,MAX($D98*Parametreler!$C$7-Parametreler!$C$9,0))</f>
      </c>
      <c r="I98" s="15">
        <f>SUM($E98:$H98)</f>
      </c>
      <c r="J98" s="16">
        <f>IF($B98="","",$D98-$I98)</f>
      </c>
      <c r="K98" s="15">
        <f>IF($B98="","",$D98*1.225+'Personel Kartları'!G98+'Personel Kartları'!H98+'Personel Kartları'!I98)</f>
      </c>
    </row>
    <row r="99" spans="2:11" x14ac:dyDescent="0.25">
      <c r="B99" s="14">
        <f>IF('Personel Kartları'!B99="","",'Personel Kartları'!B99)</f>
      </c>
      <c r="C99" s="14">
        <f>IF('Personel Kartları'!C99="","",'Personel Kartları'!C99)</f>
      </c>
      <c r="D99" s="15">
        <f>IF($B99="",0,'Personel Kartları'!F99)</f>
      </c>
      <c r="E99" s="15">
        <f>IF($B99="",0,MIN($D99,Parametreler!$C$10)*Parametreler!$C$4)</f>
      </c>
      <c r="F99" s="15">
        <f>IF($B99="",0,MIN($D99,Parametreler!$C$10)*Parametreler!$C$5)</f>
      </c>
      <c r="G99" s="15">
        <f>IF($B99="",0,MAX(($D99-$E99-$F99)*Parametreler!$C$6-Parametreler!$C$8,0))</f>
      </c>
      <c r="H99" s="15">
        <f>IF($B99="",0,MAX($D99*Parametreler!$C$7-Parametreler!$C$9,0))</f>
      </c>
      <c r="I99" s="15">
        <f>SUM($E99:$H99)</f>
      </c>
      <c r="J99" s="16">
        <f>IF($B99="","",$D99-$I99)</f>
      </c>
      <c r="K99" s="15">
        <f>IF($B99="","",$D99*1.225+'Personel Kartları'!G99+'Personel Kartları'!H99+'Personel Kartları'!I99)</f>
      </c>
    </row>
    <row r="100" spans="2:11" x14ac:dyDescent="0.25">
      <c r="B100" s="14">
        <f>IF('Personel Kartları'!B100="","",'Personel Kartları'!B100)</f>
      </c>
      <c r="C100" s="14">
        <f>IF('Personel Kartları'!C100="","",'Personel Kartları'!C100)</f>
      </c>
      <c r="D100" s="15">
        <f>IF($B100="",0,'Personel Kartları'!F100)</f>
      </c>
      <c r="E100" s="15">
        <f>IF($B100="",0,MIN($D100,Parametreler!$C$10)*Parametreler!$C$4)</f>
      </c>
      <c r="F100" s="15">
        <f>IF($B100="",0,MIN($D100,Parametreler!$C$10)*Parametreler!$C$5)</f>
      </c>
      <c r="G100" s="15">
        <f>IF($B100="",0,MAX(($D100-$E100-$F100)*Parametreler!$C$6-Parametreler!$C$8,0))</f>
      </c>
      <c r="H100" s="15">
        <f>IF($B100="",0,MAX($D100*Parametreler!$C$7-Parametreler!$C$9,0))</f>
      </c>
      <c r="I100" s="15">
        <f>SUM($E100:$H100)</f>
      </c>
      <c r="J100" s="16">
        <f>IF($B100="","",$D100-$I100)</f>
      </c>
      <c r="K100" s="15">
        <f>IF($B100="","",$D100*1.225+'Personel Kartları'!G100+'Personel Kartları'!H100+'Personel Kartları'!I100)</f>
      </c>
    </row>
    <row r="101" spans="2:11" x14ac:dyDescent="0.25">
      <c r="B101" s="14">
        <f>IF('Personel Kartları'!B101="","",'Personel Kartları'!B101)</f>
      </c>
      <c r="C101" s="14">
        <f>IF('Personel Kartları'!C101="","",'Personel Kartları'!C101)</f>
      </c>
      <c r="D101" s="15">
        <f>IF($B101="",0,'Personel Kartları'!F101)</f>
      </c>
      <c r="E101" s="15">
        <f>IF($B101="",0,MIN($D101,Parametreler!$C$10)*Parametreler!$C$4)</f>
      </c>
      <c r="F101" s="15">
        <f>IF($B101="",0,MIN($D101,Parametreler!$C$10)*Parametreler!$C$5)</f>
      </c>
      <c r="G101" s="15">
        <f>IF($B101="",0,MAX(($D101-$E101-$F101)*Parametreler!$C$6-Parametreler!$C$8,0))</f>
      </c>
      <c r="H101" s="15">
        <f>IF($B101="",0,MAX($D101*Parametreler!$C$7-Parametreler!$C$9,0))</f>
      </c>
      <c r="I101" s="15">
        <f>SUM($E101:$H101)</f>
      </c>
      <c r="J101" s="16">
        <f>IF($B101="","",$D101-$I101)</f>
      </c>
      <c r="K101" s="15">
        <f>IF($B101="","",$D101*1.225+'Personel Kartları'!G101+'Personel Kartları'!H101+'Personel Kartları'!I101)</f>
      </c>
    </row>
    <row r="102" spans="2:11" x14ac:dyDescent="0.25">
      <c r="B102" s="14">
        <f>IF('Personel Kartları'!B102="","",'Personel Kartları'!B102)</f>
      </c>
      <c r="C102" s="14">
        <f>IF('Personel Kartları'!C102="","",'Personel Kartları'!C102)</f>
      </c>
      <c r="D102" s="15">
        <f>IF($B102="",0,'Personel Kartları'!F102)</f>
      </c>
      <c r="E102" s="15">
        <f>IF($B102="",0,MIN($D102,Parametreler!$C$10)*Parametreler!$C$4)</f>
      </c>
      <c r="F102" s="15">
        <f>IF($B102="",0,MIN($D102,Parametreler!$C$10)*Parametreler!$C$5)</f>
      </c>
      <c r="G102" s="15">
        <f>IF($B102="",0,MAX(($D102-$E102-$F102)*Parametreler!$C$6-Parametreler!$C$8,0))</f>
      </c>
      <c r="H102" s="15">
        <f>IF($B102="",0,MAX($D102*Parametreler!$C$7-Parametreler!$C$9,0))</f>
      </c>
      <c r="I102" s="15">
        <f>SUM($E102:$H102)</f>
      </c>
      <c r="J102" s="16">
        <f>IF($B102="","",$D102-$I102)</f>
      </c>
      <c r="K102" s="15">
        <f>IF($B102="","",$D102*1.225+'Personel Kartları'!G102+'Personel Kartları'!H102+'Personel Kartları'!I102)</f>
      </c>
    </row>
    <row r="103" spans="2:11" x14ac:dyDescent="0.25">
      <c r="B103" s="14">
        <f>IF('Personel Kartları'!B103="","",'Personel Kartları'!B103)</f>
      </c>
      <c r="C103" s="14">
        <f>IF('Personel Kartları'!C103="","",'Personel Kartları'!C103)</f>
      </c>
      <c r="D103" s="15">
        <f>IF($B103="",0,'Personel Kartları'!F103)</f>
      </c>
      <c r="E103" s="15">
        <f>IF($B103="",0,MIN($D103,Parametreler!$C$10)*Parametreler!$C$4)</f>
      </c>
      <c r="F103" s="15">
        <f>IF($B103="",0,MIN($D103,Parametreler!$C$10)*Parametreler!$C$5)</f>
      </c>
      <c r="G103" s="15">
        <f>IF($B103="",0,MAX(($D103-$E103-$F103)*Parametreler!$C$6-Parametreler!$C$8,0))</f>
      </c>
      <c r="H103" s="15">
        <f>IF($B103="",0,MAX($D103*Parametreler!$C$7-Parametreler!$C$9,0))</f>
      </c>
      <c r="I103" s="15">
        <f>SUM($E103:$H103)</f>
      </c>
      <c r="J103" s="16">
        <f>IF($B103="","",$D103-$I103)</f>
      </c>
      <c r="K103" s="15">
        <f>IF($B103="","",$D103*1.225+'Personel Kartları'!G103+'Personel Kartları'!H103+'Personel Kartları'!I103)</f>
      </c>
    </row>
    <row r="104" spans="2:11" x14ac:dyDescent="0.25">
      <c r="B104" s="14">
        <f>IF('Personel Kartları'!B104="","",'Personel Kartları'!B104)</f>
      </c>
      <c r="C104" s="14">
        <f>IF('Personel Kartları'!C104="","",'Personel Kartları'!C104)</f>
      </c>
      <c r="D104" s="15">
        <f>IF($B104="",0,'Personel Kartları'!F104)</f>
      </c>
      <c r="E104" s="15">
        <f>IF($B104="",0,MIN($D104,Parametreler!$C$10)*Parametreler!$C$4)</f>
      </c>
      <c r="F104" s="15">
        <f>IF($B104="",0,MIN($D104,Parametreler!$C$10)*Parametreler!$C$5)</f>
      </c>
      <c r="G104" s="15">
        <f>IF($B104="",0,MAX(($D104-$E104-$F104)*Parametreler!$C$6-Parametreler!$C$8,0))</f>
      </c>
      <c r="H104" s="15">
        <f>IF($B104="",0,MAX($D104*Parametreler!$C$7-Parametreler!$C$9,0))</f>
      </c>
      <c r="I104" s="15">
        <f>SUM($E104:$H104)</f>
      </c>
      <c r="J104" s="16">
        <f>IF($B104="","",$D104-$I104)</f>
      </c>
      <c r="K104" s="15">
        <f>IF($B104="","",$D104*1.225+'Personel Kartları'!G104+'Personel Kartları'!H104+'Personel Kartları'!I104)</f>
      </c>
    </row>
    <row r="106" spans="3:11" x14ac:dyDescent="0.25">
      <c r="C106" s="17" t="s">
        <v>66</v>
      </c>
      <c r="D106" s="18">
        <f>SUM(D5:D104)</f>
      </c>
      <c r="E106" s="18">
        <f>SUM(E5:E104)</f>
      </c>
      <c r="F106" s="18">
        <f>SUM(F5:F104)</f>
      </c>
      <c r="G106" s="18">
        <f>SUM(G5:G104)</f>
      </c>
      <c r="H106" s="18">
        <f>SUM(H5:H104)</f>
      </c>
      <c r="I106" s="18">
        <f>SUM(I5:I104)</f>
      </c>
      <c r="J106" s="18">
        <f>SUM(J5:J104)</f>
      </c>
      <c r="K106" s="18">
        <f>SUM(K5:K104)</f>
      </c>
    </row>
  </sheetData>
  <mergeCells count="2">
    <mergeCell ref="A1:K1"/>
    <mergeCell ref="A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9E0B"/>
  </sheetPr>
  <dimension ref="A1:H10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10" customWidth="1"/>
    <col min="3" max="3" width="26" customWidth="1"/>
    <col min="4" max="8" width="16" customWidth="1"/>
  </cols>
  <sheetData>
    <row r="1" ht="34" customHeight="1" spans="1:8" x14ac:dyDescent="0.25">
      <c r="A1" s="1" t="s">
        <v>67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68</v>
      </c>
      <c r="B2" s="2"/>
      <c r="C2" s="2"/>
      <c r="D2" s="2"/>
      <c r="E2" s="2"/>
      <c r="F2" s="2"/>
      <c r="G2" s="2"/>
      <c r="H2" s="2"/>
    </row>
    <row r="4" ht="30" customHeight="1" spans="1:8" x14ac:dyDescent="0.25">
      <c r="A4" s="12" t="s">
        <v>36</v>
      </c>
      <c r="B4" s="12" t="s">
        <v>37</v>
      </c>
      <c r="C4" s="12" t="s">
        <v>38</v>
      </c>
      <c r="D4" s="12" t="s">
        <v>69</v>
      </c>
      <c r="E4" s="12" t="s">
        <v>70</v>
      </c>
      <c r="F4" s="12" t="s">
        <v>71</v>
      </c>
      <c r="G4" s="12" t="s">
        <v>72</v>
      </c>
      <c r="H4" s="12" t="s">
        <v>73</v>
      </c>
    </row>
    <row r="5" spans="2:8" x14ac:dyDescent="0.25">
      <c r="B5" s="14">
        <f>IF('Personel Kartları'!B5="","",'Personel Kartları'!B5)</f>
      </c>
      <c r="C5" s="14">
        <f>IF('Personel Kartları'!C5="","",'Personel Kartları'!C5)</f>
      </c>
      <c r="D5" s="19">
        <f>IF($B5="","",(TODAY()-'Personel Kartları'!E5)/365)</f>
      </c>
      <c r="E5" s="20">
        <f>IF($B5="","",IF($D5&lt;1,0,IF($D5&lt;5,14,IF($D5&lt;15,20,26))))</f>
      </c>
      <c r="F5" s="21"/>
      <c r="G5" s="21"/>
      <c r="H5" s="22">
        <f>IF($B5="","",$E5+IF($F5="",0,$F5)-IF($G5="",0,$G5))</f>
      </c>
    </row>
    <row r="6" spans="2:8" x14ac:dyDescent="0.25">
      <c r="B6" s="14">
        <f>IF('Personel Kartları'!B6="","",'Personel Kartları'!B6)</f>
      </c>
      <c r="C6" s="14">
        <f>IF('Personel Kartları'!C6="","",'Personel Kartları'!C6)</f>
      </c>
      <c r="D6" s="19">
        <f>IF($B6="","",(TODAY()-'Personel Kartları'!E6)/365)</f>
      </c>
      <c r="E6" s="20">
        <f>IF($B6="","",IF($D6&lt;1,0,IF($D6&lt;5,14,IF($D6&lt;15,20,26))))</f>
      </c>
      <c r="F6" s="21"/>
      <c r="G6" s="21"/>
      <c r="H6" s="22">
        <f>IF($B6="","",$E6+IF($F6="",0,$F6)-IF($G6="",0,$G6))</f>
      </c>
    </row>
    <row r="7" spans="2:8" x14ac:dyDescent="0.25">
      <c r="B7" s="14">
        <f>IF('Personel Kartları'!B7="","",'Personel Kartları'!B7)</f>
      </c>
      <c r="C7" s="14">
        <f>IF('Personel Kartları'!C7="","",'Personel Kartları'!C7)</f>
      </c>
      <c r="D7" s="19">
        <f>IF($B7="","",(TODAY()-'Personel Kartları'!E7)/365)</f>
      </c>
      <c r="E7" s="20">
        <f>IF($B7="","",IF($D7&lt;1,0,IF($D7&lt;5,14,IF($D7&lt;15,20,26))))</f>
      </c>
      <c r="F7" s="21"/>
      <c r="G7" s="21"/>
      <c r="H7" s="22">
        <f>IF($B7="","",$E7+IF($F7="",0,$F7)-IF($G7="",0,$G7))</f>
      </c>
    </row>
    <row r="8" spans="2:8" x14ac:dyDescent="0.25">
      <c r="B8" s="14">
        <f>IF('Personel Kartları'!B8="","",'Personel Kartları'!B8)</f>
      </c>
      <c r="C8" s="14">
        <f>IF('Personel Kartları'!C8="","",'Personel Kartları'!C8)</f>
      </c>
      <c r="D8" s="19">
        <f>IF($B8="","",(TODAY()-'Personel Kartları'!E8)/365)</f>
      </c>
      <c r="E8" s="20">
        <f>IF($B8="","",IF($D8&lt;1,0,IF($D8&lt;5,14,IF($D8&lt;15,20,26))))</f>
      </c>
      <c r="F8" s="21"/>
      <c r="G8" s="21"/>
      <c r="H8" s="22">
        <f>IF($B8="","",$E8+IF($F8="",0,$F8)-IF($G8="",0,$G8))</f>
      </c>
    </row>
    <row r="9" spans="2:8" x14ac:dyDescent="0.25">
      <c r="B9" s="14">
        <f>IF('Personel Kartları'!B9="","",'Personel Kartları'!B9)</f>
      </c>
      <c r="C9" s="14">
        <f>IF('Personel Kartları'!C9="","",'Personel Kartları'!C9)</f>
      </c>
      <c r="D9" s="19">
        <f>IF($B9="","",(TODAY()-'Personel Kartları'!E9)/365)</f>
      </c>
      <c r="E9" s="20">
        <f>IF($B9="","",IF($D9&lt;1,0,IF($D9&lt;5,14,IF($D9&lt;15,20,26))))</f>
      </c>
      <c r="F9" s="21"/>
      <c r="G9" s="21"/>
      <c r="H9" s="22">
        <f>IF($B9="","",$E9+IF($F9="",0,$F9)-IF($G9="",0,$G9))</f>
      </c>
    </row>
    <row r="10" spans="2:8" x14ac:dyDescent="0.25">
      <c r="B10" s="14">
        <f>IF('Personel Kartları'!B10="","",'Personel Kartları'!B10)</f>
      </c>
      <c r="C10" s="14">
        <f>IF('Personel Kartları'!C10="","",'Personel Kartları'!C10)</f>
      </c>
      <c r="D10" s="19">
        <f>IF($B10="","",(TODAY()-'Personel Kartları'!E10)/365)</f>
      </c>
      <c r="E10" s="20">
        <f>IF($B10="","",IF($D10&lt;1,0,IF($D10&lt;5,14,IF($D10&lt;15,20,26))))</f>
      </c>
      <c r="F10" s="21"/>
      <c r="G10" s="21"/>
      <c r="H10" s="22">
        <f>IF($B10="","",$E10+IF($F10="",0,$F10)-IF($G10="",0,$G10))</f>
      </c>
    </row>
    <row r="11" spans="2:8" x14ac:dyDescent="0.25">
      <c r="B11" s="14">
        <f>IF('Personel Kartları'!B11="","",'Personel Kartları'!B11)</f>
      </c>
      <c r="C11" s="14">
        <f>IF('Personel Kartları'!C11="","",'Personel Kartları'!C11)</f>
      </c>
      <c r="D11" s="19">
        <f>IF($B11="","",(TODAY()-'Personel Kartları'!E11)/365)</f>
      </c>
      <c r="E11" s="20">
        <f>IF($B11="","",IF($D11&lt;1,0,IF($D11&lt;5,14,IF($D11&lt;15,20,26))))</f>
      </c>
      <c r="F11" s="21"/>
      <c r="G11" s="21"/>
      <c r="H11" s="22">
        <f>IF($B11="","",$E11+IF($F11="",0,$F11)-IF($G11="",0,$G11))</f>
      </c>
    </row>
    <row r="12" spans="2:8" x14ac:dyDescent="0.25">
      <c r="B12" s="14">
        <f>IF('Personel Kartları'!B12="","",'Personel Kartları'!B12)</f>
      </c>
      <c r="C12" s="14">
        <f>IF('Personel Kartları'!C12="","",'Personel Kartları'!C12)</f>
      </c>
      <c r="D12" s="19">
        <f>IF($B12="","",(TODAY()-'Personel Kartları'!E12)/365)</f>
      </c>
      <c r="E12" s="20">
        <f>IF($B12="","",IF($D12&lt;1,0,IF($D12&lt;5,14,IF($D12&lt;15,20,26))))</f>
      </c>
      <c r="F12" s="21"/>
      <c r="G12" s="21"/>
      <c r="H12" s="22">
        <f>IF($B12="","",$E12+IF($F12="",0,$F12)-IF($G12="",0,$G12))</f>
      </c>
    </row>
    <row r="13" spans="2:8" x14ac:dyDescent="0.25">
      <c r="B13" s="14">
        <f>IF('Personel Kartları'!B13="","",'Personel Kartları'!B13)</f>
      </c>
      <c r="C13" s="14">
        <f>IF('Personel Kartları'!C13="","",'Personel Kartları'!C13)</f>
      </c>
      <c r="D13" s="19">
        <f>IF($B13="","",(TODAY()-'Personel Kartları'!E13)/365)</f>
      </c>
      <c r="E13" s="20">
        <f>IF($B13="","",IF($D13&lt;1,0,IF($D13&lt;5,14,IF($D13&lt;15,20,26))))</f>
      </c>
      <c r="F13" s="21"/>
      <c r="G13" s="21"/>
      <c r="H13" s="22">
        <f>IF($B13="","",$E13+IF($F13="",0,$F13)-IF($G13="",0,$G13))</f>
      </c>
    </row>
    <row r="14" spans="2:8" x14ac:dyDescent="0.25">
      <c r="B14" s="14">
        <f>IF('Personel Kartları'!B14="","",'Personel Kartları'!B14)</f>
      </c>
      <c r="C14" s="14">
        <f>IF('Personel Kartları'!C14="","",'Personel Kartları'!C14)</f>
      </c>
      <c r="D14" s="19">
        <f>IF($B14="","",(TODAY()-'Personel Kartları'!E14)/365)</f>
      </c>
      <c r="E14" s="20">
        <f>IF($B14="","",IF($D14&lt;1,0,IF($D14&lt;5,14,IF($D14&lt;15,20,26))))</f>
      </c>
      <c r="F14" s="21"/>
      <c r="G14" s="21"/>
      <c r="H14" s="22">
        <f>IF($B14="","",$E14+IF($F14="",0,$F14)-IF($G14="",0,$G14))</f>
      </c>
    </row>
    <row r="15" spans="2:8" x14ac:dyDescent="0.25">
      <c r="B15" s="14">
        <f>IF('Personel Kartları'!B15="","",'Personel Kartları'!B15)</f>
      </c>
      <c r="C15" s="14">
        <f>IF('Personel Kartları'!C15="","",'Personel Kartları'!C15)</f>
      </c>
      <c r="D15" s="19">
        <f>IF($B15="","",(TODAY()-'Personel Kartları'!E15)/365)</f>
      </c>
      <c r="E15" s="20">
        <f>IF($B15="","",IF($D15&lt;1,0,IF($D15&lt;5,14,IF($D15&lt;15,20,26))))</f>
      </c>
      <c r="F15" s="21"/>
      <c r="G15" s="21"/>
      <c r="H15" s="22">
        <f>IF($B15="","",$E15+IF($F15="",0,$F15)-IF($G15="",0,$G15))</f>
      </c>
    </row>
    <row r="16" spans="2:8" x14ac:dyDescent="0.25">
      <c r="B16" s="14">
        <f>IF('Personel Kartları'!B16="","",'Personel Kartları'!B16)</f>
      </c>
      <c r="C16" s="14">
        <f>IF('Personel Kartları'!C16="","",'Personel Kartları'!C16)</f>
      </c>
      <c r="D16" s="19">
        <f>IF($B16="","",(TODAY()-'Personel Kartları'!E16)/365)</f>
      </c>
      <c r="E16" s="20">
        <f>IF($B16="","",IF($D16&lt;1,0,IF($D16&lt;5,14,IF($D16&lt;15,20,26))))</f>
      </c>
      <c r="F16" s="21"/>
      <c r="G16" s="21"/>
      <c r="H16" s="22">
        <f>IF($B16="","",$E16+IF($F16="",0,$F16)-IF($G16="",0,$G16))</f>
      </c>
    </row>
    <row r="17" spans="2:8" x14ac:dyDescent="0.25">
      <c r="B17" s="14">
        <f>IF('Personel Kartları'!B17="","",'Personel Kartları'!B17)</f>
      </c>
      <c r="C17" s="14">
        <f>IF('Personel Kartları'!C17="","",'Personel Kartları'!C17)</f>
      </c>
      <c r="D17" s="19">
        <f>IF($B17="","",(TODAY()-'Personel Kartları'!E17)/365)</f>
      </c>
      <c r="E17" s="20">
        <f>IF($B17="","",IF($D17&lt;1,0,IF($D17&lt;5,14,IF($D17&lt;15,20,26))))</f>
      </c>
      <c r="F17" s="21"/>
      <c r="G17" s="21"/>
      <c r="H17" s="22">
        <f>IF($B17="","",$E17+IF($F17="",0,$F17)-IF($G17="",0,$G17))</f>
      </c>
    </row>
    <row r="18" spans="2:8" x14ac:dyDescent="0.25">
      <c r="B18" s="14">
        <f>IF('Personel Kartları'!B18="","",'Personel Kartları'!B18)</f>
      </c>
      <c r="C18" s="14">
        <f>IF('Personel Kartları'!C18="","",'Personel Kartları'!C18)</f>
      </c>
      <c r="D18" s="19">
        <f>IF($B18="","",(TODAY()-'Personel Kartları'!E18)/365)</f>
      </c>
      <c r="E18" s="20">
        <f>IF($B18="","",IF($D18&lt;1,0,IF($D18&lt;5,14,IF($D18&lt;15,20,26))))</f>
      </c>
      <c r="F18" s="21"/>
      <c r="G18" s="21"/>
      <c r="H18" s="22">
        <f>IF($B18="","",$E18+IF($F18="",0,$F18)-IF($G18="",0,$G18))</f>
      </c>
    </row>
    <row r="19" spans="2:8" x14ac:dyDescent="0.25">
      <c r="B19" s="14">
        <f>IF('Personel Kartları'!B19="","",'Personel Kartları'!B19)</f>
      </c>
      <c r="C19" s="14">
        <f>IF('Personel Kartları'!C19="","",'Personel Kartları'!C19)</f>
      </c>
      <c r="D19" s="19">
        <f>IF($B19="","",(TODAY()-'Personel Kartları'!E19)/365)</f>
      </c>
      <c r="E19" s="20">
        <f>IF($B19="","",IF($D19&lt;1,0,IF($D19&lt;5,14,IF($D19&lt;15,20,26))))</f>
      </c>
      <c r="F19" s="21"/>
      <c r="G19" s="21"/>
      <c r="H19" s="22">
        <f>IF($B19="","",$E19+IF($F19="",0,$F19)-IF($G19="",0,$G19))</f>
      </c>
    </row>
    <row r="20" spans="2:8" x14ac:dyDescent="0.25">
      <c r="B20" s="14">
        <f>IF('Personel Kartları'!B20="","",'Personel Kartları'!B20)</f>
      </c>
      <c r="C20" s="14">
        <f>IF('Personel Kartları'!C20="","",'Personel Kartları'!C20)</f>
      </c>
      <c r="D20" s="19">
        <f>IF($B20="","",(TODAY()-'Personel Kartları'!E20)/365)</f>
      </c>
      <c r="E20" s="20">
        <f>IF($B20="","",IF($D20&lt;1,0,IF($D20&lt;5,14,IF($D20&lt;15,20,26))))</f>
      </c>
      <c r="F20" s="21"/>
      <c r="G20" s="21"/>
      <c r="H20" s="22">
        <f>IF($B20="","",$E20+IF($F20="",0,$F20)-IF($G20="",0,$G20))</f>
      </c>
    </row>
    <row r="21" spans="2:8" x14ac:dyDescent="0.25">
      <c r="B21" s="14">
        <f>IF('Personel Kartları'!B21="","",'Personel Kartları'!B21)</f>
      </c>
      <c r="C21" s="14">
        <f>IF('Personel Kartları'!C21="","",'Personel Kartları'!C21)</f>
      </c>
      <c r="D21" s="19">
        <f>IF($B21="","",(TODAY()-'Personel Kartları'!E21)/365)</f>
      </c>
      <c r="E21" s="20">
        <f>IF($B21="","",IF($D21&lt;1,0,IF($D21&lt;5,14,IF($D21&lt;15,20,26))))</f>
      </c>
      <c r="F21" s="21"/>
      <c r="G21" s="21"/>
      <c r="H21" s="22">
        <f>IF($B21="","",$E21+IF($F21="",0,$F21)-IF($G21="",0,$G21))</f>
      </c>
    </row>
    <row r="22" spans="2:8" x14ac:dyDescent="0.25">
      <c r="B22" s="14">
        <f>IF('Personel Kartları'!B22="","",'Personel Kartları'!B22)</f>
      </c>
      <c r="C22" s="14">
        <f>IF('Personel Kartları'!C22="","",'Personel Kartları'!C22)</f>
      </c>
      <c r="D22" s="19">
        <f>IF($B22="","",(TODAY()-'Personel Kartları'!E22)/365)</f>
      </c>
      <c r="E22" s="20">
        <f>IF($B22="","",IF($D22&lt;1,0,IF($D22&lt;5,14,IF($D22&lt;15,20,26))))</f>
      </c>
      <c r="F22" s="21"/>
      <c r="G22" s="21"/>
      <c r="H22" s="22">
        <f>IF($B22="","",$E22+IF($F22="",0,$F22)-IF($G22="",0,$G22))</f>
      </c>
    </row>
    <row r="23" spans="2:8" x14ac:dyDescent="0.25">
      <c r="B23" s="14">
        <f>IF('Personel Kartları'!B23="","",'Personel Kartları'!B23)</f>
      </c>
      <c r="C23" s="14">
        <f>IF('Personel Kartları'!C23="","",'Personel Kartları'!C23)</f>
      </c>
      <c r="D23" s="19">
        <f>IF($B23="","",(TODAY()-'Personel Kartları'!E23)/365)</f>
      </c>
      <c r="E23" s="20">
        <f>IF($B23="","",IF($D23&lt;1,0,IF($D23&lt;5,14,IF($D23&lt;15,20,26))))</f>
      </c>
      <c r="F23" s="21"/>
      <c r="G23" s="21"/>
      <c r="H23" s="22">
        <f>IF($B23="","",$E23+IF($F23="",0,$F23)-IF($G23="",0,$G23))</f>
      </c>
    </row>
    <row r="24" spans="2:8" x14ac:dyDescent="0.25">
      <c r="B24" s="14">
        <f>IF('Personel Kartları'!B24="","",'Personel Kartları'!B24)</f>
      </c>
      <c r="C24" s="14">
        <f>IF('Personel Kartları'!C24="","",'Personel Kartları'!C24)</f>
      </c>
      <c r="D24" s="19">
        <f>IF($B24="","",(TODAY()-'Personel Kartları'!E24)/365)</f>
      </c>
      <c r="E24" s="20">
        <f>IF($B24="","",IF($D24&lt;1,0,IF($D24&lt;5,14,IF($D24&lt;15,20,26))))</f>
      </c>
      <c r="F24" s="21"/>
      <c r="G24" s="21"/>
      <c r="H24" s="22">
        <f>IF($B24="","",$E24+IF($F24="",0,$F24)-IF($G24="",0,$G24))</f>
      </c>
    </row>
    <row r="25" spans="2:8" x14ac:dyDescent="0.25">
      <c r="B25" s="14">
        <f>IF('Personel Kartları'!B25="","",'Personel Kartları'!B25)</f>
      </c>
      <c r="C25" s="14">
        <f>IF('Personel Kartları'!C25="","",'Personel Kartları'!C25)</f>
      </c>
      <c r="D25" s="19">
        <f>IF($B25="","",(TODAY()-'Personel Kartları'!E25)/365)</f>
      </c>
      <c r="E25" s="20">
        <f>IF($B25="","",IF($D25&lt;1,0,IF($D25&lt;5,14,IF($D25&lt;15,20,26))))</f>
      </c>
      <c r="F25" s="21"/>
      <c r="G25" s="21"/>
      <c r="H25" s="22">
        <f>IF($B25="","",$E25+IF($F25="",0,$F25)-IF($G25="",0,$G25))</f>
      </c>
    </row>
    <row r="26" spans="2:8" x14ac:dyDescent="0.25">
      <c r="B26" s="14">
        <f>IF('Personel Kartları'!B26="","",'Personel Kartları'!B26)</f>
      </c>
      <c r="C26" s="14">
        <f>IF('Personel Kartları'!C26="","",'Personel Kartları'!C26)</f>
      </c>
      <c r="D26" s="19">
        <f>IF($B26="","",(TODAY()-'Personel Kartları'!E26)/365)</f>
      </c>
      <c r="E26" s="20">
        <f>IF($B26="","",IF($D26&lt;1,0,IF($D26&lt;5,14,IF($D26&lt;15,20,26))))</f>
      </c>
      <c r="F26" s="21"/>
      <c r="G26" s="21"/>
      <c r="H26" s="22">
        <f>IF($B26="","",$E26+IF($F26="",0,$F26)-IF($G26="",0,$G26))</f>
      </c>
    </row>
    <row r="27" spans="2:8" x14ac:dyDescent="0.25">
      <c r="B27" s="14">
        <f>IF('Personel Kartları'!B27="","",'Personel Kartları'!B27)</f>
      </c>
      <c r="C27" s="14">
        <f>IF('Personel Kartları'!C27="","",'Personel Kartları'!C27)</f>
      </c>
      <c r="D27" s="19">
        <f>IF($B27="","",(TODAY()-'Personel Kartları'!E27)/365)</f>
      </c>
      <c r="E27" s="20">
        <f>IF($B27="","",IF($D27&lt;1,0,IF($D27&lt;5,14,IF($D27&lt;15,20,26))))</f>
      </c>
      <c r="F27" s="21"/>
      <c r="G27" s="21"/>
      <c r="H27" s="22">
        <f>IF($B27="","",$E27+IF($F27="",0,$F27)-IF($G27="",0,$G27))</f>
      </c>
    </row>
    <row r="28" spans="2:8" x14ac:dyDescent="0.25">
      <c r="B28" s="14">
        <f>IF('Personel Kartları'!B28="","",'Personel Kartları'!B28)</f>
      </c>
      <c r="C28" s="14">
        <f>IF('Personel Kartları'!C28="","",'Personel Kartları'!C28)</f>
      </c>
      <c r="D28" s="19">
        <f>IF($B28="","",(TODAY()-'Personel Kartları'!E28)/365)</f>
      </c>
      <c r="E28" s="20">
        <f>IF($B28="","",IF($D28&lt;1,0,IF($D28&lt;5,14,IF($D28&lt;15,20,26))))</f>
      </c>
      <c r="F28" s="21"/>
      <c r="G28" s="21"/>
      <c r="H28" s="22">
        <f>IF($B28="","",$E28+IF($F28="",0,$F28)-IF($G28="",0,$G28))</f>
      </c>
    </row>
    <row r="29" spans="2:8" x14ac:dyDescent="0.25">
      <c r="B29" s="14">
        <f>IF('Personel Kartları'!B29="","",'Personel Kartları'!B29)</f>
      </c>
      <c r="C29" s="14">
        <f>IF('Personel Kartları'!C29="","",'Personel Kartları'!C29)</f>
      </c>
      <c r="D29" s="19">
        <f>IF($B29="","",(TODAY()-'Personel Kartları'!E29)/365)</f>
      </c>
      <c r="E29" s="20">
        <f>IF($B29="","",IF($D29&lt;1,0,IF($D29&lt;5,14,IF($D29&lt;15,20,26))))</f>
      </c>
      <c r="F29" s="21"/>
      <c r="G29" s="21"/>
      <c r="H29" s="22">
        <f>IF($B29="","",$E29+IF($F29="",0,$F29)-IF($G29="",0,$G29))</f>
      </c>
    </row>
    <row r="30" spans="2:8" x14ac:dyDescent="0.25">
      <c r="B30" s="14">
        <f>IF('Personel Kartları'!B30="","",'Personel Kartları'!B30)</f>
      </c>
      <c r="C30" s="14">
        <f>IF('Personel Kartları'!C30="","",'Personel Kartları'!C30)</f>
      </c>
      <c r="D30" s="19">
        <f>IF($B30="","",(TODAY()-'Personel Kartları'!E30)/365)</f>
      </c>
      <c r="E30" s="20">
        <f>IF($B30="","",IF($D30&lt;1,0,IF($D30&lt;5,14,IF($D30&lt;15,20,26))))</f>
      </c>
      <c r="F30" s="21"/>
      <c r="G30" s="21"/>
      <c r="H30" s="22">
        <f>IF($B30="","",$E30+IF($F30="",0,$F30)-IF($G30="",0,$G30))</f>
      </c>
    </row>
    <row r="31" spans="2:8" x14ac:dyDescent="0.25">
      <c r="B31" s="14">
        <f>IF('Personel Kartları'!B31="","",'Personel Kartları'!B31)</f>
      </c>
      <c r="C31" s="14">
        <f>IF('Personel Kartları'!C31="","",'Personel Kartları'!C31)</f>
      </c>
      <c r="D31" s="19">
        <f>IF($B31="","",(TODAY()-'Personel Kartları'!E31)/365)</f>
      </c>
      <c r="E31" s="20">
        <f>IF($B31="","",IF($D31&lt;1,0,IF($D31&lt;5,14,IF($D31&lt;15,20,26))))</f>
      </c>
      <c r="F31" s="21"/>
      <c r="G31" s="21"/>
      <c r="H31" s="22">
        <f>IF($B31="","",$E31+IF($F31="",0,$F31)-IF($G31="",0,$G31))</f>
      </c>
    </row>
    <row r="32" spans="2:8" x14ac:dyDescent="0.25">
      <c r="B32" s="14">
        <f>IF('Personel Kartları'!B32="","",'Personel Kartları'!B32)</f>
      </c>
      <c r="C32" s="14">
        <f>IF('Personel Kartları'!C32="","",'Personel Kartları'!C32)</f>
      </c>
      <c r="D32" s="19">
        <f>IF($B32="","",(TODAY()-'Personel Kartları'!E32)/365)</f>
      </c>
      <c r="E32" s="20">
        <f>IF($B32="","",IF($D32&lt;1,0,IF($D32&lt;5,14,IF($D32&lt;15,20,26))))</f>
      </c>
      <c r="F32" s="21"/>
      <c r="G32" s="21"/>
      <c r="H32" s="22">
        <f>IF($B32="","",$E32+IF($F32="",0,$F32)-IF($G32="",0,$G32))</f>
      </c>
    </row>
    <row r="33" spans="2:8" x14ac:dyDescent="0.25">
      <c r="B33" s="14">
        <f>IF('Personel Kartları'!B33="","",'Personel Kartları'!B33)</f>
      </c>
      <c r="C33" s="14">
        <f>IF('Personel Kartları'!C33="","",'Personel Kartları'!C33)</f>
      </c>
      <c r="D33" s="19">
        <f>IF($B33="","",(TODAY()-'Personel Kartları'!E33)/365)</f>
      </c>
      <c r="E33" s="20">
        <f>IF($B33="","",IF($D33&lt;1,0,IF($D33&lt;5,14,IF($D33&lt;15,20,26))))</f>
      </c>
      <c r="F33" s="21"/>
      <c r="G33" s="21"/>
      <c r="H33" s="22">
        <f>IF($B33="","",$E33+IF($F33="",0,$F33)-IF($G33="",0,$G33))</f>
      </c>
    </row>
    <row r="34" spans="2:8" x14ac:dyDescent="0.25">
      <c r="B34" s="14">
        <f>IF('Personel Kartları'!B34="","",'Personel Kartları'!B34)</f>
      </c>
      <c r="C34" s="14">
        <f>IF('Personel Kartları'!C34="","",'Personel Kartları'!C34)</f>
      </c>
      <c r="D34" s="19">
        <f>IF($B34="","",(TODAY()-'Personel Kartları'!E34)/365)</f>
      </c>
      <c r="E34" s="20">
        <f>IF($B34="","",IF($D34&lt;1,0,IF($D34&lt;5,14,IF($D34&lt;15,20,26))))</f>
      </c>
      <c r="F34" s="21"/>
      <c r="G34" s="21"/>
      <c r="H34" s="22">
        <f>IF($B34="","",$E34+IF($F34="",0,$F34)-IF($G34="",0,$G34))</f>
      </c>
    </row>
    <row r="35" spans="2:8" x14ac:dyDescent="0.25">
      <c r="B35" s="14">
        <f>IF('Personel Kartları'!B35="","",'Personel Kartları'!B35)</f>
      </c>
      <c r="C35" s="14">
        <f>IF('Personel Kartları'!C35="","",'Personel Kartları'!C35)</f>
      </c>
      <c r="D35" s="19">
        <f>IF($B35="","",(TODAY()-'Personel Kartları'!E35)/365)</f>
      </c>
      <c r="E35" s="20">
        <f>IF($B35="","",IF($D35&lt;1,0,IF($D35&lt;5,14,IF($D35&lt;15,20,26))))</f>
      </c>
      <c r="F35" s="21"/>
      <c r="G35" s="21"/>
      <c r="H35" s="22">
        <f>IF($B35="","",$E35+IF($F35="",0,$F35)-IF($G35="",0,$G35))</f>
      </c>
    </row>
    <row r="36" spans="2:8" x14ac:dyDescent="0.25">
      <c r="B36" s="14">
        <f>IF('Personel Kartları'!B36="","",'Personel Kartları'!B36)</f>
      </c>
      <c r="C36" s="14">
        <f>IF('Personel Kartları'!C36="","",'Personel Kartları'!C36)</f>
      </c>
      <c r="D36" s="19">
        <f>IF($B36="","",(TODAY()-'Personel Kartları'!E36)/365)</f>
      </c>
      <c r="E36" s="20">
        <f>IF($B36="","",IF($D36&lt;1,0,IF($D36&lt;5,14,IF($D36&lt;15,20,26))))</f>
      </c>
      <c r="F36" s="21"/>
      <c r="G36" s="21"/>
      <c r="H36" s="22">
        <f>IF($B36="","",$E36+IF($F36="",0,$F36)-IF($G36="",0,$G36))</f>
      </c>
    </row>
    <row r="37" spans="2:8" x14ac:dyDescent="0.25">
      <c r="B37" s="14">
        <f>IF('Personel Kartları'!B37="","",'Personel Kartları'!B37)</f>
      </c>
      <c r="C37" s="14">
        <f>IF('Personel Kartları'!C37="","",'Personel Kartları'!C37)</f>
      </c>
      <c r="D37" s="19">
        <f>IF($B37="","",(TODAY()-'Personel Kartları'!E37)/365)</f>
      </c>
      <c r="E37" s="20">
        <f>IF($B37="","",IF($D37&lt;1,0,IF($D37&lt;5,14,IF($D37&lt;15,20,26))))</f>
      </c>
      <c r="F37" s="21"/>
      <c r="G37" s="21"/>
      <c r="H37" s="22">
        <f>IF($B37="","",$E37+IF($F37="",0,$F37)-IF($G37="",0,$G37))</f>
      </c>
    </row>
    <row r="38" spans="2:8" x14ac:dyDescent="0.25">
      <c r="B38" s="14">
        <f>IF('Personel Kartları'!B38="","",'Personel Kartları'!B38)</f>
      </c>
      <c r="C38" s="14">
        <f>IF('Personel Kartları'!C38="","",'Personel Kartları'!C38)</f>
      </c>
      <c r="D38" s="19">
        <f>IF($B38="","",(TODAY()-'Personel Kartları'!E38)/365)</f>
      </c>
      <c r="E38" s="20">
        <f>IF($B38="","",IF($D38&lt;1,0,IF($D38&lt;5,14,IF($D38&lt;15,20,26))))</f>
      </c>
      <c r="F38" s="21"/>
      <c r="G38" s="21"/>
      <c r="H38" s="22">
        <f>IF($B38="","",$E38+IF($F38="",0,$F38)-IF($G38="",0,$G38))</f>
      </c>
    </row>
    <row r="39" spans="2:8" x14ac:dyDescent="0.25">
      <c r="B39" s="14">
        <f>IF('Personel Kartları'!B39="","",'Personel Kartları'!B39)</f>
      </c>
      <c r="C39" s="14">
        <f>IF('Personel Kartları'!C39="","",'Personel Kartları'!C39)</f>
      </c>
      <c r="D39" s="19">
        <f>IF($B39="","",(TODAY()-'Personel Kartları'!E39)/365)</f>
      </c>
      <c r="E39" s="20">
        <f>IF($B39="","",IF($D39&lt;1,0,IF($D39&lt;5,14,IF($D39&lt;15,20,26))))</f>
      </c>
      <c r="F39" s="21"/>
      <c r="G39" s="21"/>
      <c r="H39" s="22">
        <f>IF($B39="","",$E39+IF($F39="",0,$F39)-IF($G39="",0,$G39))</f>
      </c>
    </row>
    <row r="40" spans="2:8" x14ac:dyDescent="0.25">
      <c r="B40" s="14">
        <f>IF('Personel Kartları'!B40="","",'Personel Kartları'!B40)</f>
      </c>
      <c r="C40" s="14">
        <f>IF('Personel Kartları'!C40="","",'Personel Kartları'!C40)</f>
      </c>
      <c r="D40" s="19">
        <f>IF($B40="","",(TODAY()-'Personel Kartları'!E40)/365)</f>
      </c>
      <c r="E40" s="20">
        <f>IF($B40="","",IF($D40&lt;1,0,IF($D40&lt;5,14,IF($D40&lt;15,20,26))))</f>
      </c>
      <c r="F40" s="21"/>
      <c r="G40" s="21"/>
      <c r="H40" s="22">
        <f>IF($B40="","",$E40+IF($F40="",0,$F40)-IF($G40="",0,$G40))</f>
      </c>
    </row>
    <row r="41" spans="2:8" x14ac:dyDescent="0.25">
      <c r="B41" s="14">
        <f>IF('Personel Kartları'!B41="","",'Personel Kartları'!B41)</f>
      </c>
      <c r="C41" s="14">
        <f>IF('Personel Kartları'!C41="","",'Personel Kartları'!C41)</f>
      </c>
      <c r="D41" s="19">
        <f>IF($B41="","",(TODAY()-'Personel Kartları'!E41)/365)</f>
      </c>
      <c r="E41" s="20">
        <f>IF($B41="","",IF($D41&lt;1,0,IF($D41&lt;5,14,IF($D41&lt;15,20,26))))</f>
      </c>
      <c r="F41" s="21"/>
      <c r="G41" s="21"/>
      <c r="H41" s="22">
        <f>IF($B41="","",$E41+IF($F41="",0,$F41)-IF($G41="",0,$G41))</f>
      </c>
    </row>
    <row r="42" spans="2:8" x14ac:dyDescent="0.25">
      <c r="B42" s="14">
        <f>IF('Personel Kartları'!B42="","",'Personel Kartları'!B42)</f>
      </c>
      <c r="C42" s="14">
        <f>IF('Personel Kartları'!C42="","",'Personel Kartları'!C42)</f>
      </c>
      <c r="D42" s="19">
        <f>IF($B42="","",(TODAY()-'Personel Kartları'!E42)/365)</f>
      </c>
      <c r="E42" s="20">
        <f>IF($B42="","",IF($D42&lt;1,0,IF($D42&lt;5,14,IF($D42&lt;15,20,26))))</f>
      </c>
      <c r="F42" s="21"/>
      <c r="G42" s="21"/>
      <c r="H42" s="22">
        <f>IF($B42="","",$E42+IF($F42="",0,$F42)-IF($G42="",0,$G42))</f>
      </c>
    </row>
    <row r="43" spans="2:8" x14ac:dyDescent="0.25">
      <c r="B43" s="14">
        <f>IF('Personel Kartları'!B43="","",'Personel Kartları'!B43)</f>
      </c>
      <c r="C43" s="14">
        <f>IF('Personel Kartları'!C43="","",'Personel Kartları'!C43)</f>
      </c>
      <c r="D43" s="19">
        <f>IF($B43="","",(TODAY()-'Personel Kartları'!E43)/365)</f>
      </c>
      <c r="E43" s="20">
        <f>IF($B43="","",IF($D43&lt;1,0,IF($D43&lt;5,14,IF($D43&lt;15,20,26))))</f>
      </c>
      <c r="F43" s="21"/>
      <c r="G43" s="21"/>
      <c r="H43" s="22">
        <f>IF($B43="","",$E43+IF($F43="",0,$F43)-IF($G43="",0,$G43))</f>
      </c>
    </row>
    <row r="44" spans="2:8" x14ac:dyDescent="0.25">
      <c r="B44" s="14">
        <f>IF('Personel Kartları'!B44="","",'Personel Kartları'!B44)</f>
      </c>
      <c r="C44" s="14">
        <f>IF('Personel Kartları'!C44="","",'Personel Kartları'!C44)</f>
      </c>
      <c r="D44" s="19">
        <f>IF($B44="","",(TODAY()-'Personel Kartları'!E44)/365)</f>
      </c>
      <c r="E44" s="20">
        <f>IF($B44="","",IF($D44&lt;1,0,IF($D44&lt;5,14,IF($D44&lt;15,20,26))))</f>
      </c>
      <c r="F44" s="21"/>
      <c r="G44" s="21"/>
      <c r="H44" s="22">
        <f>IF($B44="","",$E44+IF($F44="",0,$F44)-IF($G44="",0,$G44))</f>
      </c>
    </row>
    <row r="45" spans="2:8" x14ac:dyDescent="0.25">
      <c r="B45" s="14">
        <f>IF('Personel Kartları'!B45="","",'Personel Kartları'!B45)</f>
      </c>
      <c r="C45" s="14">
        <f>IF('Personel Kartları'!C45="","",'Personel Kartları'!C45)</f>
      </c>
      <c r="D45" s="19">
        <f>IF($B45="","",(TODAY()-'Personel Kartları'!E45)/365)</f>
      </c>
      <c r="E45" s="20">
        <f>IF($B45="","",IF($D45&lt;1,0,IF($D45&lt;5,14,IF($D45&lt;15,20,26))))</f>
      </c>
      <c r="F45" s="21"/>
      <c r="G45" s="21"/>
      <c r="H45" s="22">
        <f>IF($B45="","",$E45+IF($F45="",0,$F45)-IF($G45="",0,$G45))</f>
      </c>
    </row>
    <row r="46" spans="2:8" x14ac:dyDescent="0.25">
      <c r="B46" s="14">
        <f>IF('Personel Kartları'!B46="","",'Personel Kartları'!B46)</f>
      </c>
      <c r="C46" s="14">
        <f>IF('Personel Kartları'!C46="","",'Personel Kartları'!C46)</f>
      </c>
      <c r="D46" s="19">
        <f>IF($B46="","",(TODAY()-'Personel Kartları'!E46)/365)</f>
      </c>
      <c r="E46" s="20">
        <f>IF($B46="","",IF($D46&lt;1,0,IF($D46&lt;5,14,IF($D46&lt;15,20,26))))</f>
      </c>
      <c r="F46" s="21"/>
      <c r="G46" s="21"/>
      <c r="H46" s="22">
        <f>IF($B46="","",$E46+IF($F46="",0,$F46)-IF($G46="",0,$G46))</f>
      </c>
    </row>
    <row r="47" spans="2:8" x14ac:dyDescent="0.25">
      <c r="B47" s="14">
        <f>IF('Personel Kartları'!B47="","",'Personel Kartları'!B47)</f>
      </c>
      <c r="C47" s="14">
        <f>IF('Personel Kartları'!C47="","",'Personel Kartları'!C47)</f>
      </c>
      <c r="D47" s="19">
        <f>IF($B47="","",(TODAY()-'Personel Kartları'!E47)/365)</f>
      </c>
      <c r="E47" s="20">
        <f>IF($B47="","",IF($D47&lt;1,0,IF($D47&lt;5,14,IF($D47&lt;15,20,26))))</f>
      </c>
      <c r="F47" s="21"/>
      <c r="G47" s="21"/>
      <c r="H47" s="22">
        <f>IF($B47="","",$E47+IF($F47="",0,$F47)-IF($G47="",0,$G47))</f>
      </c>
    </row>
    <row r="48" spans="2:8" x14ac:dyDescent="0.25">
      <c r="B48" s="14">
        <f>IF('Personel Kartları'!B48="","",'Personel Kartları'!B48)</f>
      </c>
      <c r="C48" s="14">
        <f>IF('Personel Kartları'!C48="","",'Personel Kartları'!C48)</f>
      </c>
      <c r="D48" s="19">
        <f>IF($B48="","",(TODAY()-'Personel Kartları'!E48)/365)</f>
      </c>
      <c r="E48" s="20">
        <f>IF($B48="","",IF($D48&lt;1,0,IF($D48&lt;5,14,IF($D48&lt;15,20,26))))</f>
      </c>
      <c r="F48" s="21"/>
      <c r="G48" s="21"/>
      <c r="H48" s="22">
        <f>IF($B48="","",$E48+IF($F48="",0,$F48)-IF($G48="",0,$G48))</f>
      </c>
    </row>
    <row r="49" spans="2:8" x14ac:dyDescent="0.25">
      <c r="B49" s="14">
        <f>IF('Personel Kartları'!B49="","",'Personel Kartları'!B49)</f>
      </c>
      <c r="C49" s="14">
        <f>IF('Personel Kartları'!C49="","",'Personel Kartları'!C49)</f>
      </c>
      <c r="D49" s="19">
        <f>IF($B49="","",(TODAY()-'Personel Kartları'!E49)/365)</f>
      </c>
      <c r="E49" s="20">
        <f>IF($B49="","",IF($D49&lt;1,0,IF($D49&lt;5,14,IF($D49&lt;15,20,26))))</f>
      </c>
      <c r="F49" s="21"/>
      <c r="G49" s="21"/>
      <c r="H49" s="22">
        <f>IF($B49="","",$E49+IF($F49="",0,$F49)-IF($G49="",0,$G49))</f>
      </c>
    </row>
    <row r="50" spans="2:8" x14ac:dyDescent="0.25">
      <c r="B50" s="14">
        <f>IF('Personel Kartları'!B50="","",'Personel Kartları'!B50)</f>
      </c>
      <c r="C50" s="14">
        <f>IF('Personel Kartları'!C50="","",'Personel Kartları'!C50)</f>
      </c>
      <c r="D50" s="19">
        <f>IF($B50="","",(TODAY()-'Personel Kartları'!E50)/365)</f>
      </c>
      <c r="E50" s="20">
        <f>IF($B50="","",IF($D50&lt;1,0,IF($D50&lt;5,14,IF($D50&lt;15,20,26))))</f>
      </c>
      <c r="F50" s="21"/>
      <c r="G50" s="21"/>
      <c r="H50" s="22">
        <f>IF($B50="","",$E50+IF($F50="",0,$F50)-IF($G50="",0,$G50))</f>
      </c>
    </row>
    <row r="51" spans="2:8" x14ac:dyDescent="0.25">
      <c r="B51" s="14">
        <f>IF('Personel Kartları'!B51="","",'Personel Kartları'!B51)</f>
      </c>
      <c r="C51" s="14">
        <f>IF('Personel Kartları'!C51="","",'Personel Kartları'!C51)</f>
      </c>
      <c r="D51" s="19">
        <f>IF($B51="","",(TODAY()-'Personel Kartları'!E51)/365)</f>
      </c>
      <c r="E51" s="20">
        <f>IF($B51="","",IF($D51&lt;1,0,IF($D51&lt;5,14,IF($D51&lt;15,20,26))))</f>
      </c>
      <c r="F51" s="21"/>
      <c r="G51" s="21"/>
      <c r="H51" s="22">
        <f>IF($B51="","",$E51+IF($F51="",0,$F51)-IF($G51="",0,$G51))</f>
      </c>
    </row>
    <row r="52" spans="2:8" x14ac:dyDescent="0.25">
      <c r="B52" s="14">
        <f>IF('Personel Kartları'!B52="","",'Personel Kartları'!B52)</f>
      </c>
      <c r="C52" s="14">
        <f>IF('Personel Kartları'!C52="","",'Personel Kartları'!C52)</f>
      </c>
      <c r="D52" s="19">
        <f>IF($B52="","",(TODAY()-'Personel Kartları'!E52)/365)</f>
      </c>
      <c r="E52" s="20">
        <f>IF($B52="","",IF($D52&lt;1,0,IF($D52&lt;5,14,IF($D52&lt;15,20,26))))</f>
      </c>
      <c r="F52" s="21"/>
      <c r="G52" s="21"/>
      <c r="H52" s="22">
        <f>IF($B52="","",$E52+IF($F52="",0,$F52)-IF($G52="",0,$G52))</f>
      </c>
    </row>
    <row r="53" spans="2:8" x14ac:dyDescent="0.25">
      <c r="B53" s="14">
        <f>IF('Personel Kartları'!B53="","",'Personel Kartları'!B53)</f>
      </c>
      <c r="C53" s="14">
        <f>IF('Personel Kartları'!C53="","",'Personel Kartları'!C53)</f>
      </c>
      <c r="D53" s="19">
        <f>IF($B53="","",(TODAY()-'Personel Kartları'!E53)/365)</f>
      </c>
      <c r="E53" s="20">
        <f>IF($B53="","",IF($D53&lt;1,0,IF($D53&lt;5,14,IF($D53&lt;15,20,26))))</f>
      </c>
      <c r="F53" s="21"/>
      <c r="G53" s="21"/>
      <c r="H53" s="22">
        <f>IF($B53="","",$E53+IF($F53="",0,$F53)-IF($G53="",0,$G53))</f>
      </c>
    </row>
    <row r="54" spans="2:8" x14ac:dyDescent="0.25">
      <c r="B54" s="14">
        <f>IF('Personel Kartları'!B54="","",'Personel Kartları'!B54)</f>
      </c>
      <c r="C54" s="14">
        <f>IF('Personel Kartları'!C54="","",'Personel Kartları'!C54)</f>
      </c>
      <c r="D54" s="19">
        <f>IF($B54="","",(TODAY()-'Personel Kartları'!E54)/365)</f>
      </c>
      <c r="E54" s="20">
        <f>IF($B54="","",IF($D54&lt;1,0,IF($D54&lt;5,14,IF($D54&lt;15,20,26))))</f>
      </c>
      <c r="F54" s="21"/>
      <c r="G54" s="21"/>
      <c r="H54" s="22">
        <f>IF($B54="","",$E54+IF($F54="",0,$F54)-IF($G54="",0,$G54))</f>
      </c>
    </row>
    <row r="55" spans="2:8" x14ac:dyDescent="0.25">
      <c r="B55" s="14">
        <f>IF('Personel Kartları'!B55="","",'Personel Kartları'!B55)</f>
      </c>
      <c r="C55" s="14">
        <f>IF('Personel Kartları'!C55="","",'Personel Kartları'!C55)</f>
      </c>
      <c r="D55" s="19">
        <f>IF($B55="","",(TODAY()-'Personel Kartları'!E55)/365)</f>
      </c>
      <c r="E55" s="20">
        <f>IF($B55="","",IF($D55&lt;1,0,IF($D55&lt;5,14,IF($D55&lt;15,20,26))))</f>
      </c>
      <c r="F55" s="21"/>
      <c r="G55" s="21"/>
      <c r="H55" s="22">
        <f>IF($B55="","",$E55+IF($F55="",0,$F55)-IF($G55="",0,$G55))</f>
      </c>
    </row>
    <row r="56" spans="2:8" x14ac:dyDescent="0.25">
      <c r="B56" s="14">
        <f>IF('Personel Kartları'!B56="","",'Personel Kartları'!B56)</f>
      </c>
      <c r="C56" s="14">
        <f>IF('Personel Kartları'!C56="","",'Personel Kartları'!C56)</f>
      </c>
      <c r="D56" s="19">
        <f>IF($B56="","",(TODAY()-'Personel Kartları'!E56)/365)</f>
      </c>
      <c r="E56" s="20">
        <f>IF($B56="","",IF($D56&lt;1,0,IF($D56&lt;5,14,IF($D56&lt;15,20,26))))</f>
      </c>
      <c r="F56" s="21"/>
      <c r="G56" s="21"/>
      <c r="H56" s="22">
        <f>IF($B56="","",$E56+IF($F56="",0,$F56)-IF($G56="",0,$G56))</f>
      </c>
    </row>
    <row r="57" spans="2:8" x14ac:dyDescent="0.25">
      <c r="B57" s="14">
        <f>IF('Personel Kartları'!B57="","",'Personel Kartları'!B57)</f>
      </c>
      <c r="C57" s="14">
        <f>IF('Personel Kartları'!C57="","",'Personel Kartları'!C57)</f>
      </c>
      <c r="D57" s="19">
        <f>IF($B57="","",(TODAY()-'Personel Kartları'!E57)/365)</f>
      </c>
      <c r="E57" s="20">
        <f>IF($B57="","",IF($D57&lt;1,0,IF($D57&lt;5,14,IF($D57&lt;15,20,26))))</f>
      </c>
      <c r="F57" s="21"/>
      <c r="G57" s="21"/>
      <c r="H57" s="22">
        <f>IF($B57="","",$E57+IF($F57="",0,$F57)-IF($G57="",0,$G57))</f>
      </c>
    </row>
    <row r="58" spans="2:8" x14ac:dyDescent="0.25">
      <c r="B58" s="14">
        <f>IF('Personel Kartları'!B58="","",'Personel Kartları'!B58)</f>
      </c>
      <c r="C58" s="14">
        <f>IF('Personel Kartları'!C58="","",'Personel Kartları'!C58)</f>
      </c>
      <c r="D58" s="19">
        <f>IF($B58="","",(TODAY()-'Personel Kartları'!E58)/365)</f>
      </c>
      <c r="E58" s="20">
        <f>IF($B58="","",IF($D58&lt;1,0,IF($D58&lt;5,14,IF($D58&lt;15,20,26))))</f>
      </c>
      <c r="F58" s="21"/>
      <c r="G58" s="21"/>
      <c r="H58" s="22">
        <f>IF($B58="","",$E58+IF($F58="",0,$F58)-IF($G58="",0,$G58))</f>
      </c>
    </row>
    <row r="59" spans="2:8" x14ac:dyDescent="0.25">
      <c r="B59" s="14">
        <f>IF('Personel Kartları'!B59="","",'Personel Kartları'!B59)</f>
      </c>
      <c r="C59" s="14">
        <f>IF('Personel Kartları'!C59="","",'Personel Kartları'!C59)</f>
      </c>
      <c r="D59" s="19">
        <f>IF($B59="","",(TODAY()-'Personel Kartları'!E59)/365)</f>
      </c>
      <c r="E59" s="20">
        <f>IF($B59="","",IF($D59&lt;1,0,IF($D59&lt;5,14,IF($D59&lt;15,20,26))))</f>
      </c>
      <c r="F59" s="21"/>
      <c r="G59" s="21"/>
      <c r="H59" s="22">
        <f>IF($B59="","",$E59+IF($F59="",0,$F59)-IF($G59="",0,$G59))</f>
      </c>
    </row>
    <row r="60" spans="2:8" x14ac:dyDescent="0.25">
      <c r="B60" s="14">
        <f>IF('Personel Kartları'!B60="","",'Personel Kartları'!B60)</f>
      </c>
      <c r="C60" s="14">
        <f>IF('Personel Kartları'!C60="","",'Personel Kartları'!C60)</f>
      </c>
      <c r="D60" s="19">
        <f>IF($B60="","",(TODAY()-'Personel Kartları'!E60)/365)</f>
      </c>
      <c r="E60" s="20">
        <f>IF($B60="","",IF($D60&lt;1,0,IF($D60&lt;5,14,IF($D60&lt;15,20,26))))</f>
      </c>
      <c r="F60" s="21"/>
      <c r="G60" s="21"/>
      <c r="H60" s="22">
        <f>IF($B60="","",$E60+IF($F60="",0,$F60)-IF($G60="",0,$G60))</f>
      </c>
    </row>
    <row r="61" spans="2:8" x14ac:dyDescent="0.25">
      <c r="B61" s="14">
        <f>IF('Personel Kartları'!B61="","",'Personel Kartları'!B61)</f>
      </c>
      <c r="C61" s="14">
        <f>IF('Personel Kartları'!C61="","",'Personel Kartları'!C61)</f>
      </c>
      <c r="D61" s="19">
        <f>IF($B61="","",(TODAY()-'Personel Kartları'!E61)/365)</f>
      </c>
      <c r="E61" s="20">
        <f>IF($B61="","",IF($D61&lt;1,0,IF($D61&lt;5,14,IF($D61&lt;15,20,26))))</f>
      </c>
      <c r="F61" s="21"/>
      <c r="G61" s="21"/>
      <c r="H61" s="22">
        <f>IF($B61="","",$E61+IF($F61="",0,$F61)-IF($G61="",0,$G61))</f>
      </c>
    </row>
    <row r="62" spans="2:8" x14ac:dyDescent="0.25">
      <c r="B62" s="14">
        <f>IF('Personel Kartları'!B62="","",'Personel Kartları'!B62)</f>
      </c>
      <c r="C62" s="14">
        <f>IF('Personel Kartları'!C62="","",'Personel Kartları'!C62)</f>
      </c>
      <c r="D62" s="19">
        <f>IF($B62="","",(TODAY()-'Personel Kartları'!E62)/365)</f>
      </c>
      <c r="E62" s="20">
        <f>IF($B62="","",IF($D62&lt;1,0,IF($D62&lt;5,14,IF($D62&lt;15,20,26))))</f>
      </c>
      <c r="F62" s="21"/>
      <c r="G62" s="21"/>
      <c r="H62" s="22">
        <f>IF($B62="","",$E62+IF($F62="",0,$F62)-IF($G62="",0,$G62))</f>
      </c>
    </row>
    <row r="63" spans="2:8" x14ac:dyDescent="0.25">
      <c r="B63" s="14">
        <f>IF('Personel Kartları'!B63="","",'Personel Kartları'!B63)</f>
      </c>
      <c r="C63" s="14">
        <f>IF('Personel Kartları'!C63="","",'Personel Kartları'!C63)</f>
      </c>
      <c r="D63" s="19">
        <f>IF($B63="","",(TODAY()-'Personel Kartları'!E63)/365)</f>
      </c>
      <c r="E63" s="20">
        <f>IF($B63="","",IF($D63&lt;1,0,IF($D63&lt;5,14,IF($D63&lt;15,20,26))))</f>
      </c>
      <c r="F63" s="21"/>
      <c r="G63" s="21"/>
      <c r="H63" s="22">
        <f>IF($B63="","",$E63+IF($F63="",0,$F63)-IF($G63="",0,$G63))</f>
      </c>
    </row>
    <row r="64" spans="2:8" x14ac:dyDescent="0.25">
      <c r="B64" s="14">
        <f>IF('Personel Kartları'!B64="","",'Personel Kartları'!B64)</f>
      </c>
      <c r="C64" s="14">
        <f>IF('Personel Kartları'!C64="","",'Personel Kartları'!C64)</f>
      </c>
      <c r="D64" s="19">
        <f>IF($B64="","",(TODAY()-'Personel Kartları'!E64)/365)</f>
      </c>
      <c r="E64" s="20">
        <f>IF($B64="","",IF($D64&lt;1,0,IF($D64&lt;5,14,IF($D64&lt;15,20,26))))</f>
      </c>
      <c r="F64" s="21"/>
      <c r="G64" s="21"/>
      <c r="H64" s="22">
        <f>IF($B64="","",$E64+IF($F64="",0,$F64)-IF($G64="",0,$G64))</f>
      </c>
    </row>
    <row r="65" spans="2:8" x14ac:dyDescent="0.25">
      <c r="B65" s="14">
        <f>IF('Personel Kartları'!B65="","",'Personel Kartları'!B65)</f>
      </c>
      <c r="C65" s="14">
        <f>IF('Personel Kartları'!C65="","",'Personel Kartları'!C65)</f>
      </c>
      <c r="D65" s="19">
        <f>IF($B65="","",(TODAY()-'Personel Kartları'!E65)/365)</f>
      </c>
      <c r="E65" s="20">
        <f>IF($B65="","",IF($D65&lt;1,0,IF($D65&lt;5,14,IF($D65&lt;15,20,26))))</f>
      </c>
      <c r="F65" s="21"/>
      <c r="G65" s="21"/>
      <c r="H65" s="22">
        <f>IF($B65="","",$E65+IF($F65="",0,$F65)-IF($G65="",0,$G65))</f>
      </c>
    </row>
    <row r="66" spans="2:8" x14ac:dyDescent="0.25">
      <c r="B66" s="14">
        <f>IF('Personel Kartları'!B66="","",'Personel Kartları'!B66)</f>
      </c>
      <c r="C66" s="14">
        <f>IF('Personel Kartları'!C66="","",'Personel Kartları'!C66)</f>
      </c>
      <c r="D66" s="19">
        <f>IF($B66="","",(TODAY()-'Personel Kartları'!E66)/365)</f>
      </c>
      <c r="E66" s="20">
        <f>IF($B66="","",IF($D66&lt;1,0,IF($D66&lt;5,14,IF($D66&lt;15,20,26))))</f>
      </c>
      <c r="F66" s="21"/>
      <c r="G66" s="21"/>
      <c r="H66" s="22">
        <f>IF($B66="","",$E66+IF($F66="",0,$F66)-IF($G66="",0,$G66))</f>
      </c>
    </row>
    <row r="67" spans="2:8" x14ac:dyDescent="0.25">
      <c r="B67" s="14">
        <f>IF('Personel Kartları'!B67="","",'Personel Kartları'!B67)</f>
      </c>
      <c r="C67" s="14">
        <f>IF('Personel Kartları'!C67="","",'Personel Kartları'!C67)</f>
      </c>
      <c r="D67" s="19">
        <f>IF($B67="","",(TODAY()-'Personel Kartları'!E67)/365)</f>
      </c>
      <c r="E67" s="20">
        <f>IF($B67="","",IF($D67&lt;1,0,IF($D67&lt;5,14,IF($D67&lt;15,20,26))))</f>
      </c>
      <c r="F67" s="21"/>
      <c r="G67" s="21"/>
      <c r="H67" s="22">
        <f>IF($B67="","",$E67+IF($F67="",0,$F67)-IF($G67="",0,$G67))</f>
      </c>
    </row>
    <row r="68" spans="2:8" x14ac:dyDescent="0.25">
      <c r="B68" s="14">
        <f>IF('Personel Kartları'!B68="","",'Personel Kartları'!B68)</f>
      </c>
      <c r="C68" s="14">
        <f>IF('Personel Kartları'!C68="","",'Personel Kartları'!C68)</f>
      </c>
      <c r="D68" s="19">
        <f>IF($B68="","",(TODAY()-'Personel Kartları'!E68)/365)</f>
      </c>
      <c r="E68" s="20">
        <f>IF($B68="","",IF($D68&lt;1,0,IF($D68&lt;5,14,IF($D68&lt;15,20,26))))</f>
      </c>
      <c r="F68" s="21"/>
      <c r="G68" s="21"/>
      <c r="H68" s="22">
        <f>IF($B68="","",$E68+IF($F68="",0,$F68)-IF($G68="",0,$G68))</f>
      </c>
    </row>
    <row r="69" spans="2:8" x14ac:dyDescent="0.25">
      <c r="B69" s="14">
        <f>IF('Personel Kartları'!B69="","",'Personel Kartları'!B69)</f>
      </c>
      <c r="C69" s="14">
        <f>IF('Personel Kartları'!C69="","",'Personel Kartları'!C69)</f>
      </c>
      <c r="D69" s="19">
        <f>IF($B69="","",(TODAY()-'Personel Kartları'!E69)/365)</f>
      </c>
      <c r="E69" s="20">
        <f>IF($B69="","",IF($D69&lt;1,0,IF($D69&lt;5,14,IF($D69&lt;15,20,26))))</f>
      </c>
      <c r="F69" s="21"/>
      <c r="G69" s="21"/>
      <c r="H69" s="22">
        <f>IF($B69="","",$E69+IF($F69="",0,$F69)-IF($G69="",0,$G69))</f>
      </c>
    </row>
    <row r="70" spans="2:8" x14ac:dyDescent="0.25">
      <c r="B70" s="14">
        <f>IF('Personel Kartları'!B70="","",'Personel Kartları'!B70)</f>
      </c>
      <c r="C70" s="14">
        <f>IF('Personel Kartları'!C70="","",'Personel Kartları'!C70)</f>
      </c>
      <c r="D70" s="19">
        <f>IF($B70="","",(TODAY()-'Personel Kartları'!E70)/365)</f>
      </c>
      <c r="E70" s="20">
        <f>IF($B70="","",IF($D70&lt;1,0,IF($D70&lt;5,14,IF($D70&lt;15,20,26))))</f>
      </c>
      <c r="F70" s="21"/>
      <c r="G70" s="21"/>
      <c r="H70" s="22">
        <f>IF($B70="","",$E70+IF($F70="",0,$F70)-IF($G70="",0,$G70))</f>
      </c>
    </row>
    <row r="71" spans="2:8" x14ac:dyDescent="0.25">
      <c r="B71" s="14">
        <f>IF('Personel Kartları'!B71="","",'Personel Kartları'!B71)</f>
      </c>
      <c r="C71" s="14">
        <f>IF('Personel Kartları'!C71="","",'Personel Kartları'!C71)</f>
      </c>
      <c r="D71" s="19">
        <f>IF($B71="","",(TODAY()-'Personel Kartları'!E71)/365)</f>
      </c>
      <c r="E71" s="20">
        <f>IF($B71="","",IF($D71&lt;1,0,IF($D71&lt;5,14,IF($D71&lt;15,20,26))))</f>
      </c>
      <c r="F71" s="21"/>
      <c r="G71" s="21"/>
      <c r="H71" s="22">
        <f>IF($B71="","",$E71+IF($F71="",0,$F71)-IF($G71="",0,$G71))</f>
      </c>
    </row>
    <row r="72" spans="2:8" x14ac:dyDescent="0.25">
      <c r="B72" s="14">
        <f>IF('Personel Kartları'!B72="","",'Personel Kartları'!B72)</f>
      </c>
      <c r="C72" s="14">
        <f>IF('Personel Kartları'!C72="","",'Personel Kartları'!C72)</f>
      </c>
      <c r="D72" s="19">
        <f>IF($B72="","",(TODAY()-'Personel Kartları'!E72)/365)</f>
      </c>
      <c r="E72" s="20">
        <f>IF($B72="","",IF($D72&lt;1,0,IF($D72&lt;5,14,IF($D72&lt;15,20,26))))</f>
      </c>
      <c r="F72" s="21"/>
      <c r="G72" s="21"/>
      <c r="H72" s="22">
        <f>IF($B72="","",$E72+IF($F72="",0,$F72)-IF($G72="",0,$G72))</f>
      </c>
    </row>
    <row r="73" spans="2:8" x14ac:dyDescent="0.25">
      <c r="B73" s="14">
        <f>IF('Personel Kartları'!B73="","",'Personel Kartları'!B73)</f>
      </c>
      <c r="C73" s="14">
        <f>IF('Personel Kartları'!C73="","",'Personel Kartları'!C73)</f>
      </c>
      <c r="D73" s="19">
        <f>IF($B73="","",(TODAY()-'Personel Kartları'!E73)/365)</f>
      </c>
      <c r="E73" s="20">
        <f>IF($B73="","",IF($D73&lt;1,0,IF($D73&lt;5,14,IF($D73&lt;15,20,26))))</f>
      </c>
      <c r="F73" s="21"/>
      <c r="G73" s="21"/>
      <c r="H73" s="22">
        <f>IF($B73="","",$E73+IF($F73="",0,$F73)-IF($G73="",0,$G73))</f>
      </c>
    </row>
    <row r="74" spans="2:8" x14ac:dyDescent="0.25">
      <c r="B74" s="14">
        <f>IF('Personel Kartları'!B74="","",'Personel Kartları'!B74)</f>
      </c>
      <c r="C74" s="14">
        <f>IF('Personel Kartları'!C74="","",'Personel Kartları'!C74)</f>
      </c>
      <c r="D74" s="19">
        <f>IF($B74="","",(TODAY()-'Personel Kartları'!E74)/365)</f>
      </c>
      <c r="E74" s="20">
        <f>IF($B74="","",IF($D74&lt;1,0,IF($D74&lt;5,14,IF($D74&lt;15,20,26))))</f>
      </c>
      <c r="F74" s="21"/>
      <c r="G74" s="21"/>
      <c r="H74" s="22">
        <f>IF($B74="","",$E74+IF($F74="",0,$F74)-IF($G74="",0,$G74))</f>
      </c>
    </row>
    <row r="75" spans="2:8" x14ac:dyDescent="0.25">
      <c r="B75" s="14">
        <f>IF('Personel Kartları'!B75="","",'Personel Kartları'!B75)</f>
      </c>
      <c r="C75" s="14">
        <f>IF('Personel Kartları'!C75="","",'Personel Kartları'!C75)</f>
      </c>
      <c r="D75" s="19">
        <f>IF($B75="","",(TODAY()-'Personel Kartları'!E75)/365)</f>
      </c>
      <c r="E75" s="20">
        <f>IF($B75="","",IF($D75&lt;1,0,IF($D75&lt;5,14,IF($D75&lt;15,20,26))))</f>
      </c>
      <c r="F75" s="21"/>
      <c r="G75" s="21"/>
      <c r="H75" s="22">
        <f>IF($B75="","",$E75+IF($F75="",0,$F75)-IF($G75="",0,$G75))</f>
      </c>
    </row>
    <row r="76" spans="2:8" x14ac:dyDescent="0.25">
      <c r="B76" s="14">
        <f>IF('Personel Kartları'!B76="","",'Personel Kartları'!B76)</f>
      </c>
      <c r="C76" s="14">
        <f>IF('Personel Kartları'!C76="","",'Personel Kartları'!C76)</f>
      </c>
      <c r="D76" s="19">
        <f>IF($B76="","",(TODAY()-'Personel Kartları'!E76)/365)</f>
      </c>
      <c r="E76" s="20">
        <f>IF($B76="","",IF($D76&lt;1,0,IF($D76&lt;5,14,IF($D76&lt;15,20,26))))</f>
      </c>
      <c r="F76" s="21"/>
      <c r="G76" s="21"/>
      <c r="H76" s="22">
        <f>IF($B76="","",$E76+IF($F76="",0,$F76)-IF($G76="",0,$G76))</f>
      </c>
    </row>
    <row r="77" spans="2:8" x14ac:dyDescent="0.25">
      <c r="B77" s="14">
        <f>IF('Personel Kartları'!B77="","",'Personel Kartları'!B77)</f>
      </c>
      <c r="C77" s="14">
        <f>IF('Personel Kartları'!C77="","",'Personel Kartları'!C77)</f>
      </c>
      <c r="D77" s="19">
        <f>IF($B77="","",(TODAY()-'Personel Kartları'!E77)/365)</f>
      </c>
      <c r="E77" s="20">
        <f>IF($B77="","",IF($D77&lt;1,0,IF($D77&lt;5,14,IF($D77&lt;15,20,26))))</f>
      </c>
      <c r="F77" s="21"/>
      <c r="G77" s="21"/>
      <c r="H77" s="22">
        <f>IF($B77="","",$E77+IF($F77="",0,$F77)-IF($G77="",0,$G77))</f>
      </c>
    </row>
    <row r="78" spans="2:8" x14ac:dyDescent="0.25">
      <c r="B78" s="14">
        <f>IF('Personel Kartları'!B78="","",'Personel Kartları'!B78)</f>
      </c>
      <c r="C78" s="14">
        <f>IF('Personel Kartları'!C78="","",'Personel Kartları'!C78)</f>
      </c>
      <c r="D78" s="19">
        <f>IF($B78="","",(TODAY()-'Personel Kartları'!E78)/365)</f>
      </c>
      <c r="E78" s="20">
        <f>IF($B78="","",IF($D78&lt;1,0,IF($D78&lt;5,14,IF($D78&lt;15,20,26))))</f>
      </c>
      <c r="F78" s="21"/>
      <c r="G78" s="21"/>
      <c r="H78" s="22">
        <f>IF($B78="","",$E78+IF($F78="",0,$F78)-IF($G78="",0,$G78))</f>
      </c>
    </row>
    <row r="79" spans="2:8" x14ac:dyDescent="0.25">
      <c r="B79" s="14">
        <f>IF('Personel Kartları'!B79="","",'Personel Kartları'!B79)</f>
      </c>
      <c r="C79" s="14">
        <f>IF('Personel Kartları'!C79="","",'Personel Kartları'!C79)</f>
      </c>
      <c r="D79" s="19">
        <f>IF($B79="","",(TODAY()-'Personel Kartları'!E79)/365)</f>
      </c>
      <c r="E79" s="20">
        <f>IF($B79="","",IF($D79&lt;1,0,IF($D79&lt;5,14,IF($D79&lt;15,20,26))))</f>
      </c>
      <c r="F79" s="21"/>
      <c r="G79" s="21"/>
      <c r="H79" s="22">
        <f>IF($B79="","",$E79+IF($F79="",0,$F79)-IF($G79="",0,$G79))</f>
      </c>
    </row>
    <row r="80" spans="2:8" x14ac:dyDescent="0.25">
      <c r="B80" s="14">
        <f>IF('Personel Kartları'!B80="","",'Personel Kartları'!B80)</f>
      </c>
      <c r="C80" s="14">
        <f>IF('Personel Kartları'!C80="","",'Personel Kartları'!C80)</f>
      </c>
      <c r="D80" s="19">
        <f>IF($B80="","",(TODAY()-'Personel Kartları'!E80)/365)</f>
      </c>
      <c r="E80" s="20">
        <f>IF($B80="","",IF($D80&lt;1,0,IF($D80&lt;5,14,IF($D80&lt;15,20,26))))</f>
      </c>
      <c r="F80" s="21"/>
      <c r="G80" s="21"/>
      <c r="H80" s="22">
        <f>IF($B80="","",$E80+IF($F80="",0,$F80)-IF($G80="",0,$G80))</f>
      </c>
    </row>
    <row r="81" spans="2:8" x14ac:dyDescent="0.25">
      <c r="B81" s="14">
        <f>IF('Personel Kartları'!B81="","",'Personel Kartları'!B81)</f>
      </c>
      <c r="C81" s="14">
        <f>IF('Personel Kartları'!C81="","",'Personel Kartları'!C81)</f>
      </c>
      <c r="D81" s="19">
        <f>IF($B81="","",(TODAY()-'Personel Kartları'!E81)/365)</f>
      </c>
      <c r="E81" s="20">
        <f>IF($B81="","",IF($D81&lt;1,0,IF($D81&lt;5,14,IF($D81&lt;15,20,26))))</f>
      </c>
      <c r="F81" s="21"/>
      <c r="G81" s="21"/>
      <c r="H81" s="22">
        <f>IF($B81="","",$E81+IF($F81="",0,$F81)-IF($G81="",0,$G81))</f>
      </c>
    </row>
    <row r="82" spans="2:8" x14ac:dyDescent="0.25">
      <c r="B82" s="14">
        <f>IF('Personel Kartları'!B82="","",'Personel Kartları'!B82)</f>
      </c>
      <c r="C82" s="14">
        <f>IF('Personel Kartları'!C82="","",'Personel Kartları'!C82)</f>
      </c>
      <c r="D82" s="19">
        <f>IF($B82="","",(TODAY()-'Personel Kartları'!E82)/365)</f>
      </c>
      <c r="E82" s="20">
        <f>IF($B82="","",IF($D82&lt;1,0,IF($D82&lt;5,14,IF($D82&lt;15,20,26))))</f>
      </c>
      <c r="F82" s="21"/>
      <c r="G82" s="21"/>
      <c r="H82" s="22">
        <f>IF($B82="","",$E82+IF($F82="",0,$F82)-IF($G82="",0,$G82))</f>
      </c>
    </row>
    <row r="83" spans="2:8" x14ac:dyDescent="0.25">
      <c r="B83" s="14">
        <f>IF('Personel Kartları'!B83="","",'Personel Kartları'!B83)</f>
      </c>
      <c r="C83" s="14">
        <f>IF('Personel Kartları'!C83="","",'Personel Kartları'!C83)</f>
      </c>
      <c r="D83" s="19">
        <f>IF($B83="","",(TODAY()-'Personel Kartları'!E83)/365)</f>
      </c>
      <c r="E83" s="20">
        <f>IF($B83="","",IF($D83&lt;1,0,IF($D83&lt;5,14,IF($D83&lt;15,20,26))))</f>
      </c>
      <c r="F83" s="21"/>
      <c r="G83" s="21"/>
      <c r="H83" s="22">
        <f>IF($B83="","",$E83+IF($F83="",0,$F83)-IF($G83="",0,$G83))</f>
      </c>
    </row>
    <row r="84" spans="2:8" x14ac:dyDescent="0.25">
      <c r="B84" s="14">
        <f>IF('Personel Kartları'!B84="","",'Personel Kartları'!B84)</f>
      </c>
      <c r="C84" s="14">
        <f>IF('Personel Kartları'!C84="","",'Personel Kartları'!C84)</f>
      </c>
      <c r="D84" s="19">
        <f>IF($B84="","",(TODAY()-'Personel Kartları'!E84)/365)</f>
      </c>
      <c r="E84" s="20">
        <f>IF($B84="","",IF($D84&lt;1,0,IF($D84&lt;5,14,IF($D84&lt;15,20,26))))</f>
      </c>
      <c r="F84" s="21"/>
      <c r="G84" s="21"/>
      <c r="H84" s="22">
        <f>IF($B84="","",$E84+IF($F84="",0,$F84)-IF($G84="",0,$G84))</f>
      </c>
    </row>
    <row r="85" spans="2:8" x14ac:dyDescent="0.25">
      <c r="B85" s="14">
        <f>IF('Personel Kartları'!B85="","",'Personel Kartları'!B85)</f>
      </c>
      <c r="C85" s="14">
        <f>IF('Personel Kartları'!C85="","",'Personel Kartları'!C85)</f>
      </c>
      <c r="D85" s="19">
        <f>IF($B85="","",(TODAY()-'Personel Kartları'!E85)/365)</f>
      </c>
      <c r="E85" s="20">
        <f>IF($B85="","",IF($D85&lt;1,0,IF($D85&lt;5,14,IF($D85&lt;15,20,26))))</f>
      </c>
      <c r="F85" s="21"/>
      <c r="G85" s="21"/>
      <c r="H85" s="22">
        <f>IF($B85="","",$E85+IF($F85="",0,$F85)-IF($G85="",0,$G85))</f>
      </c>
    </row>
    <row r="86" spans="2:8" x14ac:dyDescent="0.25">
      <c r="B86" s="14">
        <f>IF('Personel Kartları'!B86="","",'Personel Kartları'!B86)</f>
      </c>
      <c r="C86" s="14">
        <f>IF('Personel Kartları'!C86="","",'Personel Kartları'!C86)</f>
      </c>
      <c r="D86" s="19">
        <f>IF($B86="","",(TODAY()-'Personel Kartları'!E86)/365)</f>
      </c>
      <c r="E86" s="20">
        <f>IF($B86="","",IF($D86&lt;1,0,IF($D86&lt;5,14,IF($D86&lt;15,20,26))))</f>
      </c>
      <c r="F86" s="21"/>
      <c r="G86" s="21"/>
      <c r="H86" s="22">
        <f>IF($B86="","",$E86+IF($F86="",0,$F86)-IF($G86="",0,$G86))</f>
      </c>
    </row>
    <row r="87" spans="2:8" x14ac:dyDescent="0.25">
      <c r="B87" s="14">
        <f>IF('Personel Kartları'!B87="","",'Personel Kartları'!B87)</f>
      </c>
      <c r="C87" s="14">
        <f>IF('Personel Kartları'!C87="","",'Personel Kartları'!C87)</f>
      </c>
      <c r="D87" s="19">
        <f>IF($B87="","",(TODAY()-'Personel Kartları'!E87)/365)</f>
      </c>
      <c r="E87" s="20">
        <f>IF($B87="","",IF($D87&lt;1,0,IF($D87&lt;5,14,IF($D87&lt;15,20,26))))</f>
      </c>
      <c r="F87" s="21"/>
      <c r="G87" s="21"/>
      <c r="H87" s="22">
        <f>IF($B87="","",$E87+IF($F87="",0,$F87)-IF($G87="",0,$G87))</f>
      </c>
    </row>
    <row r="88" spans="2:8" x14ac:dyDescent="0.25">
      <c r="B88" s="14">
        <f>IF('Personel Kartları'!B88="","",'Personel Kartları'!B88)</f>
      </c>
      <c r="C88" s="14">
        <f>IF('Personel Kartları'!C88="","",'Personel Kartları'!C88)</f>
      </c>
      <c r="D88" s="19">
        <f>IF($B88="","",(TODAY()-'Personel Kartları'!E88)/365)</f>
      </c>
      <c r="E88" s="20">
        <f>IF($B88="","",IF($D88&lt;1,0,IF($D88&lt;5,14,IF($D88&lt;15,20,26))))</f>
      </c>
      <c r="F88" s="21"/>
      <c r="G88" s="21"/>
      <c r="H88" s="22">
        <f>IF($B88="","",$E88+IF($F88="",0,$F88)-IF($G88="",0,$G88))</f>
      </c>
    </row>
    <row r="89" spans="2:8" x14ac:dyDescent="0.25">
      <c r="B89" s="14">
        <f>IF('Personel Kartları'!B89="","",'Personel Kartları'!B89)</f>
      </c>
      <c r="C89" s="14">
        <f>IF('Personel Kartları'!C89="","",'Personel Kartları'!C89)</f>
      </c>
      <c r="D89" s="19">
        <f>IF($B89="","",(TODAY()-'Personel Kartları'!E89)/365)</f>
      </c>
      <c r="E89" s="20">
        <f>IF($B89="","",IF($D89&lt;1,0,IF($D89&lt;5,14,IF($D89&lt;15,20,26))))</f>
      </c>
      <c r="F89" s="21"/>
      <c r="G89" s="21"/>
      <c r="H89" s="22">
        <f>IF($B89="","",$E89+IF($F89="",0,$F89)-IF($G89="",0,$G89))</f>
      </c>
    </row>
    <row r="90" spans="2:8" x14ac:dyDescent="0.25">
      <c r="B90" s="14">
        <f>IF('Personel Kartları'!B90="","",'Personel Kartları'!B90)</f>
      </c>
      <c r="C90" s="14">
        <f>IF('Personel Kartları'!C90="","",'Personel Kartları'!C90)</f>
      </c>
      <c r="D90" s="19">
        <f>IF($B90="","",(TODAY()-'Personel Kartları'!E90)/365)</f>
      </c>
      <c r="E90" s="20">
        <f>IF($B90="","",IF($D90&lt;1,0,IF($D90&lt;5,14,IF($D90&lt;15,20,26))))</f>
      </c>
      <c r="F90" s="21"/>
      <c r="G90" s="21"/>
      <c r="H90" s="22">
        <f>IF($B90="","",$E90+IF($F90="",0,$F90)-IF($G90="",0,$G90))</f>
      </c>
    </row>
    <row r="91" spans="2:8" x14ac:dyDescent="0.25">
      <c r="B91" s="14">
        <f>IF('Personel Kartları'!B91="","",'Personel Kartları'!B91)</f>
      </c>
      <c r="C91" s="14">
        <f>IF('Personel Kartları'!C91="","",'Personel Kartları'!C91)</f>
      </c>
      <c r="D91" s="19">
        <f>IF($B91="","",(TODAY()-'Personel Kartları'!E91)/365)</f>
      </c>
      <c r="E91" s="20">
        <f>IF($B91="","",IF($D91&lt;1,0,IF($D91&lt;5,14,IF($D91&lt;15,20,26))))</f>
      </c>
      <c r="F91" s="21"/>
      <c r="G91" s="21"/>
      <c r="H91" s="22">
        <f>IF($B91="","",$E91+IF($F91="",0,$F91)-IF($G91="",0,$G91))</f>
      </c>
    </row>
    <row r="92" spans="2:8" x14ac:dyDescent="0.25">
      <c r="B92" s="14">
        <f>IF('Personel Kartları'!B92="","",'Personel Kartları'!B92)</f>
      </c>
      <c r="C92" s="14">
        <f>IF('Personel Kartları'!C92="","",'Personel Kartları'!C92)</f>
      </c>
      <c r="D92" s="19">
        <f>IF($B92="","",(TODAY()-'Personel Kartları'!E92)/365)</f>
      </c>
      <c r="E92" s="20">
        <f>IF($B92="","",IF($D92&lt;1,0,IF($D92&lt;5,14,IF($D92&lt;15,20,26))))</f>
      </c>
      <c r="F92" s="21"/>
      <c r="G92" s="21"/>
      <c r="H92" s="22">
        <f>IF($B92="","",$E92+IF($F92="",0,$F92)-IF($G92="",0,$G92))</f>
      </c>
    </row>
    <row r="93" spans="2:8" x14ac:dyDescent="0.25">
      <c r="B93" s="14">
        <f>IF('Personel Kartları'!B93="","",'Personel Kartları'!B93)</f>
      </c>
      <c r="C93" s="14">
        <f>IF('Personel Kartları'!C93="","",'Personel Kartları'!C93)</f>
      </c>
      <c r="D93" s="19">
        <f>IF($B93="","",(TODAY()-'Personel Kartları'!E93)/365)</f>
      </c>
      <c r="E93" s="20">
        <f>IF($B93="","",IF($D93&lt;1,0,IF($D93&lt;5,14,IF($D93&lt;15,20,26))))</f>
      </c>
      <c r="F93" s="21"/>
      <c r="G93" s="21"/>
      <c r="H93" s="22">
        <f>IF($B93="","",$E93+IF($F93="",0,$F93)-IF($G93="",0,$G93))</f>
      </c>
    </row>
    <row r="94" spans="2:8" x14ac:dyDescent="0.25">
      <c r="B94" s="14">
        <f>IF('Personel Kartları'!B94="","",'Personel Kartları'!B94)</f>
      </c>
      <c r="C94" s="14">
        <f>IF('Personel Kartları'!C94="","",'Personel Kartları'!C94)</f>
      </c>
      <c r="D94" s="19">
        <f>IF($B94="","",(TODAY()-'Personel Kartları'!E94)/365)</f>
      </c>
      <c r="E94" s="20">
        <f>IF($B94="","",IF($D94&lt;1,0,IF($D94&lt;5,14,IF($D94&lt;15,20,26))))</f>
      </c>
      <c r="F94" s="21"/>
      <c r="G94" s="21"/>
      <c r="H94" s="22">
        <f>IF($B94="","",$E94+IF($F94="",0,$F94)-IF($G94="",0,$G94))</f>
      </c>
    </row>
    <row r="95" spans="2:8" x14ac:dyDescent="0.25">
      <c r="B95" s="14">
        <f>IF('Personel Kartları'!B95="","",'Personel Kartları'!B95)</f>
      </c>
      <c r="C95" s="14">
        <f>IF('Personel Kartları'!C95="","",'Personel Kartları'!C95)</f>
      </c>
      <c r="D95" s="19">
        <f>IF($B95="","",(TODAY()-'Personel Kartları'!E95)/365)</f>
      </c>
      <c r="E95" s="20">
        <f>IF($B95="","",IF($D95&lt;1,0,IF($D95&lt;5,14,IF($D95&lt;15,20,26))))</f>
      </c>
      <c r="F95" s="21"/>
      <c r="G95" s="21"/>
      <c r="H95" s="22">
        <f>IF($B95="","",$E95+IF($F95="",0,$F95)-IF($G95="",0,$G95))</f>
      </c>
    </row>
    <row r="96" spans="2:8" x14ac:dyDescent="0.25">
      <c r="B96" s="14">
        <f>IF('Personel Kartları'!B96="","",'Personel Kartları'!B96)</f>
      </c>
      <c r="C96" s="14">
        <f>IF('Personel Kartları'!C96="","",'Personel Kartları'!C96)</f>
      </c>
      <c r="D96" s="19">
        <f>IF($B96="","",(TODAY()-'Personel Kartları'!E96)/365)</f>
      </c>
      <c r="E96" s="20">
        <f>IF($B96="","",IF($D96&lt;1,0,IF($D96&lt;5,14,IF($D96&lt;15,20,26))))</f>
      </c>
      <c r="F96" s="21"/>
      <c r="G96" s="21"/>
      <c r="H96" s="22">
        <f>IF($B96="","",$E96+IF($F96="",0,$F96)-IF($G96="",0,$G96))</f>
      </c>
    </row>
    <row r="97" spans="2:8" x14ac:dyDescent="0.25">
      <c r="B97" s="14">
        <f>IF('Personel Kartları'!B97="","",'Personel Kartları'!B97)</f>
      </c>
      <c r="C97" s="14">
        <f>IF('Personel Kartları'!C97="","",'Personel Kartları'!C97)</f>
      </c>
      <c r="D97" s="19">
        <f>IF($B97="","",(TODAY()-'Personel Kartları'!E97)/365)</f>
      </c>
      <c r="E97" s="20">
        <f>IF($B97="","",IF($D97&lt;1,0,IF($D97&lt;5,14,IF($D97&lt;15,20,26))))</f>
      </c>
      <c r="F97" s="21"/>
      <c r="G97" s="21"/>
      <c r="H97" s="22">
        <f>IF($B97="","",$E97+IF($F97="",0,$F97)-IF($G97="",0,$G97))</f>
      </c>
    </row>
    <row r="98" spans="2:8" x14ac:dyDescent="0.25">
      <c r="B98" s="14">
        <f>IF('Personel Kartları'!B98="","",'Personel Kartları'!B98)</f>
      </c>
      <c r="C98" s="14">
        <f>IF('Personel Kartları'!C98="","",'Personel Kartları'!C98)</f>
      </c>
      <c r="D98" s="19">
        <f>IF($B98="","",(TODAY()-'Personel Kartları'!E98)/365)</f>
      </c>
      <c r="E98" s="20">
        <f>IF($B98="","",IF($D98&lt;1,0,IF($D98&lt;5,14,IF($D98&lt;15,20,26))))</f>
      </c>
      <c r="F98" s="21"/>
      <c r="G98" s="21"/>
      <c r="H98" s="22">
        <f>IF($B98="","",$E98+IF($F98="",0,$F98)-IF($G98="",0,$G98))</f>
      </c>
    </row>
    <row r="99" spans="2:8" x14ac:dyDescent="0.25">
      <c r="B99" s="14">
        <f>IF('Personel Kartları'!B99="","",'Personel Kartları'!B99)</f>
      </c>
      <c r="C99" s="14">
        <f>IF('Personel Kartları'!C99="","",'Personel Kartları'!C99)</f>
      </c>
      <c r="D99" s="19">
        <f>IF($B99="","",(TODAY()-'Personel Kartları'!E99)/365)</f>
      </c>
      <c r="E99" s="20">
        <f>IF($B99="","",IF($D99&lt;1,0,IF($D99&lt;5,14,IF($D99&lt;15,20,26))))</f>
      </c>
      <c r="F99" s="21"/>
      <c r="G99" s="21"/>
      <c r="H99" s="22">
        <f>IF($B99="","",$E99+IF($F99="",0,$F99)-IF($G99="",0,$G99))</f>
      </c>
    </row>
    <row r="100" spans="2:8" x14ac:dyDescent="0.25">
      <c r="B100" s="14">
        <f>IF('Personel Kartları'!B100="","",'Personel Kartları'!B100)</f>
      </c>
      <c r="C100" s="14">
        <f>IF('Personel Kartları'!C100="","",'Personel Kartları'!C100)</f>
      </c>
      <c r="D100" s="19">
        <f>IF($B100="","",(TODAY()-'Personel Kartları'!E100)/365)</f>
      </c>
      <c r="E100" s="20">
        <f>IF($B100="","",IF($D100&lt;1,0,IF($D100&lt;5,14,IF($D100&lt;15,20,26))))</f>
      </c>
      <c r="F100" s="21"/>
      <c r="G100" s="21"/>
      <c r="H100" s="22">
        <f>IF($B100="","",$E100+IF($F100="",0,$F100)-IF($G100="",0,$G100))</f>
      </c>
    </row>
    <row r="101" spans="2:8" x14ac:dyDescent="0.25">
      <c r="B101" s="14">
        <f>IF('Personel Kartları'!B101="","",'Personel Kartları'!B101)</f>
      </c>
      <c r="C101" s="14">
        <f>IF('Personel Kartları'!C101="","",'Personel Kartları'!C101)</f>
      </c>
      <c r="D101" s="19">
        <f>IF($B101="","",(TODAY()-'Personel Kartları'!E101)/365)</f>
      </c>
      <c r="E101" s="20">
        <f>IF($B101="","",IF($D101&lt;1,0,IF($D101&lt;5,14,IF($D101&lt;15,20,26))))</f>
      </c>
      <c r="F101" s="21"/>
      <c r="G101" s="21"/>
      <c r="H101" s="22">
        <f>IF($B101="","",$E101+IF($F101="",0,$F101)-IF($G101="",0,$G101))</f>
      </c>
    </row>
    <row r="102" spans="2:8" x14ac:dyDescent="0.25">
      <c r="B102" s="14">
        <f>IF('Personel Kartları'!B102="","",'Personel Kartları'!B102)</f>
      </c>
      <c r="C102" s="14">
        <f>IF('Personel Kartları'!C102="","",'Personel Kartları'!C102)</f>
      </c>
      <c r="D102" s="19">
        <f>IF($B102="","",(TODAY()-'Personel Kartları'!E102)/365)</f>
      </c>
      <c r="E102" s="20">
        <f>IF($B102="","",IF($D102&lt;1,0,IF($D102&lt;5,14,IF($D102&lt;15,20,26))))</f>
      </c>
      <c r="F102" s="21"/>
      <c r="G102" s="21"/>
      <c r="H102" s="22">
        <f>IF($B102="","",$E102+IF($F102="",0,$F102)-IF($G102="",0,$G102))</f>
      </c>
    </row>
    <row r="103" spans="2:8" x14ac:dyDescent="0.25">
      <c r="B103" s="14">
        <f>IF('Personel Kartları'!B103="","",'Personel Kartları'!B103)</f>
      </c>
      <c r="C103" s="14">
        <f>IF('Personel Kartları'!C103="","",'Personel Kartları'!C103)</f>
      </c>
      <c r="D103" s="19">
        <f>IF($B103="","",(TODAY()-'Personel Kartları'!E103)/365)</f>
      </c>
      <c r="E103" s="20">
        <f>IF($B103="","",IF($D103&lt;1,0,IF($D103&lt;5,14,IF($D103&lt;15,20,26))))</f>
      </c>
      <c r="F103" s="21"/>
      <c r="G103" s="21"/>
      <c r="H103" s="22">
        <f>IF($B103="","",$E103+IF($F103="",0,$F103)-IF($G103="",0,$G103))</f>
      </c>
    </row>
    <row r="104" spans="2:8" x14ac:dyDescent="0.25">
      <c r="B104" s="14">
        <f>IF('Personel Kartları'!B104="","",'Personel Kartları'!B104)</f>
      </c>
      <c r="C104" s="14">
        <f>IF('Personel Kartları'!C104="","",'Personel Kartları'!C104)</f>
      </c>
      <c r="D104" s="19">
        <f>IF($B104="","",(TODAY()-'Personel Kartları'!E104)/365)</f>
      </c>
      <c r="E104" s="20">
        <f>IF($B104="","",IF($D104&lt;1,0,IF($D104&lt;5,14,IF($D104&lt;15,20,26))))</f>
      </c>
      <c r="F104" s="21"/>
      <c r="G104" s="21"/>
      <c r="H104" s="22">
        <f>IF($B104="","",$E104+IF($F104="",0,$F104)-IF($G104="",0,$G104))</f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6534"/>
  </sheetPr>
  <dimension ref="A1:G10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10" customWidth="1"/>
    <col min="3" max="3" width="26" customWidth="1"/>
    <col min="4" max="4" width="16" customWidth="1"/>
    <col min="5" max="6" width="18" customWidth="1"/>
    <col min="7" max="7" width="20" customWidth="1"/>
  </cols>
  <sheetData>
    <row r="1" ht="34" customHeight="1" spans="1:7" x14ac:dyDescent="0.25">
      <c r="A1" s="1" t="s">
        <v>74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75</v>
      </c>
      <c r="B2" s="2"/>
      <c r="C2" s="2"/>
      <c r="D2" s="2"/>
      <c r="E2" s="2"/>
      <c r="F2" s="2"/>
      <c r="G2" s="2"/>
    </row>
    <row r="4" ht="30" customHeight="1" spans="1:7" x14ac:dyDescent="0.25">
      <c r="A4" s="12" t="s">
        <v>36</v>
      </c>
      <c r="B4" s="12" t="s">
        <v>37</v>
      </c>
      <c r="C4" s="12" t="s">
        <v>38</v>
      </c>
      <c r="D4" s="12" t="s">
        <v>69</v>
      </c>
      <c r="E4" s="12" t="s">
        <v>76</v>
      </c>
      <c r="F4" s="12" t="s">
        <v>77</v>
      </c>
      <c r="G4" s="12" t="s">
        <v>78</v>
      </c>
    </row>
    <row r="5" spans="2:7" x14ac:dyDescent="0.25">
      <c r="B5" s="14">
        <f>IF('Personel Kartları'!B5="","",'Personel Kartları'!B5)</f>
      </c>
      <c r="C5" s="14">
        <f>IF('Personel Kartları'!C5="","",'Personel Kartları'!C5)</f>
      </c>
      <c r="D5" s="23">
        <f>IF($B5="","",(TODAY()-'Personel Kartları'!E5)/365)</f>
      </c>
      <c r="E5" s="15">
        <f>IF($B5="",0,'Personel Kartları'!F5+'Personel Kartları'!G5+'Personel Kartları'!H5+'Personel Kartları'!I5)</f>
      </c>
      <c r="F5" s="15">
        <f>IF($B5="",0,MIN($E5,Parametreler!$C$11))</f>
      </c>
      <c r="G5" s="16">
        <f>IF($B5="","",$F5*$D5)</f>
      </c>
    </row>
    <row r="6" spans="2:7" x14ac:dyDescent="0.25">
      <c r="B6" s="14">
        <f>IF('Personel Kartları'!B6="","",'Personel Kartları'!B6)</f>
      </c>
      <c r="C6" s="14">
        <f>IF('Personel Kartları'!C6="","",'Personel Kartları'!C6)</f>
      </c>
      <c r="D6" s="23">
        <f>IF($B6="","",(TODAY()-'Personel Kartları'!E6)/365)</f>
      </c>
      <c r="E6" s="15">
        <f>IF($B6="",0,'Personel Kartları'!F6+'Personel Kartları'!G6+'Personel Kartları'!H6+'Personel Kartları'!I6)</f>
      </c>
      <c r="F6" s="15">
        <f>IF($B6="",0,MIN($E6,Parametreler!$C$11))</f>
      </c>
      <c r="G6" s="16">
        <f>IF($B6="","",$F6*$D6)</f>
      </c>
    </row>
    <row r="7" spans="2:7" x14ac:dyDescent="0.25">
      <c r="B7" s="14">
        <f>IF('Personel Kartları'!B7="","",'Personel Kartları'!B7)</f>
      </c>
      <c r="C7" s="14">
        <f>IF('Personel Kartları'!C7="","",'Personel Kartları'!C7)</f>
      </c>
      <c r="D7" s="23">
        <f>IF($B7="","",(TODAY()-'Personel Kartları'!E7)/365)</f>
      </c>
      <c r="E7" s="15">
        <f>IF($B7="",0,'Personel Kartları'!F7+'Personel Kartları'!G7+'Personel Kartları'!H7+'Personel Kartları'!I7)</f>
      </c>
      <c r="F7" s="15">
        <f>IF($B7="",0,MIN($E7,Parametreler!$C$11))</f>
      </c>
      <c r="G7" s="16">
        <f>IF($B7="","",$F7*$D7)</f>
      </c>
    </row>
    <row r="8" spans="2:7" x14ac:dyDescent="0.25">
      <c r="B8" s="14">
        <f>IF('Personel Kartları'!B8="","",'Personel Kartları'!B8)</f>
      </c>
      <c r="C8" s="14">
        <f>IF('Personel Kartları'!C8="","",'Personel Kartları'!C8)</f>
      </c>
      <c r="D8" s="23">
        <f>IF($B8="","",(TODAY()-'Personel Kartları'!E8)/365)</f>
      </c>
      <c r="E8" s="15">
        <f>IF($B8="",0,'Personel Kartları'!F8+'Personel Kartları'!G8+'Personel Kartları'!H8+'Personel Kartları'!I8)</f>
      </c>
      <c r="F8" s="15">
        <f>IF($B8="",0,MIN($E8,Parametreler!$C$11))</f>
      </c>
      <c r="G8" s="16">
        <f>IF($B8="","",$F8*$D8)</f>
      </c>
    </row>
    <row r="9" spans="2:7" x14ac:dyDescent="0.25">
      <c r="B9" s="14">
        <f>IF('Personel Kartları'!B9="","",'Personel Kartları'!B9)</f>
      </c>
      <c r="C9" s="14">
        <f>IF('Personel Kartları'!C9="","",'Personel Kartları'!C9)</f>
      </c>
      <c r="D9" s="23">
        <f>IF($B9="","",(TODAY()-'Personel Kartları'!E9)/365)</f>
      </c>
      <c r="E9" s="15">
        <f>IF($B9="",0,'Personel Kartları'!F9+'Personel Kartları'!G9+'Personel Kartları'!H9+'Personel Kartları'!I9)</f>
      </c>
      <c r="F9" s="15">
        <f>IF($B9="",0,MIN($E9,Parametreler!$C$11))</f>
      </c>
      <c r="G9" s="16">
        <f>IF($B9="","",$F9*$D9)</f>
      </c>
    </row>
    <row r="10" spans="2:7" x14ac:dyDescent="0.25">
      <c r="B10" s="14">
        <f>IF('Personel Kartları'!B10="","",'Personel Kartları'!B10)</f>
      </c>
      <c r="C10" s="14">
        <f>IF('Personel Kartları'!C10="","",'Personel Kartları'!C10)</f>
      </c>
      <c r="D10" s="23">
        <f>IF($B10="","",(TODAY()-'Personel Kartları'!E10)/365)</f>
      </c>
      <c r="E10" s="15">
        <f>IF($B10="",0,'Personel Kartları'!F10+'Personel Kartları'!G10+'Personel Kartları'!H10+'Personel Kartları'!I10)</f>
      </c>
      <c r="F10" s="15">
        <f>IF($B10="",0,MIN($E10,Parametreler!$C$11))</f>
      </c>
      <c r="G10" s="16">
        <f>IF($B10="","",$F10*$D10)</f>
      </c>
    </row>
    <row r="11" spans="2:7" x14ac:dyDescent="0.25">
      <c r="B11" s="14">
        <f>IF('Personel Kartları'!B11="","",'Personel Kartları'!B11)</f>
      </c>
      <c r="C11" s="14">
        <f>IF('Personel Kartları'!C11="","",'Personel Kartları'!C11)</f>
      </c>
      <c r="D11" s="23">
        <f>IF($B11="","",(TODAY()-'Personel Kartları'!E11)/365)</f>
      </c>
      <c r="E11" s="15">
        <f>IF($B11="",0,'Personel Kartları'!F11+'Personel Kartları'!G11+'Personel Kartları'!H11+'Personel Kartları'!I11)</f>
      </c>
      <c r="F11" s="15">
        <f>IF($B11="",0,MIN($E11,Parametreler!$C$11))</f>
      </c>
      <c r="G11" s="16">
        <f>IF($B11="","",$F11*$D11)</f>
      </c>
    </row>
    <row r="12" spans="2:7" x14ac:dyDescent="0.25">
      <c r="B12" s="14">
        <f>IF('Personel Kartları'!B12="","",'Personel Kartları'!B12)</f>
      </c>
      <c r="C12" s="14">
        <f>IF('Personel Kartları'!C12="","",'Personel Kartları'!C12)</f>
      </c>
      <c r="D12" s="23">
        <f>IF($B12="","",(TODAY()-'Personel Kartları'!E12)/365)</f>
      </c>
      <c r="E12" s="15">
        <f>IF($B12="",0,'Personel Kartları'!F12+'Personel Kartları'!G12+'Personel Kartları'!H12+'Personel Kartları'!I12)</f>
      </c>
      <c r="F12" s="15">
        <f>IF($B12="",0,MIN($E12,Parametreler!$C$11))</f>
      </c>
      <c r="G12" s="16">
        <f>IF($B12="","",$F12*$D12)</f>
      </c>
    </row>
    <row r="13" spans="2:7" x14ac:dyDescent="0.25">
      <c r="B13" s="14">
        <f>IF('Personel Kartları'!B13="","",'Personel Kartları'!B13)</f>
      </c>
      <c r="C13" s="14">
        <f>IF('Personel Kartları'!C13="","",'Personel Kartları'!C13)</f>
      </c>
      <c r="D13" s="23">
        <f>IF($B13="","",(TODAY()-'Personel Kartları'!E13)/365)</f>
      </c>
      <c r="E13" s="15">
        <f>IF($B13="",0,'Personel Kartları'!F13+'Personel Kartları'!G13+'Personel Kartları'!H13+'Personel Kartları'!I13)</f>
      </c>
      <c r="F13" s="15">
        <f>IF($B13="",0,MIN($E13,Parametreler!$C$11))</f>
      </c>
      <c r="G13" s="16">
        <f>IF($B13="","",$F13*$D13)</f>
      </c>
    </row>
    <row r="14" spans="2:7" x14ac:dyDescent="0.25">
      <c r="B14" s="14">
        <f>IF('Personel Kartları'!B14="","",'Personel Kartları'!B14)</f>
      </c>
      <c r="C14" s="14">
        <f>IF('Personel Kartları'!C14="","",'Personel Kartları'!C14)</f>
      </c>
      <c r="D14" s="23">
        <f>IF($B14="","",(TODAY()-'Personel Kartları'!E14)/365)</f>
      </c>
      <c r="E14" s="15">
        <f>IF($B14="",0,'Personel Kartları'!F14+'Personel Kartları'!G14+'Personel Kartları'!H14+'Personel Kartları'!I14)</f>
      </c>
      <c r="F14" s="15">
        <f>IF($B14="",0,MIN($E14,Parametreler!$C$11))</f>
      </c>
      <c r="G14" s="16">
        <f>IF($B14="","",$F14*$D14)</f>
      </c>
    </row>
    <row r="15" spans="2:7" x14ac:dyDescent="0.25">
      <c r="B15" s="14">
        <f>IF('Personel Kartları'!B15="","",'Personel Kartları'!B15)</f>
      </c>
      <c r="C15" s="14">
        <f>IF('Personel Kartları'!C15="","",'Personel Kartları'!C15)</f>
      </c>
      <c r="D15" s="23">
        <f>IF($B15="","",(TODAY()-'Personel Kartları'!E15)/365)</f>
      </c>
      <c r="E15" s="15">
        <f>IF($B15="",0,'Personel Kartları'!F15+'Personel Kartları'!G15+'Personel Kartları'!H15+'Personel Kartları'!I15)</f>
      </c>
      <c r="F15" s="15">
        <f>IF($B15="",0,MIN($E15,Parametreler!$C$11))</f>
      </c>
      <c r="G15" s="16">
        <f>IF($B15="","",$F15*$D15)</f>
      </c>
    </row>
    <row r="16" spans="2:7" x14ac:dyDescent="0.25">
      <c r="B16" s="14">
        <f>IF('Personel Kartları'!B16="","",'Personel Kartları'!B16)</f>
      </c>
      <c r="C16" s="14">
        <f>IF('Personel Kartları'!C16="","",'Personel Kartları'!C16)</f>
      </c>
      <c r="D16" s="23">
        <f>IF($B16="","",(TODAY()-'Personel Kartları'!E16)/365)</f>
      </c>
      <c r="E16" s="15">
        <f>IF($B16="",0,'Personel Kartları'!F16+'Personel Kartları'!G16+'Personel Kartları'!H16+'Personel Kartları'!I16)</f>
      </c>
      <c r="F16" s="15">
        <f>IF($B16="",0,MIN($E16,Parametreler!$C$11))</f>
      </c>
      <c r="G16" s="16">
        <f>IF($B16="","",$F16*$D16)</f>
      </c>
    </row>
    <row r="17" spans="2:7" x14ac:dyDescent="0.25">
      <c r="B17" s="14">
        <f>IF('Personel Kartları'!B17="","",'Personel Kartları'!B17)</f>
      </c>
      <c r="C17" s="14">
        <f>IF('Personel Kartları'!C17="","",'Personel Kartları'!C17)</f>
      </c>
      <c r="D17" s="23">
        <f>IF($B17="","",(TODAY()-'Personel Kartları'!E17)/365)</f>
      </c>
      <c r="E17" s="15">
        <f>IF($B17="",0,'Personel Kartları'!F17+'Personel Kartları'!G17+'Personel Kartları'!H17+'Personel Kartları'!I17)</f>
      </c>
      <c r="F17" s="15">
        <f>IF($B17="",0,MIN($E17,Parametreler!$C$11))</f>
      </c>
      <c r="G17" s="16">
        <f>IF($B17="","",$F17*$D17)</f>
      </c>
    </row>
    <row r="18" spans="2:7" x14ac:dyDescent="0.25">
      <c r="B18" s="14">
        <f>IF('Personel Kartları'!B18="","",'Personel Kartları'!B18)</f>
      </c>
      <c r="C18" s="14">
        <f>IF('Personel Kartları'!C18="","",'Personel Kartları'!C18)</f>
      </c>
      <c r="D18" s="23">
        <f>IF($B18="","",(TODAY()-'Personel Kartları'!E18)/365)</f>
      </c>
      <c r="E18" s="15">
        <f>IF($B18="",0,'Personel Kartları'!F18+'Personel Kartları'!G18+'Personel Kartları'!H18+'Personel Kartları'!I18)</f>
      </c>
      <c r="F18" s="15">
        <f>IF($B18="",0,MIN($E18,Parametreler!$C$11))</f>
      </c>
      <c r="G18" s="16">
        <f>IF($B18="","",$F18*$D18)</f>
      </c>
    </row>
    <row r="19" spans="2:7" x14ac:dyDescent="0.25">
      <c r="B19" s="14">
        <f>IF('Personel Kartları'!B19="","",'Personel Kartları'!B19)</f>
      </c>
      <c r="C19" s="14">
        <f>IF('Personel Kartları'!C19="","",'Personel Kartları'!C19)</f>
      </c>
      <c r="D19" s="23">
        <f>IF($B19="","",(TODAY()-'Personel Kartları'!E19)/365)</f>
      </c>
      <c r="E19" s="15">
        <f>IF($B19="",0,'Personel Kartları'!F19+'Personel Kartları'!G19+'Personel Kartları'!H19+'Personel Kartları'!I19)</f>
      </c>
      <c r="F19" s="15">
        <f>IF($B19="",0,MIN($E19,Parametreler!$C$11))</f>
      </c>
      <c r="G19" s="16">
        <f>IF($B19="","",$F19*$D19)</f>
      </c>
    </row>
    <row r="20" spans="2:7" x14ac:dyDescent="0.25">
      <c r="B20" s="14">
        <f>IF('Personel Kartları'!B20="","",'Personel Kartları'!B20)</f>
      </c>
      <c r="C20" s="14">
        <f>IF('Personel Kartları'!C20="","",'Personel Kartları'!C20)</f>
      </c>
      <c r="D20" s="23">
        <f>IF($B20="","",(TODAY()-'Personel Kartları'!E20)/365)</f>
      </c>
      <c r="E20" s="15">
        <f>IF($B20="",0,'Personel Kartları'!F20+'Personel Kartları'!G20+'Personel Kartları'!H20+'Personel Kartları'!I20)</f>
      </c>
      <c r="F20" s="15">
        <f>IF($B20="",0,MIN($E20,Parametreler!$C$11))</f>
      </c>
      <c r="G20" s="16">
        <f>IF($B20="","",$F20*$D20)</f>
      </c>
    </row>
    <row r="21" spans="2:7" x14ac:dyDescent="0.25">
      <c r="B21" s="14">
        <f>IF('Personel Kartları'!B21="","",'Personel Kartları'!B21)</f>
      </c>
      <c r="C21" s="14">
        <f>IF('Personel Kartları'!C21="","",'Personel Kartları'!C21)</f>
      </c>
      <c r="D21" s="23">
        <f>IF($B21="","",(TODAY()-'Personel Kartları'!E21)/365)</f>
      </c>
      <c r="E21" s="15">
        <f>IF($B21="",0,'Personel Kartları'!F21+'Personel Kartları'!G21+'Personel Kartları'!H21+'Personel Kartları'!I21)</f>
      </c>
      <c r="F21" s="15">
        <f>IF($B21="",0,MIN($E21,Parametreler!$C$11))</f>
      </c>
      <c r="G21" s="16">
        <f>IF($B21="","",$F21*$D21)</f>
      </c>
    </row>
    <row r="22" spans="2:7" x14ac:dyDescent="0.25">
      <c r="B22" s="14">
        <f>IF('Personel Kartları'!B22="","",'Personel Kartları'!B22)</f>
      </c>
      <c r="C22" s="14">
        <f>IF('Personel Kartları'!C22="","",'Personel Kartları'!C22)</f>
      </c>
      <c r="D22" s="23">
        <f>IF($B22="","",(TODAY()-'Personel Kartları'!E22)/365)</f>
      </c>
      <c r="E22" s="15">
        <f>IF($B22="",0,'Personel Kartları'!F22+'Personel Kartları'!G22+'Personel Kartları'!H22+'Personel Kartları'!I22)</f>
      </c>
      <c r="F22" s="15">
        <f>IF($B22="",0,MIN($E22,Parametreler!$C$11))</f>
      </c>
      <c r="G22" s="16">
        <f>IF($B22="","",$F22*$D22)</f>
      </c>
    </row>
    <row r="23" spans="2:7" x14ac:dyDescent="0.25">
      <c r="B23" s="14">
        <f>IF('Personel Kartları'!B23="","",'Personel Kartları'!B23)</f>
      </c>
      <c r="C23" s="14">
        <f>IF('Personel Kartları'!C23="","",'Personel Kartları'!C23)</f>
      </c>
      <c r="D23" s="23">
        <f>IF($B23="","",(TODAY()-'Personel Kartları'!E23)/365)</f>
      </c>
      <c r="E23" s="15">
        <f>IF($B23="",0,'Personel Kartları'!F23+'Personel Kartları'!G23+'Personel Kartları'!H23+'Personel Kartları'!I23)</f>
      </c>
      <c r="F23" s="15">
        <f>IF($B23="",0,MIN($E23,Parametreler!$C$11))</f>
      </c>
      <c r="G23" s="16">
        <f>IF($B23="","",$F23*$D23)</f>
      </c>
    </row>
    <row r="24" spans="2:7" x14ac:dyDescent="0.25">
      <c r="B24" s="14">
        <f>IF('Personel Kartları'!B24="","",'Personel Kartları'!B24)</f>
      </c>
      <c r="C24" s="14">
        <f>IF('Personel Kartları'!C24="","",'Personel Kartları'!C24)</f>
      </c>
      <c r="D24" s="23">
        <f>IF($B24="","",(TODAY()-'Personel Kartları'!E24)/365)</f>
      </c>
      <c r="E24" s="15">
        <f>IF($B24="",0,'Personel Kartları'!F24+'Personel Kartları'!G24+'Personel Kartları'!H24+'Personel Kartları'!I24)</f>
      </c>
      <c r="F24" s="15">
        <f>IF($B24="",0,MIN($E24,Parametreler!$C$11))</f>
      </c>
      <c r="G24" s="16">
        <f>IF($B24="","",$F24*$D24)</f>
      </c>
    </row>
    <row r="25" spans="2:7" x14ac:dyDescent="0.25">
      <c r="B25" s="14">
        <f>IF('Personel Kartları'!B25="","",'Personel Kartları'!B25)</f>
      </c>
      <c r="C25" s="14">
        <f>IF('Personel Kartları'!C25="","",'Personel Kartları'!C25)</f>
      </c>
      <c r="D25" s="23">
        <f>IF($B25="","",(TODAY()-'Personel Kartları'!E25)/365)</f>
      </c>
      <c r="E25" s="15">
        <f>IF($B25="",0,'Personel Kartları'!F25+'Personel Kartları'!G25+'Personel Kartları'!H25+'Personel Kartları'!I25)</f>
      </c>
      <c r="F25" s="15">
        <f>IF($B25="",0,MIN($E25,Parametreler!$C$11))</f>
      </c>
      <c r="G25" s="16">
        <f>IF($B25="","",$F25*$D25)</f>
      </c>
    </row>
    <row r="26" spans="2:7" x14ac:dyDescent="0.25">
      <c r="B26" s="14">
        <f>IF('Personel Kartları'!B26="","",'Personel Kartları'!B26)</f>
      </c>
      <c r="C26" s="14">
        <f>IF('Personel Kartları'!C26="","",'Personel Kartları'!C26)</f>
      </c>
      <c r="D26" s="23">
        <f>IF($B26="","",(TODAY()-'Personel Kartları'!E26)/365)</f>
      </c>
      <c r="E26" s="15">
        <f>IF($B26="",0,'Personel Kartları'!F26+'Personel Kartları'!G26+'Personel Kartları'!H26+'Personel Kartları'!I26)</f>
      </c>
      <c r="F26" s="15">
        <f>IF($B26="",0,MIN($E26,Parametreler!$C$11))</f>
      </c>
      <c r="G26" s="16">
        <f>IF($B26="","",$F26*$D26)</f>
      </c>
    </row>
    <row r="27" spans="2:7" x14ac:dyDescent="0.25">
      <c r="B27" s="14">
        <f>IF('Personel Kartları'!B27="","",'Personel Kartları'!B27)</f>
      </c>
      <c r="C27" s="14">
        <f>IF('Personel Kartları'!C27="","",'Personel Kartları'!C27)</f>
      </c>
      <c r="D27" s="23">
        <f>IF($B27="","",(TODAY()-'Personel Kartları'!E27)/365)</f>
      </c>
      <c r="E27" s="15">
        <f>IF($B27="",0,'Personel Kartları'!F27+'Personel Kartları'!G27+'Personel Kartları'!H27+'Personel Kartları'!I27)</f>
      </c>
      <c r="F27" s="15">
        <f>IF($B27="",0,MIN($E27,Parametreler!$C$11))</f>
      </c>
      <c r="G27" s="16">
        <f>IF($B27="","",$F27*$D27)</f>
      </c>
    </row>
    <row r="28" spans="2:7" x14ac:dyDescent="0.25">
      <c r="B28" s="14">
        <f>IF('Personel Kartları'!B28="","",'Personel Kartları'!B28)</f>
      </c>
      <c r="C28" s="14">
        <f>IF('Personel Kartları'!C28="","",'Personel Kartları'!C28)</f>
      </c>
      <c r="D28" s="23">
        <f>IF($B28="","",(TODAY()-'Personel Kartları'!E28)/365)</f>
      </c>
      <c r="E28" s="15">
        <f>IF($B28="",0,'Personel Kartları'!F28+'Personel Kartları'!G28+'Personel Kartları'!H28+'Personel Kartları'!I28)</f>
      </c>
      <c r="F28" s="15">
        <f>IF($B28="",0,MIN($E28,Parametreler!$C$11))</f>
      </c>
      <c r="G28" s="16">
        <f>IF($B28="","",$F28*$D28)</f>
      </c>
    </row>
    <row r="29" spans="2:7" x14ac:dyDescent="0.25">
      <c r="B29" s="14">
        <f>IF('Personel Kartları'!B29="","",'Personel Kartları'!B29)</f>
      </c>
      <c r="C29" s="14">
        <f>IF('Personel Kartları'!C29="","",'Personel Kartları'!C29)</f>
      </c>
      <c r="D29" s="23">
        <f>IF($B29="","",(TODAY()-'Personel Kartları'!E29)/365)</f>
      </c>
      <c r="E29" s="15">
        <f>IF($B29="",0,'Personel Kartları'!F29+'Personel Kartları'!G29+'Personel Kartları'!H29+'Personel Kartları'!I29)</f>
      </c>
      <c r="F29" s="15">
        <f>IF($B29="",0,MIN($E29,Parametreler!$C$11))</f>
      </c>
      <c r="G29" s="16">
        <f>IF($B29="","",$F29*$D29)</f>
      </c>
    </row>
    <row r="30" spans="2:7" x14ac:dyDescent="0.25">
      <c r="B30" s="14">
        <f>IF('Personel Kartları'!B30="","",'Personel Kartları'!B30)</f>
      </c>
      <c r="C30" s="14">
        <f>IF('Personel Kartları'!C30="","",'Personel Kartları'!C30)</f>
      </c>
      <c r="D30" s="23">
        <f>IF($B30="","",(TODAY()-'Personel Kartları'!E30)/365)</f>
      </c>
      <c r="E30" s="15">
        <f>IF($B30="",0,'Personel Kartları'!F30+'Personel Kartları'!G30+'Personel Kartları'!H30+'Personel Kartları'!I30)</f>
      </c>
      <c r="F30" s="15">
        <f>IF($B30="",0,MIN($E30,Parametreler!$C$11))</f>
      </c>
      <c r="G30" s="16">
        <f>IF($B30="","",$F30*$D30)</f>
      </c>
    </row>
    <row r="31" spans="2:7" x14ac:dyDescent="0.25">
      <c r="B31" s="14">
        <f>IF('Personel Kartları'!B31="","",'Personel Kartları'!B31)</f>
      </c>
      <c r="C31" s="14">
        <f>IF('Personel Kartları'!C31="","",'Personel Kartları'!C31)</f>
      </c>
      <c r="D31" s="23">
        <f>IF($B31="","",(TODAY()-'Personel Kartları'!E31)/365)</f>
      </c>
      <c r="E31" s="15">
        <f>IF($B31="",0,'Personel Kartları'!F31+'Personel Kartları'!G31+'Personel Kartları'!H31+'Personel Kartları'!I31)</f>
      </c>
      <c r="F31" s="15">
        <f>IF($B31="",0,MIN($E31,Parametreler!$C$11))</f>
      </c>
      <c r="G31" s="16">
        <f>IF($B31="","",$F31*$D31)</f>
      </c>
    </row>
    <row r="32" spans="2:7" x14ac:dyDescent="0.25">
      <c r="B32" s="14">
        <f>IF('Personel Kartları'!B32="","",'Personel Kartları'!B32)</f>
      </c>
      <c r="C32" s="14">
        <f>IF('Personel Kartları'!C32="","",'Personel Kartları'!C32)</f>
      </c>
      <c r="D32" s="23">
        <f>IF($B32="","",(TODAY()-'Personel Kartları'!E32)/365)</f>
      </c>
      <c r="E32" s="15">
        <f>IF($B32="",0,'Personel Kartları'!F32+'Personel Kartları'!G32+'Personel Kartları'!H32+'Personel Kartları'!I32)</f>
      </c>
      <c r="F32" s="15">
        <f>IF($B32="",0,MIN($E32,Parametreler!$C$11))</f>
      </c>
      <c r="G32" s="16">
        <f>IF($B32="","",$F32*$D32)</f>
      </c>
    </row>
    <row r="33" spans="2:7" x14ac:dyDescent="0.25">
      <c r="B33" s="14">
        <f>IF('Personel Kartları'!B33="","",'Personel Kartları'!B33)</f>
      </c>
      <c r="C33" s="14">
        <f>IF('Personel Kartları'!C33="","",'Personel Kartları'!C33)</f>
      </c>
      <c r="D33" s="23">
        <f>IF($B33="","",(TODAY()-'Personel Kartları'!E33)/365)</f>
      </c>
      <c r="E33" s="15">
        <f>IF($B33="",0,'Personel Kartları'!F33+'Personel Kartları'!G33+'Personel Kartları'!H33+'Personel Kartları'!I33)</f>
      </c>
      <c r="F33" s="15">
        <f>IF($B33="",0,MIN($E33,Parametreler!$C$11))</f>
      </c>
      <c r="G33" s="16">
        <f>IF($B33="","",$F33*$D33)</f>
      </c>
    </row>
    <row r="34" spans="2:7" x14ac:dyDescent="0.25">
      <c r="B34" s="14">
        <f>IF('Personel Kartları'!B34="","",'Personel Kartları'!B34)</f>
      </c>
      <c r="C34" s="14">
        <f>IF('Personel Kartları'!C34="","",'Personel Kartları'!C34)</f>
      </c>
      <c r="D34" s="23">
        <f>IF($B34="","",(TODAY()-'Personel Kartları'!E34)/365)</f>
      </c>
      <c r="E34" s="15">
        <f>IF($B34="",0,'Personel Kartları'!F34+'Personel Kartları'!G34+'Personel Kartları'!H34+'Personel Kartları'!I34)</f>
      </c>
      <c r="F34" s="15">
        <f>IF($B34="",0,MIN($E34,Parametreler!$C$11))</f>
      </c>
      <c r="G34" s="16">
        <f>IF($B34="","",$F34*$D34)</f>
      </c>
    </row>
    <row r="35" spans="2:7" x14ac:dyDescent="0.25">
      <c r="B35" s="14">
        <f>IF('Personel Kartları'!B35="","",'Personel Kartları'!B35)</f>
      </c>
      <c r="C35" s="14">
        <f>IF('Personel Kartları'!C35="","",'Personel Kartları'!C35)</f>
      </c>
      <c r="D35" s="23">
        <f>IF($B35="","",(TODAY()-'Personel Kartları'!E35)/365)</f>
      </c>
      <c r="E35" s="15">
        <f>IF($B35="",0,'Personel Kartları'!F35+'Personel Kartları'!G35+'Personel Kartları'!H35+'Personel Kartları'!I35)</f>
      </c>
      <c r="F35" s="15">
        <f>IF($B35="",0,MIN($E35,Parametreler!$C$11))</f>
      </c>
      <c r="G35" s="16">
        <f>IF($B35="","",$F35*$D35)</f>
      </c>
    </row>
    <row r="36" spans="2:7" x14ac:dyDescent="0.25">
      <c r="B36" s="14">
        <f>IF('Personel Kartları'!B36="","",'Personel Kartları'!B36)</f>
      </c>
      <c r="C36" s="14">
        <f>IF('Personel Kartları'!C36="","",'Personel Kartları'!C36)</f>
      </c>
      <c r="D36" s="23">
        <f>IF($B36="","",(TODAY()-'Personel Kartları'!E36)/365)</f>
      </c>
      <c r="E36" s="15">
        <f>IF($B36="",0,'Personel Kartları'!F36+'Personel Kartları'!G36+'Personel Kartları'!H36+'Personel Kartları'!I36)</f>
      </c>
      <c r="F36" s="15">
        <f>IF($B36="",0,MIN($E36,Parametreler!$C$11))</f>
      </c>
      <c r="G36" s="16">
        <f>IF($B36="","",$F36*$D36)</f>
      </c>
    </row>
    <row r="37" spans="2:7" x14ac:dyDescent="0.25">
      <c r="B37" s="14">
        <f>IF('Personel Kartları'!B37="","",'Personel Kartları'!B37)</f>
      </c>
      <c r="C37" s="14">
        <f>IF('Personel Kartları'!C37="","",'Personel Kartları'!C37)</f>
      </c>
      <c r="D37" s="23">
        <f>IF($B37="","",(TODAY()-'Personel Kartları'!E37)/365)</f>
      </c>
      <c r="E37" s="15">
        <f>IF($B37="",0,'Personel Kartları'!F37+'Personel Kartları'!G37+'Personel Kartları'!H37+'Personel Kartları'!I37)</f>
      </c>
      <c r="F37" s="15">
        <f>IF($B37="",0,MIN($E37,Parametreler!$C$11))</f>
      </c>
      <c r="G37" s="16">
        <f>IF($B37="","",$F37*$D37)</f>
      </c>
    </row>
    <row r="38" spans="2:7" x14ac:dyDescent="0.25">
      <c r="B38" s="14">
        <f>IF('Personel Kartları'!B38="","",'Personel Kartları'!B38)</f>
      </c>
      <c r="C38" s="14">
        <f>IF('Personel Kartları'!C38="","",'Personel Kartları'!C38)</f>
      </c>
      <c r="D38" s="23">
        <f>IF($B38="","",(TODAY()-'Personel Kartları'!E38)/365)</f>
      </c>
      <c r="E38" s="15">
        <f>IF($B38="",0,'Personel Kartları'!F38+'Personel Kartları'!G38+'Personel Kartları'!H38+'Personel Kartları'!I38)</f>
      </c>
      <c r="F38" s="15">
        <f>IF($B38="",0,MIN($E38,Parametreler!$C$11))</f>
      </c>
      <c r="G38" s="16">
        <f>IF($B38="","",$F38*$D38)</f>
      </c>
    </row>
    <row r="39" spans="2:7" x14ac:dyDescent="0.25">
      <c r="B39" s="14">
        <f>IF('Personel Kartları'!B39="","",'Personel Kartları'!B39)</f>
      </c>
      <c r="C39" s="14">
        <f>IF('Personel Kartları'!C39="","",'Personel Kartları'!C39)</f>
      </c>
      <c r="D39" s="23">
        <f>IF($B39="","",(TODAY()-'Personel Kartları'!E39)/365)</f>
      </c>
      <c r="E39" s="15">
        <f>IF($B39="",0,'Personel Kartları'!F39+'Personel Kartları'!G39+'Personel Kartları'!H39+'Personel Kartları'!I39)</f>
      </c>
      <c r="F39" s="15">
        <f>IF($B39="",0,MIN($E39,Parametreler!$C$11))</f>
      </c>
      <c r="G39" s="16">
        <f>IF($B39="","",$F39*$D39)</f>
      </c>
    </row>
    <row r="40" spans="2:7" x14ac:dyDescent="0.25">
      <c r="B40" s="14">
        <f>IF('Personel Kartları'!B40="","",'Personel Kartları'!B40)</f>
      </c>
      <c r="C40" s="14">
        <f>IF('Personel Kartları'!C40="","",'Personel Kartları'!C40)</f>
      </c>
      <c r="D40" s="23">
        <f>IF($B40="","",(TODAY()-'Personel Kartları'!E40)/365)</f>
      </c>
      <c r="E40" s="15">
        <f>IF($B40="",0,'Personel Kartları'!F40+'Personel Kartları'!G40+'Personel Kartları'!H40+'Personel Kartları'!I40)</f>
      </c>
      <c r="F40" s="15">
        <f>IF($B40="",0,MIN($E40,Parametreler!$C$11))</f>
      </c>
      <c r="G40" s="16">
        <f>IF($B40="","",$F40*$D40)</f>
      </c>
    </row>
    <row r="41" spans="2:7" x14ac:dyDescent="0.25">
      <c r="B41" s="14">
        <f>IF('Personel Kartları'!B41="","",'Personel Kartları'!B41)</f>
      </c>
      <c r="C41" s="14">
        <f>IF('Personel Kartları'!C41="","",'Personel Kartları'!C41)</f>
      </c>
      <c r="D41" s="23">
        <f>IF($B41="","",(TODAY()-'Personel Kartları'!E41)/365)</f>
      </c>
      <c r="E41" s="15">
        <f>IF($B41="",0,'Personel Kartları'!F41+'Personel Kartları'!G41+'Personel Kartları'!H41+'Personel Kartları'!I41)</f>
      </c>
      <c r="F41" s="15">
        <f>IF($B41="",0,MIN($E41,Parametreler!$C$11))</f>
      </c>
      <c r="G41" s="16">
        <f>IF($B41="","",$F41*$D41)</f>
      </c>
    </row>
    <row r="42" spans="2:7" x14ac:dyDescent="0.25">
      <c r="B42" s="14">
        <f>IF('Personel Kartları'!B42="","",'Personel Kartları'!B42)</f>
      </c>
      <c r="C42" s="14">
        <f>IF('Personel Kartları'!C42="","",'Personel Kartları'!C42)</f>
      </c>
      <c r="D42" s="23">
        <f>IF($B42="","",(TODAY()-'Personel Kartları'!E42)/365)</f>
      </c>
      <c r="E42" s="15">
        <f>IF($B42="",0,'Personel Kartları'!F42+'Personel Kartları'!G42+'Personel Kartları'!H42+'Personel Kartları'!I42)</f>
      </c>
      <c r="F42" s="15">
        <f>IF($B42="",0,MIN($E42,Parametreler!$C$11))</f>
      </c>
      <c r="G42" s="16">
        <f>IF($B42="","",$F42*$D42)</f>
      </c>
    </row>
    <row r="43" spans="2:7" x14ac:dyDescent="0.25">
      <c r="B43" s="14">
        <f>IF('Personel Kartları'!B43="","",'Personel Kartları'!B43)</f>
      </c>
      <c r="C43" s="14">
        <f>IF('Personel Kartları'!C43="","",'Personel Kartları'!C43)</f>
      </c>
      <c r="D43" s="23">
        <f>IF($B43="","",(TODAY()-'Personel Kartları'!E43)/365)</f>
      </c>
      <c r="E43" s="15">
        <f>IF($B43="",0,'Personel Kartları'!F43+'Personel Kartları'!G43+'Personel Kartları'!H43+'Personel Kartları'!I43)</f>
      </c>
      <c r="F43" s="15">
        <f>IF($B43="",0,MIN($E43,Parametreler!$C$11))</f>
      </c>
      <c r="G43" s="16">
        <f>IF($B43="","",$F43*$D43)</f>
      </c>
    </row>
    <row r="44" spans="2:7" x14ac:dyDescent="0.25">
      <c r="B44" s="14">
        <f>IF('Personel Kartları'!B44="","",'Personel Kartları'!B44)</f>
      </c>
      <c r="C44" s="14">
        <f>IF('Personel Kartları'!C44="","",'Personel Kartları'!C44)</f>
      </c>
      <c r="D44" s="23">
        <f>IF($B44="","",(TODAY()-'Personel Kartları'!E44)/365)</f>
      </c>
      <c r="E44" s="15">
        <f>IF($B44="",0,'Personel Kartları'!F44+'Personel Kartları'!G44+'Personel Kartları'!H44+'Personel Kartları'!I44)</f>
      </c>
      <c r="F44" s="15">
        <f>IF($B44="",0,MIN($E44,Parametreler!$C$11))</f>
      </c>
      <c r="G44" s="16">
        <f>IF($B44="","",$F44*$D44)</f>
      </c>
    </row>
    <row r="45" spans="2:7" x14ac:dyDescent="0.25">
      <c r="B45" s="14">
        <f>IF('Personel Kartları'!B45="","",'Personel Kartları'!B45)</f>
      </c>
      <c r="C45" s="14">
        <f>IF('Personel Kartları'!C45="","",'Personel Kartları'!C45)</f>
      </c>
      <c r="D45" s="23">
        <f>IF($B45="","",(TODAY()-'Personel Kartları'!E45)/365)</f>
      </c>
      <c r="E45" s="15">
        <f>IF($B45="",0,'Personel Kartları'!F45+'Personel Kartları'!G45+'Personel Kartları'!H45+'Personel Kartları'!I45)</f>
      </c>
      <c r="F45" s="15">
        <f>IF($B45="",0,MIN($E45,Parametreler!$C$11))</f>
      </c>
      <c r="G45" s="16">
        <f>IF($B45="","",$F45*$D45)</f>
      </c>
    </row>
    <row r="46" spans="2:7" x14ac:dyDescent="0.25">
      <c r="B46" s="14">
        <f>IF('Personel Kartları'!B46="","",'Personel Kartları'!B46)</f>
      </c>
      <c r="C46" s="14">
        <f>IF('Personel Kartları'!C46="","",'Personel Kartları'!C46)</f>
      </c>
      <c r="D46" s="23">
        <f>IF($B46="","",(TODAY()-'Personel Kartları'!E46)/365)</f>
      </c>
      <c r="E46" s="15">
        <f>IF($B46="",0,'Personel Kartları'!F46+'Personel Kartları'!G46+'Personel Kartları'!H46+'Personel Kartları'!I46)</f>
      </c>
      <c r="F46" s="15">
        <f>IF($B46="",0,MIN($E46,Parametreler!$C$11))</f>
      </c>
      <c r="G46" s="16">
        <f>IF($B46="","",$F46*$D46)</f>
      </c>
    </row>
    <row r="47" spans="2:7" x14ac:dyDescent="0.25">
      <c r="B47" s="14">
        <f>IF('Personel Kartları'!B47="","",'Personel Kartları'!B47)</f>
      </c>
      <c r="C47" s="14">
        <f>IF('Personel Kartları'!C47="","",'Personel Kartları'!C47)</f>
      </c>
      <c r="D47" s="23">
        <f>IF($B47="","",(TODAY()-'Personel Kartları'!E47)/365)</f>
      </c>
      <c r="E47" s="15">
        <f>IF($B47="",0,'Personel Kartları'!F47+'Personel Kartları'!G47+'Personel Kartları'!H47+'Personel Kartları'!I47)</f>
      </c>
      <c r="F47" s="15">
        <f>IF($B47="",0,MIN($E47,Parametreler!$C$11))</f>
      </c>
      <c r="G47" s="16">
        <f>IF($B47="","",$F47*$D47)</f>
      </c>
    </row>
    <row r="48" spans="2:7" x14ac:dyDescent="0.25">
      <c r="B48" s="14">
        <f>IF('Personel Kartları'!B48="","",'Personel Kartları'!B48)</f>
      </c>
      <c r="C48" s="14">
        <f>IF('Personel Kartları'!C48="","",'Personel Kartları'!C48)</f>
      </c>
      <c r="D48" s="23">
        <f>IF($B48="","",(TODAY()-'Personel Kartları'!E48)/365)</f>
      </c>
      <c r="E48" s="15">
        <f>IF($B48="",0,'Personel Kartları'!F48+'Personel Kartları'!G48+'Personel Kartları'!H48+'Personel Kartları'!I48)</f>
      </c>
      <c r="F48" s="15">
        <f>IF($B48="",0,MIN($E48,Parametreler!$C$11))</f>
      </c>
      <c r="G48" s="16">
        <f>IF($B48="","",$F48*$D48)</f>
      </c>
    </row>
    <row r="49" spans="2:7" x14ac:dyDescent="0.25">
      <c r="B49" s="14">
        <f>IF('Personel Kartları'!B49="","",'Personel Kartları'!B49)</f>
      </c>
      <c r="C49" s="14">
        <f>IF('Personel Kartları'!C49="","",'Personel Kartları'!C49)</f>
      </c>
      <c r="D49" s="23">
        <f>IF($B49="","",(TODAY()-'Personel Kartları'!E49)/365)</f>
      </c>
      <c r="E49" s="15">
        <f>IF($B49="",0,'Personel Kartları'!F49+'Personel Kartları'!G49+'Personel Kartları'!H49+'Personel Kartları'!I49)</f>
      </c>
      <c r="F49" s="15">
        <f>IF($B49="",0,MIN($E49,Parametreler!$C$11))</f>
      </c>
      <c r="G49" s="16">
        <f>IF($B49="","",$F49*$D49)</f>
      </c>
    </row>
    <row r="50" spans="2:7" x14ac:dyDescent="0.25">
      <c r="B50" s="14">
        <f>IF('Personel Kartları'!B50="","",'Personel Kartları'!B50)</f>
      </c>
      <c r="C50" s="14">
        <f>IF('Personel Kartları'!C50="","",'Personel Kartları'!C50)</f>
      </c>
      <c r="D50" s="23">
        <f>IF($B50="","",(TODAY()-'Personel Kartları'!E50)/365)</f>
      </c>
      <c r="E50" s="15">
        <f>IF($B50="",0,'Personel Kartları'!F50+'Personel Kartları'!G50+'Personel Kartları'!H50+'Personel Kartları'!I50)</f>
      </c>
      <c r="F50" s="15">
        <f>IF($B50="",0,MIN($E50,Parametreler!$C$11))</f>
      </c>
      <c r="G50" s="16">
        <f>IF($B50="","",$F50*$D50)</f>
      </c>
    </row>
    <row r="51" spans="2:7" x14ac:dyDescent="0.25">
      <c r="B51" s="14">
        <f>IF('Personel Kartları'!B51="","",'Personel Kartları'!B51)</f>
      </c>
      <c r="C51" s="14">
        <f>IF('Personel Kartları'!C51="","",'Personel Kartları'!C51)</f>
      </c>
      <c r="D51" s="23">
        <f>IF($B51="","",(TODAY()-'Personel Kartları'!E51)/365)</f>
      </c>
      <c r="E51" s="15">
        <f>IF($B51="",0,'Personel Kartları'!F51+'Personel Kartları'!G51+'Personel Kartları'!H51+'Personel Kartları'!I51)</f>
      </c>
      <c r="F51" s="15">
        <f>IF($B51="",0,MIN($E51,Parametreler!$C$11))</f>
      </c>
      <c r="G51" s="16">
        <f>IF($B51="","",$F51*$D51)</f>
      </c>
    </row>
    <row r="52" spans="2:7" x14ac:dyDescent="0.25">
      <c r="B52" s="14">
        <f>IF('Personel Kartları'!B52="","",'Personel Kartları'!B52)</f>
      </c>
      <c r="C52" s="14">
        <f>IF('Personel Kartları'!C52="","",'Personel Kartları'!C52)</f>
      </c>
      <c r="D52" s="23">
        <f>IF($B52="","",(TODAY()-'Personel Kartları'!E52)/365)</f>
      </c>
      <c r="E52" s="15">
        <f>IF($B52="",0,'Personel Kartları'!F52+'Personel Kartları'!G52+'Personel Kartları'!H52+'Personel Kartları'!I52)</f>
      </c>
      <c r="F52" s="15">
        <f>IF($B52="",0,MIN($E52,Parametreler!$C$11))</f>
      </c>
      <c r="G52" s="16">
        <f>IF($B52="","",$F52*$D52)</f>
      </c>
    </row>
    <row r="53" spans="2:7" x14ac:dyDescent="0.25">
      <c r="B53" s="14">
        <f>IF('Personel Kartları'!B53="","",'Personel Kartları'!B53)</f>
      </c>
      <c r="C53" s="14">
        <f>IF('Personel Kartları'!C53="","",'Personel Kartları'!C53)</f>
      </c>
      <c r="D53" s="23">
        <f>IF($B53="","",(TODAY()-'Personel Kartları'!E53)/365)</f>
      </c>
      <c r="E53" s="15">
        <f>IF($B53="",0,'Personel Kartları'!F53+'Personel Kartları'!G53+'Personel Kartları'!H53+'Personel Kartları'!I53)</f>
      </c>
      <c r="F53" s="15">
        <f>IF($B53="",0,MIN($E53,Parametreler!$C$11))</f>
      </c>
      <c r="G53" s="16">
        <f>IF($B53="","",$F53*$D53)</f>
      </c>
    </row>
    <row r="54" spans="2:7" x14ac:dyDescent="0.25">
      <c r="B54" s="14">
        <f>IF('Personel Kartları'!B54="","",'Personel Kartları'!B54)</f>
      </c>
      <c r="C54" s="14">
        <f>IF('Personel Kartları'!C54="","",'Personel Kartları'!C54)</f>
      </c>
      <c r="D54" s="23">
        <f>IF($B54="","",(TODAY()-'Personel Kartları'!E54)/365)</f>
      </c>
      <c r="E54" s="15">
        <f>IF($B54="",0,'Personel Kartları'!F54+'Personel Kartları'!G54+'Personel Kartları'!H54+'Personel Kartları'!I54)</f>
      </c>
      <c r="F54" s="15">
        <f>IF($B54="",0,MIN($E54,Parametreler!$C$11))</f>
      </c>
      <c r="G54" s="16">
        <f>IF($B54="","",$F54*$D54)</f>
      </c>
    </row>
    <row r="55" spans="2:7" x14ac:dyDescent="0.25">
      <c r="B55" s="14">
        <f>IF('Personel Kartları'!B55="","",'Personel Kartları'!B55)</f>
      </c>
      <c r="C55" s="14">
        <f>IF('Personel Kartları'!C55="","",'Personel Kartları'!C55)</f>
      </c>
      <c r="D55" s="23">
        <f>IF($B55="","",(TODAY()-'Personel Kartları'!E55)/365)</f>
      </c>
      <c r="E55" s="15">
        <f>IF($B55="",0,'Personel Kartları'!F55+'Personel Kartları'!G55+'Personel Kartları'!H55+'Personel Kartları'!I55)</f>
      </c>
      <c r="F55" s="15">
        <f>IF($B55="",0,MIN($E55,Parametreler!$C$11))</f>
      </c>
      <c r="G55" s="16">
        <f>IF($B55="","",$F55*$D55)</f>
      </c>
    </row>
    <row r="56" spans="2:7" x14ac:dyDescent="0.25">
      <c r="B56" s="14">
        <f>IF('Personel Kartları'!B56="","",'Personel Kartları'!B56)</f>
      </c>
      <c r="C56" s="14">
        <f>IF('Personel Kartları'!C56="","",'Personel Kartları'!C56)</f>
      </c>
      <c r="D56" s="23">
        <f>IF($B56="","",(TODAY()-'Personel Kartları'!E56)/365)</f>
      </c>
      <c r="E56" s="15">
        <f>IF($B56="",0,'Personel Kartları'!F56+'Personel Kartları'!G56+'Personel Kartları'!H56+'Personel Kartları'!I56)</f>
      </c>
      <c r="F56" s="15">
        <f>IF($B56="",0,MIN($E56,Parametreler!$C$11))</f>
      </c>
      <c r="G56" s="16">
        <f>IF($B56="","",$F56*$D56)</f>
      </c>
    </row>
    <row r="57" spans="2:7" x14ac:dyDescent="0.25">
      <c r="B57" s="14">
        <f>IF('Personel Kartları'!B57="","",'Personel Kartları'!B57)</f>
      </c>
      <c r="C57" s="14">
        <f>IF('Personel Kartları'!C57="","",'Personel Kartları'!C57)</f>
      </c>
      <c r="D57" s="23">
        <f>IF($B57="","",(TODAY()-'Personel Kartları'!E57)/365)</f>
      </c>
      <c r="E57" s="15">
        <f>IF($B57="",0,'Personel Kartları'!F57+'Personel Kartları'!G57+'Personel Kartları'!H57+'Personel Kartları'!I57)</f>
      </c>
      <c r="F57" s="15">
        <f>IF($B57="",0,MIN($E57,Parametreler!$C$11))</f>
      </c>
      <c r="G57" s="16">
        <f>IF($B57="","",$F57*$D57)</f>
      </c>
    </row>
    <row r="58" spans="2:7" x14ac:dyDescent="0.25">
      <c r="B58" s="14">
        <f>IF('Personel Kartları'!B58="","",'Personel Kartları'!B58)</f>
      </c>
      <c r="C58" s="14">
        <f>IF('Personel Kartları'!C58="","",'Personel Kartları'!C58)</f>
      </c>
      <c r="D58" s="23">
        <f>IF($B58="","",(TODAY()-'Personel Kartları'!E58)/365)</f>
      </c>
      <c r="E58" s="15">
        <f>IF($B58="",0,'Personel Kartları'!F58+'Personel Kartları'!G58+'Personel Kartları'!H58+'Personel Kartları'!I58)</f>
      </c>
      <c r="F58" s="15">
        <f>IF($B58="",0,MIN($E58,Parametreler!$C$11))</f>
      </c>
      <c r="G58" s="16">
        <f>IF($B58="","",$F58*$D58)</f>
      </c>
    </row>
    <row r="59" spans="2:7" x14ac:dyDescent="0.25">
      <c r="B59" s="14">
        <f>IF('Personel Kartları'!B59="","",'Personel Kartları'!B59)</f>
      </c>
      <c r="C59" s="14">
        <f>IF('Personel Kartları'!C59="","",'Personel Kartları'!C59)</f>
      </c>
      <c r="D59" s="23">
        <f>IF($B59="","",(TODAY()-'Personel Kartları'!E59)/365)</f>
      </c>
      <c r="E59" s="15">
        <f>IF($B59="",0,'Personel Kartları'!F59+'Personel Kartları'!G59+'Personel Kartları'!H59+'Personel Kartları'!I59)</f>
      </c>
      <c r="F59" s="15">
        <f>IF($B59="",0,MIN($E59,Parametreler!$C$11))</f>
      </c>
      <c r="G59" s="16">
        <f>IF($B59="","",$F59*$D59)</f>
      </c>
    </row>
    <row r="60" spans="2:7" x14ac:dyDescent="0.25">
      <c r="B60" s="14">
        <f>IF('Personel Kartları'!B60="","",'Personel Kartları'!B60)</f>
      </c>
      <c r="C60" s="14">
        <f>IF('Personel Kartları'!C60="","",'Personel Kartları'!C60)</f>
      </c>
      <c r="D60" s="23">
        <f>IF($B60="","",(TODAY()-'Personel Kartları'!E60)/365)</f>
      </c>
      <c r="E60" s="15">
        <f>IF($B60="",0,'Personel Kartları'!F60+'Personel Kartları'!G60+'Personel Kartları'!H60+'Personel Kartları'!I60)</f>
      </c>
      <c r="F60" s="15">
        <f>IF($B60="",0,MIN($E60,Parametreler!$C$11))</f>
      </c>
      <c r="G60" s="16">
        <f>IF($B60="","",$F60*$D60)</f>
      </c>
    </row>
    <row r="61" spans="2:7" x14ac:dyDescent="0.25">
      <c r="B61" s="14">
        <f>IF('Personel Kartları'!B61="","",'Personel Kartları'!B61)</f>
      </c>
      <c r="C61" s="14">
        <f>IF('Personel Kartları'!C61="","",'Personel Kartları'!C61)</f>
      </c>
      <c r="D61" s="23">
        <f>IF($B61="","",(TODAY()-'Personel Kartları'!E61)/365)</f>
      </c>
      <c r="E61" s="15">
        <f>IF($B61="",0,'Personel Kartları'!F61+'Personel Kartları'!G61+'Personel Kartları'!H61+'Personel Kartları'!I61)</f>
      </c>
      <c r="F61" s="15">
        <f>IF($B61="",0,MIN($E61,Parametreler!$C$11))</f>
      </c>
      <c r="G61" s="16">
        <f>IF($B61="","",$F61*$D61)</f>
      </c>
    </row>
    <row r="62" spans="2:7" x14ac:dyDescent="0.25">
      <c r="B62" s="14">
        <f>IF('Personel Kartları'!B62="","",'Personel Kartları'!B62)</f>
      </c>
      <c r="C62" s="14">
        <f>IF('Personel Kartları'!C62="","",'Personel Kartları'!C62)</f>
      </c>
      <c r="D62" s="23">
        <f>IF($B62="","",(TODAY()-'Personel Kartları'!E62)/365)</f>
      </c>
      <c r="E62" s="15">
        <f>IF($B62="",0,'Personel Kartları'!F62+'Personel Kartları'!G62+'Personel Kartları'!H62+'Personel Kartları'!I62)</f>
      </c>
      <c r="F62" s="15">
        <f>IF($B62="",0,MIN($E62,Parametreler!$C$11))</f>
      </c>
      <c r="G62" s="16">
        <f>IF($B62="","",$F62*$D62)</f>
      </c>
    </row>
    <row r="63" spans="2:7" x14ac:dyDescent="0.25">
      <c r="B63" s="14">
        <f>IF('Personel Kartları'!B63="","",'Personel Kartları'!B63)</f>
      </c>
      <c r="C63" s="14">
        <f>IF('Personel Kartları'!C63="","",'Personel Kartları'!C63)</f>
      </c>
      <c r="D63" s="23">
        <f>IF($B63="","",(TODAY()-'Personel Kartları'!E63)/365)</f>
      </c>
      <c r="E63" s="15">
        <f>IF($B63="",0,'Personel Kartları'!F63+'Personel Kartları'!G63+'Personel Kartları'!H63+'Personel Kartları'!I63)</f>
      </c>
      <c r="F63" s="15">
        <f>IF($B63="",0,MIN($E63,Parametreler!$C$11))</f>
      </c>
      <c r="G63" s="16">
        <f>IF($B63="","",$F63*$D63)</f>
      </c>
    </row>
    <row r="64" spans="2:7" x14ac:dyDescent="0.25">
      <c r="B64" s="14">
        <f>IF('Personel Kartları'!B64="","",'Personel Kartları'!B64)</f>
      </c>
      <c r="C64" s="14">
        <f>IF('Personel Kartları'!C64="","",'Personel Kartları'!C64)</f>
      </c>
      <c r="D64" s="23">
        <f>IF($B64="","",(TODAY()-'Personel Kartları'!E64)/365)</f>
      </c>
      <c r="E64" s="15">
        <f>IF($B64="",0,'Personel Kartları'!F64+'Personel Kartları'!G64+'Personel Kartları'!H64+'Personel Kartları'!I64)</f>
      </c>
      <c r="F64" s="15">
        <f>IF($B64="",0,MIN($E64,Parametreler!$C$11))</f>
      </c>
      <c r="G64" s="16">
        <f>IF($B64="","",$F64*$D64)</f>
      </c>
    </row>
    <row r="65" spans="2:7" x14ac:dyDescent="0.25">
      <c r="B65" s="14">
        <f>IF('Personel Kartları'!B65="","",'Personel Kartları'!B65)</f>
      </c>
      <c r="C65" s="14">
        <f>IF('Personel Kartları'!C65="","",'Personel Kartları'!C65)</f>
      </c>
      <c r="D65" s="23">
        <f>IF($B65="","",(TODAY()-'Personel Kartları'!E65)/365)</f>
      </c>
      <c r="E65" s="15">
        <f>IF($B65="",0,'Personel Kartları'!F65+'Personel Kartları'!G65+'Personel Kartları'!H65+'Personel Kartları'!I65)</f>
      </c>
      <c r="F65" s="15">
        <f>IF($B65="",0,MIN($E65,Parametreler!$C$11))</f>
      </c>
      <c r="G65" s="16">
        <f>IF($B65="","",$F65*$D65)</f>
      </c>
    </row>
    <row r="66" spans="2:7" x14ac:dyDescent="0.25">
      <c r="B66" s="14">
        <f>IF('Personel Kartları'!B66="","",'Personel Kartları'!B66)</f>
      </c>
      <c r="C66" s="14">
        <f>IF('Personel Kartları'!C66="","",'Personel Kartları'!C66)</f>
      </c>
      <c r="D66" s="23">
        <f>IF($B66="","",(TODAY()-'Personel Kartları'!E66)/365)</f>
      </c>
      <c r="E66" s="15">
        <f>IF($B66="",0,'Personel Kartları'!F66+'Personel Kartları'!G66+'Personel Kartları'!H66+'Personel Kartları'!I66)</f>
      </c>
      <c r="F66" s="15">
        <f>IF($B66="",0,MIN($E66,Parametreler!$C$11))</f>
      </c>
      <c r="G66" s="16">
        <f>IF($B66="","",$F66*$D66)</f>
      </c>
    </row>
    <row r="67" spans="2:7" x14ac:dyDescent="0.25">
      <c r="B67" s="14">
        <f>IF('Personel Kartları'!B67="","",'Personel Kartları'!B67)</f>
      </c>
      <c r="C67" s="14">
        <f>IF('Personel Kartları'!C67="","",'Personel Kartları'!C67)</f>
      </c>
      <c r="D67" s="23">
        <f>IF($B67="","",(TODAY()-'Personel Kartları'!E67)/365)</f>
      </c>
      <c r="E67" s="15">
        <f>IF($B67="",0,'Personel Kartları'!F67+'Personel Kartları'!G67+'Personel Kartları'!H67+'Personel Kartları'!I67)</f>
      </c>
      <c r="F67" s="15">
        <f>IF($B67="",0,MIN($E67,Parametreler!$C$11))</f>
      </c>
      <c r="G67" s="16">
        <f>IF($B67="","",$F67*$D67)</f>
      </c>
    </row>
    <row r="68" spans="2:7" x14ac:dyDescent="0.25">
      <c r="B68" s="14">
        <f>IF('Personel Kartları'!B68="","",'Personel Kartları'!B68)</f>
      </c>
      <c r="C68" s="14">
        <f>IF('Personel Kartları'!C68="","",'Personel Kartları'!C68)</f>
      </c>
      <c r="D68" s="23">
        <f>IF($B68="","",(TODAY()-'Personel Kartları'!E68)/365)</f>
      </c>
      <c r="E68" s="15">
        <f>IF($B68="",0,'Personel Kartları'!F68+'Personel Kartları'!G68+'Personel Kartları'!H68+'Personel Kartları'!I68)</f>
      </c>
      <c r="F68" s="15">
        <f>IF($B68="",0,MIN($E68,Parametreler!$C$11))</f>
      </c>
      <c r="G68" s="16">
        <f>IF($B68="","",$F68*$D68)</f>
      </c>
    </row>
    <row r="69" spans="2:7" x14ac:dyDescent="0.25">
      <c r="B69" s="14">
        <f>IF('Personel Kartları'!B69="","",'Personel Kartları'!B69)</f>
      </c>
      <c r="C69" s="14">
        <f>IF('Personel Kartları'!C69="","",'Personel Kartları'!C69)</f>
      </c>
      <c r="D69" s="23">
        <f>IF($B69="","",(TODAY()-'Personel Kartları'!E69)/365)</f>
      </c>
      <c r="E69" s="15">
        <f>IF($B69="",0,'Personel Kartları'!F69+'Personel Kartları'!G69+'Personel Kartları'!H69+'Personel Kartları'!I69)</f>
      </c>
      <c r="F69" s="15">
        <f>IF($B69="",0,MIN($E69,Parametreler!$C$11))</f>
      </c>
      <c r="G69" s="16">
        <f>IF($B69="","",$F69*$D69)</f>
      </c>
    </row>
    <row r="70" spans="2:7" x14ac:dyDescent="0.25">
      <c r="B70" s="14">
        <f>IF('Personel Kartları'!B70="","",'Personel Kartları'!B70)</f>
      </c>
      <c r="C70" s="14">
        <f>IF('Personel Kartları'!C70="","",'Personel Kartları'!C70)</f>
      </c>
      <c r="D70" s="23">
        <f>IF($B70="","",(TODAY()-'Personel Kartları'!E70)/365)</f>
      </c>
      <c r="E70" s="15">
        <f>IF($B70="",0,'Personel Kartları'!F70+'Personel Kartları'!G70+'Personel Kartları'!H70+'Personel Kartları'!I70)</f>
      </c>
      <c r="F70" s="15">
        <f>IF($B70="",0,MIN($E70,Parametreler!$C$11))</f>
      </c>
      <c r="G70" s="16">
        <f>IF($B70="","",$F70*$D70)</f>
      </c>
    </row>
    <row r="71" spans="2:7" x14ac:dyDescent="0.25">
      <c r="B71" s="14">
        <f>IF('Personel Kartları'!B71="","",'Personel Kartları'!B71)</f>
      </c>
      <c r="C71" s="14">
        <f>IF('Personel Kartları'!C71="","",'Personel Kartları'!C71)</f>
      </c>
      <c r="D71" s="23">
        <f>IF($B71="","",(TODAY()-'Personel Kartları'!E71)/365)</f>
      </c>
      <c r="E71" s="15">
        <f>IF($B71="",0,'Personel Kartları'!F71+'Personel Kartları'!G71+'Personel Kartları'!H71+'Personel Kartları'!I71)</f>
      </c>
      <c r="F71" s="15">
        <f>IF($B71="",0,MIN($E71,Parametreler!$C$11))</f>
      </c>
      <c r="G71" s="16">
        <f>IF($B71="","",$F71*$D71)</f>
      </c>
    </row>
    <row r="72" spans="2:7" x14ac:dyDescent="0.25">
      <c r="B72" s="14">
        <f>IF('Personel Kartları'!B72="","",'Personel Kartları'!B72)</f>
      </c>
      <c r="C72" s="14">
        <f>IF('Personel Kartları'!C72="","",'Personel Kartları'!C72)</f>
      </c>
      <c r="D72" s="23">
        <f>IF($B72="","",(TODAY()-'Personel Kartları'!E72)/365)</f>
      </c>
      <c r="E72" s="15">
        <f>IF($B72="",0,'Personel Kartları'!F72+'Personel Kartları'!G72+'Personel Kartları'!H72+'Personel Kartları'!I72)</f>
      </c>
      <c r="F72" s="15">
        <f>IF($B72="",0,MIN($E72,Parametreler!$C$11))</f>
      </c>
      <c r="G72" s="16">
        <f>IF($B72="","",$F72*$D72)</f>
      </c>
    </row>
    <row r="73" spans="2:7" x14ac:dyDescent="0.25">
      <c r="B73" s="14">
        <f>IF('Personel Kartları'!B73="","",'Personel Kartları'!B73)</f>
      </c>
      <c r="C73" s="14">
        <f>IF('Personel Kartları'!C73="","",'Personel Kartları'!C73)</f>
      </c>
      <c r="D73" s="23">
        <f>IF($B73="","",(TODAY()-'Personel Kartları'!E73)/365)</f>
      </c>
      <c r="E73" s="15">
        <f>IF($B73="",0,'Personel Kartları'!F73+'Personel Kartları'!G73+'Personel Kartları'!H73+'Personel Kartları'!I73)</f>
      </c>
      <c r="F73" s="15">
        <f>IF($B73="",0,MIN($E73,Parametreler!$C$11))</f>
      </c>
      <c r="G73" s="16">
        <f>IF($B73="","",$F73*$D73)</f>
      </c>
    </row>
    <row r="74" spans="2:7" x14ac:dyDescent="0.25">
      <c r="B74" s="14">
        <f>IF('Personel Kartları'!B74="","",'Personel Kartları'!B74)</f>
      </c>
      <c r="C74" s="14">
        <f>IF('Personel Kartları'!C74="","",'Personel Kartları'!C74)</f>
      </c>
      <c r="D74" s="23">
        <f>IF($B74="","",(TODAY()-'Personel Kartları'!E74)/365)</f>
      </c>
      <c r="E74" s="15">
        <f>IF($B74="",0,'Personel Kartları'!F74+'Personel Kartları'!G74+'Personel Kartları'!H74+'Personel Kartları'!I74)</f>
      </c>
      <c r="F74" s="15">
        <f>IF($B74="",0,MIN($E74,Parametreler!$C$11))</f>
      </c>
      <c r="G74" s="16">
        <f>IF($B74="","",$F74*$D74)</f>
      </c>
    </row>
    <row r="75" spans="2:7" x14ac:dyDescent="0.25">
      <c r="B75" s="14">
        <f>IF('Personel Kartları'!B75="","",'Personel Kartları'!B75)</f>
      </c>
      <c r="C75" s="14">
        <f>IF('Personel Kartları'!C75="","",'Personel Kartları'!C75)</f>
      </c>
      <c r="D75" s="23">
        <f>IF($B75="","",(TODAY()-'Personel Kartları'!E75)/365)</f>
      </c>
      <c r="E75" s="15">
        <f>IF($B75="",0,'Personel Kartları'!F75+'Personel Kartları'!G75+'Personel Kartları'!H75+'Personel Kartları'!I75)</f>
      </c>
      <c r="F75" s="15">
        <f>IF($B75="",0,MIN($E75,Parametreler!$C$11))</f>
      </c>
      <c r="G75" s="16">
        <f>IF($B75="","",$F75*$D75)</f>
      </c>
    </row>
    <row r="76" spans="2:7" x14ac:dyDescent="0.25">
      <c r="B76" s="14">
        <f>IF('Personel Kartları'!B76="","",'Personel Kartları'!B76)</f>
      </c>
      <c r="C76" s="14">
        <f>IF('Personel Kartları'!C76="","",'Personel Kartları'!C76)</f>
      </c>
      <c r="D76" s="23">
        <f>IF($B76="","",(TODAY()-'Personel Kartları'!E76)/365)</f>
      </c>
      <c r="E76" s="15">
        <f>IF($B76="",0,'Personel Kartları'!F76+'Personel Kartları'!G76+'Personel Kartları'!H76+'Personel Kartları'!I76)</f>
      </c>
      <c r="F76" s="15">
        <f>IF($B76="",0,MIN($E76,Parametreler!$C$11))</f>
      </c>
      <c r="G76" s="16">
        <f>IF($B76="","",$F76*$D76)</f>
      </c>
    </row>
    <row r="77" spans="2:7" x14ac:dyDescent="0.25">
      <c r="B77" s="14">
        <f>IF('Personel Kartları'!B77="","",'Personel Kartları'!B77)</f>
      </c>
      <c r="C77" s="14">
        <f>IF('Personel Kartları'!C77="","",'Personel Kartları'!C77)</f>
      </c>
      <c r="D77" s="23">
        <f>IF($B77="","",(TODAY()-'Personel Kartları'!E77)/365)</f>
      </c>
      <c r="E77" s="15">
        <f>IF($B77="",0,'Personel Kartları'!F77+'Personel Kartları'!G77+'Personel Kartları'!H77+'Personel Kartları'!I77)</f>
      </c>
      <c r="F77" s="15">
        <f>IF($B77="",0,MIN($E77,Parametreler!$C$11))</f>
      </c>
      <c r="G77" s="16">
        <f>IF($B77="","",$F77*$D77)</f>
      </c>
    </row>
    <row r="78" spans="2:7" x14ac:dyDescent="0.25">
      <c r="B78" s="14">
        <f>IF('Personel Kartları'!B78="","",'Personel Kartları'!B78)</f>
      </c>
      <c r="C78" s="14">
        <f>IF('Personel Kartları'!C78="","",'Personel Kartları'!C78)</f>
      </c>
      <c r="D78" s="23">
        <f>IF($B78="","",(TODAY()-'Personel Kartları'!E78)/365)</f>
      </c>
      <c r="E78" s="15">
        <f>IF($B78="",0,'Personel Kartları'!F78+'Personel Kartları'!G78+'Personel Kartları'!H78+'Personel Kartları'!I78)</f>
      </c>
      <c r="F78" s="15">
        <f>IF($B78="",0,MIN($E78,Parametreler!$C$11))</f>
      </c>
      <c r="G78" s="16">
        <f>IF($B78="","",$F78*$D78)</f>
      </c>
    </row>
    <row r="79" spans="2:7" x14ac:dyDescent="0.25">
      <c r="B79" s="14">
        <f>IF('Personel Kartları'!B79="","",'Personel Kartları'!B79)</f>
      </c>
      <c r="C79" s="14">
        <f>IF('Personel Kartları'!C79="","",'Personel Kartları'!C79)</f>
      </c>
      <c r="D79" s="23">
        <f>IF($B79="","",(TODAY()-'Personel Kartları'!E79)/365)</f>
      </c>
      <c r="E79" s="15">
        <f>IF($B79="",0,'Personel Kartları'!F79+'Personel Kartları'!G79+'Personel Kartları'!H79+'Personel Kartları'!I79)</f>
      </c>
      <c r="F79" s="15">
        <f>IF($B79="",0,MIN($E79,Parametreler!$C$11))</f>
      </c>
      <c r="G79" s="16">
        <f>IF($B79="","",$F79*$D79)</f>
      </c>
    </row>
    <row r="80" spans="2:7" x14ac:dyDescent="0.25">
      <c r="B80" s="14">
        <f>IF('Personel Kartları'!B80="","",'Personel Kartları'!B80)</f>
      </c>
      <c r="C80" s="14">
        <f>IF('Personel Kartları'!C80="","",'Personel Kartları'!C80)</f>
      </c>
      <c r="D80" s="23">
        <f>IF($B80="","",(TODAY()-'Personel Kartları'!E80)/365)</f>
      </c>
      <c r="E80" s="15">
        <f>IF($B80="",0,'Personel Kartları'!F80+'Personel Kartları'!G80+'Personel Kartları'!H80+'Personel Kartları'!I80)</f>
      </c>
      <c r="F80" s="15">
        <f>IF($B80="",0,MIN($E80,Parametreler!$C$11))</f>
      </c>
      <c r="G80" s="16">
        <f>IF($B80="","",$F80*$D80)</f>
      </c>
    </row>
    <row r="81" spans="2:7" x14ac:dyDescent="0.25">
      <c r="B81" s="14">
        <f>IF('Personel Kartları'!B81="","",'Personel Kartları'!B81)</f>
      </c>
      <c r="C81" s="14">
        <f>IF('Personel Kartları'!C81="","",'Personel Kartları'!C81)</f>
      </c>
      <c r="D81" s="23">
        <f>IF($B81="","",(TODAY()-'Personel Kartları'!E81)/365)</f>
      </c>
      <c r="E81" s="15">
        <f>IF($B81="",0,'Personel Kartları'!F81+'Personel Kartları'!G81+'Personel Kartları'!H81+'Personel Kartları'!I81)</f>
      </c>
      <c r="F81" s="15">
        <f>IF($B81="",0,MIN($E81,Parametreler!$C$11))</f>
      </c>
      <c r="G81" s="16">
        <f>IF($B81="","",$F81*$D81)</f>
      </c>
    </row>
    <row r="82" spans="2:7" x14ac:dyDescent="0.25">
      <c r="B82" s="14">
        <f>IF('Personel Kartları'!B82="","",'Personel Kartları'!B82)</f>
      </c>
      <c r="C82" s="14">
        <f>IF('Personel Kartları'!C82="","",'Personel Kartları'!C82)</f>
      </c>
      <c r="D82" s="23">
        <f>IF($B82="","",(TODAY()-'Personel Kartları'!E82)/365)</f>
      </c>
      <c r="E82" s="15">
        <f>IF($B82="",0,'Personel Kartları'!F82+'Personel Kartları'!G82+'Personel Kartları'!H82+'Personel Kartları'!I82)</f>
      </c>
      <c r="F82" s="15">
        <f>IF($B82="",0,MIN($E82,Parametreler!$C$11))</f>
      </c>
      <c r="G82" s="16">
        <f>IF($B82="","",$F82*$D82)</f>
      </c>
    </row>
    <row r="83" spans="2:7" x14ac:dyDescent="0.25">
      <c r="B83" s="14">
        <f>IF('Personel Kartları'!B83="","",'Personel Kartları'!B83)</f>
      </c>
      <c r="C83" s="14">
        <f>IF('Personel Kartları'!C83="","",'Personel Kartları'!C83)</f>
      </c>
      <c r="D83" s="23">
        <f>IF($B83="","",(TODAY()-'Personel Kartları'!E83)/365)</f>
      </c>
      <c r="E83" s="15">
        <f>IF($B83="",0,'Personel Kartları'!F83+'Personel Kartları'!G83+'Personel Kartları'!H83+'Personel Kartları'!I83)</f>
      </c>
      <c r="F83" s="15">
        <f>IF($B83="",0,MIN($E83,Parametreler!$C$11))</f>
      </c>
      <c r="G83" s="16">
        <f>IF($B83="","",$F83*$D83)</f>
      </c>
    </row>
    <row r="84" spans="2:7" x14ac:dyDescent="0.25">
      <c r="B84" s="14">
        <f>IF('Personel Kartları'!B84="","",'Personel Kartları'!B84)</f>
      </c>
      <c r="C84" s="14">
        <f>IF('Personel Kartları'!C84="","",'Personel Kartları'!C84)</f>
      </c>
      <c r="D84" s="23">
        <f>IF($B84="","",(TODAY()-'Personel Kartları'!E84)/365)</f>
      </c>
      <c r="E84" s="15">
        <f>IF($B84="",0,'Personel Kartları'!F84+'Personel Kartları'!G84+'Personel Kartları'!H84+'Personel Kartları'!I84)</f>
      </c>
      <c r="F84" s="15">
        <f>IF($B84="",0,MIN($E84,Parametreler!$C$11))</f>
      </c>
      <c r="G84" s="16">
        <f>IF($B84="","",$F84*$D84)</f>
      </c>
    </row>
    <row r="85" spans="2:7" x14ac:dyDescent="0.25">
      <c r="B85" s="14">
        <f>IF('Personel Kartları'!B85="","",'Personel Kartları'!B85)</f>
      </c>
      <c r="C85" s="14">
        <f>IF('Personel Kartları'!C85="","",'Personel Kartları'!C85)</f>
      </c>
      <c r="D85" s="23">
        <f>IF($B85="","",(TODAY()-'Personel Kartları'!E85)/365)</f>
      </c>
      <c r="E85" s="15">
        <f>IF($B85="",0,'Personel Kartları'!F85+'Personel Kartları'!G85+'Personel Kartları'!H85+'Personel Kartları'!I85)</f>
      </c>
      <c r="F85" s="15">
        <f>IF($B85="",0,MIN($E85,Parametreler!$C$11))</f>
      </c>
      <c r="G85" s="16">
        <f>IF($B85="","",$F85*$D85)</f>
      </c>
    </row>
    <row r="86" spans="2:7" x14ac:dyDescent="0.25">
      <c r="B86" s="14">
        <f>IF('Personel Kartları'!B86="","",'Personel Kartları'!B86)</f>
      </c>
      <c r="C86" s="14">
        <f>IF('Personel Kartları'!C86="","",'Personel Kartları'!C86)</f>
      </c>
      <c r="D86" s="23">
        <f>IF($B86="","",(TODAY()-'Personel Kartları'!E86)/365)</f>
      </c>
      <c r="E86" s="15">
        <f>IF($B86="",0,'Personel Kartları'!F86+'Personel Kartları'!G86+'Personel Kartları'!H86+'Personel Kartları'!I86)</f>
      </c>
      <c r="F86" s="15">
        <f>IF($B86="",0,MIN($E86,Parametreler!$C$11))</f>
      </c>
      <c r="G86" s="16">
        <f>IF($B86="","",$F86*$D86)</f>
      </c>
    </row>
    <row r="87" spans="2:7" x14ac:dyDescent="0.25">
      <c r="B87" s="14">
        <f>IF('Personel Kartları'!B87="","",'Personel Kartları'!B87)</f>
      </c>
      <c r="C87" s="14">
        <f>IF('Personel Kartları'!C87="","",'Personel Kartları'!C87)</f>
      </c>
      <c r="D87" s="23">
        <f>IF($B87="","",(TODAY()-'Personel Kartları'!E87)/365)</f>
      </c>
      <c r="E87" s="15">
        <f>IF($B87="",0,'Personel Kartları'!F87+'Personel Kartları'!G87+'Personel Kartları'!H87+'Personel Kartları'!I87)</f>
      </c>
      <c r="F87" s="15">
        <f>IF($B87="",0,MIN($E87,Parametreler!$C$11))</f>
      </c>
      <c r="G87" s="16">
        <f>IF($B87="","",$F87*$D87)</f>
      </c>
    </row>
    <row r="88" spans="2:7" x14ac:dyDescent="0.25">
      <c r="B88" s="14">
        <f>IF('Personel Kartları'!B88="","",'Personel Kartları'!B88)</f>
      </c>
      <c r="C88" s="14">
        <f>IF('Personel Kartları'!C88="","",'Personel Kartları'!C88)</f>
      </c>
      <c r="D88" s="23">
        <f>IF($B88="","",(TODAY()-'Personel Kartları'!E88)/365)</f>
      </c>
      <c r="E88" s="15">
        <f>IF($B88="",0,'Personel Kartları'!F88+'Personel Kartları'!G88+'Personel Kartları'!H88+'Personel Kartları'!I88)</f>
      </c>
      <c r="F88" s="15">
        <f>IF($B88="",0,MIN($E88,Parametreler!$C$11))</f>
      </c>
      <c r="G88" s="16">
        <f>IF($B88="","",$F88*$D88)</f>
      </c>
    </row>
    <row r="89" spans="2:7" x14ac:dyDescent="0.25">
      <c r="B89" s="14">
        <f>IF('Personel Kartları'!B89="","",'Personel Kartları'!B89)</f>
      </c>
      <c r="C89" s="14">
        <f>IF('Personel Kartları'!C89="","",'Personel Kartları'!C89)</f>
      </c>
      <c r="D89" s="23">
        <f>IF($B89="","",(TODAY()-'Personel Kartları'!E89)/365)</f>
      </c>
      <c r="E89" s="15">
        <f>IF($B89="",0,'Personel Kartları'!F89+'Personel Kartları'!G89+'Personel Kartları'!H89+'Personel Kartları'!I89)</f>
      </c>
      <c r="F89" s="15">
        <f>IF($B89="",0,MIN($E89,Parametreler!$C$11))</f>
      </c>
      <c r="G89" s="16">
        <f>IF($B89="","",$F89*$D89)</f>
      </c>
    </row>
    <row r="90" spans="2:7" x14ac:dyDescent="0.25">
      <c r="B90" s="14">
        <f>IF('Personel Kartları'!B90="","",'Personel Kartları'!B90)</f>
      </c>
      <c r="C90" s="14">
        <f>IF('Personel Kartları'!C90="","",'Personel Kartları'!C90)</f>
      </c>
      <c r="D90" s="23">
        <f>IF($B90="","",(TODAY()-'Personel Kartları'!E90)/365)</f>
      </c>
      <c r="E90" s="15">
        <f>IF($B90="",0,'Personel Kartları'!F90+'Personel Kartları'!G90+'Personel Kartları'!H90+'Personel Kartları'!I90)</f>
      </c>
      <c r="F90" s="15">
        <f>IF($B90="",0,MIN($E90,Parametreler!$C$11))</f>
      </c>
      <c r="G90" s="16">
        <f>IF($B90="","",$F90*$D90)</f>
      </c>
    </row>
    <row r="91" spans="2:7" x14ac:dyDescent="0.25">
      <c r="B91" s="14">
        <f>IF('Personel Kartları'!B91="","",'Personel Kartları'!B91)</f>
      </c>
      <c r="C91" s="14">
        <f>IF('Personel Kartları'!C91="","",'Personel Kartları'!C91)</f>
      </c>
      <c r="D91" s="23">
        <f>IF($B91="","",(TODAY()-'Personel Kartları'!E91)/365)</f>
      </c>
      <c r="E91" s="15">
        <f>IF($B91="",0,'Personel Kartları'!F91+'Personel Kartları'!G91+'Personel Kartları'!H91+'Personel Kartları'!I91)</f>
      </c>
      <c r="F91" s="15">
        <f>IF($B91="",0,MIN($E91,Parametreler!$C$11))</f>
      </c>
      <c r="G91" s="16">
        <f>IF($B91="","",$F91*$D91)</f>
      </c>
    </row>
    <row r="92" spans="2:7" x14ac:dyDescent="0.25">
      <c r="B92" s="14">
        <f>IF('Personel Kartları'!B92="","",'Personel Kartları'!B92)</f>
      </c>
      <c r="C92" s="14">
        <f>IF('Personel Kartları'!C92="","",'Personel Kartları'!C92)</f>
      </c>
      <c r="D92" s="23">
        <f>IF($B92="","",(TODAY()-'Personel Kartları'!E92)/365)</f>
      </c>
      <c r="E92" s="15">
        <f>IF($B92="",0,'Personel Kartları'!F92+'Personel Kartları'!G92+'Personel Kartları'!H92+'Personel Kartları'!I92)</f>
      </c>
      <c r="F92" s="15">
        <f>IF($B92="",0,MIN($E92,Parametreler!$C$11))</f>
      </c>
      <c r="G92" s="16">
        <f>IF($B92="","",$F92*$D92)</f>
      </c>
    </row>
    <row r="93" spans="2:7" x14ac:dyDescent="0.25">
      <c r="B93" s="14">
        <f>IF('Personel Kartları'!B93="","",'Personel Kartları'!B93)</f>
      </c>
      <c r="C93" s="14">
        <f>IF('Personel Kartları'!C93="","",'Personel Kartları'!C93)</f>
      </c>
      <c r="D93" s="23">
        <f>IF($B93="","",(TODAY()-'Personel Kartları'!E93)/365)</f>
      </c>
      <c r="E93" s="15">
        <f>IF($B93="",0,'Personel Kartları'!F93+'Personel Kartları'!G93+'Personel Kartları'!H93+'Personel Kartları'!I93)</f>
      </c>
      <c r="F93" s="15">
        <f>IF($B93="",0,MIN($E93,Parametreler!$C$11))</f>
      </c>
      <c r="G93" s="16">
        <f>IF($B93="","",$F93*$D93)</f>
      </c>
    </row>
    <row r="94" spans="2:7" x14ac:dyDescent="0.25">
      <c r="B94" s="14">
        <f>IF('Personel Kartları'!B94="","",'Personel Kartları'!B94)</f>
      </c>
      <c r="C94" s="14">
        <f>IF('Personel Kartları'!C94="","",'Personel Kartları'!C94)</f>
      </c>
      <c r="D94" s="23">
        <f>IF($B94="","",(TODAY()-'Personel Kartları'!E94)/365)</f>
      </c>
      <c r="E94" s="15">
        <f>IF($B94="",0,'Personel Kartları'!F94+'Personel Kartları'!G94+'Personel Kartları'!H94+'Personel Kartları'!I94)</f>
      </c>
      <c r="F94" s="15">
        <f>IF($B94="",0,MIN($E94,Parametreler!$C$11))</f>
      </c>
      <c r="G94" s="16">
        <f>IF($B94="","",$F94*$D94)</f>
      </c>
    </row>
    <row r="95" spans="2:7" x14ac:dyDescent="0.25">
      <c r="B95" s="14">
        <f>IF('Personel Kartları'!B95="","",'Personel Kartları'!B95)</f>
      </c>
      <c r="C95" s="14">
        <f>IF('Personel Kartları'!C95="","",'Personel Kartları'!C95)</f>
      </c>
      <c r="D95" s="23">
        <f>IF($B95="","",(TODAY()-'Personel Kartları'!E95)/365)</f>
      </c>
      <c r="E95" s="15">
        <f>IF($B95="",0,'Personel Kartları'!F95+'Personel Kartları'!G95+'Personel Kartları'!H95+'Personel Kartları'!I95)</f>
      </c>
      <c r="F95" s="15">
        <f>IF($B95="",0,MIN($E95,Parametreler!$C$11))</f>
      </c>
      <c r="G95" s="16">
        <f>IF($B95="","",$F95*$D95)</f>
      </c>
    </row>
    <row r="96" spans="2:7" x14ac:dyDescent="0.25">
      <c r="B96" s="14">
        <f>IF('Personel Kartları'!B96="","",'Personel Kartları'!B96)</f>
      </c>
      <c r="C96" s="14">
        <f>IF('Personel Kartları'!C96="","",'Personel Kartları'!C96)</f>
      </c>
      <c r="D96" s="23">
        <f>IF($B96="","",(TODAY()-'Personel Kartları'!E96)/365)</f>
      </c>
      <c r="E96" s="15">
        <f>IF($B96="",0,'Personel Kartları'!F96+'Personel Kartları'!G96+'Personel Kartları'!H96+'Personel Kartları'!I96)</f>
      </c>
      <c r="F96" s="15">
        <f>IF($B96="",0,MIN($E96,Parametreler!$C$11))</f>
      </c>
      <c r="G96" s="16">
        <f>IF($B96="","",$F96*$D96)</f>
      </c>
    </row>
    <row r="97" spans="2:7" x14ac:dyDescent="0.25">
      <c r="B97" s="14">
        <f>IF('Personel Kartları'!B97="","",'Personel Kartları'!B97)</f>
      </c>
      <c r="C97" s="14">
        <f>IF('Personel Kartları'!C97="","",'Personel Kartları'!C97)</f>
      </c>
      <c r="D97" s="23">
        <f>IF($B97="","",(TODAY()-'Personel Kartları'!E97)/365)</f>
      </c>
      <c r="E97" s="15">
        <f>IF($B97="",0,'Personel Kartları'!F97+'Personel Kartları'!G97+'Personel Kartları'!H97+'Personel Kartları'!I97)</f>
      </c>
      <c r="F97" s="15">
        <f>IF($B97="",0,MIN($E97,Parametreler!$C$11))</f>
      </c>
      <c r="G97" s="16">
        <f>IF($B97="","",$F97*$D97)</f>
      </c>
    </row>
    <row r="98" spans="2:7" x14ac:dyDescent="0.25">
      <c r="B98" s="14">
        <f>IF('Personel Kartları'!B98="","",'Personel Kartları'!B98)</f>
      </c>
      <c r="C98" s="14">
        <f>IF('Personel Kartları'!C98="","",'Personel Kartları'!C98)</f>
      </c>
      <c r="D98" s="23">
        <f>IF($B98="","",(TODAY()-'Personel Kartları'!E98)/365)</f>
      </c>
      <c r="E98" s="15">
        <f>IF($B98="",0,'Personel Kartları'!F98+'Personel Kartları'!G98+'Personel Kartları'!H98+'Personel Kartları'!I98)</f>
      </c>
      <c r="F98" s="15">
        <f>IF($B98="",0,MIN($E98,Parametreler!$C$11))</f>
      </c>
      <c r="G98" s="16">
        <f>IF($B98="","",$F98*$D98)</f>
      </c>
    </row>
    <row r="99" spans="2:7" x14ac:dyDescent="0.25">
      <c r="B99" s="14">
        <f>IF('Personel Kartları'!B99="","",'Personel Kartları'!B99)</f>
      </c>
      <c r="C99" s="14">
        <f>IF('Personel Kartları'!C99="","",'Personel Kartları'!C99)</f>
      </c>
      <c r="D99" s="23">
        <f>IF($B99="","",(TODAY()-'Personel Kartları'!E99)/365)</f>
      </c>
      <c r="E99" s="15">
        <f>IF($B99="",0,'Personel Kartları'!F99+'Personel Kartları'!G99+'Personel Kartları'!H99+'Personel Kartları'!I99)</f>
      </c>
      <c r="F99" s="15">
        <f>IF($B99="",0,MIN($E99,Parametreler!$C$11))</f>
      </c>
      <c r="G99" s="16">
        <f>IF($B99="","",$F99*$D99)</f>
      </c>
    </row>
    <row r="100" spans="2:7" x14ac:dyDescent="0.25">
      <c r="B100" s="14">
        <f>IF('Personel Kartları'!B100="","",'Personel Kartları'!B100)</f>
      </c>
      <c r="C100" s="14">
        <f>IF('Personel Kartları'!C100="","",'Personel Kartları'!C100)</f>
      </c>
      <c r="D100" s="23">
        <f>IF($B100="","",(TODAY()-'Personel Kartları'!E100)/365)</f>
      </c>
      <c r="E100" s="15">
        <f>IF($B100="",0,'Personel Kartları'!F100+'Personel Kartları'!G100+'Personel Kartları'!H100+'Personel Kartları'!I100)</f>
      </c>
      <c r="F100" s="15">
        <f>IF($B100="",0,MIN($E100,Parametreler!$C$11))</f>
      </c>
      <c r="G100" s="16">
        <f>IF($B100="","",$F100*$D100)</f>
      </c>
    </row>
    <row r="101" spans="2:7" x14ac:dyDescent="0.25">
      <c r="B101" s="14">
        <f>IF('Personel Kartları'!B101="","",'Personel Kartları'!B101)</f>
      </c>
      <c r="C101" s="14">
        <f>IF('Personel Kartları'!C101="","",'Personel Kartları'!C101)</f>
      </c>
      <c r="D101" s="23">
        <f>IF($B101="","",(TODAY()-'Personel Kartları'!E101)/365)</f>
      </c>
      <c r="E101" s="15">
        <f>IF($B101="",0,'Personel Kartları'!F101+'Personel Kartları'!G101+'Personel Kartları'!H101+'Personel Kartları'!I101)</f>
      </c>
      <c r="F101" s="15">
        <f>IF($B101="",0,MIN($E101,Parametreler!$C$11))</f>
      </c>
      <c r="G101" s="16">
        <f>IF($B101="","",$F101*$D101)</f>
      </c>
    </row>
    <row r="102" spans="2:7" x14ac:dyDescent="0.25">
      <c r="B102" s="14">
        <f>IF('Personel Kartları'!B102="","",'Personel Kartları'!B102)</f>
      </c>
      <c r="C102" s="14">
        <f>IF('Personel Kartları'!C102="","",'Personel Kartları'!C102)</f>
      </c>
      <c r="D102" s="23">
        <f>IF($B102="","",(TODAY()-'Personel Kartları'!E102)/365)</f>
      </c>
      <c r="E102" s="15">
        <f>IF($B102="",0,'Personel Kartları'!F102+'Personel Kartları'!G102+'Personel Kartları'!H102+'Personel Kartları'!I102)</f>
      </c>
      <c r="F102" s="15">
        <f>IF($B102="",0,MIN($E102,Parametreler!$C$11))</f>
      </c>
      <c r="G102" s="16">
        <f>IF($B102="","",$F102*$D102)</f>
      </c>
    </row>
    <row r="103" spans="2:7" x14ac:dyDescent="0.25">
      <c r="B103" s="14">
        <f>IF('Personel Kartları'!B103="","",'Personel Kartları'!B103)</f>
      </c>
      <c r="C103" s="14">
        <f>IF('Personel Kartları'!C103="","",'Personel Kartları'!C103)</f>
      </c>
      <c r="D103" s="23">
        <f>IF($B103="","",(TODAY()-'Personel Kartları'!E103)/365)</f>
      </c>
      <c r="E103" s="15">
        <f>IF($B103="",0,'Personel Kartları'!F103+'Personel Kartları'!G103+'Personel Kartları'!H103+'Personel Kartları'!I103)</f>
      </c>
      <c r="F103" s="15">
        <f>IF($B103="",0,MIN($E103,Parametreler!$C$11))</f>
      </c>
      <c r="G103" s="16">
        <f>IF($B103="","",$F103*$D103)</f>
      </c>
    </row>
    <row r="104" spans="2:7" x14ac:dyDescent="0.25">
      <c r="B104" s="14">
        <f>IF('Personel Kartları'!B104="","",'Personel Kartları'!B104)</f>
      </c>
      <c r="C104" s="14">
        <f>IF('Personel Kartları'!C104="","",'Personel Kartları'!C104)</f>
      </c>
      <c r="D104" s="23">
        <f>IF($B104="","",(TODAY()-'Personel Kartları'!E104)/365)</f>
      </c>
      <c r="E104" s="15">
        <f>IF($B104="",0,'Personel Kartları'!F104+'Personel Kartları'!G104+'Personel Kartları'!H104+'Personel Kartları'!I104)</f>
      </c>
      <c r="F104" s="15">
        <f>IF($B104="",0,MIN($E104,Parametreler!$C$11))</f>
      </c>
      <c r="G104" s="16">
        <f>IF($B104="","",$F104*$D104)</f>
      </c>
    </row>
    <row r="106" spans="3:7" x14ac:dyDescent="0.25">
      <c r="C106" s="17" t="s">
        <v>79</v>
      </c>
      <c r="G106" s="24">
        <f>SUM(G5:G104)</f>
      </c>
    </row>
    <row r="108" spans="2:2" x14ac:dyDescent="0.25">
      <c r="B108" s="25" t="s">
        <v>80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Nasıl Kullanılır</vt:lpstr>
      <vt:lpstr>Parametreler</vt:lpstr>
      <vt:lpstr>Personel Kartları</vt:lpstr>
      <vt:lpstr>Aylık Bordro</vt:lpstr>
      <vt:lpstr>İzin Takibi</vt:lpstr>
      <vt:lpstr>Kıdem Yükü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MiniHesap</dc:creator>
  <dc:title/>
  <dc:subject/>
  <dc:description/>
  <cp:keywords/>
  <cp:category/>
  <cp:lastModifiedBy>Unknown</cp:lastModifiedBy>
  <dcterms:created xsi:type="dcterms:W3CDTF">2026-09-11T06:45:26Z</dcterms:created>
  <dcterms:modified xsi:type="dcterms:W3CDTF">2026-09-11T06:45:26Z</dcterms:modified>
</cp:coreProperties>
</file>