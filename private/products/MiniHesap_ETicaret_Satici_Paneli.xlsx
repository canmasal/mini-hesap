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sıl Kullanılır" state="visible" r:id="rId4"/>
    <sheet sheetId="2" name="Pazaryeri Kartları" state="visible" r:id="rId5"/>
    <sheet sheetId="3" name="Ürün Kartları" state="visible" r:id="rId6"/>
    <sheet sheetId="4" name="Satışlar" state="visible" r:id="rId7"/>
    <sheet sheetId="5" name="Ürün Kârlılık" state="visible" r:id="rId8"/>
    <sheet sheetId="6" name="Dashboard" state="visible" r:id="rId9"/>
  </sheets>
  <definedNames>
    <definedName name="UrunKodlari">'Ürün Kartları'!$B$5:$B$154</definedName>
    <definedName name="Pazaryerleri">'Pazaryeri Kartları'!$B$5:$B$24</definedName>
  </definedNames>
  <calcPr calcId="171027"/>
</workbook>
</file>

<file path=xl/sharedStrings.xml><?xml version="1.0" encoding="utf-8"?>
<sst xmlns="http://schemas.openxmlformats.org/spreadsheetml/2006/main" count="100" uniqueCount="80">
  <si>
    <t>Nasıl Kullanılır?</t>
  </si>
  <si>
    <t>MiniHesap · minihesap.net</t>
  </si>
  <si>
    <t>Bu dosya ne işe yarar?</t>
  </si>
  <si>
    <t>Pazaryerinde sattığınız her üründen komisyon, kargo, iade ve reklam maliyetleri düşüldükten sonra GERÇEKTE ne kadar kâr ettiğinizi hesaplar. Çoğu satıcı ciroya bakar; bu dosya net kârı gösterir.</t>
  </si>
  <si>
    <t>Dosyanın yapısı</t>
  </si>
  <si>
    <t>ÜRÜN KARTLARI ve PAZARYERİ KARTLARI bir kez doldurulur.</t>
  </si>
  <si>
    <t>SATIŞLAR sayfasına her satışı işlersiniz.</t>
  </si>
  <si>
    <t>ÜRÜN KÂRLILIK ve DASHBOARD otomatik hesaplanır.</t>
  </si>
  <si>
    <t>Adım adım</t>
  </si>
  <si>
    <t>1. PAZARYERİ KARTLARI sayfasına çalıştığınız pazaryerlerini ve komisyon oranlarını girin.</t>
  </si>
  <si>
    <t>2. ÜRÜN KARTLARI sayfasına ürünlerinizi ekleyin: alış maliyeti, kargo ve paketleme maliyeti.</t>
  </si>
  <si>
    <t>3. SATIŞLAR sayfasında ürün ve pazaryerini açılır listeden seçin, satış fiyatı ve adedi girin.</t>
  </si>
  <si>
    <t>4. Komisyon otomatik hesaplanır; iade olduysa İade sütununa 1 yazın.</t>
  </si>
  <si>
    <t>5. ÜRÜN KÂRLILIK sayfası hangi ürünün gerçekten kazandırdığını gösterir.</t>
  </si>
  <si>
    <t>Dikkat edilmesi gerekenler</t>
  </si>
  <si>
    <t>Zarar eden ürünü ciro uğruna satmaya devam etmek en yaygın hatadır; ÜRÜN KÂRLILIK sayfasında kâr marjı eksi olanları inceleyin.</t>
  </si>
  <si>
    <t>İade oranı yüksek ürünlerde kargo maliyeti iki kez oluşur; iade maliyetini hesaba katın.</t>
  </si>
  <si>
    <t>ACOS (reklam gideri / reklamlı ciro) oranı kâr marjınızın üzerine çıkarsa reklam zarar ettiriyordur.</t>
  </si>
  <si>
    <t>SARI hücreler sizin dolduracağınız alanlardır. GRİ ve YEŞİL hücreler formüllüdür, üzerlerine yazmayın.</t>
  </si>
  <si>
    <t>Bu dosyadaki hesaplamalar bilgilendirme amaçlıdır; resmî defter, bordro veya mali müşavir hizmeti yerine geçmez. © MiniHesap</t>
  </si>
  <si>
    <t>Pazaryeri Kartları</t>
  </si>
  <si>
    <t>Komisyon oranları satışlarda otomatik uygulanır</t>
  </si>
  <si>
    <t/>
  </si>
  <si>
    <t>Pazaryeri</t>
  </si>
  <si>
    <t>Komisyon</t>
  </si>
  <si>
    <t>Sabit Hizmet Bedeli</t>
  </si>
  <si>
    <t>Kargo Katkısı</t>
  </si>
  <si>
    <t>Vade (gün)</t>
  </si>
  <si>
    <t>Pazaryeri A</t>
  </si>
  <si>
    <t>Pazaryeri B</t>
  </si>
  <si>
    <t>Pazaryeri C</t>
  </si>
  <si>
    <t>Kendi Sitem</t>
  </si>
  <si>
    <t>Ürün Kartları</t>
  </si>
  <si>
    <t>Ürün başına maliyet kalemleri</t>
  </si>
  <si>
    <t>Ürün Kodu</t>
  </si>
  <si>
    <t>Ürün Adı</t>
  </si>
  <si>
    <t>Alış Maliyeti</t>
  </si>
  <si>
    <t>Kargo Maliyeti</t>
  </si>
  <si>
    <t>Paketleme</t>
  </si>
  <si>
    <t>Toplam Maliyet</t>
  </si>
  <si>
    <t>KDV</t>
  </si>
  <si>
    <t>E001</t>
  </si>
  <si>
    <t>Kablosuz Kulaklık</t>
  </si>
  <si>
    <t>E002</t>
  </si>
  <si>
    <t>Telefon Kılıfı</t>
  </si>
  <si>
    <t>E003</t>
  </si>
  <si>
    <t>Akıllı Saat Kordonu</t>
  </si>
  <si>
    <t>E004</t>
  </si>
  <si>
    <t>Powerbank 20000mAh</t>
  </si>
  <si>
    <t>Satışlar</t>
  </si>
  <si>
    <t>Ürün ve pazaryerini listeden seçin · komisyon ve kâr otomatik</t>
  </si>
  <si>
    <t>Tarih</t>
  </si>
  <si>
    <t>Satış Fiyatı</t>
  </si>
  <si>
    <t>Adet</t>
  </si>
  <si>
    <t>Brüt Ciro</t>
  </si>
  <si>
    <t>Ürün Maliyeti</t>
  </si>
  <si>
    <t>İade</t>
  </si>
  <si>
    <t>Reklam Gideri</t>
  </si>
  <si>
    <t>NET KÂR</t>
  </si>
  <si>
    <t>Kâr Marjı</t>
  </si>
  <si>
    <t>Ürün Bazlı Kârlılık</t>
  </si>
  <si>
    <t>Hangi ürün gerçekten kazandırıyor?</t>
  </si>
  <si>
    <t>Satış Adedi</t>
  </si>
  <si>
    <t>Maliyet</t>
  </si>
  <si>
    <t>Reklam</t>
  </si>
  <si>
    <t>TOPLAM</t>
  </si>
  <si>
    <t>Satıcı Paneli Özeti</t>
  </si>
  <si>
    <t>Satışlar sayfasından beslenir</t>
  </si>
  <si>
    <t>TOPLAM CİRO</t>
  </si>
  <si>
    <t>TOPLAM KOMİSYON</t>
  </si>
  <si>
    <t>NET KÂR MARJI</t>
  </si>
  <si>
    <t>TOPLAM ÜRÜN MALİYETİ</t>
  </si>
  <si>
    <t>ACOS (reklam / ciro)</t>
  </si>
  <si>
    <t>TOPLAM REKLAM GİDERİ</t>
  </si>
  <si>
    <t>KOMİSYON / CİRO</t>
  </si>
  <si>
    <t>TOPLAM SATIŞ ADEDİ</t>
  </si>
  <si>
    <t>İADE ORANI</t>
  </si>
  <si>
    <t>İADE SAYISI</t>
  </si>
  <si>
    <t>ZARAR EDEN ÜRÜN SAYISI</t>
  </si>
  <si>
    <t>ACOS kâr marjınızın üzerine çıkarsa reklam zarar ettiriyor demektir. 'Ürün Kârlılık' sayfasında kırmızı işaretli ürünler zarar ediyor; fiyatı yükseltin, maliyeti düşürün veya listeden çıkarın.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</si>
</sst>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\ &quot;₺&quot;"/>
    <numFmt numFmtId="165" formatCode="dd.mm.yyyy"/>
    <numFmt numFmtId="166" formatCode="0.0%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617066"/>
      <sz val="10"/>
    </font>
    <font>
      <b/>
      <color rgb="FF166534"/>
      <sz val="12"/>
    </font>
    <font>
      <i/>
      <color rgb="FF854D0E"/>
      <sz val="10"/>
    </font>
    <font>
      <i/>
      <color rgb="FF617066"/>
      <sz val="9"/>
    </font>
    <font>
      <b/>
      <color rgb="FFFFFFFF"/>
      <sz val="10"/>
    </font>
    <font>
      <b/>
      <color rgb="FF405248"/>
      <sz val="10"/>
    </font>
    <font>
      <b/>
      <color rgb="FF166534"/>
      <sz val="11"/>
    </font>
    <font>
      <b/>
      <color rgb="FF10231A"/>
      <sz val="12"/>
    </font>
    <font>
      <b/>
      <color rgb="FF617066"/>
      <sz val="9"/>
    </font>
    <font>
      <b/>
      <color rgb="FF166534"/>
      <sz val="14"/>
    </font>
  </fonts>
  <fills count="8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0FDF4"/>
      </patternFill>
    </fill>
    <fill>
      <patternFill patternType="solid">
        <fgColor rgb="FF166534"/>
      </patternFill>
    </fill>
    <fill>
      <patternFill patternType="solid">
        <fgColor rgb="FFFFFBEB"/>
      </patternFill>
    </fill>
    <fill>
      <patternFill patternType="solid">
        <fgColor rgb="FFFFFDF2"/>
      </patternFill>
    </fill>
    <fill>
      <patternFill patternType="solid">
        <fgColor rgb="FFF8FAF9"/>
      </patternFill>
    </fill>
  </fills>
  <borders count="3">
    <border>
      <left/>
      <right/>
      <top/>
      <bottom/>
      <diagonal/>
    </border>
    <border>
      <left style="thin">
        <color rgb="FFDCE7DF"/>
      </left>
      <right style="thin">
        <color rgb="FFDCE7DF"/>
      </right>
      <top style="thin">
        <color rgb="FFDCE7DF"/>
      </top>
      <bottom style="thin">
        <color rgb="FFDCE7DF"/>
      </bottom>
      <diagonal/>
    </border>
    <border>
      <left style="hair">
        <color rgb="FFDCE7DF"/>
      </left>
      <right style="hair">
        <color rgb="FFDCE7DF"/>
      </right>
      <top style="hair">
        <color rgb="FFDCE7DF"/>
      </top>
      <bottom style="hair">
        <color rgb="FFDCE7D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4" borderId="1" xfId="0" applyFont="1" applyFill="1" applyBorder="1" applyAlignment="1">
      <alignment horizontal="center" vertical="center" wrapText="1"/>
    </xf>
    <xf numFmtId="0" fontId="0" fillId="5" borderId="2" xfId="0" applyFill="1" applyBorder="1"/>
    <xf numFmtId="10" fontId="0" fillId="5" borderId="2" xfId="0" applyNumberFormat="1" applyFill="1" applyBorder="1"/>
    <xf numFmtId="164" fontId="0" fillId="5" borderId="2" xfId="0" applyNumberFormat="1" applyFill="1" applyBorder="1"/>
    <xf numFmtId="3" fontId="0" fillId="5" borderId="2" xfId="0" applyNumberFormat="1" applyFill="1" applyBorder="1"/>
    <xf numFmtId="0" fontId="0" fillId="6" borderId="2" xfId="0" applyFill="1" applyBorder="1"/>
    <xf numFmtId="10" fontId="0" fillId="6" borderId="2" xfId="0" applyNumberFormat="1" applyFill="1" applyBorder="1"/>
    <xf numFmtId="164" fontId="0" fillId="6" borderId="2" xfId="0" applyNumberFormat="1" applyFill="1" applyBorder="1"/>
    <xf numFmtId="3" fontId="0" fillId="6" borderId="2" xfId="0" applyNumberFormat="1" applyFill="1" applyBorder="1"/>
    <xf numFmtId="164" fontId="7" fillId="7" borderId="2" xfId="0" applyNumberFormat="1" applyFont="1" applyFill="1" applyBorder="1"/>
    <xf numFmtId="9" fontId="0" fillId="5" borderId="2" xfId="0" applyNumberFormat="1" applyFill="1" applyBorder="1"/>
    <xf numFmtId="9" fontId="0" fillId="6" borderId="2" xfId="0" applyNumberFormat="1" applyFill="1" applyBorder="1"/>
    <xf numFmtId="165" fontId="0" fillId="5" borderId="2" xfId="0" applyNumberFormat="1" applyFill="1" applyBorder="1"/>
    <xf numFmtId="0" fontId="7" fillId="7" borderId="2" xfId="0" applyFont="1" applyFill="1" applyBorder="1"/>
    <xf numFmtId="164" fontId="8" fillId="7" borderId="2" xfId="0" applyNumberFormat="1" applyFont="1" applyFill="1" applyBorder="1"/>
    <xf numFmtId="166" fontId="7" fillId="7" borderId="2" xfId="0" applyNumberFormat="1" applyFont="1" applyFill="1" applyBorder="1"/>
    <xf numFmtId="165" fontId="0" fillId="6" borderId="2" xfId="0" applyNumberFormat="1" applyFill="1" applyBorder="1"/>
    <xf numFmtId="3" fontId="7" fillId="7" borderId="2" xfId="0" applyNumberFormat="1" applyFont="1" applyFill="1" applyBorder="1"/>
    <xf numFmtId="0" fontId="9" fillId="0" borderId="0" xfId="0" applyFont="1"/>
    <xf numFmtId="164" fontId="8" fillId="3" borderId="1" xfId="0" applyNumberFormat="1" applyFont="1" applyFill="1" applyBorder="1"/>
    <xf numFmtId="0" fontId="10" fillId="0" borderId="0" xfId="0" applyFont="1" applyAlignment="1">
      <alignment vertical="center"/>
    </xf>
    <xf numFmtId="164" fontId="11" fillId="3" borderId="1" xfId="0" applyNumberFormat="1" applyFont="1" applyFill="1" applyBorder="1" applyAlignment="1">
      <alignment horizontal="right" vertical="center" indent="1"/>
    </xf>
    <xf numFmtId="166" fontId="11" fillId="3" borderId="1" xfId="0" applyNumberFormat="1" applyFont="1" applyFill="1" applyBorder="1" applyAlignment="1">
      <alignment horizontal="right" vertical="center" indent="1"/>
    </xf>
    <xf numFmtId="3" fontId="11" fillId="3" borderId="1" xfId="0" applyNumberFormat="1" applyFont="1" applyFill="1" applyBorder="1" applyAlignment="1">
      <alignment horizontal="right" vertical="center" inden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1">
    <dxf>
      <font>
        <b/>
        <color rgb="FFB91C1C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B26"/>
  <sheetFormatPr defaultRowHeight="15" outlineLevelRow="0" outlineLevelCol="0" x14ac:dyDescent="55"/>
  <cols>
    <col min="1" max="1" width="4" customWidth="1"/>
    <col min="2" max="2" width="112" customWidth="1"/>
  </cols>
  <sheetData>
    <row r="1" ht="34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spans="2:2" x14ac:dyDescent="0.25">
      <c r="B4" s="3" t="s">
        <v>2</v>
      </c>
    </row>
    <row r="5" ht="48" customHeight="1" spans="2:2" x14ac:dyDescent="0.25">
      <c r="B5" s="4" t="s">
        <v>3</v>
      </c>
    </row>
    <row r="7" spans="2:2" x14ac:dyDescent="0.25">
      <c r="B7" s="3" t="s">
        <v>4</v>
      </c>
    </row>
    <row r="8" ht="18" customHeight="1" spans="2:2" x14ac:dyDescent="0.25">
      <c r="B8" s="4" t="s">
        <v>5</v>
      </c>
    </row>
    <row r="9" ht="18" customHeight="1" spans="2:2" x14ac:dyDescent="0.25">
      <c r="B9" s="4" t="s">
        <v>6</v>
      </c>
    </row>
    <row r="10" ht="18" customHeight="1" spans="2:2" x14ac:dyDescent="0.25">
      <c r="B10" s="4" t="s">
        <v>7</v>
      </c>
    </row>
    <row r="12" spans="2:2" x14ac:dyDescent="0.25">
      <c r="B12" s="3" t="s">
        <v>8</v>
      </c>
    </row>
    <row r="13" ht="18" customHeight="1" spans="2:2" x14ac:dyDescent="0.25">
      <c r="B13" s="4" t="s">
        <v>9</v>
      </c>
    </row>
    <row r="14" ht="18" customHeight="1" spans="2:2" x14ac:dyDescent="0.25">
      <c r="B14" s="4" t="s">
        <v>10</v>
      </c>
    </row>
    <row r="15" ht="18" customHeight="1" spans="2:2" x14ac:dyDescent="0.25">
      <c r="B15" s="4" t="s">
        <v>11</v>
      </c>
    </row>
    <row r="16" ht="18" customHeight="1" spans="2:2" x14ac:dyDescent="0.25">
      <c r="B16" s="4" t="s">
        <v>12</v>
      </c>
    </row>
    <row r="17" ht="18" customHeight="1" spans="2:2" x14ac:dyDescent="0.25">
      <c r="B17" s="4" t="s">
        <v>13</v>
      </c>
    </row>
    <row r="19" spans="2:2" x14ac:dyDescent="0.25">
      <c r="B19" s="3" t="s">
        <v>14</v>
      </c>
    </row>
    <row r="20" ht="32" customHeight="1" spans="2:2" x14ac:dyDescent="0.25">
      <c r="B20" s="4" t="s">
        <v>15</v>
      </c>
    </row>
    <row r="21" ht="18" customHeight="1" spans="2:2" x14ac:dyDescent="0.25">
      <c r="B21" s="4" t="s">
        <v>16</v>
      </c>
    </row>
    <row r="22" ht="32" customHeight="1" spans="2:2" x14ac:dyDescent="0.25">
      <c r="B22" s="4" t="s">
        <v>17</v>
      </c>
    </row>
    <row r="24" spans="2:2" x14ac:dyDescent="0.25">
      <c r="B24" s="5" t="s">
        <v>18</v>
      </c>
    </row>
    <row r="26" spans="2:2" x14ac:dyDescent="0.25">
      <c r="B26" s="6" t="s">
        <v>19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F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22" customWidth="1"/>
    <col min="3" max="3" width="14" customWidth="1"/>
    <col min="4" max="5" width="16" customWidth="1"/>
    <col min="6" max="6" width="14" customWidth="1"/>
  </cols>
  <sheetData>
    <row r="1" ht="34" customHeight="1" spans="1:6" x14ac:dyDescent="0.25">
      <c r="A1" s="1" t="s">
        <v>20</v>
      </c>
      <c r="B1" s="1"/>
      <c r="C1" s="1"/>
      <c r="D1" s="1"/>
      <c r="E1" s="1"/>
      <c r="F1" s="1"/>
    </row>
    <row r="2" ht="20" customHeight="1" spans="1:6" x14ac:dyDescent="0.25">
      <c r="A2" s="2" t="s">
        <v>21</v>
      </c>
      <c r="B2" s="2"/>
      <c r="C2" s="2"/>
      <c r="D2" s="2"/>
      <c r="E2" s="2"/>
      <c r="F2" s="2"/>
    </row>
    <row r="4" ht="30" customHeight="1" spans="1:6" x14ac:dyDescent="0.25">
      <c r="A4" s="7" t="s">
        <v>22</v>
      </c>
      <c r="B4" s="7" t="s">
        <v>23</v>
      </c>
      <c r="C4" s="7" t="s">
        <v>24</v>
      </c>
      <c r="D4" s="7" t="s">
        <v>25</v>
      </c>
      <c r="E4" s="7" t="s">
        <v>26</v>
      </c>
      <c r="F4" s="7" t="s">
        <v>27</v>
      </c>
    </row>
    <row r="5" spans="2:6" x14ac:dyDescent="0.25">
      <c r="B5" s="8" t="s">
        <v>28</v>
      </c>
      <c r="C5" s="9">
        <v>0.18</v>
      </c>
      <c r="D5" s="10">
        <v>6.99</v>
      </c>
      <c r="E5" s="10">
        <v>0</v>
      </c>
      <c r="F5" s="11">
        <v>30</v>
      </c>
    </row>
    <row r="6" spans="2:6" x14ac:dyDescent="0.25">
      <c r="B6" s="12" t="s">
        <v>29</v>
      </c>
      <c r="C6" s="13">
        <v>0.155</v>
      </c>
      <c r="D6" s="14">
        <v>8.49</v>
      </c>
      <c r="E6" s="14">
        <v>0</v>
      </c>
      <c r="F6" s="15">
        <v>21</v>
      </c>
    </row>
    <row r="7" spans="2:6" x14ac:dyDescent="0.25">
      <c r="B7" s="8" t="s">
        <v>30</v>
      </c>
      <c r="C7" s="9">
        <v>0.22</v>
      </c>
      <c r="D7" s="10">
        <v>0</v>
      </c>
      <c r="E7" s="10">
        <v>0</v>
      </c>
      <c r="F7" s="11">
        <v>45</v>
      </c>
    </row>
    <row r="8" spans="2:6" x14ac:dyDescent="0.25">
      <c r="B8" s="12" t="s">
        <v>31</v>
      </c>
      <c r="C8" s="13">
        <v>0.03</v>
      </c>
      <c r="D8" s="14">
        <v>0</v>
      </c>
      <c r="E8" s="14">
        <v>0</v>
      </c>
      <c r="F8" s="15">
        <v>2</v>
      </c>
    </row>
    <row r="9" spans="2:6" x14ac:dyDescent="0.25">
      <c r="B9" s="8"/>
      <c r="C9" s="9"/>
      <c r="D9" s="10"/>
      <c r="E9" s="10"/>
      <c r="F9" s="11"/>
    </row>
    <row r="10" spans="2:6" x14ac:dyDescent="0.25">
      <c r="B10" s="12"/>
      <c r="C10" s="13"/>
      <c r="D10" s="14"/>
      <c r="E10" s="14"/>
      <c r="F10" s="15"/>
    </row>
    <row r="11" spans="2:6" x14ac:dyDescent="0.25">
      <c r="B11" s="8"/>
      <c r="C11" s="9"/>
      <c r="D11" s="10"/>
      <c r="E11" s="10"/>
      <c r="F11" s="11"/>
    </row>
    <row r="12" spans="2:6" x14ac:dyDescent="0.25">
      <c r="B12" s="12"/>
      <c r="C12" s="13"/>
      <c r="D12" s="14"/>
      <c r="E12" s="14"/>
      <c r="F12" s="15"/>
    </row>
    <row r="13" spans="2:6" x14ac:dyDescent="0.25">
      <c r="B13" s="8"/>
      <c r="C13" s="9"/>
      <c r="D13" s="10"/>
      <c r="E13" s="10"/>
      <c r="F13" s="11"/>
    </row>
    <row r="14" spans="2:6" x14ac:dyDescent="0.25">
      <c r="B14" s="12"/>
      <c r="C14" s="13"/>
      <c r="D14" s="14"/>
      <c r="E14" s="14"/>
      <c r="F14" s="15"/>
    </row>
    <row r="15" spans="2:6" x14ac:dyDescent="0.25">
      <c r="B15" s="8"/>
      <c r="C15" s="9"/>
      <c r="D15" s="10"/>
      <c r="E15" s="10"/>
      <c r="F15" s="11"/>
    </row>
    <row r="16" spans="2:6" x14ac:dyDescent="0.25">
      <c r="B16" s="12"/>
      <c r="C16" s="13"/>
      <c r="D16" s="14"/>
      <c r="E16" s="14"/>
      <c r="F16" s="15"/>
    </row>
    <row r="17" spans="2:6" x14ac:dyDescent="0.25">
      <c r="B17" s="8"/>
      <c r="C17" s="9"/>
      <c r="D17" s="10"/>
      <c r="E17" s="10"/>
      <c r="F17" s="11"/>
    </row>
    <row r="18" spans="2:6" x14ac:dyDescent="0.25">
      <c r="B18" s="12"/>
      <c r="C18" s="13"/>
      <c r="D18" s="14"/>
      <c r="E18" s="14"/>
      <c r="F18" s="15"/>
    </row>
    <row r="19" spans="2:6" x14ac:dyDescent="0.25">
      <c r="B19" s="8"/>
      <c r="C19" s="9"/>
      <c r="D19" s="10"/>
      <c r="E19" s="10"/>
      <c r="F19" s="11"/>
    </row>
    <row r="20" spans="2:6" x14ac:dyDescent="0.25">
      <c r="B20" s="12"/>
      <c r="C20" s="13"/>
      <c r="D20" s="14"/>
      <c r="E20" s="14"/>
      <c r="F20" s="15"/>
    </row>
    <row r="21" spans="2:6" x14ac:dyDescent="0.25">
      <c r="B21" s="8"/>
      <c r="C21" s="9"/>
      <c r="D21" s="10"/>
      <c r="E21" s="10"/>
      <c r="F21" s="11"/>
    </row>
    <row r="22" spans="2:6" x14ac:dyDescent="0.25">
      <c r="B22" s="12"/>
      <c r="C22" s="13"/>
      <c r="D22" s="14"/>
      <c r="E22" s="14"/>
      <c r="F22" s="15"/>
    </row>
    <row r="23" spans="2:6" x14ac:dyDescent="0.25">
      <c r="B23" s="8"/>
      <c r="C23" s="9"/>
      <c r="D23" s="10"/>
      <c r="E23" s="10"/>
      <c r="F23" s="11"/>
    </row>
    <row r="24" spans="2:6" x14ac:dyDescent="0.25">
      <c r="B24" s="12"/>
      <c r="C24" s="13"/>
      <c r="D24" s="14"/>
      <c r="E24" s="14"/>
      <c r="F24" s="15"/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H15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4" customWidth="1"/>
    <col min="3" max="3" width="34" customWidth="1"/>
    <col min="4" max="7" width="16" customWidth="1"/>
    <col min="8" max="8" width="12" customWidth="1"/>
  </cols>
  <sheetData>
    <row r="1" ht="34" customHeight="1" spans="1:8" x14ac:dyDescent="0.25">
      <c r="A1" s="1" t="s">
        <v>32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33</v>
      </c>
      <c r="B2" s="2"/>
      <c r="C2" s="2"/>
      <c r="D2" s="2"/>
      <c r="E2" s="2"/>
      <c r="F2" s="2"/>
      <c r="G2" s="2"/>
      <c r="H2" s="2"/>
    </row>
    <row r="4" ht="30" customHeight="1" spans="1:8" x14ac:dyDescent="0.25">
      <c r="A4" s="7" t="s">
        <v>22</v>
      </c>
      <c r="B4" s="7" t="s">
        <v>34</v>
      </c>
      <c r="C4" s="7" t="s">
        <v>35</v>
      </c>
      <c r="D4" s="7" t="s">
        <v>36</v>
      </c>
      <c r="E4" s="7" t="s">
        <v>37</v>
      </c>
      <c r="F4" s="7" t="s">
        <v>38</v>
      </c>
      <c r="G4" s="7" t="s">
        <v>39</v>
      </c>
      <c r="H4" s="7" t="s">
        <v>40</v>
      </c>
    </row>
    <row r="5" spans="2:8" x14ac:dyDescent="0.25">
      <c r="B5" s="8" t="s">
        <v>41</v>
      </c>
      <c r="C5" s="8" t="s">
        <v>42</v>
      </c>
      <c r="D5" s="10">
        <v>420</v>
      </c>
      <c r="E5" s="10">
        <v>55</v>
      </c>
      <c r="F5" s="10">
        <v>12</v>
      </c>
      <c r="G5" s="16">
        <f>IF($B5="","",SUM($D5:$F5))</f>
      </c>
      <c r="H5" s="17">
        <v>0.2</v>
      </c>
    </row>
    <row r="6" spans="2:8" x14ac:dyDescent="0.25">
      <c r="B6" s="12" t="s">
        <v>43</v>
      </c>
      <c r="C6" s="12" t="s">
        <v>44</v>
      </c>
      <c r="D6" s="14">
        <v>38</v>
      </c>
      <c r="E6" s="14">
        <v>45</v>
      </c>
      <c r="F6" s="14">
        <v>6</v>
      </c>
      <c r="G6" s="16">
        <f>IF($B6="","",SUM($D6:$F6))</f>
      </c>
      <c r="H6" s="18">
        <v>0.2</v>
      </c>
    </row>
    <row r="7" spans="2:8" x14ac:dyDescent="0.25">
      <c r="B7" s="8" t="s">
        <v>45</v>
      </c>
      <c r="C7" s="8" t="s">
        <v>46</v>
      </c>
      <c r="D7" s="10">
        <v>65</v>
      </c>
      <c r="E7" s="10">
        <v>45</v>
      </c>
      <c r="F7" s="10">
        <v>6</v>
      </c>
      <c r="G7" s="16">
        <f>IF($B7="","",SUM($D7:$F7))</f>
      </c>
      <c r="H7" s="17">
        <v>0.2</v>
      </c>
    </row>
    <row r="8" spans="2:8" x14ac:dyDescent="0.25">
      <c r="B8" s="12" t="s">
        <v>47</v>
      </c>
      <c r="C8" s="12" t="s">
        <v>48</v>
      </c>
      <c r="D8" s="14">
        <v>310</v>
      </c>
      <c r="E8" s="14">
        <v>60</v>
      </c>
      <c r="F8" s="14">
        <v>14</v>
      </c>
      <c r="G8" s="16">
        <f>IF($B8="","",SUM($D8:$F8))</f>
      </c>
      <c r="H8" s="18">
        <v>0.2</v>
      </c>
    </row>
    <row r="9" spans="2:8" x14ac:dyDescent="0.25">
      <c r="B9" s="8"/>
      <c r="C9" s="8"/>
      <c r="D9" s="10"/>
      <c r="E9" s="10"/>
      <c r="F9" s="10"/>
      <c r="G9" s="16">
        <f>IF($B9="","",SUM($D9:$F9))</f>
      </c>
      <c r="H9" s="17"/>
    </row>
    <row r="10" spans="2:8" x14ac:dyDescent="0.25">
      <c r="B10" s="12"/>
      <c r="C10" s="12"/>
      <c r="D10" s="14"/>
      <c r="E10" s="14"/>
      <c r="F10" s="14"/>
      <c r="G10" s="16">
        <f>IF($B10="","",SUM($D10:$F10))</f>
      </c>
      <c r="H10" s="18"/>
    </row>
    <row r="11" spans="2:8" x14ac:dyDescent="0.25">
      <c r="B11" s="8"/>
      <c r="C11" s="8"/>
      <c r="D11" s="10"/>
      <c r="E11" s="10"/>
      <c r="F11" s="10"/>
      <c r="G11" s="16">
        <f>IF($B11="","",SUM($D11:$F11))</f>
      </c>
      <c r="H11" s="17"/>
    </row>
    <row r="12" spans="2:8" x14ac:dyDescent="0.25">
      <c r="B12" s="12"/>
      <c r="C12" s="12"/>
      <c r="D12" s="14"/>
      <c r="E12" s="14"/>
      <c r="F12" s="14"/>
      <c r="G12" s="16">
        <f>IF($B12="","",SUM($D12:$F12))</f>
      </c>
      <c r="H12" s="18"/>
    </row>
    <row r="13" spans="2:8" x14ac:dyDescent="0.25">
      <c r="B13" s="8"/>
      <c r="C13" s="8"/>
      <c r="D13" s="10"/>
      <c r="E13" s="10"/>
      <c r="F13" s="10"/>
      <c r="G13" s="16">
        <f>IF($B13="","",SUM($D13:$F13))</f>
      </c>
      <c r="H13" s="17"/>
    </row>
    <row r="14" spans="2:8" x14ac:dyDescent="0.25">
      <c r="B14" s="12"/>
      <c r="C14" s="12"/>
      <c r="D14" s="14"/>
      <c r="E14" s="14"/>
      <c r="F14" s="14"/>
      <c r="G14" s="16">
        <f>IF($B14="","",SUM($D14:$F14))</f>
      </c>
      <c r="H14" s="18"/>
    </row>
    <row r="15" spans="2:8" x14ac:dyDescent="0.25">
      <c r="B15" s="8"/>
      <c r="C15" s="8"/>
      <c r="D15" s="10"/>
      <c r="E15" s="10"/>
      <c r="F15" s="10"/>
      <c r="G15" s="16">
        <f>IF($B15="","",SUM($D15:$F15))</f>
      </c>
      <c r="H15" s="17"/>
    </row>
    <row r="16" spans="2:8" x14ac:dyDescent="0.25">
      <c r="B16" s="12"/>
      <c r="C16" s="12"/>
      <c r="D16" s="14"/>
      <c r="E16" s="14"/>
      <c r="F16" s="14"/>
      <c r="G16" s="16">
        <f>IF($B16="","",SUM($D16:$F16))</f>
      </c>
      <c r="H16" s="18"/>
    </row>
    <row r="17" spans="2:8" x14ac:dyDescent="0.25">
      <c r="B17" s="8"/>
      <c r="C17" s="8"/>
      <c r="D17" s="10"/>
      <c r="E17" s="10"/>
      <c r="F17" s="10"/>
      <c r="G17" s="16">
        <f>IF($B17="","",SUM($D17:$F17))</f>
      </c>
      <c r="H17" s="17"/>
    </row>
    <row r="18" spans="2:8" x14ac:dyDescent="0.25">
      <c r="B18" s="12"/>
      <c r="C18" s="12"/>
      <c r="D18" s="14"/>
      <c r="E18" s="14"/>
      <c r="F18" s="14"/>
      <c r="G18" s="16">
        <f>IF($B18="","",SUM($D18:$F18))</f>
      </c>
      <c r="H18" s="18"/>
    </row>
    <row r="19" spans="2:8" x14ac:dyDescent="0.25">
      <c r="B19" s="8"/>
      <c r="C19" s="8"/>
      <c r="D19" s="10"/>
      <c r="E19" s="10"/>
      <c r="F19" s="10"/>
      <c r="G19" s="16">
        <f>IF($B19="","",SUM($D19:$F19))</f>
      </c>
      <c r="H19" s="17"/>
    </row>
    <row r="20" spans="2:8" x14ac:dyDescent="0.25">
      <c r="B20" s="12"/>
      <c r="C20" s="12"/>
      <c r="D20" s="14"/>
      <c r="E20" s="14"/>
      <c r="F20" s="14"/>
      <c r="G20" s="16">
        <f>IF($B20="","",SUM($D20:$F20))</f>
      </c>
      <c r="H20" s="18"/>
    </row>
    <row r="21" spans="2:8" x14ac:dyDescent="0.25">
      <c r="B21" s="8"/>
      <c r="C21" s="8"/>
      <c r="D21" s="10"/>
      <c r="E21" s="10"/>
      <c r="F21" s="10"/>
      <c r="G21" s="16">
        <f>IF($B21="","",SUM($D21:$F21))</f>
      </c>
      <c r="H21" s="17"/>
    </row>
    <row r="22" spans="2:8" x14ac:dyDescent="0.25">
      <c r="B22" s="12"/>
      <c r="C22" s="12"/>
      <c r="D22" s="14"/>
      <c r="E22" s="14"/>
      <c r="F22" s="14"/>
      <c r="G22" s="16">
        <f>IF($B22="","",SUM($D22:$F22))</f>
      </c>
      <c r="H22" s="18"/>
    </row>
    <row r="23" spans="2:8" x14ac:dyDescent="0.25">
      <c r="B23" s="8"/>
      <c r="C23" s="8"/>
      <c r="D23" s="10"/>
      <c r="E23" s="10"/>
      <c r="F23" s="10"/>
      <c r="G23" s="16">
        <f>IF($B23="","",SUM($D23:$F23))</f>
      </c>
      <c r="H23" s="17"/>
    </row>
    <row r="24" spans="2:8" x14ac:dyDescent="0.25">
      <c r="B24" s="12"/>
      <c r="C24" s="12"/>
      <c r="D24" s="14"/>
      <c r="E24" s="14"/>
      <c r="F24" s="14"/>
      <c r="G24" s="16">
        <f>IF($B24="","",SUM($D24:$F24))</f>
      </c>
      <c r="H24" s="18"/>
    </row>
    <row r="25" spans="2:8" x14ac:dyDescent="0.25">
      <c r="B25" s="8"/>
      <c r="C25" s="8"/>
      <c r="D25" s="10"/>
      <c r="E25" s="10"/>
      <c r="F25" s="10"/>
      <c r="G25" s="16">
        <f>IF($B25="","",SUM($D25:$F25))</f>
      </c>
      <c r="H25" s="17"/>
    </row>
    <row r="26" spans="2:8" x14ac:dyDescent="0.25">
      <c r="B26" s="12"/>
      <c r="C26" s="12"/>
      <c r="D26" s="14"/>
      <c r="E26" s="14"/>
      <c r="F26" s="14"/>
      <c r="G26" s="16">
        <f>IF($B26="","",SUM($D26:$F26))</f>
      </c>
      <c r="H26" s="18"/>
    </row>
    <row r="27" spans="2:8" x14ac:dyDescent="0.25">
      <c r="B27" s="8"/>
      <c r="C27" s="8"/>
      <c r="D27" s="10"/>
      <c r="E27" s="10"/>
      <c r="F27" s="10"/>
      <c r="G27" s="16">
        <f>IF($B27="","",SUM($D27:$F27))</f>
      </c>
      <c r="H27" s="17"/>
    </row>
    <row r="28" spans="2:8" x14ac:dyDescent="0.25">
      <c r="B28" s="12"/>
      <c r="C28" s="12"/>
      <c r="D28" s="14"/>
      <c r="E28" s="14"/>
      <c r="F28" s="14"/>
      <c r="G28" s="16">
        <f>IF($B28="","",SUM($D28:$F28))</f>
      </c>
      <c r="H28" s="18"/>
    </row>
    <row r="29" spans="2:8" x14ac:dyDescent="0.25">
      <c r="B29" s="8"/>
      <c r="C29" s="8"/>
      <c r="D29" s="10"/>
      <c r="E29" s="10"/>
      <c r="F29" s="10"/>
      <c r="G29" s="16">
        <f>IF($B29="","",SUM($D29:$F29))</f>
      </c>
      <c r="H29" s="17"/>
    </row>
    <row r="30" spans="2:8" x14ac:dyDescent="0.25">
      <c r="B30" s="12"/>
      <c r="C30" s="12"/>
      <c r="D30" s="14"/>
      <c r="E30" s="14"/>
      <c r="F30" s="14"/>
      <c r="G30" s="16">
        <f>IF($B30="","",SUM($D30:$F30))</f>
      </c>
      <c r="H30" s="18"/>
    </row>
    <row r="31" spans="2:8" x14ac:dyDescent="0.25">
      <c r="B31" s="8"/>
      <c r="C31" s="8"/>
      <c r="D31" s="10"/>
      <c r="E31" s="10"/>
      <c r="F31" s="10"/>
      <c r="G31" s="16">
        <f>IF($B31="","",SUM($D31:$F31))</f>
      </c>
      <c r="H31" s="17"/>
    </row>
    <row r="32" spans="2:8" x14ac:dyDescent="0.25">
      <c r="B32" s="12"/>
      <c r="C32" s="12"/>
      <c r="D32" s="14"/>
      <c r="E32" s="14"/>
      <c r="F32" s="14"/>
      <c r="G32" s="16">
        <f>IF($B32="","",SUM($D32:$F32))</f>
      </c>
      <c r="H32" s="18"/>
    </row>
    <row r="33" spans="2:8" x14ac:dyDescent="0.25">
      <c r="B33" s="8"/>
      <c r="C33" s="8"/>
      <c r="D33" s="10"/>
      <c r="E33" s="10"/>
      <c r="F33" s="10"/>
      <c r="G33" s="16">
        <f>IF($B33="","",SUM($D33:$F33))</f>
      </c>
      <c r="H33" s="17"/>
    </row>
    <row r="34" spans="2:8" x14ac:dyDescent="0.25">
      <c r="B34" s="12"/>
      <c r="C34" s="12"/>
      <c r="D34" s="14"/>
      <c r="E34" s="14"/>
      <c r="F34" s="14"/>
      <c r="G34" s="16">
        <f>IF($B34="","",SUM($D34:$F34))</f>
      </c>
      <c r="H34" s="18"/>
    </row>
    <row r="35" spans="2:8" x14ac:dyDescent="0.25">
      <c r="B35" s="8"/>
      <c r="C35" s="8"/>
      <c r="D35" s="10"/>
      <c r="E35" s="10"/>
      <c r="F35" s="10"/>
      <c r="G35" s="16">
        <f>IF($B35="","",SUM($D35:$F35))</f>
      </c>
      <c r="H35" s="17"/>
    </row>
    <row r="36" spans="2:8" x14ac:dyDescent="0.25">
      <c r="B36" s="12"/>
      <c r="C36" s="12"/>
      <c r="D36" s="14"/>
      <c r="E36" s="14"/>
      <c r="F36" s="14"/>
      <c r="G36" s="16">
        <f>IF($B36="","",SUM($D36:$F36))</f>
      </c>
      <c r="H36" s="18"/>
    </row>
    <row r="37" spans="2:8" x14ac:dyDescent="0.25">
      <c r="B37" s="8"/>
      <c r="C37" s="8"/>
      <c r="D37" s="10"/>
      <c r="E37" s="10"/>
      <c r="F37" s="10"/>
      <c r="G37" s="16">
        <f>IF($B37="","",SUM($D37:$F37))</f>
      </c>
      <c r="H37" s="17"/>
    </row>
    <row r="38" spans="2:8" x14ac:dyDescent="0.25">
      <c r="B38" s="12"/>
      <c r="C38" s="12"/>
      <c r="D38" s="14"/>
      <c r="E38" s="14"/>
      <c r="F38" s="14"/>
      <c r="G38" s="16">
        <f>IF($B38="","",SUM($D38:$F38))</f>
      </c>
      <c r="H38" s="18"/>
    </row>
    <row r="39" spans="2:8" x14ac:dyDescent="0.25">
      <c r="B39" s="8"/>
      <c r="C39" s="8"/>
      <c r="D39" s="10"/>
      <c r="E39" s="10"/>
      <c r="F39" s="10"/>
      <c r="G39" s="16">
        <f>IF($B39="","",SUM($D39:$F39))</f>
      </c>
      <c r="H39" s="17"/>
    </row>
    <row r="40" spans="2:8" x14ac:dyDescent="0.25">
      <c r="B40" s="12"/>
      <c r="C40" s="12"/>
      <c r="D40" s="14"/>
      <c r="E40" s="14"/>
      <c r="F40" s="14"/>
      <c r="G40" s="16">
        <f>IF($B40="","",SUM($D40:$F40))</f>
      </c>
      <c r="H40" s="18"/>
    </row>
    <row r="41" spans="2:8" x14ac:dyDescent="0.25">
      <c r="B41" s="8"/>
      <c r="C41" s="8"/>
      <c r="D41" s="10"/>
      <c r="E41" s="10"/>
      <c r="F41" s="10"/>
      <c r="G41" s="16">
        <f>IF($B41="","",SUM($D41:$F41))</f>
      </c>
      <c r="H41" s="17"/>
    </row>
    <row r="42" spans="2:8" x14ac:dyDescent="0.25">
      <c r="B42" s="12"/>
      <c r="C42" s="12"/>
      <c r="D42" s="14"/>
      <c r="E42" s="14"/>
      <c r="F42" s="14"/>
      <c r="G42" s="16">
        <f>IF($B42="","",SUM($D42:$F42))</f>
      </c>
      <c r="H42" s="18"/>
    </row>
    <row r="43" spans="2:8" x14ac:dyDescent="0.25">
      <c r="B43" s="8"/>
      <c r="C43" s="8"/>
      <c r="D43" s="10"/>
      <c r="E43" s="10"/>
      <c r="F43" s="10"/>
      <c r="G43" s="16">
        <f>IF($B43="","",SUM($D43:$F43))</f>
      </c>
      <c r="H43" s="17"/>
    </row>
    <row r="44" spans="2:8" x14ac:dyDescent="0.25">
      <c r="B44" s="12"/>
      <c r="C44" s="12"/>
      <c r="D44" s="14"/>
      <c r="E44" s="14"/>
      <c r="F44" s="14"/>
      <c r="G44" s="16">
        <f>IF($B44="","",SUM($D44:$F44))</f>
      </c>
      <c r="H44" s="18"/>
    </row>
    <row r="45" spans="2:8" x14ac:dyDescent="0.25">
      <c r="B45" s="8"/>
      <c r="C45" s="8"/>
      <c r="D45" s="10"/>
      <c r="E45" s="10"/>
      <c r="F45" s="10"/>
      <c r="G45" s="16">
        <f>IF($B45="","",SUM($D45:$F45))</f>
      </c>
      <c r="H45" s="17"/>
    </row>
    <row r="46" spans="2:8" x14ac:dyDescent="0.25">
      <c r="B46" s="12"/>
      <c r="C46" s="12"/>
      <c r="D46" s="14"/>
      <c r="E46" s="14"/>
      <c r="F46" s="14"/>
      <c r="G46" s="16">
        <f>IF($B46="","",SUM($D46:$F46))</f>
      </c>
      <c r="H46" s="18"/>
    </row>
    <row r="47" spans="2:8" x14ac:dyDescent="0.25">
      <c r="B47" s="8"/>
      <c r="C47" s="8"/>
      <c r="D47" s="10"/>
      <c r="E47" s="10"/>
      <c r="F47" s="10"/>
      <c r="G47" s="16">
        <f>IF($B47="","",SUM($D47:$F47))</f>
      </c>
      <c r="H47" s="17"/>
    </row>
    <row r="48" spans="2:8" x14ac:dyDescent="0.25">
      <c r="B48" s="12"/>
      <c r="C48" s="12"/>
      <c r="D48" s="14"/>
      <c r="E48" s="14"/>
      <c r="F48" s="14"/>
      <c r="G48" s="16">
        <f>IF($B48="","",SUM($D48:$F48))</f>
      </c>
      <c r="H48" s="18"/>
    </row>
    <row r="49" spans="2:8" x14ac:dyDescent="0.25">
      <c r="B49" s="8"/>
      <c r="C49" s="8"/>
      <c r="D49" s="10"/>
      <c r="E49" s="10"/>
      <c r="F49" s="10"/>
      <c r="G49" s="16">
        <f>IF($B49="","",SUM($D49:$F49))</f>
      </c>
      <c r="H49" s="17"/>
    </row>
    <row r="50" spans="2:8" x14ac:dyDescent="0.25">
      <c r="B50" s="12"/>
      <c r="C50" s="12"/>
      <c r="D50" s="14"/>
      <c r="E50" s="14"/>
      <c r="F50" s="14"/>
      <c r="G50" s="16">
        <f>IF($B50="","",SUM($D50:$F50))</f>
      </c>
      <c r="H50" s="18"/>
    </row>
    <row r="51" spans="2:8" x14ac:dyDescent="0.25">
      <c r="B51" s="8"/>
      <c r="C51" s="8"/>
      <c r="D51" s="10"/>
      <c r="E51" s="10"/>
      <c r="F51" s="10"/>
      <c r="G51" s="16">
        <f>IF($B51="","",SUM($D51:$F51))</f>
      </c>
      <c r="H51" s="17"/>
    </row>
    <row r="52" spans="2:8" x14ac:dyDescent="0.25">
      <c r="B52" s="12"/>
      <c r="C52" s="12"/>
      <c r="D52" s="14"/>
      <c r="E52" s="14"/>
      <c r="F52" s="14"/>
      <c r="G52" s="16">
        <f>IF($B52="","",SUM($D52:$F52))</f>
      </c>
      <c r="H52" s="18"/>
    </row>
    <row r="53" spans="2:8" x14ac:dyDescent="0.25">
      <c r="B53" s="8"/>
      <c r="C53" s="8"/>
      <c r="D53" s="10"/>
      <c r="E53" s="10"/>
      <c r="F53" s="10"/>
      <c r="G53" s="16">
        <f>IF($B53="","",SUM($D53:$F53))</f>
      </c>
      <c r="H53" s="17"/>
    </row>
    <row r="54" spans="2:8" x14ac:dyDescent="0.25">
      <c r="B54" s="12"/>
      <c r="C54" s="12"/>
      <c r="D54" s="14"/>
      <c r="E54" s="14"/>
      <c r="F54" s="14"/>
      <c r="G54" s="16">
        <f>IF($B54="","",SUM($D54:$F54))</f>
      </c>
      <c r="H54" s="18"/>
    </row>
    <row r="55" spans="2:8" x14ac:dyDescent="0.25">
      <c r="B55" s="8"/>
      <c r="C55" s="8"/>
      <c r="D55" s="10"/>
      <c r="E55" s="10"/>
      <c r="F55" s="10"/>
      <c r="G55" s="16">
        <f>IF($B55="","",SUM($D55:$F55))</f>
      </c>
      <c r="H55" s="17"/>
    </row>
    <row r="56" spans="2:8" x14ac:dyDescent="0.25">
      <c r="B56" s="12"/>
      <c r="C56" s="12"/>
      <c r="D56" s="14"/>
      <c r="E56" s="14"/>
      <c r="F56" s="14"/>
      <c r="G56" s="16">
        <f>IF($B56="","",SUM($D56:$F56))</f>
      </c>
      <c r="H56" s="18"/>
    </row>
    <row r="57" spans="2:8" x14ac:dyDescent="0.25">
      <c r="B57" s="8"/>
      <c r="C57" s="8"/>
      <c r="D57" s="10"/>
      <c r="E57" s="10"/>
      <c r="F57" s="10"/>
      <c r="G57" s="16">
        <f>IF($B57="","",SUM($D57:$F57))</f>
      </c>
      <c r="H57" s="17"/>
    </row>
    <row r="58" spans="2:8" x14ac:dyDescent="0.25">
      <c r="B58" s="12"/>
      <c r="C58" s="12"/>
      <c r="D58" s="14"/>
      <c r="E58" s="14"/>
      <c r="F58" s="14"/>
      <c r="G58" s="16">
        <f>IF($B58="","",SUM($D58:$F58))</f>
      </c>
      <c r="H58" s="18"/>
    </row>
    <row r="59" spans="2:8" x14ac:dyDescent="0.25">
      <c r="B59" s="8"/>
      <c r="C59" s="8"/>
      <c r="D59" s="10"/>
      <c r="E59" s="10"/>
      <c r="F59" s="10"/>
      <c r="G59" s="16">
        <f>IF($B59="","",SUM($D59:$F59))</f>
      </c>
      <c r="H59" s="17"/>
    </row>
    <row r="60" spans="2:8" x14ac:dyDescent="0.25">
      <c r="B60" s="12"/>
      <c r="C60" s="12"/>
      <c r="D60" s="14"/>
      <c r="E60" s="14"/>
      <c r="F60" s="14"/>
      <c r="G60" s="16">
        <f>IF($B60="","",SUM($D60:$F60))</f>
      </c>
      <c r="H60" s="18"/>
    </row>
    <row r="61" spans="2:8" x14ac:dyDescent="0.25">
      <c r="B61" s="8"/>
      <c r="C61" s="8"/>
      <c r="D61" s="10"/>
      <c r="E61" s="10"/>
      <c r="F61" s="10"/>
      <c r="G61" s="16">
        <f>IF($B61="","",SUM($D61:$F61))</f>
      </c>
      <c r="H61" s="17"/>
    </row>
    <row r="62" spans="2:8" x14ac:dyDescent="0.25">
      <c r="B62" s="12"/>
      <c r="C62" s="12"/>
      <c r="D62" s="14"/>
      <c r="E62" s="14"/>
      <c r="F62" s="14"/>
      <c r="G62" s="16">
        <f>IF($B62="","",SUM($D62:$F62))</f>
      </c>
      <c r="H62" s="18"/>
    </row>
    <row r="63" spans="2:8" x14ac:dyDescent="0.25">
      <c r="B63" s="8"/>
      <c r="C63" s="8"/>
      <c r="D63" s="10"/>
      <c r="E63" s="10"/>
      <c r="F63" s="10"/>
      <c r="G63" s="16">
        <f>IF($B63="","",SUM($D63:$F63))</f>
      </c>
      <c r="H63" s="17"/>
    </row>
    <row r="64" spans="2:8" x14ac:dyDescent="0.25">
      <c r="B64" s="12"/>
      <c r="C64" s="12"/>
      <c r="D64" s="14"/>
      <c r="E64" s="14"/>
      <c r="F64" s="14"/>
      <c r="G64" s="16">
        <f>IF($B64="","",SUM($D64:$F64))</f>
      </c>
      <c r="H64" s="18"/>
    </row>
    <row r="65" spans="2:8" x14ac:dyDescent="0.25">
      <c r="B65" s="8"/>
      <c r="C65" s="8"/>
      <c r="D65" s="10"/>
      <c r="E65" s="10"/>
      <c r="F65" s="10"/>
      <c r="G65" s="16">
        <f>IF($B65="","",SUM($D65:$F65))</f>
      </c>
      <c r="H65" s="17"/>
    </row>
    <row r="66" spans="2:8" x14ac:dyDescent="0.25">
      <c r="B66" s="12"/>
      <c r="C66" s="12"/>
      <c r="D66" s="14"/>
      <c r="E66" s="14"/>
      <c r="F66" s="14"/>
      <c r="G66" s="16">
        <f>IF($B66="","",SUM($D66:$F66))</f>
      </c>
      <c r="H66" s="18"/>
    </row>
    <row r="67" spans="2:8" x14ac:dyDescent="0.25">
      <c r="B67" s="8"/>
      <c r="C67" s="8"/>
      <c r="D67" s="10"/>
      <c r="E67" s="10"/>
      <c r="F67" s="10"/>
      <c r="G67" s="16">
        <f>IF($B67="","",SUM($D67:$F67))</f>
      </c>
      <c r="H67" s="17"/>
    </row>
    <row r="68" spans="2:8" x14ac:dyDescent="0.25">
      <c r="B68" s="12"/>
      <c r="C68" s="12"/>
      <c r="D68" s="14"/>
      <c r="E68" s="14"/>
      <c r="F68" s="14"/>
      <c r="G68" s="16">
        <f>IF($B68="","",SUM($D68:$F68))</f>
      </c>
      <c r="H68" s="18"/>
    </row>
    <row r="69" spans="2:8" x14ac:dyDescent="0.25">
      <c r="B69" s="8"/>
      <c r="C69" s="8"/>
      <c r="D69" s="10"/>
      <c r="E69" s="10"/>
      <c r="F69" s="10"/>
      <c r="G69" s="16">
        <f>IF($B69="","",SUM($D69:$F69))</f>
      </c>
      <c r="H69" s="17"/>
    </row>
    <row r="70" spans="2:8" x14ac:dyDescent="0.25">
      <c r="B70" s="12"/>
      <c r="C70" s="12"/>
      <c r="D70" s="14"/>
      <c r="E70" s="14"/>
      <c r="F70" s="14"/>
      <c r="G70" s="16">
        <f>IF($B70="","",SUM($D70:$F70))</f>
      </c>
      <c r="H70" s="18"/>
    </row>
    <row r="71" spans="2:8" x14ac:dyDescent="0.25">
      <c r="B71" s="8"/>
      <c r="C71" s="8"/>
      <c r="D71" s="10"/>
      <c r="E71" s="10"/>
      <c r="F71" s="10"/>
      <c r="G71" s="16">
        <f>IF($B71="","",SUM($D71:$F71))</f>
      </c>
      <c r="H71" s="17"/>
    </row>
    <row r="72" spans="2:8" x14ac:dyDescent="0.25">
      <c r="B72" s="12"/>
      <c r="C72" s="12"/>
      <c r="D72" s="14"/>
      <c r="E72" s="14"/>
      <c r="F72" s="14"/>
      <c r="G72" s="16">
        <f>IF($B72="","",SUM($D72:$F72))</f>
      </c>
      <c r="H72" s="18"/>
    </row>
    <row r="73" spans="2:8" x14ac:dyDescent="0.25">
      <c r="B73" s="8"/>
      <c r="C73" s="8"/>
      <c r="D73" s="10"/>
      <c r="E73" s="10"/>
      <c r="F73" s="10"/>
      <c r="G73" s="16">
        <f>IF($B73="","",SUM($D73:$F73))</f>
      </c>
      <c r="H73" s="17"/>
    </row>
    <row r="74" spans="2:8" x14ac:dyDescent="0.25">
      <c r="B74" s="12"/>
      <c r="C74" s="12"/>
      <c r="D74" s="14"/>
      <c r="E74" s="14"/>
      <c r="F74" s="14"/>
      <c r="G74" s="16">
        <f>IF($B74="","",SUM($D74:$F74))</f>
      </c>
      <c r="H74" s="18"/>
    </row>
    <row r="75" spans="2:8" x14ac:dyDescent="0.25">
      <c r="B75" s="8"/>
      <c r="C75" s="8"/>
      <c r="D75" s="10"/>
      <c r="E75" s="10"/>
      <c r="F75" s="10"/>
      <c r="G75" s="16">
        <f>IF($B75="","",SUM($D75:$F75))</f>
      </c>
      <c r="H75" s="17"/>
    </row>
    <row r="76" spans="2:8" x14ac:dyDescent="0.25">
      <c r="B76" s="12"/>
      <c r="C76" s="12"/>
      <c r="D76" s="14"/>
      <c r="E76" s="14"/>
      <c r="F76" s="14"/>
      <c r="G76" s="16">
        <f>IF($B76="","",SUM($D76:$F76))</f>
      </c>
      <c r="H76" s="18"/>
    </row>
    <row r="77" spans="2:8" x14ac:dyDescent="0.25">
      <c r="B77" s="8"/>
      <c r="C77" s="8"/>
      <c r="D77" s="10"/>
      <c r="E77" s="10"/>
      <c r="F77" s="10"/>
      <c r="G77" s="16">
        <f>IF($B77="","",SUM($D77:$F77))</f>
      </c>
      <c r="H77" s="17"/>
    </row>
    <row r="78" spans="2:8" x14ac:dyDescent="0.25">
      <c r="B78" s="12"/>
      <c r="C78" s="12"/>
      <c r="D78" s="14"/>
      <c r="E78" s="14"/>
      <c r="F78" s="14"/>
      <c r="G78" s="16">
        <f>IF($B78="","",SUM($D78:$F78))</f>
      </c>
      <c r="H78" s="18"/>
    </row>
    <row r="79" spans="2:8" x14ac:dyDescent="0.25">
      <c r="B79" s="8"/>
      <c r="C79" s="8"/>
      <c r="D79" s="10"/>
      <c r="E79" s="10"/>
      <c r="F79" s="10"/>
      <c r="G79" s="16">
        <f>IF($B79="","",SUM($D79:$F79))</f>
      </c>
      <c r="H79" s="17"/>
    </row>
    <row r="80" spans="2:8" x14ac:dyDescent="0.25">
      <c r="B80" s="12"/>
      <c r="C80" s="12"/>
      <c r="D80" s="14"/>
      <c r="E80" s="14"/>
      <c r="F80" s="14"/>
      <c r="G80" s="16">
        <f>IF($B80="","",SUM($D80:$F80))</f>
      </c>
      <c r="H80" s="18"/>
    </row>
    <row r="81" spans="2:8" x14ac:dyDescent="0.25">
      <c r="B81" s="8"/>
      <c r="C81" s="8"/>
      <c r="D81" s="10"/>
      <c r="E81" s="10"/>
      <c r="F81" s="10"/>
      <c r="G81" s="16">
        <f>IF($B81="","",SUM($D81:$F81))</f>
      </c>
      <c r="H81" s="17"/>
    </row>
    <row r="82" spans="2:8" x14ac:dyDescent="0.25">
      <c r="B82" s="12"/>
      <c r="C82" s="12"/>
      <c r="D82" s="14"/>
      <c r="E82" s="14"/>
      <c r="F82" s="14"/>
      <c r="G82" s="16">
        <f>IF($B82="","",SUM($D82:$F82))</f>
      </c>
      <c r="H82" s="18"/>
    </row>
    <row r="83" spans="2:8" x14ac:dyDescent="0.25">
      <c r="B83" s="8"/>
      <c r="C83" s="8"/>
      <c r="D83" s="10"/>
      <c r="E83" s="10"/>
      <c r="F83" s="10"/>
      <c r="G83" s="16">
        <f>IF($B83="","",SUM($D83:$F83))</f>
      </c>
      <c r="H83" s="17"/>
    </row>
    <row r="84" spans="2:8" x14ac:dyDescent="0.25">
      <c r="B84" s="12"/>
      <c r="C84" s="12"/>
      <c r="D84" s="14"/>
      <c r="E84" s="14"/>
      <c r="F84" s="14"/>
      <c r="G84" s="16">
        <f>IF($B84="","",SUM($D84:$F84))</f>
      </c>
      <c r="H84" s="18"/>
    </row>
    <row r="85" spans="2:8" x14ac:dyDescent="0.25">
      <c r="B85" s="8"/>
      <c r="C85" s="8"/>
      <c r="D85" s="10"/>
      <c r="E85" s="10"/>
      <c r="F85" s="10"/>
      <c r="G85" s="16">
        <f>IF($B85="","",SUM($D85:$F85))</f>
      </c>
      <c r="H85" s="17"/>
    </row>
    <row r="86" spans="2:8" x14ac:dyDescent="0.25">
      <c r="B86" s="12"/>
      <c r="C86" s="12"/>
      <c r="D86" s="14"/>
      <c r="E86" s="14"/>
      <c r="F86" s="14"/>
      <c r="G86" s="16">
        <f>IF($B86="","",SUM($D86:$F86))</f>
      </c>
      <c r="H86" s="18"/>
    </row>
    <row r="87" spans="2:8" x14ac:dyDescent="0.25">
      <c r="B87" s="8"/>
      <c r="C87" s="8"/>
      <c r="D87" s="10"/>
      <c r="E87" s="10"/>
      <c r="F87" s="10"/>
      <c r="G87" s="16">
        <f>IF($B87="","",SUM($D87:$F87))</f>
      </c>
      <c r="H87" s="17"/>
    </row>
    <row r="88" spans="2:8" x14ac:dyDescent="0.25">
      <c r="B88" s="12"/>
      <c r="C88" s="12"/>
      <c r="D88" s="14"/>
      <c r="E88" s="14"/>
      <c r="F88" s="14"/>
      <c r="G88" s="16">
        <f>IF($B88="","",SUM($D88:$F88))</f>
      </c>
      <c r="H88" s="18"/>
    </row>
    <row r="89" spans="2:8" x14ac:dyDescent="0.25">
      <c r="B89" s="8"/>
      <c r="C89" s="8"/>
      <c r="D89" s="10"/>
      <c r="E89" s="10"/>
      <c r="F89" s="10"/>
      <c r="G89" s="16">
        <f>IF($B89="","",SUM($D89:$F89))</f>
      </c>
      <c r="H89" s="17"/>
    </row>
    <row r="90" spans="2:8" x14ac:dyDescent="0.25">
      <c r="B90" s="12"/>
      <c r="C90" s="12"/>
      <c r="D90" s="14"/>
      <c r="E90" s="14"/>
      <c r="F90" s="14"/>
      <c r="G90" s="16">
        <f>IF($B90="","",SUM($D90:$F90))</f>
      </c>
      <c r="H90" s="18"/>
    </row>
    <row r="91" spans="2:8" x14ac:dyDescent="0.25">
      <c r="B91" s="8"/>
      <c r="C91" s="8"/>
      <c r="D91" s="10"/>
      <c r="E91" s="10"/>
      <c r="F91" s="10"/>
      <c r="G91" s="16">
        <f>IF($B91="","",SUM($D91:$F91))</f>
      </c>
      <c r="H91" s="17"/>
    </row>
    <row r="92" spans="2:8" x14ac:dyDescent="0.25">
      <c r="B92" s="12"/>
      <c r="C92" s="12"/>
      <c r="D92" s="14"/>
      <c r="E92" s="14"/>
      <c r="F92" s="14"/>
      <c r="G92" s="16">
        <f>IF($B92="","",SUM($D92:$F92))</f>
      </c>
      <c r="H92" s="18"/>
    </row>
    <row r="93" spans="2:8" x14ac:dyDescent="0.25">
      <c r="B93" s="8"/>
      <c r="C93" s="8"/>
      <c r="D93" s="10"/>
      <c r="E93" s="10"/>
      <c r="F93" s="10"/>
      <c r="G93" s="16">
        <f>IF($B93="","",SUM($D93:$F93))</f>
      </c>
      <c r="H93" s="17"/>
    </row>
    <row r="94" spans="2:8" x14ac:dyDescent="0.25">
      <c r="B94" s="12"/>
      <c r="C94" s="12"/>
      <c r="D94" s="14"/>
      <c r="E94" s="14"/>
      <c r="F94" s="14"/>
      <c r="G94" s="16">
        <f>IF($B94="","",SUM($D94:$F94))</f>
      </c>
      <c r="H94" s="18"/>
    </row>
    <row r="95" spans="2:8" x14ac:dyDescent="0.25">
      <c r="B95" s="8"/>
      <c r="C95" s="8"/>
      <c r="D95" s="10"/>
      <c r="E95" s="10"/>
      <c r="F95" s="10"/>
      <c r="G95" s="16">
        <f>IF($B95="","",SUM($D95:$F95))</f>
      </c>
      <c r="H95" s="17"/>
    </row>
    <row r="96" spans="2:8" x14ac:dyDescent="0.25">
      <c r="B96" s="12"/>
      <c r="C96" s="12"/>
      <c r="D96" s="14"/>
      <c r="E96" s="14"/>
      <c r="F96" s="14"/>
      <c r="G96" s="16">
        <f>IF($B96="","",SUM($D96:$F96))</f>
      </c>
      <c r="H96" s="18"/>
    </row>
    <row r="97" spans="2:8" x14ac:dyDescent="0.25">
      <c r="B97" s="8"/>
      <c r="C97" s="8"/>
      <c r="D97" s="10"/>
      <c r="E97" s="10"/>
      <c r="F97" s="10"/>
      <c r="G97" s="16">
        <f>IF($B97="","",SUM($D97:$F97))</f>
      </c>
      <c r="H97" s="17"/>
    </row>
    <row r="98" spans="2:8" x14ac:dyDescent="0.25">
      <c r="B98" s="12"/>
      <c r="C98" s="12"/>
      <c r="D98" s="14"/>
      <c r="E98" s="14"/>
      <c r="F98" s="14"/>
      <c r="G98" s="16">
        <f>IF($B98="","",SUM($D98:$F98))</f>
      </c>
      <c r="H98" s="18"/>
    </row>
    <row r="99" spans="2:8" x14ac:dyDescent="0.25">
      <c r="B99" s="8"/>
      <c r="C99" s="8"/>
      <c r="D99" s="10"/>
      <c r="E99" s="10"/>
      <c r="F99" s="10"/>
      <c r="G99" s="16">
        <f>IF($B99="","",SUM($D99:$F99))</f>
      </c>
      <c r="H99" s="17"/>
    </row>
    <row r="100" spans="2:8" x14ac:dyDescent="0.25">
      <c r="B100" s="12"/>
      <c r="C100" s="12"/>
      <c r="D100" s="14"/>
      <c r="E100" s="14"/>
      <c r="F100" s="14"/>
      <c r="G100" s="16">
        <f>IF($B100="","",SUM($D100:$F100))</f>
      </c>
      <c r="H100" s="18"/>
    </row>
    <row r="101" spans="2:8" x14ac:dyDescent="0.25">
      <c r="B101" s="8"/>
      <c r="C101" s="8"/>
      <c r="D101" s="10"/>
      <c r="E101" s="10"/>
      <c r="F101" s="10"/>
      <c r="G101" s="16">
        <f>IF($B101="","",SUM($D101:$F101))</f>
      </c>
      <c r="H101" s="17"/>
    </row>
    <row r="102" spans="2:8" x14ac:dyDescent="0.25">
      <c r="B102" s="12"/>
      <c r="C102" s="12"/>
      <c r="D102" s="14"/>
      <c r="E102" s="14"/>
      <c r="F102" s="14"/>
      <c r="G102" s="16">
        <f>IF($B102="","",SUM($D102:$F102))</f>
      </c>
      <c r="H102" s="18"/>
    </row>
    <row r="103" spans="2:8" x14ac:dyDescent="0.25">
      <c r="B103" s="8"/>
      <c r="C103" s="8"/>
      <c r="D103" s="10"/>
      <c r="E103" s="10"/>
      <c r="F103" s="10"/>
      <c r="G103" s="16">
        <f>IF($B103="","",SUM($D103:$F103))</f>
      </c>
      <c r="H103" s="17"/>
    </row>
    <row r="104" spans="2:8" x14ac:dyDescent="0.25">
      <c r="B104" s="12"/>
      <c r="C104" s="12"/>
      <c r="D104" s="14"/>
      <c r="E104" s="14"/>
      <c r="F104" s="14"/>
      <c r="G104" s="16">
        <f>IF($B104="","",SUM($D104:$F104))</f>
      </c>
      <c r="H104" s="18"/>
    </row>
    <row r="105" spans="2:8" x14ac:dyDescent="0.25">
      <c r="B105" s="8"/>
      <c r="C105" s="8"/>
      <c r="D105" s="10"/>
      <c r="E105" s="10"/>
      <c r="F105" s="10"/>
      <c r="G105" s="16">
        <f>IF($B105="","",SUM($D105:$F105))</f>
      </c>
      <c r="H105" s="17"/>
    </row>
    <row r="106" spans="2:8" x14ac:dyDescent="0.25">
      <c r="B106" s="12"/>
      <c r="C106" s="12"/>
      <c r="D106" s="14"/>
      <c r="E106" s="14"/>
      <c r="F106" s="14"/>
      <c r="G106" s="16">
        <f>IF($B106="","",SUM($D106:$F106))</f>
      </c>
      <c r="H106" s="18"/>
    </row>
    <row r="107" spans="2:8" x14ac:dyDescent="0.25">
      <c r="B107" s="8"/>
      <c r="C107" s="8"/>
      <c r="D107" s="10"/>
      <c r="E107" s="10"/>
      <c r="F107" s="10"/>
      <c r="G107" s="16">
        <f>IF($B107="","",SUM($D107:$F107))</f>
      </c>
      <c r="H107" s="17"/>
    </row>
    <row r="108" spans="2:8" x14ac:dyDescent="0.25">
      <c r="B108" s="12"/>
      <c r="C108" s="12"/>
      <c r="D108" s="14"/>
      <c r="E108" s="14"/>
      <c r="F108" s="14"/>
      <c r="G108" s="16">
        <f>IF($B108="","",SUM($D108:$F108))</f>
      </c>
      <c r="H108" s="18"/>
    </row>
    <row r="109" spans="2:8" x14ac:dyDescent="0.25">
      <c r="B109" s="8"/>
      <c r="C109" s="8"/>
      <c r="D109" s="10"/>
      <c r="E109" s="10"/>
      <c r="F109" s="10"/>
      <c r="G109" s="16">
        <f>IF($B109="","",SUM($D109:$F109))</f>
      </c>
      <c r="H109" s="17"/>
    </row>
    <row r="110" spans="2:8" x14ac:dyDescent="0.25">
      <c r="B110" s="12"/>
      <c r="C110" s="12"/>
      <c r="D110" s="14"/>
      <c r="E110" s="14"/>
      <c r="F110" s="14"/>
      <c r="G110" s="16">
        <f>IF($B110="","",SUM($D110:$F110))</f>
      </c>
      <c r="H110" s="18"/>
    </row>
    <row r="111" spans="2:8" x14ac:dyDescent="0.25">
      <c r="B111" s="8"/>
      <c r="C111" s="8"/>
      <c r="D111" s="10"/>
      <c r="E111" s="10"/>
      <c r="F111" s="10"/>
      <c r="G111" s="16">
        <f>IF($B111="","",SUM($D111:$F111))</f>
      </c>
      <c r="H111" s="17"/>
    </row>
    <row r="112" spans="2:8" x14ac:dyDescent="0.25">
      <c r="B112" s="12"/>
      <c r="C112" s="12"/>
      <c r="D112" s="14"/>
      <c r="E112" s="14"/>
      <c r="F112" s="14"/>
      <c r="G112" s="16">
        <f>IF($B112="","",SUM($D112:$F112))</f>
      </c>
      <c r="H112" s="18"/>
    </row>
    <row r="113" spans="2:8" x14ac:dyDescent="0.25">
      <c r="B113" s="8"/>
      <c r="C113" s="8"/>
      <c r="D113" s="10"/>
      <c r="E113" s="10"/>
      <c r="F113" s="10"/>
      <c r="G113" s="16">
        <f>IF($B113="","",SUM($D113:$F113))</f>
      </c>
      <c r="H113" s="17"/>
    </row>
    <row r="114" spans="2:8" x14ac:dyDescent="0.25">
      <c r="B114" s="12"/>
      <c r="C114" s="12"/>
      <c r="D114" s="14"/>
      <c r="E114" s="14"/>
      <c r="F114" s="14"/>
      <c r="G114" s="16">
        <f>IF($B114="","",SUM($D114:$F114))</f>
      </c>
      <c r="H114" s="18"/>
    </row>
    <row r="115" spans="2:8" x14ac:dyDescent="0.25">
      <c r="B115" s="8"/>
      <c r="C115" s="8"/>
      <c r="D115" s="10"/>
      <c r="E115" s="10"/>
      <c r="F115" s="10"/>
      <c r="G115" s="16">
        <f>IF($B115="","",SUM($D115:$F115))</f>
      </c>
      <c r="H115" s="17"/>
    </row>
    <row r="116" spans="2:8" x14ac:dyDescent="0.25">
      <c r="B116" s="12"/>
      <c r="C116" s="12"/>
      <c r="D116" s="14"/>
      <c r="E116" s="14"/>
      <c r="F116" s="14"/>
      <c r="G116" s="16">
        <f>IF($B116="","",SUM($D116:$F116))</f>
      </c>
      <c r="H116" s="18"/>
    </row>
    <row r="117" spans="2:8" x14ac:dyDescent="0.25">
      <c r="B117" s="8"/>
      <c r="C117" s="8"/>
      <c r="D117" s="10"/>
      <c r="E117" s="10"/>
      <c r="F117" s="10"/>
      <c r="G117" s="16">
        <f>IF($B117="","",SUM($D117:$F117))</f>
      </c>
      <c r="H117" s="17"/>
    </row>
    <row r="118" spans="2:8" x14ac:dyDescent="0.25">
      <c r="B118" s="12"/>
      <c r="C118" s="12"/>
      <c r="D118" s="14"/>
      <c r="E118" s="14"/>
      <c r="F118" s="14"/>
      <c r="G118" s="16">
        <f>IF($B118="","",SUM($D118:$F118))</f>
      </c>
      <c r="H118" s="18"/>
    </row>
    <row r="119" spans="2:8" x14ac:dyDescent="0.25">
      <c r="B119" s="8"/>
      <c r="C119" s="8"/>
      <c r="D119" s="10"/>
      <c r="E119" s="10"/>
      <c r="F119" s="10"/>
      <c r="G119" s="16">
        <f>IF($B119="","",SUM($D119:$F119))</f>
      </c>
      <c r="H119" s="17"/>
    </row>
    <row r="120" spans="2:8" x14ac:dyDescent="0.25">
      <c r="B120" s="12"/>
      <c r="C120" s="12"/>
      <c r="D120" s="14"/>
      <c r="E120" s="14"/>
      <c r="F120" s="14"/>
      <c r="G120" s="16">
        <f>IF($B120="","",SUM($D120:$F120))</f>
      </c>
      <c r="H120" s="18"/>
    </row>
    <row r="121" spans="2:8" x14ac:dyDescent="0.25">
      <c r="B121" s="8"/>
      <c r="C121" s="8"/>
      <c r="D121" s="10"/>
      <c r="E121" s="10"/>
      <c r="F121" s="10"/>
      <c r="G121" s="16">
        <f>IF($B121="","",SUM($D121:$F121))</f>
      </c>
      <c r="H121" s="17"/>
    </row>
    <row r="122" spans="2:8" x14ac:dyDescent="0.25">
      <c r="B122" s="12"/>
      <c r="C122" s="12"/>
      <c r="D122" s="14"/>
      <c r="E122" s="14"/>
      <c r="F122" s="14"/>
      <c r="G122" s="16">
        <f>IF($B122="","",SUM($D122:$F122))</f>
      </c>
      <c r="H122" s="18"/>
    </row>
    <row r="123" spans="2:8" x14ac:dyDescent="0.25">
      <c r="B123" s="8"/>
      <c r="C123" s="8"/>
      <c r="D123" s="10"/>
      <c r="E123" s="10"/>
      <c r="F123" s="10"/>
      <c r="G123" s="16">
        <f>IF($B123="","",SUM($D123:$F123))</f>
      </c>
      <c r="H123" s="17"/>
    </row>
    <row r="124" spans="2:8" x14ac:dyDescent="0.25">
      <c r="B124" s="12"/>
      <c r="C124" s="12"/>
      <c r="D124" s="14"/>
      <c r="E124" s="14"/>
      <c r="F124" s="14"/>
      <c r="G124" s="16">
        <f>IF($B124="","",SUM($D124:$F124))</f>
      </c>
      <c r="H124" s="18"/>
    </row>
    <row r="125" spans="2:8" x14ac:dyDescent="0.25">
      <c r="B125" s="8"/>
      <c r="C125" s="8"/>
      <c r="D125" s="10"/>
      <c r="E125" s="10"/>
      <c r="F125" s="10"/>
      <c r="G125" s="16">
        <f>IF($B125="","",SUM($D125:$F125))</f>
      </c>
      <c r="H125" s="17"/>
    </row>
    <row r="126" spans="2:8" x14ac:dyDescent="0.25">
      <c r="B126" s="12"/>
      <c r="C126" s="12"/>
      <c r="D126" s="14"/>
      <c r="E126" s="14"/>
      <c r="F126" s="14"/>
      <c r="G126" s="16">
        <f>IF($B126="","",SUM($D126:$F126))</f>
      </c>
      <c r="H126" s="18"/>
    </row>
    <row r="127" spans="2:8" x14ac:dyDescent="0.25">
      <c r="B127" s="8"/>
      <c r="C127" s="8"/>
      <c r="D127" s="10"/>
      <c r="E127" s="10"/>
      <c r="F127" s="10"/>
      <c r="G127" s="16">
        <f>IF($B127="","",SUM($D127:$F127))</f>
      </c>
      <c r="H127" s="17"/>
    </row>
    <row r="128" spans="2:8" x14ac:dyDescent="0.25">
      <c r="B128" s="12"/>
      <c r="C128" s="12"/>
      <c r="D128" s="14"/>
      <c r="E128" s="14"/>
      <c r="F128" s="14"/>
      <c r="G128" s="16">
        <f>IF($B128="","",SUM($D128:$F128))</f>
      </c>
      <c r="H128" s="18"/>
    </row>
    <row r="129" spans="2:8" x14ac:dyDescent="0.25">
      <c r="B129" s="8"/>
      <c r="C129" s="8"/>
      <c r="D129" s="10"/>
      <c r="E129" s="10"/>
      <c r="F129" s="10"/>
      <c r="G129" s="16">
        <f>IF($B129="","",SUM($D129:$F129))</f>
      </c>
      <c r="H129" s="17"/>
    </row>
    <row r="130" spans="2:8" x14ac:dyDescent="0.25">
      <c r="B130" s="12"/>
      <c r="C130" s="12"/>
      <c r="D130" s="14"/>
      <c r="E130" s="14"/>
      <c r="F130" s="14"/>
      <c r="G130" s="16">
        <f>IF($B130="","",SUM($D130:$F130))</f>
      </c>
      <c r="H130" s="18"/>
    </row>
    <row r="131" spans="2:8" x14ac:dyDescent="0.25">
      <c r="B131" s="8"/>
      <c r="C131" s="8"/>
      <c r="D131" s="10"/>
      <c r="E131" s="10"/>
      <c r="F131" s="10"/>
      <c r="G131" s="16">
        <f>IF($B131="","",SUM($D131:$F131))</f>
      </c>
      <c r="H131" s="17"/>
    </row>
    <row r="132" spans="2:8" x14ac:dyDescent="0.25">
      <c r="B132" s="12"/>
      <c r="C132" s="12"/>
      <c r="D132" s="14"/>
      <c r="E132" s="14"/>
      <c r="F132" s="14"/>
      <c r="G132" s="16">
        <f>IF($B132="","",SUM($D132:$F132))</f>
      </c>
      <c r="H132" s="18"/>
    </row>
    <row r="133" spans="2:8" x14ac:dyDescent="0.25">
      <c r="B133" s="8"/>
      <c r="C133" s="8"/>
      <c r="D133" s="10"/>
      <c r="E133" s="10"/>
      <c r="F133" s="10"/>
      <c r="G133" s="16">
        <f>IF($B133="","",SUM($D133:$F133))</f>
      </c>
      <c r="H133" s="17"/>
    </row>
    <row r="134" spans="2:8" x14ac:dyDescent="0.25">
      <c r="B134" s="12"/>
      <c r="C134" s="12"/>
      <c r="D134" s="14"/>
      <c r="E134" s="14"/>
      <c r="F134" s="14"/>
      <c r="G134" s="16">
        <f>IF($B134="","",SUM($D134:$F134))</f>
      </c>
      <c r="H134" s="18"/>
    </row>
    <row r="135" spans="2:8" x14ac:dyDescent="0.25">
      <c r="B135" s="8"/>
      <c r="C135" s="8"/>
      <c r="D135" s="10"/>
      <c r="E135" s="10"/>
      <c r="F135" s="10"/>
      <c r="G135" s="16">
        <f>IF($B135="","",SUM($D135:$F135))</f>
      </c>
      <c r="H135" s="17"/>
    </row>
    <row r="136" spans="2:8" x14ac:dyDescent="0.25">
      <c r="B136" s="12"/>
      <c r="C136" s="12"/>
      <c r="D136" s="14"/>
      <c r="E136" s="14"/>
      <c r="F136" s="14"/>
      <c r="G136" s="16">
        <f>IF($B136="","",SUM($D136:$F136))</f>
      </c>
      <c r="H136" s="18"/>
    </row>
    <row r="137" spans="2:8" x14ac:dyDescent="0.25">
      <c r="B137" s="8"/>
      <c r="C137" s="8"/>
      <c r="D137" s="10"/>
      <c r="E137" s="10"/>
      <c r="F137" s="10"/>
      <c r="G137" s="16">
        <f>IF($B137="","",SUM($D137:$F137))</f>
      </c>
      <c r="H137" s="17"/>
    </row>
    <row r="138" spans="2:8" x14ac:dyDescent="0.25">
      <c r="B138" s="12"/>
      <c r="C138" s="12"/>
      <c r="D138" s="14"/>
      <c r="E138" s="14"/>
      <c r="F138" s="14"/>
      <c r="G138" s="16">
        <f>IF($B138="","",SUM($D138:$F138))</f>
      </c>
      <c r="H138" s="18"/>
    </row>
    <row r="139" spans="2:8" x14ac:dyDescent="0.25">
      <c r="B139" s="8"/>
      <c r="C139" s="8"/>
      <c r="D139" s="10"/>
      <c r="E139" s="10"/>
      <c r="F139" s="10"/>
      <c r="G139" s="16">
        <f>IF($B139="","",SUM($D139:$F139))</f>
      </c>
      <c r="H139" s="17"/>
    </row>
    <row r="140" spans="2:8" x14ac:dyDescent="0.25">
      <c r="B140" s="12"/>
      <c r="C140" s="12"/>
      <c r="D140" s="14"/>
      <c r="E140" s="14"/>
      <c r="F140" s="14"/>
      <c r="G140" s="16">
        <f>IF($B140="","",SUM($D140:$F140))</f>
      </c>
      <c r="H140" s="18"/>
    </row>
    <row r="141" spans="2:8" x14ac:dyDescent="0.25">
      <c r="B141" s="8"/>
      <c r="C141" s="8"/>
      <c r="D141" s="10"/>
      <c r="E141" s="10"/>
      <c r="F141" s="10"/>
      <c r="G141" s="16">
        <f>IF($B141="","",SUM($D141:$F141))</f>
      </c>
      <c r="H141" s="17"/>
    </row>
    <row r="142" spans="2:8" x14ac:dyDescent="0.25">
      <c r="B142" s="12"/>
      <c r="C142" s="12"/>
      <c r="D142" s="14"/>
      <c r="E142" s="14"/>
      <c r="F142" s="14"/>
      <c r="G142" s="16">
        <f>IF($B142="","",SUM($D142:$F142))</f>
      </c>
      <c r="H142" s="18"/>
    </row>
    <row r="143" spans="2:8" x14ac:dyDescent="0.25">
      <c r="B143" s="8"/>
      <c r="C143" s="8"/>
      <c r="D143" s="10"/>
      <c r="E143" s="10"/>
      <c r="F143" s="10"/>
      <c r="G143" s="16">
        <f>IF($B143="","",SUM($D143:$F143))</f>
      </c>
      <c r="H143" s="17"/>
    </row>
    <row r="144" spans="2:8" x14ac:dyDescent="0.25">
      <c r="B144" s="12"/>
      <c r="C144" s="12"/>
      <c r="D144" s="14"/>
      <c r="E144" s="14"/>
      <c r="F144" s="14"/>
      <c r="G144" s="16">
        <f>IF($B144="","",SUM($D144:$F144))</f>
      </c>
      <c r="H144" s="18"/>
    </row>
    <row r="145" spans="2:8" x14ac:dyDescent="0.25">
      <c r="B145" s="8"/>
      <c r="C145" s="8"/>
      <c r="D145" s="10"/>
      <c r="E145" s="10"/>
      <c r="F145" s="10"/>
      <c r="G145" s="16">
        <f>IF($B145="","",SUM($D145:$F145))</f>
      </c>
      <c r="H145" s="17"/>
    </row>
    <row r="146" spans="2:8" x14ac:dyDescent="0.25">
      <c r="B146" s="12"/>
      <c r="C146" s="12"/>
      <c r="D146" s="14"/>
      <c r="E146" s="14"/>
      <c r="F146" s="14"/>
      <c r="G146" s="16">
        <f>IF($B146="","",SUM($D146:$F146))</f>
      </c>
      <c r="H146" s="18"/>
    </row>
    <row r="147" spans="2:8" x14ac:dyDescent="0.25">
      <c r="B147" s="8"/>
      <c r="C147" s="8"/>
      <c r="D147" s="10"/>
      <c r="E147" s="10"/>
      <c r="F147" s="10"/>
      <c r="G147" s="16">
        <f>IF($B147="","",SUM($D147:$F147))</f>
      </c>
      <c r="H147" s="17"/>
    </row>
    <row r="148" spans="2:8" x14ac:dyDescent="0.25">
      <c r="B148" s="12"/>
      <c r="C148" s="12"/>
      <c r="D148" s="14"/>
      <c r="E148" s="14"/>
      <c r="F148" s="14"/>
      <c r="G148" s="16">
        <f>IF($B148="","",SUM($D148:$F148))</f>
      </c>
      <c r="H148" s="18"/>
    </row>
    <row r="149" spans="2:8" x14ac:dyDescent="0.25">
      <c r="B149" s="8"/>
      <c r="C149" s="8"/>
      <c r="D149" s="10"/>
      <c r="E149" s="10"/>
      <c r="F149" s="10"/>
      <c r="G149" s="16">
        <f>IF($B149="","",SUM($D149:$F149))</f>
      </c>
      <c r="H149" s="17"/>
    </row>
    <row r="150" spans="2:8" x14ac:dyDescent="0.25">
      <c r="B150" s="12"/>
      <c r="C150" s="12"/>
      <c r="D150" s="14"/>
      <c r="E150" s="14"/>
      <c r="F150" s="14"/>
      <c r="G150" s="16">
        <f>IF($B150="","",SUM($D150:$F150))</f>
      </c>
      <c r="H150" s="18"/>
    </row>
    <row r="151" spans="2:8" x14ac:dyDescent="0.25">
      <c r="B151" s="8"/>
      <c r="C151" s="8"/>
      <c r="D151" s="10"/>
      <c r="E151" s="10"/>
      <c r="F151" s="10"/>
      <c r="G151" s="16">
        <f>IF($B151="","",SUM($D151:$F151))</f>
      </c>
      <c r="H151" s="17"/>
    </row>
    <row r="152" spans="2:8" x14ac:dyDescent="0.25">
      <c r="B152" s="12"/>
      <c r="C152" s="12"/>
      <c r="D152" s="14"/>
      <c r="E152" s="14"/>
      <c r="F152" s="14"/>
      <c r="G152" s="16">
        <f>IF($B152="","",SUM($D152:$F152))</f>
      </c>
      <c r="H152" s="18"/>
    </row>
    <row r="153" spans="2:8" x14ac:dyDescent="0.25">
      <c r="B153" s="8"/>
      <c r="C153" s="8"/>
      <c r="D153" s="10"/>
      <c r="E153" s="10"/>
      <c r="F153" s="10"/>
      <c r="G153" s="16">
        <f>IF($B153="","",SUM($D153:$F153))</f>
      </c>
      <c r="H153" s="17"/>
    </row>
    <row r="154" spans="2:8" x14ac:dyDescent="0.25">
      <c r="B154" s="12"/>
      <c r="C154" s="12"/>
      <c r="D154" s="14"/>
      <c r="E154" s="14"/>
      <c r="F154" s="14"/>
      <c r="G154" s="16">
        <f>IF($B154="","",SUM($D154:$F154))</f>
      </c>
      <c r="H154" s="18"/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N1004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13" customWidth="1"/>
    <col min="3" max="3" width="14" customWidth="1"/>
    <col min="4" max="4" width="28" customWidth="1"/>
    <col min="5" max="5" width="18" customWidth="1"/>
    <col min="6" max="6" width="14" customWidth="1"/>
    <col min="7" max="7" width="10" customWidth="1"/>
    <col min="8" max="10" width="16" customWidth="1"/>
    <col min="11" max="11" width="10" customWidth="1"/>
    <col min="12" max="12" width="14" customWidth="1"/>
    <col min="13" max="14" width="16" customWidth="1"/>
  </cols>
  <sheetData>
    <row r="1" ht="34" customHeight="1" spans="1:14" x14ac:dyDescent="0.25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" customHeight="1" spans="1:14" x14ac:dyDescent="0.25">
      <c r="A2" s="2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30" customHeight="1" spans="1:14" x14ac:dyDescent="0.25">
      <c r="A4" s="7" t="s">
        <v>22</v>
      </c>
      <c r="B4" s="7" t="s">
        <v>51</v>
      </c>
      <c r="C4" s="7" t="s">
        <v>34</v>
      </c>
      <c r="D4" s="7" t="s">
        <v>35</v>
      </c>
      <c r="E4" s="7" t="s">
        <v>23</v>
      </c>
      <c r="F4" s="7" t="s">
        <v>52</v>
      </c>
      <c r="G4" s="7" t="s">
        <v>53</v>
      </c>
      <c r="H4" s="7" t="s">
        <v>54</v>
      </c>
      <c r="I4" s="7" t="s">
        <v>24</v>
      </c>
      <c r="J4" s="7" t="s">
        <v>55</v>
      </c>
      <c r="K4" s="7" t="s">
        <v>56</v>
      </c>
      <c r="L4" s="7" t="s">
        <v>57</v>
      </c>
      <c r="M4" s="7" t="s">
        <v>58</v>
      </c>
      <c r="N4" s="7" t="s">
        <v>59</v>
      </c>
    </row>
    <row r="5" spans="2:14" x14ac:dyDescent="0.25">
      <c r="B5" s="19">
        <v>46266.875</v>
      </c>
      <c r="C5" s="8" t="s">
        <v>41</v>
      </c>
      <c r="D5" s="20">
        <f>IFERROR(IF($C5="","",VLOOKUP($C5,'Ürün Kartları'!$B$5:$C$154,2,FALSE)),"— tanımsız ürün —")</f>
      </c>
      <c r="E5" s="8" t="s">
        <v>28</v>
      </c>
      <c r="F5" s="10">
        <v>899</v>
      </c>
      <c r="G5" s="11">
        <v>3</v>
      </c>
      <c r="H5" s="16">
        <f>IF(OR($F5="",$G5=""),0,$F5*$G5)</f>
      </c>
      <c r="I5" s="16">
        <f>IFERROR(IF($E5="",0,$H5*VLOOKUP($E5,'Pazaryeri Kartları'!$B$5:$C$24,2,FALSE)+VLOOKUP($E5,'Pazaryeri Kartları'!$B$5:$D$24,3,FALSE)*$G5),0)</f>
      </c>
      <c r="J5" s="16">
        <f>IFERROR(IF($C5="",0,VLOOKUP($C5,'Ürün Kartları'!$B$5:$G$154,6,FALSE)*$G5),0)</f>
      </c>
      <c r="K5" s="11">
        <v>0</v>
      </c>
      <c r="L5" s="10">
        <v>45</v>
      </c>
      <c r="M5" s="21">
        <f>IF($C5="","",IF($K5=1,-($J5*0.5)-$L5,$H5-$I5-$J5-$L5))</f>
      </c>
      <c r="N5" s="22">
        <f>IF(OR($C5="",$H5=0),"",$M5/$H5)</f>
      </c>
    </row>
    <row r="6" spans="2:14" x14ac:dyDescent="0.25">
      <c r="B6" s="23">
        <v>46267.875</v>
      </c>
      <c r="C6" s="12" t="s">
        <v>43</v>
      </c>
      <c r="D6" s="20">
        <f>IFERROR(IF($C6="","",VLOOKUP($C6,'Ürün Kartları'!$B$5:$C$154,2,FALSE)),"— tanımsız ürün —")</f>
      </c>
      <c r="E6" s="12" t="s">
        <v>29</v>
      </c>
      <c r="F6" s="14">
        <v>149</v>
      </c>
      <c r="G6" s="15">
        <v>12</v>
      </c>
      <c r="H6" s="16">
        <f>IF(OR($F6="",$G6=""),0,$F6*$G6)</f>
      </c>
      <c r="I6" s="16">
        <f>IFERROR(IF($E6="",0,$H6*VLOOKUP($E6,'Pazaryeri Kartları'!$B$5:$C$24,2,FALSE)+VLOOKUP($E6,'Pazaryeri Kartları'!$B$5:$D$24,3,FALSE)*$G6),0)</f>
      </c>
      <c r="J6" s="16">
        <f>IFERROR(IF($C6="",0,VLOOKUP($C6,'Ürün Kartları'!$B$5:$G$154,6,FALSE)*$G6),0)</f>
      </c>
      <c r="K6" s="15">
        <v>1</v>
      </c>
      <c r="L6" s="14">
        <v>30</v>
      </c>
      <c r="M6" s="21">
        <f>IF($C6="","",IF($K6=1,-($J6*0.5)-$L6,$H6-$I6-$J6-$L6))</f>
      </c>
      <c r="N6" s="22">
        <f>IF(OR($C6="",$H6=0),"",$M6/$H6)</f>
      </c>
    </row>
    <row r="7" spans="2:14" x14ac:dyDescent="0.25">
      <c r="B7" s="19">
        <v>46269.875</v>
      </c>
      <c r="C7" s="8" t="s">
        <v>47</v>
      </c>
      <c r="D7" s="20">
        <f>IFERROR(IF($C7="","",VLOOKUP($C7,'Ürün Kartları'!$B$5:$C$154,2,FALSE)),"— tanımsız ürün —")</f>
      </c>
      <c r="E7" s="8" t="s">
        <v>28</v>
      </c>
      <c r="F7" s="10">
        <v>749</v>
      </c>
      <c r="G7" s="11">
        <v>5</v>
      </c>
      <c r="H7" s="16">
        <f>IF(OR($F7="",$G7=""),0,$F7*$G7)</f>
      </c>
      <c r="I7" s="16">
        <f>IFERROR(IF($E7="",0,$H7*VLOOKUP($E7,'Pazaryeri Kartları'!$B$5:$C$24,2,FALSE)+VLOOKUP($E7,'Pazaryeri Kartları'!$B$5:$D$24,3,FALSE)*$G7),0)</f>
      </c>
      <c r="J7" s="16">
        <f>IFERROR(IF($C7="",0,VLOOKUP($C7,'Ürün Kartları'!$B$5:$G$154,6,FALSE)*$G7),0)</f>
      </c>
      <c r="K7" s="11">
        <v>0</v>
      </c>
      <c r="L7" s="10">
        <v>80</v>
      </c>
      <c r="M7" s="21">
        <f>IF($C7="","",IF($K7=1,-($J7*0.5)-$L7,$H7-$I7-$J7-$L7))</f>
      </c>
      <c r="N7" s="22">
        <f>IF(OR($C7="",$H7=0),"",$M7/$H7)</f>
      </c>
    </row>
    <row r="8" spans="2:14" x14ac:dyDescent="0.25">
      <c r="B8" s="23"/>
      <c r="C8" s="12"/>
      <c r="D8" s="20">
        <f>IFERROR(IF($C8="","",VLOOKUP($C8,'Ürün Kartları'!$B$5:$C$154,2,FALSE)),"— tanımsız ürün —")</f>
      </c>
      <c r="E8" s="12"/>
      <c r="F8" s="14"/>
      <c r="G8" s="15"/>
      <c r="H8" s="16">
        <f>IF(OR($F8="",$G8=""),0,$F8*$G8)</f>
      </c>
      <c r="I8" s="16">
        <f>IFERROR(IF($E8="",0,$H8*VLOOKUP($E8,'Pazaryeri Kartları'!$B$5:$C$24,2,FALSE)+VLOOKUP($E8,'Pazaryeri Kartları'!$B$5:$D$24,3,FALSE)*$G8),0)</f>
      </c>
      <c r="J8" s="16">
        <f>IFERROR(IF($C8="",0,VLOOKUP($C8,'Ürün Kartları'!$B$5:$G$154,6,FALSE)*$G8),0)</f>
      </c>
      <c r="K8" s="15"/>
      <c r="L8" s="14"/>
      <c r="M8" s="21">
        <f>IF($C8="","",IF($K8=1,-($J8*0.5)-$L8,$H8-$I8-$J8-$L8))</f>
      </c>
      <c r="N8" s="22">
        <f>IF(OR($C8="",$H8=0),"",$M8/$H8)</f>
      </c>
    </row>
    <row r="9" spans="2:14" x14ac:dyDescent="0.25">
      <c r="B9" s="19"/>
      <c r="C9" s="8"/>
      <c r="D9" s="20">
        <f>IFERROR(IF($C9="","",VLOOKUP($C9,'Ürün Kartları'!$B$5:$C$154,2,FALSE)),"— tanımsız ürün —")</f>
      </c>
      <c r="E9" s="8"/>
      <c r="F9" s="10"/>
      <c r="G9" s="11"/>
      <c r="H9" s="16">
        <f>IF(OR($F9="",$G9=""),0,$F9*$G9)</f>
      </c>
      <c r="I9" s="16">
        <f>IFERROR(IF($E9="",0,$H9*VLOOKUP($E9,'Pazaryeri Kartları'!$B$5:$C$24,2,FALSE)+VLOOKUP($E9,'Pazaryeri Kartları'!$B$5:$D$24,3,FALSE)*$G9),0)</f>
      </c>
      <c r="J9" s="16">
        <f>IFERROR(IF($C9="",0,VLOOKUP($C9,'Ürün Kartları'!$B$5:$G$154,6,FALSE)*$G9),0)</f>
      </c>
      <c r="K9" s="11"/>
      <c r="L9" s="10"/>
      <c r="M9" s="21">
        <f>IF($C9="","",IF($K9=1,-($J9*0.5)-$L9,$H9-$I9-$J9-$L9))</f>
      </c>
      <c r="N9" s="22">
        <f>IF(OR($C9="",$H9=0),"",$M9/$H9)</f>
      </c>
    </row>
    <row r="10" spans="2:14" x14ac:dyDescent="0.25">
      <c r="B10" s="23"/>
      <c r="C10" s="12"/>
      <c r="D10" s="20">
        <f>IFERROR(IF($C10="","",VLOOKUP($C10,'Ürün Kartları'!$B$5:$C$154,2,FALSE)),"— tanımsız ürün —")</f>
      </c>
      <c r="E10" s="12"/>
      <c r="F10" s="14"/>
      <c r="G10" s="15"/>
      <c r="H10" s="16">
        <f>IF(OR($F10="",$G10=""),0,$F10*$G10)</f>
      </c>
      <c r="I10" s="16">
        <f>IFERROR(IF($E10="",0,$H10*VLOOKUP($E10,'Pazaryeri Kartları'!$B$5:$C$24,2,FALSE)+VLOOKUP($E10,'Pazaryeri Kartları'!$B$5:$D$24,3,FALSE)*$G10),0)</f>
      </c>
      <c r="J10" s="16">
        <f>IFERROR(IF($C10="",0,VLOOKUP($C10,'Ürün Kartları'!$B$5:$G$154,6,FALSE)*$G10),0)</f>
      </c>
      <c r="K10" s="15"/>
      <c r="L10" s="14"/>
      <c r="M10" s="21">
        <f>IF($C10="","",IF($K10=1,-($J10*0.5)-$L10,$H10-$I10-$J10-$L10))</f>
      </c>
      <c r="N10" s="22">
        <f>IF(OR($C10="",$H10=0),"",$M10/$H10)</f>
      </c>
    </row>
    <row r="11" spans="2:14" x14ac:dyDescent="0.25">
      <c r="B11" s="19"/>
      <c r="C11" s="8"/>
      <c r="D11" s="20">
        <f>IFERROR(IF($C11="","",VLOOKUP($C11,'Ürün Kartları'!$B$5:$C$154,2,FALSE)),"— tanımsız ürün —")</f>
      </c>
      <c r="E11" s="8"/>
      <c r="F11" s="10"/>
      <c r="G11" s="11"/>
      <c r="H11" s="16">
        <f>IF(OR($F11="",$G11=""),0,$F11*$G11)</f>
      </c>
      <c r="I11" s="16">
        <f>IFERROR(IF($E11="",0,$H11*VLOOKUP($E11,'Pazaryeri Kartları'!$B$5:$C$24,2,FALSE)+VLOOKUP($E11,'Pazaryeri Kartları'!$B$5:$D$24,3,FALSE)*$G11),0)</f>
      </c>
      <c r="J11" s="16">
        <f>IFERROR(IF($C11="",0,VLOOKUP($C11,'Ürün Kartları'!$B$5:$G$154,6,FALSE)*$G11),0)</f>
      </c>
      <c r="K11" s="11"/>
      <c r="L11" s="10"/>
      <c r="M11" s="21">
        <f>IF($C11="","",IF($K11=1,-($J11*0.5)-$L11,$H11-$I11-$J11-$L11))</f>
      </c>
      <c r="N11" s="22">
        <f>IF(OR($C11="",$H11=0),"",$M11/$H11)</f>
      </c>
    </row>
    <row r="12" spans="2:14" x14ac:dyDescent="0.25">
      <c r="B12" s="23"/>
      <c r="C12" s="12"/>
      <c r="D12" s="20">
        <f>IFERROR(IF($C12="","",VLOOKUP($C12,'Ürün Kartları'!$B$5:$C$154,2,FALSE)),"— tanımsız ürün —")</f>
      </c>
      <c r="E12" s="12"/>
      <c r="F12" s="14"/>
      <c r="G12" s="15"/>
      <c r="H12" s="16">
        <f>IF(OR($F12="",$G12=""),0,$F12*$G12)</f>
      </c>
      <c r="I12" s="16">
        <f>IFERROR(IF($E12="",0,$H12*VLOOKUP($E12,'Pazaryeri Kartları'!$B$5:$C$24,2,FALSE)+VLOOKUP($E12,'Pazaryeri Kartları'!$B$5:$D$24,3,FALSE)*$G12),0)</f>
      </c>
      <c r="J12" s="16">
        <f>IFERROR(IF($C12="",0,VLOOKUP($C12,'Ürün Kartları'!$B$5:$G$154,6,FALSE)*$G12),0)</f>
      </c>
      <c r="K12" s="15"/>
      <c r="L12" s="14"/>
      <c r="M12" s="21">
        <f>IF($C12="","",IF($K12=1,-($J12*0.5)-$L12,$H12-$I12-$J12-$L12))</f>
      </c>
      <c r="N12" s="22">
        <f>IF(OR($C12="",$H12=0),"",$M12/$H12)</f>
      </c>
    </row>
    <row r="13" spans="2:14" x14ac:dyDescent="0.25">
      <c r="B13" s="19"/>
      <c r="C13" s="8"/>
      <c r="D13" s="20">
        <f>IFERROR(IF($C13="","",VLOOKUP($C13,'Ürün Kartları'!$B$5:$C$154,2,FALSE)),"— tanımsız ürün —")</f>
      </c>
      <c r="E13" s="8"/>
      <c r="F13" s="10"/>
      <c r="G13" s="11"/>
      <c r="H13" s="16">
        <f>IF(OR($F13="",$G13=""),0,$F13*$G13)</f>
      </c>
      <c r="I13" s="16">
        <f>IFERROR(IF($E13="",0,$H13*VLOOKUP($E13,'Pazaryeri Kartları'!$B$5:$C$24,2,FALSE)+VLOOKUP($E13,'Pazaryeri Kartları'!$B$5:$D$24,3,FALSE)*$G13),0)</f>
      </c>
      <c r="J13" s="16">
        <f>IFERROR(IF($C13="",0,VLOOKUP($C13,'Ürün Kartları'!$B$5:$G$154,6,FALSE)*$G13),0)</f>
      </c>
      <c r="K13" s="11"/>
      <c r="L13" s="10"/>
      <c r="M13" s="21">
        <f>IF($C13="","",IF($K13=1,-($J13*0.5)-$L13,$H13-$I13-$J13-$L13))</f>
      </c>
      <c r="N13" s="22">
        <f>IF(OR($C13="",$H13=0),"",$M13/$H13)</f>
      </c>
    </row>
    <row r="14" spans="2:14" x14ac:dyDescent="0.25">
      <c r="B14" s="23"/>
      <c r="C14" s="12"/>
      <c r="D14" s="20">
        <f>IFERROR(IF($C14="","",VLOOKUP($C14,'Ürün Kartları'!$B$5:$C$154,2,FALSE)),"— tanımsız ürün —")</f>
      </c>
      <c r="E14" s="12"/>
      <c r="F14" s="14"/>
      <c r="G14" s="15"/>
      <c r="H14" s="16">
        <f>IF(OR($F14="",$G14=""),0,$F14*$G14)</f>
      </c>
      <c r="I14" s="16">
        <f>IFERROR(IF($E14="",0,$H14*VLOOKUP($E14,'Pazaryeri Kartları'!$B$5:$C$24,2,FALSE)+VLOOKUP($E14,'Pazaryeri Kartları'!$B$5:$D$24,3,FALSE)*$G14),0)</f>
      </c>
      <c r="J14" s="16">
        <f>IFERROR(IF($C14="",0,VLOOKUP($C14,'Ürün Kartları'!$B$5:$G$154,6,FALSE)*$G14),0)</f>
      </c>
      <c r="K14" s="15"/>
      <c r="L14" s="14"/>
      <c r="M14" s="21">
        <f>IF($C14="","",IF($K14=1,-($J14*0.5)-$L14,$H14-$I14-$J14-$L14))</f>
      </c>
      <c r="N14" s="22">
        <f>IF(OR($C14="",$H14=0),"",$M14/$H14)</f>
      </c>
    </row>
    <row r="15" spans="2:14" x14ac:dyDescent="0.25">
      <c r="B15" s="19"/>
      <c r="C15" s="8"/>
      <c r="D15" s="20">
        <f>IFERROR(IF($C15="","",VLOOKUP($C15,'Ürün Kartları'!$B$5:$C$154,2,FALSE)),"— tanımsız ürün —")</f>
      </c>
      <c r="E15" s="8"/>
      <c r="F15" s="10"/>
      <c r="G15" s="11"/>
      <c r="H15" s="16">
        <f>IF(OR($F15="",$G15=""),0,$F15*$G15)</f>
      </c>
      <c r="I15" s="16">
        <f>IFERROR(IF($E15="",0,$H15*VLOOKUP($E15,'Pazaryeri Kartları'!$B$5:$C$24,2,FALSE)+VLOOKUP($E15,'Pazaryeri Kartları'!$B$5:$D$24,3,FALSE)*$G15),0)</f>
      </c>
      <c r="J15" s="16">
        <f>IFERROR(IF($C15="",0,VLOOKUP($C15,'Ürün Kartları'!$B$5:$G$154,6,FALSE)*$G15),0)</f>
      </c>
      <c r="K15" s="11"/>
      <c r="L15" s="10"/>
      <c r="M15" s="21">
        <f>IF($C15="","",IF($K15=1,-($J15*0.5)-$L15,$H15-$I15-$J15-$L15))</f>
      </c>
      <c r="N15" s="22">
        <f>IF(OR($C15="",$H15=0),"",$M15/$H15)</f>
      </c>
    </row>
    <row r="16" spans="2:14" x14ac:dyDescent="0.25">
      <c r="B16" s="23"/>
      <c r="C16" s="12"/>
      <c r="D16" s="20">
        <f>IFERROR(IF($C16="","",VLOOKUP($C16,'Ürün Kartları'!$B$5:$C$154,2,FALSE)),"— tanımsız ürün —")</f>
      </c>
      <c r="E16" s="12"/>
      <c r="F16" s="14"/>
      <c r="G16" s="15"/>
      <c r="H16" s="16">
        <f>IF(OR($F16="",$G16=""),0,$F16*$G16)</f>
      </c>
      <c r="I16" s="16">
        <f>IFERROR(IF($E16="",0,$H16*VLOOKUP($E16,'Pazaryeri Kartları'!$B$5:$C$24,2,FALSE)+VLOOKUP($E16,'Pazaryeri Kartları'!$B$5:$D$24,3,FALSE)*$G16),0)</f>
      </c>
      <c r="J16" s="16">
        <f>IFERROR(IF($C16="",0,VLOOKUP($C16,'Ürün Kartları'!$B$5:$G$154,6,FALSE)*$G16),0)</f>
      </c>
      <c r="K16" s="15"/>
      <c r="L16" s="14"/>
      <c r="M16" s="21">
        <f>IF($C16="","",IF($K16=1,-($J16*0.5)-$L16,$H16-$I16-$J16-$L16))</f>
      </c>
      <c r="N16" s="22">
        <f>IF(OR($C16="",$H16=0),"",$M16/$H16)</f>
      </c>
    </row>
    <row r="17" spans="2:14" x14ac:dyDescent="0.25">
      <c r="B17" s="19"/>
      <c r="C17" s="8"/>
      <c r="D17" s="20">
        <f>IFERROR(IF($C17="","",VLOOKUP($C17,'Ürün Kartları'!$B$5:$C$154,2,FALSE)),"— tanımsız ürün —")</f>
      </c>
      <c r="E17" s="8"/>
      <c r="F17" s="10"/>
      <c r="G17" s="11"/>
      <c r="H17" s="16">
        <f>IF(OR($F17="",$G17=""),0,$F17*$G17)</f>
      </c>
      <c r="I17" s="16">
        <f>IFERROR(IF($E17="",0,$H17*VLOOKUP($E17,'Pazaryeri Kartları'!$B$5:$C$24,2,FALSE)+VLOOKUP($E17,'Pazaryeri Kartları'!$B$5:$D$24,3,FALSE)*$G17),0)</f>
      </c>
      <c r="J17" s="16">
        <f>IFERROR(IF($C17="",0,VLOOKUP($C17,'Ürün Kartları'!$B$5:$G$154,6,FALSE)*$G17),0)</f>
      </c>
      <c r="K17" s="11"/>
      <c r="L17" s="10"/>
      <c r="M17" s="21">
        <f>IF($C17="","",IF($K17=1,-($J17*0.5)-$L17,$H17-$I17-$J17-$L17))</f>
      </c>
      <c r="N17" s="22">
        <f>IF(OR($C17="",$H17=0),"",$M17/$H17)</f>
      </c>
    </row>
    <row r="18" spans="2:14" x14ac:dyDescent="0.25">
      <c r="B18" s="23"/>
      <c r="C18" s="12"/>
      <c r="D18" s="20">
        <f>IFERROR(IF($C18="","",VLOOKUP($C18,'Ürün Kartları'!$B$5:$C$154,2,FALSE)),"— tanımsız ürün —")</f>
      </c>
      <c r="E18" s="12"/>
      <c r="F18" s="14"/>
      <c r="G18" s="15"/>
      <c r="H18" s="16">
        <f>IF(OR($F18="",$G18=""),0,$F18*$G18)</f>
      </c>
      <c r="I18" s="16">
        <f>IFERROR(IF($E18="",0,$H18*VLOOKUP($E18,'Pazaryeri Kartları'!$B$5:$C$24,2,FALSE)+VLOOKUP($E18,'Pazaryeri Kartları'!$B$5:$D$24,3,FALSE)*$G18),0)</f>
      </c>
      <c r="J18" s="16">
        <f>IFERROR(IF($C18="",0,VLOOKUP($C18,'Ürün Kartları'!$B$5:$G$154,6,FALSE)*$G18),0)</f>
      </c>
      <c r="K18" s="15"/>
      <c r="L18" s="14"/>
      <c r="M18" s="21">
        <f>IF($C18="","",IF($K18=1,-($J18*0.5)-$L18,$H18-$I18-$J18-$L18))</f>
      </c>
      <c r="N18" s="22">
        <f>IF(OR($C18="",$H18=0),"",$M18/$H18)</f>
      </c>
    </row>
    <row r="19" spans="2:14" x14ac:dyDescent="0.25">
      <c r="B19" s="19"/>
      <c r="C19" s="8"/>
      <c r="D19" s="20">
        <f>IFERROR(IF($C19="","",VLOOKUP($C19,'Ürün Kartları'!$B$5:$C$154,2,FALSE)),"— tanımsız ürün —")</f>
      </c>
      <c r="E19" s="8"/>
      <c r="F19" s="10"/>
      <c r="G19" s="11"/>
      <c r="H19" s="16">
        <f>IF(OR($F19="",$G19=""),0,$F19*$G19)</f>
      </c>
      <c r="I19" s="16">
        <f>IFERROR(IF($E19="",0,$H19*VLOOKUP($E19,'Pazaryeri Kartları'!$B$5:$C$24,2,FALSE)+VLOOKUP($E19,'Pazaryeri Kartları'!$B$5:$D$24,3,FALSE)*$G19),0)</f>
      </c>
      <c r="J19" s="16">
        <f>IFERROR(IF($C19="",0,VLOOKUP($C19,'Ürün Kartları'!$B$5:$G$154,6,FALSE)*$G19),0)</f>
      </c>
      <c r="K19" s="11"/>
      <c r="L19" s="10"/>
      <c r="M19" s="21">
        <f>IF($C19="","",IF($K19=1,-($J19*0.5)-$L19,$H19-$I19-$J19-$L19))</f>
      </c>
      <c r="N19" s="22">
        <f>IF(OR($C19="",$H19=0),"",$M19/$H19)</f>
      </c>
    </row>
    <row r="20" spans="2:14" x14ac:dyDescent="0.25">
      <c r="B20" s="23"/>
      <c r="C20" s="12"/>
      <c r="D20" s="20">
        <f>IFERROR(IF($C20="","",VLOOKUP($C20,'Ürün Kartları'!$B$5:$C$154,2,FALSE)),"— tanımsız ürün —")</f>
      </c>
      <c r="E20" s="12"/>
      <c r="F20" s="14"/>
      <c r="G20" s="15"/>
      <c r="H20" s="16">
        <f>IF(OR($F20="",$G20=""),0,$F20*$G20)</f>
      </c>
      <c r="I20" s="16">
        <f>IFERROR(IF($E20="",0,$H20*VLOOKUP($E20,'Pazaryeri Kartları'!$B$5:$C$24,2,FALSE)+VLOOKUP($E20,'Pazaryeri Kartları'!$B$5:$D$24,3,FALSE)*$G20),0)</f>
      </c>
      <c r="J20" s="16">
        <f>IFERROR(IF($C20="",0,VLOOKUP($C20,'Ürün Kartları'!$B$5:$G$154,6,FALSE)*$G20),0)</f>
      </c>
      <c r="K20" s="15"/>
      <c r="L20" s="14"/>
      <c r="M20" s="21">
        <f>IF($C20="","",IF($K20=1,-($J20*0.5)-$L20,$H20-$I20-$J20-$L20))</f>
      </c>
      <c r="N20" s="22">
        <f>IF(OR($C20="",$H20=0),"",$M20/$H20)</f>
      </c>
    </row>
    <row r="21" spans="2:14" x14ac:dyDescent="0.25">
      <c r="B21" s="19"/>
      <c r="C21" s="8"/>
      <c r="D21" s="20">
        <f>IFERROR(IF($C21="","",VLOOKUP($C21,'Ürün Kartları'!$B$5:$C$154,2,FALSE)),"— tanımsız ürün —")</f>
      </c>
      <c r="E21" s="8"/>
      <c r="F21" s="10"/>
      <c r="G21" s="11"/>
      <c r="H21" s="16">
        <f>IF(OR($F21="",$G21=""),0,$F21*$G21)</f>
      </c>
      <c r="I21" s="16">
        <f>IFERROR(IF($E21="",0,$H21*VLOOKUP($E21,'Pazaryeri Kartları'!$B$5:$C$24,2,FALSE)+VLOOKUP($E21,'Pazaryeri Kartları'!$B$5:$D$24,3,FALSE)*$G21),0)</f>
      </c>
      <c r="J21" s="16">
        <f>IFERROR(IF($C21="",0,VLOOKUP($C21,'Ürün Kartları'!$B$5:$G$154,6,FALSE)*$G21),0)</f>
      </c>
      <c r="K21" s="11"/>
      <c r="L21" s="10"/>
      <c r="M21" s="21">
        <f>IF($C21="","",IF($K21=1,-($J21*0.5)-$L21,$H21-$I21-$J21-$L21))</f>
      </c>
      <c r="N21" s="22">
        <f>IF(OR($C21="",$H21=0),"",$M21/$H21)</f>
      </c>
    </row>
    <row r="22" spans="2:14" x14ac:dyDescent="0.25">
      <c r="B22" s="23"/>
      <c r="C22" s="12"/>
      <c r="D22" s="20">
        <f>IFERROR(IF($C22="","",VLOOKUP($C22,'Ürün Kartları'!$B$5:$C$154,2,FALSE)),"— tanımsız ürün —")</f>
      </c>
      <c r="E22" s="12"/>
      <c r="F22" s="14"/>
      <c r="G22" s="15"/>
      <c r="H22" s="16">
        <f>IF(OR($F22="",$G22=""),0,$F22*$G22)</f>
      </c>
      <c r="I22" s="16">
        <f>IFERROR(IF($E22="",0,$H22*VLOOKUP($E22,'Pazaryeri Kartları'!$B$5:$C$24,2,FALSE)+VLOOKUP($E22,'Pazaryeri Kartları'!$B$5:$D$24,3,FALSE)*$G22),0)</f>
      </c>
      <c r="J22" s="16">
        <f>IFERROR(IF($C22="",0,VLOOKUP($C22,'Ürün Kartları'!$B$5:$G$154,6,FALSE)*$G22),0)</f>
      </c>
      <c r="K22" s="15"/>
      <c r="L22" s="14"/>
      <c r="M22" s="21">
        <f>IF($C22="","",IF($K22=1,-($J22*0.5)-$L22,$H22-$I22-$J22-$L22))</f>
      </c>
      <c r="N22" s="22">
        <f>IF(OR($C22="",$H22=0),"",$M22/$H22)</f>
      </c>
    </row>
    <row r="23" spans="2:14" x14ac:dyDescent="0.25">
      <c r="B23" s="19"/>
      <c r="C23" s="8"/>
      <c r="D23" s="20">
        <f>IFERROR(IF($C23="","",VLOOKUP($C23,'Ürün Kartları'!$B$5:$C$154,2,FALSE)),"— tanımsız ürün —")</f>
      </c>
      <c r="E23" s="8"/>
      <c r="F23" s="10"/>
      <c r="G23" s="11"/>
      <c r="H23" s="16">
        <f>IF(OR($F23="",$G23=""),0,$F23*$G23)</f>
      </c>
      <c r="I23" s="16">
        <f>IFERROR(IF($E23="",0,$H23*VLOOKUP($E23,'Pazaryeri Kartları'!$B$5:$C$24,2,FALSE)+VLOOKUP($E23,'Pazaryeri Kartları'!$B$5:$D$24,3,FALSE)*$G23),0)</f>
      </c>
      <c r="J23" s="16">
        <f>IFERROR(IF($C23="",0,VLOOKUP($C23,'Ürün Kartları'!$B$5:$G$154,6,FALSE)*$G23),0)</f>
      </c>
      <c r="K23" s="11"/>
      <c r="L23" s="10"/>
      <c r="M23" s="21">
        <f>IF($C23="","",IF($K23=1,-($J23*0.5)-$L23,$H23-$I23-$J23-$L23))</f>
      </c>
      <c r="N23" s="22">
        <f>IF(OR($C23="",$H23=0),"",$M23/$H23)</f>
      </c>
    </row>
    <row r="24" spans="2:14" x14ac:dyDescent="0.25">
      <c r="B24" s="23"/>
      <c r="C24" s="12"/>
      <c r="D24" s="20">
        <f>IFERROR(IF($C24="","",VLOOKUP($C24,'Ürün Kartları'!$B$5:$C$154,2,FALSE)),"— tanımsız ürün —")</f>
      </c>
      <c r="E24" s="12"/>
      <c r="F24" s="14"/>
      <c r="G24" s="15"/>
      <c r="H24" s="16">
        <f>IF(OR($F24="",$G24=""),0,$F24*$G24)</f>
      </c>
      <c r="I24" s="16">
        <f>IFERROR(IF($E24="",0,$H24*VLOOKUP($E24,'Pazaryeri Kartları'!$B$5:$C$24,2,FALSE)+VLOOKUP($E24,'Pazaryeri Kartları'!$B$5:$D$24,3,FALSE)*$G24),0)</f>
      </c>
      <c r="J24" s="16">
        <f>IFERROR(IF($C24="",0,VLOOKUP($C24,'Ürün Kartları'!$B$5:$G$154,6,FALSE)*$G24),0)</f>
      </c>
      <c r="K24" s="15"/>
      <c r="L24" s="14"/>
      <c r="M24" s="21">
        <f>IF($C24="","",IF($K24=1,-($J24*0.5)-$L24,$H24-$I24-$J24-$L24))</f>
      </c>
      <c r="N24" s="22">
        <f>IF(OR($C24="",$H24=0),"",$M24/$H24)</f>
      </c>
    </row>
    <row r="25" spans="2:14" x14ac:dyDescent="0.25">
      <c r="B25" s="19"/>
      <c r="C25" s="8"/>
      <c r="D25" s="20">
        <f>IFERROR(IF($C25="","",VLOOKUP($C25,'Ürün Kartları'!$B$5:$C$154,2,FALSE)),"— tanımsız ürün —")</f>
      </c>
      <c r="E25" s="8"/>
      <c r="F25" s="10"/>
      <c r="G25" s="11"/>
      <c r="H25" s="16">
        <f>IF(OR($F25="",$G25=""),0,$F25*$G25)</f>
      </c>
      <c r="I25" s="16">
        <f>IFERROR(IF($E25="",0,$H25*VLOOKUP($E25,'Pazaryeri Kartları'!$B$5:$C$24,2,FALSE)+VLOOKUP($E25,'Pazaryeri Kartları'!$B$5:$D$24,3,FALSE)*$G25),0)</f>
      </c>
      <c r="J25" s="16">
        <f>IFERROR(IF($C25="",0,VLOOKUP($C25,'Ürün Kartları'!$B$5:$G$154,6,FALSE)*$G25),0)</f>
      </c>
      <c r="K25" s="11"/>
      <c r="L25" s="10"/>
      <c r="M25" s="21">
        <f>IF($C25="","",IF($K25=1,-($J25*0.5)-$L25,$H25-$I25-$J25-$L25))</f>
      </c>
      <c r="N25" s="22">
        <f>IF(OR($C25="",$H25=0),"",$M25/$H25)</f>
      </c>
    </row>
    <row r="26" spans="2:14" x14ac:dyDescent="0.25">
      <c r="B26" s="23"/>
      <c r="C26" s="12"/>
      <c r="D26" s="20">
        <f>IFERROR(IF($C26="","",VLOOKUP($C26,'Ürün Kartları'!$B$5:$C$154,2,FALSE)),"— tanımsız ürün —")</f>
      </c>
      <c r="E26" s="12"/>
      <c r="F26" s="14"/>
      <c r="G26" s="15"/>
      <c r="H26" s="16">
        <f>IF(OR($F26="",$G26=""),0,$F26*$G26)</f>
      </c>
      <c r="I26" s="16">
        <f>IFERROR(IF($E26="",0,$H26*VLOOKUP($E26,'Pazaryeri Kartları'!$B$5:$C$24,2,FALSE)+VLOOKUP($E26,'Pazaryeri Kartları'!$B$5:$D$24,3,FALSE)*$G26),0)</f>
      </c>
      <c r="J26" s="16">
        <f>IFERROR(IF($C26="",0,VLOOKUP($C26,'Ürün Kartları'!$B$5:$G$154,6,FALSE)*$G26),0)</f>
      </c>
      <c r="K26" s="15"/>
      <c r="L26" s="14"/>
      <c r="M26" s="21">
        <f>IF($C26="","",IF($K26=1,-($J26*0.5)-$L26,$H26-$I26-$J26-$L26))</f>
      </c>
      <c r="N26" s="22">
        <f>IF(OR($C26="",$H26=0),"",$M26/$H26)</f>
      </c>
    </row>
    <row r="27" spans="2:14" x14ac:dyDescent="0.25">
      <c r="B27" s="19"/>
      <c r="C27" s="8"/>
      <c r="D27" s="20">
        <f>IFERROR(IF($C27="","",VLOOKUP($C27,'Ürün Kartları'!$B$5:$C$154,2,FALSE)),"— tanımsız ürün —")</f>
      </c>
      <c r="E27" s="8"/>
      <c r="F27" s="10"/>
      <c r="G27" s="11"/>
      <c r="H27" s="16">
        <f>IF(OR($F27="",$G27=""),0,$F27*$G27)</f>
      </c>
      <c r="I27" s="16">
        <f>IFERROR(IF($E27="",0,$H27*VLOOKUP($E27,'Pazaryeri Kartları'!$B$5:$C$24,2,FALSE)+VLOOKUP($E27,'Pazaryeri Kartları'!$B$5:$D$24,3,FALSE)*$G27),0)</f>
      </c>
      <c r="J27" s="16">
        <f>IFERROR(IF($C27="",0,VLOOKUP($C27,'Ürün Kartları'!$B$5:$G$154,6,FALSE)*$G27),0)</f>
      </c>
      <c r="K27" s="11"/>
      <c r="L27" s="10"/>
      <c r="M27" s="21">
        <f>IF($C27="","",IF($K27=1,-($J27*0.5)-$L27,$H27-$I27-$J27-$L27))</f>
      </c>
      <c r="N27" s="22">
        <f>IF(OR($C27="",$H27=0),"",$M27/$H27)</f>
      </c>
    </row>
    <row r="28" spans="2:14" x14ac:dyDescent="0.25">
      <c r="B28" s="23"/>
      <c r="C28" s="12"/>
      <c r="D28" s="20">
        <f>IFERROR(IF($C28="","",VLOOKUP($C28,'Ürün Kartları'!$B$5:$C$154,2,FALSE)),"— tanımsız ürün —")</f>
      </c>
      <c r="E28" s="12"/>
      <c r="F28" s="14"/>
      <c r="G28" s="15"/>
      <c r="H28" s="16">
        <f>IF(OR($F28="",$G28=""),0,$F28*$G28)</f>
      </c>
      <c r="I28" s="16">
        <f>IFERROR(IF($E28="",0,$H28*VLOOKUP($E28,'Pazaryeri Kartları'!$B$5:$C$24,2,FALSE)+VLOOKUP($E28,'Pazaryeri Kartları'!$B$5:$D$24,3,FALSE)*$G28),0)</f>
      </c>
      <c r="J28" s="16">
        <f>IFERROR(IF($C28="",0,VLOOKUP($C28,'Ürün Kartları'!$B$5:$G$154,6,FALSE)*$G28),0)</f>
      </c>
      <c r="K28" s="15"/>
      <c r="L28" s="14"/>
      <c r="M28" s="21">
        <f>IF($C28="","",IF($K28=1,-($J28*0.5)-$L28,$H28-$I28-$J28-$L28))</f>
      </c>
      <c r="N28" s="22">
        <f>IF(OR($C28="",$H28=0),"",$M28/$H28)</f>
      </c>
    </row>
    <row r="29" spans="2:14" x14ac:dyDescent="0.25">
      <c r="B29" s="19"/>
      <c r="C29" s="8"/>
      <c r="D29" s="20">
        <f>IFERROR(IF($C29="","",VLOOKUP($C29,'Ürün Kartları'!$B$5:$C$154,2,FALSE)),"— tanımsız ürün —")</f>
      </c>
      <c r="E29" s="8"/>
      <c r="F29" s="10"/>
      <c r="G29" s="11"/>
      <c r="H29" s="16">
        <f>IF(OR($F29="",$G29=""),0,$F29*$G29)</f>
      </c>
      <c r="I29" s="16">
        <f>IFERROR(IF($E29="",0,$H29*VLOOKUP($E29,'Pazaryeri Kartları'!$B$5:$C$24,2,FALSE)+VLOOKUP($E29,'Pazaryeri Kartları'!$B$5:$D$24,3,FALSE)*$G29),0)</f>
      </c>
      <c r="J29" s="16">
        <f>IFERROR(IF($C29="",0,VLOOKUP($C29,'Ürün Kartları'!$B$5:$G$154,6,FALSE)*$G29),0)</f>
      </c>
      <c r="K29" s="11"/>
      <c r="L29" s="10"/>
      <c r="M29" s="21">
        <f>IF($C29="","",IF($K29=1,-($J29*0.5)-$L29,$H29-$I29-$J29-$L29))</f>
      </c>
      <c r="N29" s="22">
        <f>IF(OR($C29="",$H29=0),"",$M29/$H29)</f>
      </c>
    </row>
    <row r="30" spans="2:14" x14ac:dyDescent="0.25">
      <c r="B30" s="23"/>
      <c r="C30" s="12"/>
      <c r="D30" s="20">
        <f>IFERROR(IF($C30="","",VLOOKUP($C30,'Ürün Kartları'!$B$5:$C$154,2,FALSE)),"— tanımsız ürün —")</f>
      </c>
      <c r="E30" s="12"/>
      <c r="F30" s="14"/>
      <c r="G30" s="15"/>
      <c r="H30" s="16">
        <f>IF(OR($F30="",$G30=""),0,$F30*$G30)</f>
      </c>
      <c r="I30" s="16">
        <f>IFERROR(IF($E30="",0,$H30*VLOOKUP($E30,'Pazaryeri Kartları'!$B$5:$C$24,2,FALSE)+VLOOKUP($E30,'Pazaryeri Kartları'!$B$5:$D$24,3,FALSE)*$G30),0)</f>
      </c>
      <c r="J30" s="16">
        <f>IFERROR(IF($C30="",0,VLOOKUP($C30,'Ürün Kartları'!$B$5:$G$154,6,FALSE)*$G30),0)</f>
      </c>
      <c r="K30" s="15"/>
      <c r="L30" s="14"/>
      <c r="M30" s="21">
        <f>IF($C30="","",IF($K30=1,-($J30*0.5)-$L30,$H30-$I30-$J30-$L30))</f>
      </c>
      <c r="N30" s="22">
        <f>IF(OR($C30="",$H30=0),"",$M30/$H30)</f>
      </c>
    </row>
    <row r="31" spans="2:14" x14ac:dyDescent="0.25">
      <c r="B31" s="19"/>
      <c r="C31" s="8"/>
      <c r="D31" s="20">
        <f>IFERROR(IF($C31="","",VLOOKUP($C31,'Ürün Kartları'!$B$5:$C$154,2,FALSE)),"— tanımsız ürün —")</f>
      </c>
      <c r="E31" s="8"/>
      <c r="F31" s="10"/>
      <c r="G31" s="11"/>
      <c r="H31" s="16">
        <f>IF(OR($F31="",$G31=""),0,$F31*$G31)</f>
      </c>
      <c r="I31" s="16">
        <f>IFERROR(IF($E31="",0,$H31*VLOOKUP($E31,'Pazaryeri Kartları'!$B$5:$C$24,2,FALSE)+VLOOKUP($E31,'Pazaryeri Kartları'!$B$5:$D$24,3,FALSE)*$G31),0)</f>
      </c>
      <c r="J31" s="16">
        <f>IFERROR(IF($C31="",0,VLOOKUP($C31,'Ürün Kartları'!$B$5:$G$154,6,FALSE)*$G31),0)</f>
      </c>
      <c r="K31" s="11"/>
      <c r="L31" s="10"/>
      <c r="M31" s="21">
        <f>IF($C31="","",IF($K31=1,-($J31*0.5)-$L31,$H31-$I31-$J31-$L31))</f>
      </c>
      <c r="N31" s="22">
        <f>IF(OR($C31="",$H31=0),"",$M31/$H31)</f>
      </c>
    </row>
    <row r="32" spans="2:14" x14ac:dyDescent="0.25">
      <c r="B32" s="23"/>
      <c r="C32" s="12"/>
      <c r="D32" s="20">
        <f>IFERROR(IF($C32="","",VLOOKUP($C32,'Ürün Kartları'!$B$5:$C$154,2,FALSE)),"— tanımsız ürün —")</f>
      </c>
      <c r="E32" s="12"/>
      <c r="F32" s="14"/>
      <c r="G32" s="15"/>
      <c r="H32" s="16">
        <f>IF(OR($F32="",$G32=""),0,$F32*$G32)</f>
      </c>
      <c r="I32" s="16">
        <f>IFERROR(IF($E32="",0,$H32*VLOOKUP($E32,'Pazaryeri Kartları'!$B$5:$C$24,2,FALSE)+VLOOKUP($E32,'Pazaryeri Kartları'!$B$5:$D$24,3,FALSE)*$G32),0)</f>
      </c>
      <c r="J32" s="16">
        <f>IFERROR(IF($C32="",0,VLOOKUP($C32,'Ürün Kartları'!$B$5:$G$154,6,FALSE)*$G32),0)</f>
      </c>
      <c r="K32" s="15"/>
      <c r="L32" s="14"/>
      <c r="M32" s="21">
        <f>IF($C32="","",IF($K32=1,-($J32*0.5)-$L32,$H32-$I32-$J32-$L32))</f>
      </c>
      <c r="N32" s="22">
        <f>IF(OR($C32="",$H32=0),"",$M32/$H32)</f>
      </c>
    </row>
    <row r="33" spans="2:14" x14ac:dyDescent="0.25">
      <c r="B33" s="19"/>
      <c r="C33" s="8"/>
      <c r="D33" s="20">
        <f>IFERROR(IF($C33="","",VLOOKUP($C33,'Ürün Kartları'!$B$5:$C$154,2,FALSE)),"— tanımsız ürün —")</f>
      </c>
      <c r="E33" s="8"/>
      <c r="F33" s="10"/>
      <c r="G33" s="11"/>
      <c r="H33" s="16">
        <f>IF(OR($F33="",$G33=""),0,$F33*$G33)</f>
      </c>
      <c r="I33" s="16">
        <f>IFERROR(IF($E33="",0,$H33*VLOOKUP($E33,'Pazaryeri Kartları'!$B$5:$C$24,2,FALSE)+VLOOKUP($E33,'Pazaryeri Kartları'!$B$5:$D$24,3,FALSE)*$G33),0)</f>
      </c>
      <c r="J33" s="16">
        <f>IFERROR(IF($C33="",0,VLOOKUP($C33,'Ürün Kartları'!$B$5:$G$154,6,FALSE)*$G33),0)</f>
      </c>
      <c r="K33" s="11"/>
      <c r="L33" s="10"/>
      <c r="M33" s="21">
        <f>IF($C33="","",IF($K33=1,-($J33*0.5)-$L33,$H33-$I33-$J33-$L33))</f>
      </c>
      <c r="N33" s="22">
        <f>IF(OR($C33="",$H33=0),"",$M33/$H33)</f>
      </c>
    </row>
    <row r="34" spans="2:14" x14ac:dyDescent="0.25">
      <c r="B34" s="23"/>
      <c r="C34" s="12"/>
      <c r="D34" s="20">
        <f>IFERROR(IF($C34="","",VLOOKUP($C34,'Ürün Kartları'!$B$5:$C$154,2,FALSE)),"— tanımsız ürün —")</f>
      </c>
      <c r="E34" s="12"/>
      <c r="F34" s="14"/>
      <c r="G34" s="15"/>
      <c r="H34" s="16">
        <f>IF(OR($F34="",$G34=""),0,$F34*$G34)</f>
      </c>
      <c r="I34" s="16">
        <f>IFERROR(IF($E34="",0,$H34*VLOOKUP($E34,'Pazaryeri Kartları'!$B$5:$C$24,2,FALSE)+VLOOKUP($E34,'Pazaryeri Kartları'!$B$5:$D$24,3,FALSE)*$G34),0)</f>
      </c>
      <c r="J34" s="16">
        <f>IFERROR(IF($C34="",0,VLOOKUP($C34,'Ürün Kartları'!$B$5:$G$154,6,FALSE)*$G34),0)</f>
      </c>
      <c r="K34" s="15"/>
      <c r="L34" s="14"/>
      <c r="M34" s="21">
        <f>IF($C34="","",IF($K34=1,-($J34*0.5)-$L34,$H34-$I34-$J34-$L34))</f>
      </c>
      <c r="N34" s="22">
        <f>IF(OR($C34="",$H34=0),"",$M34/$H34)</f>
      </c>
    </row>
    <row r="35" spans="2:14" x14ac:dyDescent="0.25">
      <c r="B35" s="19"/>
      <c r="C35" s="8"/>
      <c r="D35" s="20">
        <f>IFERROR(IF($C35="","",VLOOKUP($C35,'Ürün Kartları'!$B$5:$C$154,2,FALSE)),"— tanımsız ürün —")</f>
      </c>
      <c r="E35" s="8"/>
      <c r="F35" s="10"/>
      <c r="G35" s="11"/>
      <c r="H35" s="16">
        <f>IF(OR($F35="",$G35=""),0,$F35*$G35)</f>
      </c>
      <c r="I35" s="16">
        <f>IFERROR(IF($E35="",0,$H35*VLOOKUP($E35,'Pazaryeri Kartları'!$B$5:$C$24,2,FALSE)+VLOOKUP($E35,'Pazaryeri Kartları'!$B$5:$D$24,3,FALSE)*$G35),0)</f>
      </c>
      <c r="J35" s="16">
        <f>IFERROR(IF($C35="",0,VLOOKUP($C35,'Ürün Kartları'!$B$5:$G$154,6,FALSE)*$G35),0)</f>
      </c>
      <c r="K35" s="11"/>
      <c r="L35" s="10"/>
      <c r="M35" s="21">
        <f>IF($C35="","",IF($K35=1,-($J35*0.5)-$L35,$H35-$I35-$J35-$L35))</f>
      </c>
      <c r="N35" s="22">
        <f>IF(OR($C35="",$H35=0),"",$M35/$H35)</f>
      </c>
    </row>
    <row r="36" spans="2:14" x14ac:dyDescent="0.25">
      <c r="B36" s="23"/>
      <c r="C36" s="12"/>
      <c r="D36" s="20">
        <f>IFERROR(IF($C36="","",VLOOKUP($C36,'Ürün Kartları'!$B$5:$C$154,2,FALSE)),"— tanımsız ürün —")</f>
      </c>
      <c r="E36" s="12"/>
      <c r="F36" s="14"/>
      <c r="G36" s="15"/>
      <c r="H36" s="16">
        <f>IF(OR($F36="",$G36=""),0,$F36*$G36)</f>
      </c>
      <c r="I36" s="16">
        <f>IFERROR(IF($E36="",0,$H36*VLOOKUP($E36,'Pazaryeri Kartları'!$B$5:$C$24,2,FALSE)+VLOOKUP($E36,'Pazaryeri Kartları'!$B$5:$D$24,3,FALSE)*$G36),0)</f>
      </c>
      <c r="J36" s="16">
        <f>IFERROR(IF($C36="",0,VLOOKUP($C36,'Ürün Kartları'!$B$5:$G$154,6,FALSE)*$G36),0)</f>
      </c>
      <c r="K36" s="15"/>
      <c r="L36" s="14"/>
      <c r="M36" s="21">
        <f>IF($C36="","",IF($K36=1,-($J36*0.5)-$L36,$H36-$I36-$J36-$L36))</f>
      </c>
      <c r="N36" s="22">
        <f>IF(OR($C36="",$H36=0),"",$M36/$H36)</f>
      </c>
    </row>
    <row r="37" spans="2:14" x14ac:dyDescent="0.25">
      <c r="B37" s="19"/>
      <c r="C37" s="8"/>
      <c r="D37" s="20">
        <f>IFERROR(IF($C37="","",VLOOKUP($C37,'Ürün Kartları'!$B$5:$C$154,2,FALSE)),"— tanımsız ürün —")</f>
      </c>
      <c r="E37" s="8"/>
      <c r="F37" s="10"/>
      <c r="G37" s="11"/>
      <c r="H37" s="16">
        <f>IF(OR($F37="",$G37=""),0,$F37*$G37)</f>
      </c>
      <c r="I37" s="16">
        <f>IFERROR(IF($E37="",0,$H37*VLOOKUP($E37,'Pazaryeri Kartları'!$B$5:$C$24,2,FALSE)+VLOOKUP($E37,'Pazaryeri Kartları'!$B$5:$D$24,3,FALSE)*$G37),0)</f>
      </c>
      <c r="J37" s="16">
        <f>IFERROR(IF($C37="",0,VLOOKUP($C37,'Ürün Kartları'!$B$5:$G$154,6,FALSE)*$G37),0)</f>
      </c>
      <c r="K37" s="11"/>
      <c r="L37" s="10"/>
      <c r="M37" s="21">
        <f>IF($C37="","",IF($K37=1,-($J37*0.5)-$L37,$H37-$I37-$J37-$L37))</f>
      </c>
      <c r="N37" s="22">
        <f>IF(OR($C37="",$H37=0),"",$M37/$H37)</f>
      </c>
    </row>
    <row r="38" spans="2:14" x14ac:dyDescent="0.25">
      <c r="B38" s="23"/>
      <c r="C38" s="12"/>
      <c r="D38" s="20">
        <f>IFERROR(IF($C38="","",VLOOKUP($C38,'Ürün Kartları'!$B$5:$C$154,2,FALSE)),"— tanımsız ürün —")</f>
      </c>
      <c r="E38" s="12"/>
      <c r="F38" s="14"/>
      <c r="G38" s="15"/>
      <c r="H38" s="16">
        <f>IF(OR($F38="",$G38=""),0,$F38*$G38)</f>
      </c>
      <c r="I38" s="16">
        <f>IFERROR(IF($E38="",0,$H38*VLOOKUP($E38,'Pazaryeri Kartları'!$B$5:$C$24,2,FALSE)+VLOOKUP($E38,'Pazaryeri Kartları'!$B$5:$D$24,3,FALSE)*$G38),0)</f>
      </c>
      <c r="J38" s="16">
        <f>IFERROR(IF($C38="",0,VLOOKUP($C38,'Ürün Kartları'!$B$5:$G$154,6,FALSE)*$G38),0)</f>
      </c>
      <c r="K38" s="15"/>
      <c r="L38" s="14"/>
      <c r="M38" s="21">
        <f>IF($C38="","",IF($K38=1,-($J38*0.5)-$L38,$H38-$I38-$J38-$L38))</f>
      </c>
      <c r="N38" s="22">
        <f>IF(OR($C38="",$H38=0),"",$M38/$H38)</f>
      </c>
    </row>
    <row r="39" spans="2:14" x14ac:dyDescent="0.25">
      <c r="B39" s="19"/>
      <c r="C39" s="8"/>
      <c r="D39" s="20">
        <f>IFERROR(IF($C39="","",VLOOKUP($C39,'Ürün Kartları'!$B$5:$C$154,2,FALSE)),"— tanımsız ürün —")</f>
      </c>
      <c r="E39" s="8"/>
      <c r="F39" s="10"/>
      <c r="G39" s="11"/>
      <c r="H39" s="16">
        <f>IF(OR($F39="",$G39=""),0,$F39*$G39)</f>
      </c>
      <c r="I39" s="16">
        <f>IFERROR(IF($E39="",0,$H39*VLOOKUP($E39,'Pazaryeri Kartları'!$B$5:$C$24,2,FALSE)+VLOOKUP($E39,'Pazaryeri Kartları'!$B$5:$D$24,3,FALSE)*$G39),0)</f>
      </c>
      <c r="J39" s="16">
        <f>IFERROR(IF($C39="",0,VLOOKUP($C39,'Ürün Kartları'!$B$5:$G$154,6,FALSE)*$G39),0)</f>
      </c>
      <c r="K39" s="11"/>
      <c r="L39" s="10"/>
      <c r="M39" s="21">
        <f>IF($C39="","",IF($K39=1,-($J39*0.5)-$L39,$H39-$I39-$J39-$L39))</f>
      </c>
      <c r="N39" s="22">
        <f>IF(OR($C39="",$H39=0),"",$M39/$H39)</f>
      </c>
    </row>
    <row r="40" spans="2:14" x14ac:dyDescent="0.25">
      <c r="B40" s="23"/>
      <c r="C40" s="12"/>
      <c r="D40" s="20">
        <f>IFERROR(IF($C40="","",VLOOKUP($C40,'Ürün Kartları'!$B$5:$C$154,2,FALSE)),"— tanımsız ürün —")</f>
      </c>
      <c r="E40" s="12"/>
      <c r="F40" s="14"/>
      <c r="G40" s="15"/>
      <c r="H40" s="16">
        <f>IF(OR($F40="",$G40=""),0,$F40*$G40)</f>
      </c>
      <c r="I40" s="16">
        <f>IFERROR(IF($E40="",0,$H40*VLOOKUP($E40,'Pazaryeri Kartları'!$B$5:$C$24,2,FALSE)+VLOOKUP($E40,'Pazaryeri Kartları'!$B$5:$D$24,3,FALSE)*$G40),0)</f>
      </c>
      <c r="J40" s="16">
        <f>IFERROR(IF($C40="",0,VLOOKUP($C40,'Ürün Kartları'!$B$5:$G$154,6,FALSE)*$G40),0)</f>
      </c>
      <c r="K40" s="15"/>
      <c r="L40" s="14"/>
      <c r="M40" s="21">
        <f>IF($C40="","",IF($K40=1,-($J40*0.5)-$L40,$H40-$I40-$J40-$L40))</f>
      </c>
      <c r="N40" s="22">
        <f>IF(OR($C40="",$H40=0),"",$M40/$H40)</f>
      </c>
    </row>
    <row r="41" spans="2:14" x14ac:dyDescent="0.25">
      <c r="B41" s="19"/>
      <c r="C41" s="8"/>
      <c r="D41" s="20">
        <f>IFERROR(IF($C41="","",VLOOKUP($C41,'Ürün Kartları'!$B$5:$C$154,2,FALSE)),"— tanımsız ürün —")</f>
      </c>
      <c r="E41" s="8"/>
      <c r="F41" s="10"/>
      <c r="G41" s="11"/>
      <c r="H41" s="16">
        <f>IF(OR($F41="",$G41=""),0,$F41*$G41)</f>
      </c>
      <c r="I41" s="16">
        <f>IFERROR(IF($E41="",0,$H41*VLOOKUP($E41,'Pazaryeri Kartları'!$B$5:$C$24,2,FALSE)+VLOOKUP($E41,'Pazaryeri Kartları'!$B$5:$D$24,3,FALSE)*$G41),0)</f>
      </c>
      <c r="J41" s="16">
        <f>IFERROR(IF($C41="",0,VLOOKUP($C41,'Ürün Kartları'!$B$5:$G$154,6,FALSE)*$G41),0)</f>
      </c>
      <c r="K41" s="11"/>
      <c r="L41" s="10"/>
      <c r="M41" s="21">
        <f>IF($C41="","",IF($K41=1,-($J41*0.5)-$L41,$H41-$I41-$J41-$L41))</f>
      </c>
      <c r="N41" s="22">
        <f>IF(OR($C41="",$H41=0),"",$M41/$H41)</f>
      </c>
    </row>
    <row r="42" spans="2:14" x14ac:dyDescent="0.25">
      <c r="B42" s="23"/>
      <c r="C42" s="12"/>
      <c r="D42" s="20">
        <f>IFERROR(IF($C42="","",VLOOKUP($C42,'Ürün Kartları'!$B$5:$C$154,2,FALSE)),"— tanımsız ürün —")</f>
      </c>
      <c r="E42" s="12"/>
      <c r="F42" s="14"/>
      <c r="G42" s="15"/>
      <c r="H42" s="16">
        <f>IF(OR($F42="",$G42=""),0,$F42*$G42)</f>
      </c>
      <c r="I42" s="16">
        <f>IFERROR(IF($E42="",0,$H42*VLOOKUP($E42,'Pazaryeri Kartları'!$B$5:$C$24,2,FALSE)+VLOOKUP($E42,'Pazaryeri Kartları'!$B$5:$D$24,3,FALSE)*$G42),0)</f>
      </c>
      <c r="J42" s="16">
        <f>IFERROR(IF($C42="",0,VLOOKUP($C42,'Ürün Kartları'!$B$5:$G$154,6,FALSE)*$G42),0)</f>
      </c>
      <c r="K42" s="15"/>
      <c r="L42" s="14"/>
      <c r="M42" s="21">
        <f>IF($C42="","",IF($K42=1,-($J42*0.5)-$L42,$H42-$I42-$J42-$L42))</f>
      </c>
      <c r="N42" s="22">
        <f>IF(OR($C42="",$H42=0),"",$M42/$H42)</f>
      </c>
    </row>
    <row r="43" spans="2:14" x14ac:dyDescent="0.25">
      <c r="B43" s="19"/>
      <c r="C43" s="8"/>
      <c r="D43" s="20">
        <f>IFERROR(IF($C43="","",VLOOKUP($C43,'Ürün Kartları'!$B$5:$C$154,2,FALSE)),"— tanımsız ürün —")</f>
      </c>
      <c r="E43" s="8"/>
      <c r="F43" s="10"/>
      <c r="G43" s="11"/>
      <c r="H43" s="16">
        <f>IF(OR($F43="",$G43=""),0,$F43*$G43)</f>
      </c>
      <c r="I43" s="16">
        <f>IFERROR(IF($E43="",0,$H43*VLOOKUP($E43,'Pazaryeri Kartları'!$B$5:$C$24,2,FALSE)+VLOOKUP($E43,'Pazaryeri Kartları'!$B$5:$D$24,3,FALSE)*$G43),0)</f>
      </c>
      <c r="J43" s="16">
        <f>IFERROR(IF($C43="",0,VLOOKUP($C43,'Ürün Kartları'!$B$5:$G$154,6,FALSE)*$G43),0)</f>
      </c>
      <c r="K43" s="11"/>
      <c r="L43" s="10"/>
      <c r="M43" s="21">
        <f>IF($C43="","",IF($K43=1,-($J43*0.5)-$L43,$H43-$I43-$J43-$L43))</f>
      </c>
      <c r="N43" s="22">
        <f>IF(OR($C43="",$H43=0),"",$M43/$H43)</f>
      </c>
    </row>
    <row r="44" spans="2:14" x14ac:dyDescent="0.25">
      <c r="B44" s="23"/>
      <c r="C44" s="12"/>
      <c r="D44" s="20">
        <f>IFERROR(IF($C44="","",VLOOKUP($C44,'Ürün Kartları'!$B$5:$C$154,2,FALSE)),"— tanımsız ürün —")</f>
      </c>
      <c r="E44" s="12"/>
      <c r="F44" s="14"/>
      <c r="G44" s="15"/>
      <c r="H44" s="16">
        <f>IF(OR($F44="",$G44=""),0,$F44*$G44)</f>
      </c>
      <c r="I44" s="16">
        <f>IFERROR(IF($E44="",0,$H44*VLOOKUP($E44,'Pazaryeri Kartları'!$B$5:$C$24,2,FALSE)+VLOOKUP($E44,'Pazaryeri Kartları'!$B$5:$D$24,3,FALSE)*$G44),0)</f>
      </c>
      <c r="J44" s="16">
        <f>IFERROR(IF($C44="",0,VLOOKUP($C44,'Ürün Kartları'!$B$5:$G$154,6,FALSE)*$G44),0)</f>
      </c>
      <c r="K44" s="15"/>
      <c r="L44" s="14"/>
      <c r="M44" s="21">
        <f>IF($C44="","",IF($K44=1,-($J44*0.5)-$L44,$H44-$I44-$J44-$L44))</f>
      </c>
      <c r="N44" s="22">
        <f>IF(OR($C44="",$H44=0),"",$M44/$H44)</f>
      </c>
    </row>
    <row r="45" spans="2:14" x14ac:dyDescent="0.25">
      <c r="B45" s="19"/>
      <c r="C45" s="8"/>
      <c r="D45" s="20">
        <f>IFERROR(IF($C45="","",VLOOKUP($C45,'Ürün Kartları'!$B$5:$C$154,2,FALSE)),"— tanımsız ürün —")</f>
      </c>
      <c r="E45" s="8"/>
      <c r="F45" s="10"/>
      <c r="G45" s="11"/>
      <c r="H45" s="16">
        <f>IF(OR($F45="",$G45=""),0,$F45*$G45)</f>
      </c>
      <c r="I45" s="16">
        <f>IFERROR(IF($E45="",0,$H45*VLOOKUP($E45,'Pazaryeri Kartları'!$B$5:$C$24,2,FALSE)+VLOOKUP($E45,'Pazaryeri Kartları'!$B$5:$D$24,3,FALSE)*$G45),0)</f>
      </c>
      <c r="J45" s="16">
        <f>IFERROR(IF($C45="",0,VLOOKUP($C45,'Ürün Kartları'!$B$5:$G$154,6,FALSE)*$G45),0)</f>
      </c>
      <c r="K45" s="11"/>
      <c r="L45" s="10"/>
      <c r="M45" s="21">
        <f>IF($C45="","",IF($K45=1,-($J45*0.5)-$L45,$H45-$I45-$J45-$L45))</f>
      </c>
      <c r="N45" s="22">
        <f>IF(OR($C45="",$H45=0),"",$M45/$H45)</f>
      </c>
    </row>
    <row r="46" spans="2:14" x14ac:dyDescent="0.25">
      <c r="B46" s="23"/>
      <c r="C46" s="12"/>
      <c r="D46" s="20">
        <f>IFERROR(IF($C46="","",VLOOKUP($C46,'Ürün Kartları'!$B$5:$C$154,2,FALSE)),"— tanımsız ürün —")</f>
      </c>
      <c r="E46" s="12"/>
      <c r="F46" s="14"/>
      <c r="G46" s="15"/>
      <c r="H46" s="16">
        <f>IF(OR($F46="",$G46=""),0,$F46*$G46)</f>
      </c>
      <c r="I46" s="16">
        <f>IFERROR(IF($E46="",0,$H46*VLOOKUP($E46,'Pazaryeri Kartları'!$B$5:$C$24,2,FALSE)+VLOOKUP($E46,'Pazaryeri Kartları'!$B$5:$D$24,3,FALSE)*$G46),0)</f>
      </c>
      <c r="J46" s="16">
        <f>IFERROR(IF($C46="",0,VLOOKUP($C46,'Ürün Kartları'!$B$5:$G$154,6,FALSE)*$G46),0)</f>
      </c>
      <c r="K46" s="15"/>
      <c r="L46" s="14"/>
      <c r="M46" s="21">
        <f>IF($C46="","",IF($K46=1,-($J46*0.5)-$L46,$H46-$I46-$J46-$L46))</f>
      </c>
      <c r="N46" s="22">
        <f>IF(OR($C46="",$H46=0),"",$M46/$H46)</f>
      </c>
    </row>
    <row r="47" spans="2:14" x14ac:dyDescent="0.25">
      <c r="B47" s="19"/>
      <c r="C47" s="8"/>
      <c r="D47" s="20">
        <f>IFERROR(IF($C47="","",VLOOKUP($C47,'Ürün Kartları'!$B$5:$C$154,2,FALSE)),"— tanımsız ürün —")</f>
      </c>
      <c r="E47" s="8"/>
      <c r="F47" s="10"/>
      <c r="G47" s="11"/>
      <c r="H47" s="16">
        <f>IF(OR($F47="",$G47=""),0,$F47*$G47)</f>
      </c>
      <c r="I47" s="16">
        <f>IFERROR(IF($E47="",0,$H47*VLOOKUP($E47,'Pazaryeri Kartları'!$B$5:$C$24,2,FALSE)+VLOOKUP($E47,'Pazaryeri Kartları'!$B$5:$D$24,3,FALSE)*$G47),0)</f>
      </c>
      <c r="J47" s="16">
        <f>IFERROR(IF($C47="",0,VLOOKUP($C47,'Ürün Kartları'!$B$5:$G$154,6,FALSE)*$G47),0)</f>
      </c>
      <c r="K47" s="11"/>
      <c r="L47" s="10"/>
      <c r="M47" s="21">
        <f>IF($C47="","",IF($K47=1,-($J47*0.5)-$L47,$H47-$I47-$J47-$L47))</f>
      </c>
      <c r="N47" s="22">
        <f>IF(OR($C47="",$H47=0),"",$M47/$H47)</f>
      </c>
    </row>
    <row r="48" spans="2:14" x14ac:dyDescent="0.25">
      <c r="B48" s="23"/>
      <c r="C48" s="12"/>
      <c r="D48" s="20">
        <f>IFERROR(IF($C48="","",VLOOKUP($C48,'Ürün Kartları'!$B$5:$C$154,2,FALSE)),"— tanımsız ürün —")</f>
      </c>
      <c r="E48" s="12"/>
      <c r="F48" s="14"/>
      <c r="G48" s="15"/>
      <c r="H48" s="16">
        <f>IF(OR($F48="",$G48=""),0,$F48*$G48)</f>
      </c>
      <c r="I48" s="16">
        <f>IFERROR(IF($E48="",0,$H48*VLOOKUP($E48,'Pazaryeri Kartları'!$B$5:$C$24,2,FALSE)+VLOOKUP($E48,'Pazaryeri Kartları'!$B$5:$D$24,3,FALSE)*$G48),0)</f>
      </c>
      <c r="J48" s="16">
        <f>IFERROR(IF($C48="",0,VLOOKUP($C48,'Ürün Kartları'!$B$5:$G$154,6,FALSE)*$G48),0)</f>
      </c>
      <c r="K48" s="15"/>
      <c r="L48" s="14"/>
      <c r="M48" s="21">
        <f>IF($C48="","",IF($K48=1,-($J48*0.5)-$L48,$H48-$I48-$J48-$L48))</f>
      </c>
      <c r="N48" s="22">
        <f>IF(OR($C48="",$H48=0),"",$M48/$H48)</f>
      </c>
    </row>
    <row r="49" spans="2:14" x14ac:dyDescent="0.25">
      <c r="B49" s="19"/>
      <c r="C49" s="8"/>
      <c r="D49" s="20">
        <f>IFERROR(IF($C49="","",VLOOKUP($C49,'Ürün Kartları'!$B$5:$C$154,2,FALSE)),"— tanımsız ürün —")</f>
      </c>
      <c r="E49" s="8"/>
      <c r="F49" s="10"/>
      <c r="G49" s="11"/>
      <c r="H49" s="16">
        <f>IF(OR($F49="",$G49=""),0,$F49*$G49)</f>
      </c>
      <c r="I49" s="16">
        <f>IFERROR(IF($E49="",0,$H49*VLOOKUP($E49,'Pazaryeri Kartları'!$B$5:$C$24,2,FALSE)+VLOOKUP($E49,'Pazaryeri Kartları'!$B$5:$D$24,3,FALSE)*$G49),0)</f>
      </c>
      <c r="J49" s="16">
        <f>IFERROR(IF($C49="",0,VLOOKUP($C49,'Ürün Kartları'!$B$5:$G$154,6,FALSE)*$G49),0)</f>
      </c>
      <c r="K49" s="11"/>
      <c r="L49" s="10"/>
      <c r="M49" s="21">
        <f>IF($C49="","",IF($K49=1,-($J49*0.5)-$L49,$H49-$I49-$J49-$L49))</f>
      </c>
      <c r="N49" s="22">
        <f>IF(OR($C49="",$H49=0),"",$M49/$H49)</f>
      </c>
    </row>
    <row r="50" spans="2:14" x14ac:dyDescent="0.25">
      <c r="B50" s="23"/>
      <c r="C50" s="12"/>
      <c r="D50" s="20">
        <f>IFERROR(IF($C50="","",VLOOKUP($C50,'Ürün Kartları'!$B$5:$C$154,2,FALSE)),"— tanımsız ürün —")</f>
      </c>
      <c r="E50" s="12"/>
      <c r="F50" s="14"/>
      <c r="G50" s="15"/>
      <c r="H50" s="16">
        <f>IF(OR($F50="",$G50=""),0,$F50*$G50)</f>
      </c>
      <c r="I50" s="16">
        <f>IFERROR(IF($E50="",0,$H50*VLOOKUP($E50,'Pazaryeri Kartları'!$B$5:$C$24,2,FALSE)+VLOOKUP($E50,'Pazaryeri Kartları'!$B$5:$D$24,3,FALSE)*$G50),0)</f>
      </c>
      <c r="J50" s="16">
        <f>IFERROR(IF($C50="",0,VLOOKUP($C50,'Ürün Kartları'!$B$5:$G$154,6,FALSE)*$G50),0)</f>
      </c>
      <c r="K50" s="15"/>
      <c r="L50" s="14"/>
      <c r="M50" s="21">
        <f>IF($C50="","",IF($K50=1,-($J50*0.5)-$L50,$H50-$I50-$J50-$L50))</f>
      </c>
      <c r="N50" s="22">
        <f>IF(OR($C50="",$H50=0),"",$M50/$H50)</f>
      </c>
    </row>
    <row r="51" spans="2:14" x14ac:dyDescent="0.25">
      <c r="B51" s="19"/>
      <c r="C51" s="8"/>
      <c r="D51" s="20">
        <f>IFERROR(IF($C51="","",VLOOKUP($C51,'Ürün Kartları'!$B$5:$C$154,2,FALSE)),"— tanımsız ürün —")</f>
      </c>
      <c r="E51" s="8"/>
      <c r="F51" s="10"/>
      <c r="G51" s="11"/>
      <c r="H51" s="16">
        <f>IF(OR($F51="",$G51=""),0,$F51*$G51)</f>
      </c>
      <c r="I51" s="16">
        <f>IFERROR(IF($E51="",0,$H51*VLOOKUP($E51,'Pazaryeri Kartları'!$B$5:$C$24,2,FALSE)+VLOOKUP($E51,'Pazaryeri Kartları'!$B$5:$D$24,3,FALSE)*$G51),0)</f>
      </c>
      <c r="J51" s="16">
        <f>IFERROR(IF($C51="",0,VLOOKUP($C51,'Ürün Kartları'!$B$5:$G$154,6,FALSE)*$G51),0)</f>
      </c>
      <c r="K51" s="11"/>
      <c r="L51" s="10"/>
      <c r="M51" s="21">
        <f>IF($C51="","",IF($K51=1,-($J51*0.5)-$L51,$H51-$I51-$J51-$L51))</f>
      </c>
      <c r="N51" s="22">
        <f>IF(OR($C51="",$H51=0),"",$M51/$H51)</f>
      </c>
    </row>
    <row r="52" spans="2:14" x14ac:dyDescent="0.25">
      <c r="B52" s="23"/>
      <c r="C52" s="12"/>
      <c r="D52" s="20">
        <f>IFERROR(IF($C52="","",VLOOKUP($C52,'Ürün Kartları'!$B$5:$C$154,2,FALSE)),"— tanımsız ürün —")</f>
      </c>
      <c r="E52" s="12"/>
      <c r="F52" s="14"/>
      <c r="G52" s="15"/>
      <c r="H52" s="16">
        <f>IF(OR($F52="",$G52=""),0,$F52*$G52)</f>
      </c>
      <c r="I52" s="16">
        <f>IFERROR(IF($E52="",0,$H52*VLOOKUP($E52,'Pazaryeri Kartları'!$B$5:$C$24,2,FALSE)+VLOOKUP($E52,'Pazaryeri Kartları'!$B$5:$D$24,3,FALSE)*$G52),0)</f>
      </c>
      <c r="J52" s="16">
        <f>IFERROR(IF($C52="",0,VLOOKUP($C52,'Ürün Kartları'!$B$5:$G$154,6,FALSE)*$G52),0)</f>
      </c>
      <c r="K52" s="15"/>
      <c r="L52" s="14"/>
      <c r="M52" s="21">
        <f>IF($C52="","",IF($K52=1,-($J52*0.5)-$L52,$H52-$I52-$J52-$L52))</f>
      </c>
      <c r="N52" s="22">
        <f>IF(OR($C52="",$H52=0),"",$M52/$H52)</f>
      </c>
    </row>
    <row r="53" spans="2:14" x14ac:dyDescent="0.25">
      <c r="B53" s="19"/>
      <c r="C53" s="8"/>
      <c r="D53" s="20">
        <f>IFERROR(IF($C53="","",VLOOKUP($C53,'Ürün Kartları'!$B$5:$C$154,2,FALSE)),"— tanımsız ürün —")</f>
      </c>
      <c r="E53" s="8"/>
      <c r="F53" s="10"/>
      <c r="G53" s="11"/>
      <c r="H53" s="16">
        <f>IF(OR($F53="",$G53=""),0,$F53*$G53)</f>
      </c>
      <c r="I53" s="16">
        <f>IFERROR(IF($E53="",0,$H53*VLOOKUP($E53,'Pazaryeri Kartları'!$B$5:$C$24,2,FALSE)+VLOOKUP($E53,'Pazaryeri Kartları'!$B$5:$D$24,3,FALSE)*$G53),0)</f>
      </c>
      <c r="J53" s="16">
        <f>IFERROR(IF($C53="",0,VLOOKUP($C53,'Ürün Kartları'!$B$5:$G$154,6,FALSE)*$G53),0)</f>
      </c>
      <c r="K53" s="11"/>
      <c r="L53" s="10"/>
      <c r="M53" s="21">
        <f>IF($C53="","",IF($K53=1,-($J53*0.5)-$L53,$H53-$I53-$J53-$L53))</f>
      </c>
      <c r="N53" s="22">
        <f>IF(OR($C53="",$H53=0),"",$M53/$H53)</f>
      </c>
    </row>
    <row r="54" spans="2:14" x14ac:dyDescent="0.25">
      <c r="B54" s="23"/>
      <c r="C54" s="12"/>
      <c r="D54" s="20">
        <f>IFERROR(IF($C54="","",VLOOKUP($C54,'Ürün Kartları'!$B$5:$C$154,2,FALSE)),"— tanımsız ürün —")</f>
      </c>
      <c r="E54" s="12"/>
      <c r="F54" s="14"/>
      <c r="G54" s="15"/>
      <c r="H54" s="16">
        <f>IF(OR($F54="",$G54=""),0,$F54*$G54)</f>
      </c>
      <c r="I54" s="16">
        <f>IFERROR(IF($E54="",0,$H54*VLOOKUP($E54,'Pazaryeri Kartları'!$B$5:$C$24,2,FALSE)+VLOOKUP($E54,'Pazaryeri Kartları'!$B$5:$D$24,3,FALSE)*$G54),0)</f>
      </c>
      <c r="J54" s="16">
        <f>IFERROR(IF($C54="",0,VLOOKUP($C54,'Ürün Kartları'!$B$5:$G$154,6,FALSE)*$G54),0)</f>
      </c>
      <c r="K54" s="15"/>
      <c r="L54" s="14"/>
      <c r="M54" s="21">
        <f>IF($C54="","",IF($K54=1,-($J54*0.5)-$L54,$H54-$I54-$J54-$L54))</f>
      </c>
      <c r="N54" s="22">
        <f>IF(OR($C54="",$H54=0),"",$M54/$H54)</f>
      </c>
    </row>
    <row r="55" spans="2:14" x14ac:dyDescent="0.25">
      <c r="B55" s="19"/>
      <c r="C55" s="8"/>
      <c r="D55" s="20">
        <f>IFERROR(IF($C55="","",VLOOKUP($C55,'Ürün Kartları'!$B$5:$C$154,2,FALSE)),"— tanımsız ürün —")</f>
      </c>
      <c r="E55" s="8"/>
      <c r="F55" s="10"/>
      <c r="G55" s="11"/>
      <c r="H55" s="16">
        <f>IF(OR($F55="",$G55=""),0,$F55*$G55)</f>
      </c>
      <c r="I55" s="16">
        <f>IFERROR(IF($E55="",0,$H55*VLOOKUP($E55,'Pazaryeri Kartları'!$B$5:$C$24,2,FALSE)+VLOOKUP($E55,'Pazaryeri Kartları'!$B$5:$D$24,3,FALSE)*$G55),0)</f>
      </c>
      <c r="J55" s="16">
        <f>IFERROR(IF($C55="",0,VLOOKUP($C55,'Ürün Kartları'!$B$5:$G$154,6,FALSE)*$G55),0)</f>
      </c>
      <c r="K55" s="11"/>
      <c r="L55" s="10"/>
      <c r="M55" s="21">
        <f>IF($C55="","",IF($K55=1,-($J55*0.5)-$L55,$H55-$I55-$J55-$L55))</f>
      </c>
      <c r="N55" s="22">
        <f>IF(OR($C55="",$H55=0),"",$M55/$H55)</f>
      </c>
    </row>
    <row r="56" spans="2:14" x14ac:dyDescent="0.25">
      <c r="B56" s="23"/>
      <c r="C56" s="12"/>
      <c r="D56" s="20">
        <f>IFERROR(IF($C56="","",VLOOKUP($C56,'Ürün Kartları'!$B$5:$C$154,2,FALSE)),"— tanımsız ürün —")</f>
      </c>
      <c r="E56" s="12"/>
      <c r="F56" s="14"/>
      <c r="G56" s="15"/>
      <c r="H56" s="16">
        <f>IF(OR($F56="",$G56=""),0,$F56*$G56)</f>
      </c>
      <c r="I56" s="16">
        <f>IFERROR(IF($E56="",0,$H56*VLOOKUP($E56,'Pazaryeri Kartları'!$B$5:$C$24,2,FALSE)+VLOOKUP($E56,'Pazaryeri Kartları'!$B$5:$D$24,3,FALSE)*$G56),0)</f>
      </c>
      <c r="J56" s="16">
        <f>IFERROR(IF($C56="",0,VLOOKUP($C56,'Ürün Kartları'!$B$5:$G$154,6,FALSE)*$G56),0)</f>
      </c>
      <c r="K56" s="15"/>
      <c r="L56" s="14"/>
      <c r="M56" s="21">
        <f>IF($C56="","",IF($K56=1,-($J56*0.5)-$L56,$H56-$I56-$J56-$L56))</f>
      </c>
      <c r="N56" s="22">
        <f>IF(OR($C56="",$H56=0),"",$M56/$H56)</f>
      </c>
    </row>
    <row r="57" spans="2:14" x14ac:dyDescent="0.25">
      <c r="B57" s="19"/>
      <c r="C57" s="8"/>
      <c r="D57" s="20">
        <f>IFERROR(IF($C57="","",VLOOKUP($C57,'Ürün Kartları'!$B$5:$C$154,2,FALSE)),"— tanımsız ürün —")</f>
      </c>
      <c r="E57" s="8"/>
      <c r="F57" s="10"/>
      <c r="G57" s="11"/>
      <c r="H57" s="16">
        <f>IF(OR($F57="",$G57=""),0,$F57*$G57)</f>
      </c>
      <c r="I57" s="16">
        <f>IFERROR(IF($E57="",0,$H57*VLOOKUP($E57,'Pazaryeri Kartları'!$B$5:$C$24,2,FALSE)+VLOOKUP($E57,'Pazaryeri Kartları'!$B$5:$D$24,3,FALSE)*$G57),0)</f>
      </c>
      <c r="J57" s="16">
        <f>IFERROR(IF($C57="",0,VLOOKUP($C57,'Ürün Kartları'!$B$5:$G$154,6,FALSE)*$G57),0)</f>
      </c>
      <c r="K57" s="11"/>
      <c r="L57" s="10"/>
      <c r="M57" s="21">
        <f>IF($C57="","",IF($K57=1,-($J57*0.5)-$L57,$H57-$I57-$J57-$L57))</f>
      </c>
      <c r="N57" s="22">
        <f>IF(OR($C57="",$H57=0),"",$M57/$H57)</f>
      </c>
    </row>
    <row r="58" spans="2:14" x14ac:dyDescent="0.25">
      <c r="B58" s="23"/>
      <c r="C58" s="12"/>
      <c r="D58" s="20">
        <f>IFERROR(IF($C58="","",VLOOKUP($C58,'Ürün Kartları'!$B$5:$C$154,2,FALSE)),"— tanımsız ürün —")</f>
      </c>
      <c r="E58" s="12"/>
      <c r="F58" s="14"/>
      <c r="G58" s="15"/>
      <c r="H58" s="16">
        <f>IF(OR($F58="",$G58=""),0,$F58*$G58)</f>
      </c>
      <c r="I58" s="16">
        <f>IFERROR(IF($E58="",0,$H58*VLOOKUP($E58,'Pazaryeri Kartları'!$B$5:$C$24,2,FALSE)+VLOOKUP($E58,'Pazaryeri Kartları'!$B$5:$D$24,3,FALSE)*$G58),0)</f>
      </c>
      <c r="J58" s="16">
        <f>IFERROR(IF($C58="",0,VLOOKUP($C58,'Ürün Kartları'!$B$5:$G$154,6,FALSE)*$G58),0)</f>
      </c>
      <c r="K58" s="15"/>
      <c r="L58" s="14"/>
      <c r="M58" s="21">
        <f>IF($C58="","",IF($K58=1,-($J58*0.5)-$L58,$H58-$I58-$J58-$L58))</f>
      </c>
      <c r="N58" s="22">
        <f>IF(OR($C58="",$H58=0),"",$M58/$H58)</f>
      </c>
    </row>
    <row r="59" spans="2:14" x14ac:dyDescent="0.25">
      <c r="B59" s="19"/>
      <c r="C59" s="8"/>
      <c r="D59" s="20">
        <f>IFERROR(IF($C59="","",VLOOKUP($C59,'Ürün Kartları'!$B$5:$C$154,2,FALSE)),"— tanımsız ürün —")</f>
      </c>
      <c r="E59" s="8"/>
      <c r="F59" s="10"/>
      <c r="G59" s="11"/>
      <c r="H59" s="16">
        <f>IF(OR($F59="",$G59=""),0,$F59*$G59)</f>
      </c>
      <c r="I59" s="16">
        <f>IFERROR(IF($E59="",0,$H59*VLOOKUP($E59,'Pazaryeri Kartları'!$B$5:$C$24,2,FALSE)+VLOOKUP($E59,'Pazaryeri Kartları'!$B$5:$D$24,3,FALSE)*$G59),0)</f>
      </c>
      <c r="J59" s="16">
        <f>IFERROR(IF($C59="",0,VLOOKUP($C59,'Ürün Kartları'!$B$5:$G$154,6,FALSE)*$G59),0)</f>
      </c>
      <c r="K59" s="11"/>
      <c r="L59" s="10"/>
      <c r="M59" s="21">
        <f>IF($C59="","",IF($K59=1,-($J59*0.5)-$L59,$H59-$I59-$J59-$L59))</f>
      </c>
      <c r="N59" s="22">
        <f>IF(OR($C59="",$H59=0),"",$M59/$H59)</f>
      </c>
    </row>
    <row r="60" spans="2:14" x14ac:dyDescent="0.25">
      <c r="B60" s="23"/>
      <c r="C60" s="12"/>
      <c r="D60" s="20">
        <f>IFERROR(IF($C60="","",VLOOKUP($C60,'Ürün Kartları'!$B$5:$C$154,2,FALSE)),"— tanımsız ürün —")</f>
      </c>
      <c r="E60" s="12"/>
      <c r="F60" s="14"/>
      <c r="G60" s="15"/>
      <c r="H60" s="16">
        <f>IF(OR($F60="",$G60=""),0,$F60*$G60)</f>
      </c>
      <c r="I60" s="16">
        <f>IFERROR(IF($E60="",0,$H60*VLOOKUP($E60,'Pazaryeri Kartları'!$B$5:$C$24,2,FALSE)+VLOOKUP($E60,'Pazaryeri Kartları'!$B$5:$D$24,3,FALSE)*$G60),0)</f>
      </c>
      <c r="J60" s="16">
        <f>IFERROR(IF($C60="",0,VLOOKUP($C60,'Ürün Kartları'!$B$5:$G$154,6,FALSE)*$G60),0)</f>
      </c>
      <c r="K60" s="15"/>
      <c r="L60" s="14"/>
      <c r="M60" s="21">
        <f>IF($C60="","",IF($K60=1,-($J60*0.5)-$L60,$H60-$I60-$J60-$L60))</f>
      </c>
      <c r="N60" s="22">
        <f>IF(OR($C60="",$H60=0),"",$M60/$H60)</f>
      </c>
    </row>
    <row r="61" spans="2:14" x14ac:dyDescent="0.25">
      <c r="B61" s="19"/>
      <c r="C61" s="8"/>
      <c r="D61" s="20">
        <f>IFERROR(IF($C61="","",VLOOKUP($C61,'Ürün Kartları'!$B$5:$C$154,2,FALSE)),"— tanımsız ürün —")</f>
      </c>
      <c r="E61" s="8"/>
      <c r="F61" s="10"/>
      <c r="G61" s="11"/>
      <c r="H61" s="16">
        <f>IF(OR($F61="",$G61=""),0,$F61*$G61)</f>
      </c>
      <c r="I61" s="16">
        <f>IFERROR(IF($E61="",0,$H61*VLOOKUP($E61,'Pazaryeri Kartları'!$B$5:$C$24,2,FALSE)+VLOOKUP($E61,'Pazaryeri Kartları'!$B$5:$D$24,3,FALSE)*$G61),0)</f>
      </c>
      <c r="J61" s="16">
        <f>IFERROR(IF($C61="",0,VLOOKUP($C61,'Ürün Kartları'!$B$5:$G$154,6,FALSE)*$G61),0)</f>
      </c>
      <c r="K61" s="11"/>
      <c r="L61" s="10"/>
      <c r="M61" s="21">
        <f>IF($C61="","",IF($K61=1,-($J61*0.5)-$L61,$H61-$I61-$J61-$L61))</f>
      </c>
      <c r="N61" s="22">
        <f>IF(OR($C61="",$H61=0),"",$M61/$H61)</f>
      </c>
    </row>
    <row r="62" spans="2:14" x14ac:dyDescent="0.25">
      <c r="B62" s="23"/>
      <c r="C62" s="12"/>
      <c r="D62" s="20">
        <f>IFERROR(IF($C62="","",VLOOKUP($C62,'Ürün Kartları'!$B$5:$C$154,2,FALSE)),"— tanımsız ürün —")</f>
      </c>
      <c r="E62" s="12"/>
      <c r="F62" s="14"/>
      <c r="G62" s="15"/>
      <c r="H62" s="16">
        <f>IF(OR($F62="",$G62=""),0,$F62*$G62)</f>
      </c>
      <c r="I62" s="16">
        <f>IFERROR(IF($E62="",0,$H62*VLOOKUP($E62,'Pazaryeri Kartları'!$B$5:$C$24,2,FALSE)+VLOOKUP($E62,'Pazaryeri Kartları'!$B$5:$D$24,3,FALSE)*$G62),0)</f>
      </c>
      <c r="J62" s="16">
        <f>IFERROR(IF($C62="",0,VLOOKUP($C62,'Ürün Kartları'!$B$5:$G$154,6,FALSE)*$G62),0)</f>
      </c>
      <c r="K62" s="15"/>
      <c r="L62" s="14"/>
      <c r="M62" s="21">
        <f>IF($C62="","",IF($K62=1,-($J62*0.5)-$L62,$H62-$I62-$J62-$L62))</f>
      </c>
      <c r="N62" s="22">
        <f>IF(OR($C62="",$H62=0),"",$M62/$H62)</f>
      </c>
    </row>
    <row r="63" spans="2:14" x14ac:dyDescent="0.25">
      <c r="B63" s="19"/>
      <c r="C63" s="8"/>
      <c r="D63" s="20">
        <f>IFERROR(IF($C63="","",VLOOKUP($C63,'Ürün Kartları'!$B$5:$C$154,2,FALSE)),"— tanımsız ürün —")</f>
      </c>
      <c r="E63" s="8"/>
      <c r="F63" s="10"/>
      <c r="G63" s="11"/>
      <c r="H63" s="16">
        <f>IF(OR($F63="",$G63=""),0,$F63*$G63)</f>
      </c>
      <c r="I63" s="16">
        <f>IFERROR(IF($E63="",0,$H63*VLOOKUP($E63,'Pazaryeri Kartları'!$B$5:$C$24,2,FALSE)+VLOOKUP($E63,'Pazaryeri Kartları'!$B$5:$D$24,3,FALSE)*$G63),0)</f>
      </c>
      <c r="J63" s="16">
        <f>IFERROR(IF($C63="",0,VLOOKUP($C63,'Ürün Kartları'!$B$5:$G$154,6,FALSE)*$G63),0)</f>
      </c>
      <c r="K63" s="11"/>
      <c r="L63" s="10"/>
      <c r="M63" s="21">
        <f>IF($C63="","",IF($K63=1,-($J63*0.5)-$L63,$H63-$I63-$J63-$L63))</f>
      </c>
      <c r="N63" s="22">
        <f>IF(OR($C63="",$H63=0),"",$M63/$H63)</f>
      </c>
    </row>
    <row r="64" spans="2:14" x14ac:dyDescent="0.25">
      <c r="B64" s="23"/>
      <c r="C64" s="12"/>
      <c r="D64" s="20">
        <f>IFERROR(IF($C64="","",VLOOKUP($C64,'Ürün Kartları'!$B$5:$C$154,2,FALSE)),"— tanımsız ürün —")</f>
      </c>
      <c r="E64" s="12"/>
      <c r="F64" s="14"/>
      <c r="G64" s="15"/>
      <c r="H64" s="16">
        <f>IF(OR($F64="",$G64=""),0,$F64*$G64)</f>
      </c>
      <c r="I64" s="16">
        <f>IFERROR(IF($E64="",0,$H64*VLOOKUP($E64,'Pazaryeri Kartları'!$B$5:$C$24,2,FALSE)+VLOOKUP($E64,'Pazaryeri Kartları'!$B$5:$D$24,3,FALSE)*$G64),0)</f>
      </c>
      <c r="J64" s="16">
        <f>IFERROR(IF($C64="",0,VLOOKUP($C64,'Ürün Kartları'!$B$5:$G$154,6,FALSE)*$G64),0)</f>
      </c>
      <c r="K64" s="15"/>
      <c r="L64" s="14"/>
      <c r="M64" s="21">
        <f>IF($C64="","",IF($K64=1,-($J64*0.5)-$L64,$H64-$I64-$J64-$L64))</f>
      </c>
      <c r="N64" s="22">
        <f>IF(OR($C64="",$H64=0),"",$M64/$H64)</f>
      </c>
    </row>
    <row r="65" spans="2:14" x14ac:dyDescent="0.25">
      <c r="B65" s="19"/>
      <c r="C65" s="8"/>
      <c r="D65" s="20">
        <f>IFERROR(IF($C65="","",VLOOKUP($C65,'Ürün Kartları'!$B$5:$C$154,2,FALSE)),"— tanımsız ürün —")</f>
      </c>
      <c r="E65" s="8"/>
      <c r="F65" s="10"/>
      <c r="G65" s="11"/>
      <c r="H65" s="16">
        <f>IF(OR($F65="",$G65=""),0,$F65*$G65)</f>
      </c>
      <c r="I65" s="16">
        <f>IFERROR(IF($E65="",0,$H65*VLOOKUP($E65,'Pazaryeri Kartları'!$B$5:$C$24,2,FALSE)+VLOOKUP($E65,'Pazaryeri Kartları'!$B$5:$D$24,3,FALSE)*$G65),0)</f>
      </c>
      <c r="J65" s="16">
        <f>IFERROR(IF($C65="",0,VLOOKUP($C65,'Ürün Kartları'!$B$5:$G$154,6,FALSE)*$G65),0)</f>
      </c>
      <c r="K65" s="11"/>
      <c r="L65" s="10"/>
      <c r="M65" s="21">
        <f>IF($C65="","",IF($K65=1,-($J65*0.5)-$L65,$H65-$I65-$J65-$L65))</f>
      </c>
      <c r="N65" s="22">
        <f>IF(OR($C65="",$H65=0),"",$M65/$H65)</f>
      </c>
    </row>
    <row r="66" spans="2:14" x14ac:dyDescent="0.25">
      <c r="B66" s="23"/>
      <c r="C66" s="12"/>
      <c r="D66" s="20">
        <f>IFERROR(IF($C66="","",VLOOKUP($C66,'Ürün Kartları'!$B$5:$C$154,2,FALSE)),"— tanımsız ürün —")</f>
      </c>
      <c r="E66" s="12"/>
      <c r="F66" s="14"/>
      <c r="G66" s="15"/>
      <c r="H66" s="16">
        <f>IF(OR($F66="",$G66=""),0,$F66*$G66)</f>
      </c>
      <c r="I66" s="16">
        <f>IFERROR(IF($E66="",0,$H66*VLOOKUP($E66,'Pazaryeri Kartları'!$B$5:$C$24,2,FALSE)+VLOOKUP($E66,'Pazaryeri Kartları'!$B$5:$D$24,3,FALSE)*$G66),0)</f>
      </c>
      <c r="J66" s="16">
        <f>IFERROR(IF($C66="",0,VLOOKUP($C66,'Ürün Kartları'!$B$5:$G$154,6,FALSE)*$G66),0)</f>
      </c>
      <c r="K66" s="15"/>
      <c r="L66" s="14"/>
      <c r="M66" s="21">
        <f>IF($C66="","",IF($K66=1,-($J66*0.5)-$L66,$H66-$I66-$J66-$L66))</f>
      </c>
      <c r="N66" s="22">
        <f>IF(OR($C66="",$H66=0),"",$M66/$H66)</f>
      </c>
    </row>
    <row r="67" spans="2:14" x14ac:dyDescent="0.25">
      <c r="B67" s="19"/>
      <c r="C67" s="8"/>
      <c r="D67" s="20">
        <f>IFERROR(IF($C67="","",VLOOKUP($C67,'Ürün Kartları'!$B$5:$C$154,2,FALSE)),"— tanımsız ürün —")</f>
      </c>
      <c r="E67" s="8"/>
      <c r="F67" s="10"/>
      <c r="G67" s="11"/>
      <c r="H67" s="16">
        <f>IF(OR($F67="",$G67=""),0,$F67*$G67)</f>
      </c>
      <c r="I67" s="16">
        <f>IFERROR(IF($E67="",0,$H67*VLOOKUP($E67,'Pazaryeri Kartları'!$B$5:$C$24,2,FALSE)+VLOOKUP($E67,'Pazaryeri Kartları'!$B$5:$D$24,3,FALSE)*$G67),0)</f>
      </c>
      <c r="J67" s="16">
        <f>IFERROR(IF($C67="",0,VLOOKUP($C67,'Ürün Kartları'!$B$5:$G$154,6,FALSE)*$G67),0)</f>
      </c>
      <c r="K67" s="11"/>
      <c r="L67" s="10"/>
      <c r="M67" s="21">
        <f>IF($C67="","",IF($K67=1,-($J67*0.5)-$L67,$H67-$I67-$J67-$L67))</f>
      </c>
      <c r="N67" s="22">
        <f>IF(OR($C67="",$H67=0),"",$M67/$H67)</f>
      </c>
    </row>
    <row r="68" spans="2:14" x14ac:dyDescent="0.25">
      <c r="B68" s="23"/>
      <c r="C68" s="12"/>
      <c r="D68" s="20">
        <f>IFERROR(IF($C68="","",VLOOKUP($C68,'Ürün Kartları'!$B$5:$C$154,2,FALSE)),"— tanımsız ürün —")</f>
      </c>
      <c r="E68" s="12"/>
      <c r="F68" s="14"/>
      <c r="G68" s="15"/>
      <c r="H68" s="16">
        <f>IF(OR($F68="",$G68=""),0,$F68*$G68)</f>
      </c>
      <c r="I68" s="16">
        <f>IFERROR(IF($E68="",0,$H68*VLOOKUP($E68,'Pazaryeri Kartları'!$B$5:$C$24,2,FALSE)+VLOOKUP($E68,'Pazaryeri Kartları'!$B$5:$D$24,3,FALSE)*$G68),0)</f>
      </c>
      <c r="J68" s="16">
        <f>IFERROR(IF($C68="",0,VLOOKUP($C68,'Ürün Kartları'!$B$5:$G$154,6,FALSE)*$G68),0)</f>
      </c>
      <c r="K68" s="15"/>
      <c r="L68" s="14"/>
      <c r="M68" s="21">
        <f>IF($C68="","",IF($K68=1,-($J68*0.5)-$L68,$H68-$I68-$J68-$L68))</f>
      </c>
      <c r="N68" s="22">
        <f>IF(OR($C68="",$H68=0),"",$M68/$H68)</f>
      </c>
    </row>
    <row r="69" spans="2:14" x14ac:dyDescent="0.25">
      <c r="B69" s="19"/>
      <c r="C69" s="8"/>
      <c r="D69" s="20">
        <f>IFERROR(IF($C69="","",VLOOKUP($C69,'Ürün Kartları'!$B$5:$C$154,2,FALSE)),"— tanımsız ürün —")</f>
      </c>
      <c r="E69" s="8"/>
      <c r="F69" s="10"/>
      <c r="G69" s="11"/>
      <c r="H69" s="16">
        <f>IF(OR($F69="",$G69=""),0,$F69*$G69)</f>
      </c>
      <c r="I69" s="16">
        <f>IFERROR(IF($E69="",0,$H69*VLOOKUP($E69,'Pazaryeri Kartları'!$B$5:$C$24,2,FALSE)+VLOOKUP($E69,'Pazaryeri Kartları'!$B$5:$D$24,3,FALSE)*$G69),0)</f>
      </c>
      <c r="J69" s="16">
        <f>IFERROR(IF($C69="",0,VLOOKUP($C69,'Ürün Kartları'!$B$5:$G$154,6,FALSE)*$G69),0)</f>
      </c>
      <c r="K69" s="11"/>
      <c r="L69" s="10"/>
      <c r="M69" s="21">
        <f>IF($C69="","",IF($K69=1,-($J69*0.5)-$L69,$H69-$I69-$J69-$L69))</f>
      </c>
      <c r="N69" s="22">
        <f>IF(OR($C69="",$H69=0),"",$M69/$H69)</f>
      </c>
    </row>
    <row r="70" spans="2:14" x14ac:dyDescent="0.25">
      <c r="B70" s="23"/>
      <c r="C70" s="12"/>
      <c r="D70" s="20">
        <f>IFERROR(IF($C70="","",VLOOKUP($C70,'Ürün Kartları'!$B$5:$C$154,2,FALSE)),"— tanımsız ürün —")</f>
      </c>
      <c r="E70" s="12"/>
      <c r="F70" s="14"/>
      <c r="G70" s="15"/>
      <c r="H70" s="16">
        <f>IF(OR($F70="",$G70=""),0,$F70*$G70)</f>
      </c>
      <c r="I70" s="16">
        <f>IFERROR(IF($E70="",0,$H70*VLOOKUP($E70,'Pazaryeri Kartları'!$B$5:$C$24,2,FALSE)+VLOOKUP($E70,'Pazaryeri Kartları'!$B$5:$D$24,3,FALSE)*$G70),0)</f>
      </c>
      <c r="J70" s="16">
        <f>IFERROR(IF($C70="",0,VLOOKUP($C70,'Ürün Kartları'!$B$5:$G$154,6,FALSE)*$G70),0)</f>
      </c>
      <c r="K70" s="15"/>
      <c r="L70" s="14"/>
      <c r="M70" s="21">
        <f>IF($C70="","",IF($K70=1,-($J70*0.5)-$L70,$H70-$I70-$J70-$L70))</f>
      </c>
      <c r="N70" s="22">
        <f>IF(OR($C70="",$H70=0),"",$M70/$H70)</f>
      </c>
    </row>
    <row r="71" spans="2:14" x14ac:dyDescent="0.25">
      <c r="B71" s="19"/>
      <c r="C71" s="8"/>
      <c r="D71" s="20">
        <f>IFERROR(IF($C71="","",VLOOKUP($C71,'Ürün Kartları'!$B$5:$C$154,2,FALSE)),"— tanımsız ürün —")</f>
      </c>
      <c r="E71" s="8"/>
      <c r="F71" s="10"/>
      <c r="G71" s="11"/>
      <c r="H71" s="16">
        <f>IF(OR($F71="",$G71=""),0,$F71*$G71)</f>
      </c>
      <c r="I71" s="16">
        <f>IFERROR(IF($E71="",0,$H71*VLOOKUP($E71,'Pazaryeri Kartları'!$B$5:$C$24,2,FALSE)+VLOOKUP($E71,'Pazaryeri Kartları'!$B$5:$D$24,3,FALSE)*$G71),0)</f>
      </c>
      <c r="J71" s="16">
        <f>IFERROR(IF($C71="",0,VLOOKUP($C71,'Ürün Kartları'!$B$5:$G$154,6,FALSE)*$G71),0)</f>
      </c>
      <c r="K71" s="11"/>
      <c r="L71" s="10"/>
      <c r="M71" s="21">
        <f>IF($C71="","",IF($K71=1,-($J71*0.5)-$L71,$H71-$I71-$J71-$L71))</f>
      </c>
      <c r="N71" s="22">
        <f>IF(OR($C71="",$H71=0),"",$M71/$H71)</f>
      </c>
    </row>
    <row r="72" spans="2:14" x14ac:dyDescent="0.25">
      <c r="B72" s="23"/>
      <c r="C72" s="12"/>
      <c r="D72" s="20">
        <f>IFERROR(IF($C72="","",VLOOKUP($C72,'Ürün Kartları'!$B$5:$C$154,2,FALSE)),"— tanımsız ürün —")</f>
      </c>
      <c r="E72" s="12"/>
      <c r="F72" s="14"/>
      <c r="G72" s="15"/>
      <c r="H72" s="16">
        <f>IF(OR($F72="",$G72=""),0,$F72*$G72)</f>
      </c>
      <c r="I72" s="16">
        <f>IFERROR(IF($E72="",0,$H72*VLOOKUP($E72,'Pazaryeri Kartları'!$B$5:$C$24,2,FALSE)+VLOOKUP($E72,'Pazaryeri Kartları'!$B$5:$D$24,3,FALSE)*$G72),0)</f>
      </c>
      <c r="J72" s="16">
        <f>IFERROR(IF($C72="",0,VLOOKUP($C72,'Ürün Kartları'!$B$5:$G$154,6,FALSE)*$G72),0)</f>
      </c>
      <c r="K72" s="15"/>
      <c r="L72" s="14"/>
      <c r="M72" s="21">
        <f>IF($C72="","",IF($K72=1,-($J72*0.5)-$L72,$H72-$I72-$J72-$L72))</f>
      </c>
      <c r="N72" s="22">
        <f>IF(OR($C72="",$H72=0),"",$M72/$H72)</f>
      </c>
    </row>
    <row r="73" spans="2:14" x14ac:dyDescent="0.25">
      <c r="B73" s="19"/>
      <c r="C73" s="8"/>
      <c r="D73" s="20">
        <f>IFERROR(IF($C73="","",VLOOKUP($C73,'Ürün Kartları'!$B$5:$C$154,2,FALSE)),"— tanımsız ürün —")</f>
      </c>
      <c r="E73" s="8"/>
      <c r="F73" s="10"/>
      <c r="G73" s="11"/>
      <c r="H73" s="16">
        <f>IF(OR($F73="",$G73=""),0,$F73*$G73)</f>
      </c>
      <c r="I73" s="16">
        <f>IFERROR(IF($E73="",0,$H73*VLOOKUP($E73,'Pazaryeri Kartları'!$B$5:$C$24,2,FALSE)+VLOOKUP($E73,'Pazaryeri Kartları'!$B$5:$D$24,3,FALSE)*$G73),0)</f>
      </c>
      <c r="J73" s="16">
        <f>IFERROR(IF($C73="",0,VLOOKUP($C73,'Ürün Kartları'!$B$5:$G$154,6,FALSE)*$G73),0)</f>
      </c>
      <c r="K73" s="11"/>
      <c r="L73" s="10"/>
      <c r="M73" s="21">
        <f>IF($C73="","",IF($K73=1,-($J73*0.5)-$L73,$H73-$I73-$J73-$L73))</f>
      </c>
      <c r="N73" s="22">
        <f>IF(OR($C73="",$H73=0),"",$M73/$H73)</f>
      </c>
    </row>
    <row r="74" spans="2:14" x14ac:dyDescent="0.25">
      <c r="B74" s="23"/>
      <c r="C74" s="12"/>
      <c r="D74" s="20">
        <f>IFERROR(IF($C74="","",VLOOKUP($C74,'Ürün Kartları'!$B$5:$C$154,2,FALSE)),"— tanımsız ürün —")</f>
      </c>
      <c r="E74" s="12"/>
      <c r="F74" s="14"/>
      <c r="G74" s="15"/>
      <c r="H74" s="16">
        <f>IF(OR($F74="",$G74=""),0,$F74*$G74)</f>
      </c>
      <c r="I74" s="16">
        <f>IFERROR(IF($E74="",0,$H74*VLOOKUP($E74,'Pazaryeri Kartları'!$B$5:$C$24,2,FALSE)+VLOOKUP($E74,'Pazaryeri Kartları'!$B$5:$D$24,3,FALSE)*$G74),0)</f>
      </c>
      <c r="J74" s="16">
        <f>IFERROR(IF($C74="",0,VLOOKUP($C74,'Ürün Kartları'!$B$5:$G$154,6,FALSE)*$G74),0)</f>
      </c>
      <c r="K74" s="15"/>
      <c r="L74" s="14"/>
      <c r="M74" s="21">
        <f>IF($C74="","",IF($K74=1,-($J74*0.5)-$L74,$H74-$I74-$J74-$L74))</f>
      </c>
      <c r="N74" s="22">
        <f>IF(OR($C74="",$H74=0),"",$M74/$H74)</f>
      </c>
    </row>
    <row r="75" spans="2:14" x14ac:dyDescent="0.25">
      <c r="B75" s="19"/>
      <c r="C75" s="8"/>
      <c r="D75" s="20">
        <f>IFERROR(IF($C75="","",VLOOKUP($C75,'Ürün Kartları'!$B$5:$C$154,2,FALSE)),"— tanımsız ürün —")</f>
      </c>
      <c r="E75" s="8"/>
      <c r="F75" s="10"/>
      <c r="G75" s="11"/>
      <c r="H75" s="16">
        <f>IF(OR($F75="",$G75=""),0,$F75*$G75)</f>
      </c>
      <c r="I75" s="16">
        <f>IFERROR(IF($E75="",0,$H75*VLOOKUP($E75,'Pazaryeri Kartları'!$B$5:$C$24,2,FALSE)+VLOOKUP($E75,'Pazaryeri Kartları'!$B$5:$D$24,3,FALSE)*$G75),0)</f>
      </c>
      <c r="J75" s="16">
        <f>IFERROR(IF($C75="",0,VLOOKUP($C75,'Ürün Kartları'!$B$5:$G$154,6,FALSE)*$G75),0)</f>
      </c>
      <c r="K75" s="11"/>
      <c r="L75" s="10"/>
      <c r="M75" s="21">
        <f>IF($C75="","",IF($K75=1,-($J75*0.5)-$L75,$H75-$I75-$J75-$L75))</f>
      </c>
      <c r="N75" s="22">
        <f>IF(OR($C75="",$H75=0),"",$M75/$H75)</f>
      </c>
    </row>
    <row r="76" spans="2:14" x14ac:dyDescent="0.25">
      <c r="B76" s="23"/>
      <c r="C76" s="12"/>
      <c r="D76" s="20">
        <f>IFERROR(IF($C76="","",VLOOKUP($C76,'Ürün Kartları'!$B$5:$C$154,2,FALSE)),"— tanımsız ürün —")</f>
      </c>
      <c r="E76" s="12"/>
      <c r="F76" s="14"/>
      <c r="G76" s="15"/>
      <c r="H76" s="16">
        <f>IF(OR($F76="",$G76=""),0,$F76*$G76)</f>
      </c>
      <c r="I76" s="16">
        <f>IFERROR(IF($E76="",0,$H76*VLOOKUP($E76,'Pazaryeri Kartları'!$B$5:$C$24,2,FALSE)+VLOOKUP($E76,'Pazaryeri Kartları'!$B$5:$D$24,3,FALSE)*$G76),0)</f>
      </c>
      <c r="J76" s="16">
        <f>IFERROR(IF($C76="",0,VLOOKUP($C76,'Ürün Kartları'!$B$5:$G$154,6,FALSE)*$G76),0)</f>
      </c>
      <c r="K76" s="15"/>
      <c r="L76" s="14"/>
      <c r="M76" s="21">
        <f>IF($C76="","",IF($K76=1,-($J76*0.5)-$L76,$H76-$I76-$J76-$L76))</f>
      </c>
      <c r="N76" s="22">
        <f>IF(OR($C76="",$H76=0),"",$M76/$H76)</f>
      </c>
    </row>
    <row r="77" spans="2:14" x14ac:dyDescent="0.25">
      <c r="B77" s="19"/>
      <c r="C77" s="8"/>
      <c r="D77" s="20">
        <f>IFERROR(IF($C77="","",VLOOKUP($C77,'Ürün Kartları'!$B$5:$C$154,2,FALSE)),"— tanımsız ürün —")</f>
      </c>
      <c r="E77" s="8"/>
      <c r="F77" s="10"/>
      <c r="G77" s="11"/>
      <c r="H77" s="16">
        <f>IF(OR($F77="",$G77=""),0,$F77*$G77)</f>
      </c>
      <c r="I77" s="16">
        <f>IFERROR(IF($E77="",0,$H77*VLOOKUP($E77,'Pazaryeri Kartları'!$B$5:$C$24,2,FALSE)+VLOOKUP($E77,'Pazaryeri Kartları'!$B$5:$D$24,3,FALSE)*$G77),0)</f>
      </c>
      <c r="J77" s="16">
        <f>IFERROR(IF($C77="",0,VLOOKUP($C77,'Ürün Kartları'!$B$5:$G$154,6,FALSE)*$G77),0)</f>
      </c>
      <c r="K77" s="11"/>
      <c r="L77" s="10"/>
      <c r="M77" s="21">
        <f>IF($C77="","",IF($K77=1,-($J77*0.5)-$L77,$H77-$I77-$J77-$L77))</f>
      </c>
      <c r="N77" s="22">
        <f>IF(OR($C77="",$H77=0),"",$M77/$H77)</f>
      </c>
    </row>
    <row r="78" spans="2:14" x14ac:dyDescent="0.25">
      <c r="B78" s="23"/>
      <c r="C78" s="12"/>
      <c r="D78" s="20">
        <f>IFERROR(IF($C78="","",VLOOKUP($C78,'Ürün Kartları'!$B$5:$C$154,2,FALSE)),"— tanımsız ürün —")</f>
      </c>
      <c r="E78" s="12"/>
      <c r="F78" s="14"/>
      <c r="G78" s="15"/>
      <c r="H78" s="16">
        <f>IF(OR($F78="",$G78=""),0,$F78*$G78)</f>
      </c>
      <c r="I78" s="16">
        <f>IFERROR(IF($E78="",0,$H78*VLOOKUP($E78,'Pazaryeri Kartları'!$B$5:$C$24,2,FALSE)+VLOOKUP($E78,'Pazaryeri Kartları'!$B$5:$D$24,3,FALSE)*$G78),0)</f>
      </c>
      <c r="J78" s="16">
        <f>IFERROR(IF($C78="",0,VLOOKUP($C78,'Ürün Kartları'!$B$5:$G$154,6,FALSE)*$G78),0)</f>
      </c>
      <c r="K78" s="15"/>
      <c r="L78" s="14"/>
      <c r="M78" s="21">
        <f>IF($C78="","",IF($K78=1,-($J78*0.5)-$L78,$H78-$I78-$J78-$L78))</f>
      </c>
      <c r="N78" s="22">
        <f>IF(OR($C78="",$H78=0),"",$M78/$H78)</f>
      </c>
    </row>
    <row r="79" spans="2:14" x14ac:dyDescent="0.25">
      <c r="B79" s="19"/>
      <c r="C79" s="8"/>
      <c r="D79" s="20">
        <f>IFERROR(IF($C79="","",VLOOKUP($C79,'Ürün Kartları'!$B$5:$C$154,2,FALSE)),"— tanımsız ürün —")</f>
      </c>
      <c r="E79" s="8"/>
      <c r="F79" s="10"/>
      <c r="G79" s="11"/>
      <c r="H79" s="16">
        <f>IF(OR($F79="",$G79=""),0,$F79*$G79)</f>
      </c>
      <c r="I79" s="16">
        <f>IFERROR(IF($E79="",0,$H79*VLOOKUP($E79,'Pazaryeri Kartları'!$B$5:$C$24,2,FALSE)+VLOOKUP($E79,'Pazaryeri Kartları'!$B$5:$D$24,3,FALSE)*$G79),0)</f>
      </c>
      <c r="J79" s="16">
        <f>IFERROR(IF($C79="",0,VLOOKUP($C79,'Ürün Kartları'!$B$5:$G$154,6,FALSE)*$G79),0)</f>
      </c>
      <c r="K79" s="11"/>
      <c r="L79" s="10"/>
      <c r="M79" s="21">
        <f>IF($C79="","",IF($K79=1,-($J79*0.5)-$L79,$H79-$I79-$J79-$L79))</f>
      </c>
      <c r="N79" s="22">
        <f>IF(OR($C79="",$H79=0),"",$M79/$H79)</f>
      </c>
    </row>
    <row r="80" spans="2:14" x14ac:dyDescent="0.25">
      <c r="B80" s="23"/>
      <c r="C80" s="12"/>
      <c r="D80" s="20">
        <f>IFERROR(IF($C80="","",VLOOKUP($C80,'Ürün Kartları'!$B$5:$C$154,2,FALSE)),"— tanımsız ürün —")</f>
      </c>
      <c r="E80" s="12"/>
      <c r="F80" s="14"/>
      <c r="G80" s="15"/>
      <c r="H80" s="16">
        <f>IF(OR($F80="",$G80=""),0,$F80*$G80)</f>
      </c>
      <c r="I80" s="16">
        <f>IFERROR(IF($E80="",0,$H80*VLOOKUP($E80,'Pazaryeri Kartları'!$B$5:$C$24,2,FALSE)+VLOOKUP($E80,'Pazaryeri Kartları'!$B$5:$D$24,3,FALSE)*$G80),0)</f>
      </c>
      <c r="J80" s="16">
        <f>IFERROR(IF($C80="",0,VLOOKUP($C80,'Ürün Kartları'!$B$5:$G$154,6,FALSE)*$G80),0)</f>
      </c>
      <c r="K80" s="15"/>
      <c r="L80" s="14"/>
      <c r="M80" s="21">
        <f>IF($C80="","",IF($K80=1,-($J80*0.5)-$L80,$H80-$I80-$J80-$L80))</f>
      </c>
      <c r="N80" s="22">
        <f>IF(OR($C80="",$H80=0),"",$M80/$H80)</f>
      </c>
    </row>
    <row r="81" spans="2:14" x14ac:dyDescent="0.25">
      <c r="B81" s="19"/>
      <c r="C81" s="8"/>
      <c r="D81" s="20">
        <f>IFERROR(IF($C81="","",VLOOKUP($C81,'Ürün Kartları'!$B$5:$C$154,2,FALSE)),"— tanımsız ürün —")</f>
      </c>
      <c r="E81" s="8"/>
      <c r="F81" s="10"/>
      <c r="G81" s="11"/>
      <c r="H81" s="16">
        <f>IF(OR($F81="",$G81=""),0,$F81*$G81)</f>
      </c>
      <c r="I81" s="16">
        <f>IFERROR(IF($E81="",0,$H81*VLOOKUP($E81,'Pazaryeri Kartları'!$B$5:$C$24,2,FALSE)+VLOOKUP($E81,'Pazaryeri Kartları'!$B$5:$D$24,3,FALSE)*$G81),0)</f>
      </c>
      <c r="J81" s="16">
        <f>IFERROR(IF($C81="",0,VLOOKUP($C81,'Ürün Kartları'!$B$5:$G$154,6,FALSE)*$G81),0)</f>
      </c>
      <c r="K81" s="11"/>
      <c r="L81" s="10"/>
      <c r="M81" s="21">
        <f>IF($C81="","",IF($K81=1,-($J81*0.5)-$L81,$H81-$I81-$J81-$L81))</f>
      </c>
      <c r="N81" s="22">
        <f>IF(OR($C81="",$H81=0),"",$M81/$H81)</f>
      </c>
    </row>
    <row r="82" spans="2:14" x14ac:dyDescent="0.25">
      <c r="B82" s="23"/>
      <c r="C82" s="12"/>
      <c r="D82" s="20">
        <f>IFERROR(IF($C82="","",VLOOKUP($C82,'Ürün Kartları'!$B$5:$C$154,2,FALSE)),"— tanımsız ürün —")</f>
      </c>
      <c r="E82" s="12"/>
      <c r="F82" s="14"/>
      <c r="G82" s="15"/>
      <c r="H82" s="16">
        <f>IF(OR($F82="",$G82=""),0,$F82*$G82)</f>
      </c>
      <c r="I82" s="16">
        <f>IFERROR(IF($E82="",0,$H82*VLOOKUP($E82,'Pazaryeri Kartları'!$B$5:$C$24,2,FALSE)+VLOOKUP($E82,'Pazaryeri Kartları'!$B$5:$D$24,3,FALSE)*$G82),0)</f>
      </c>
      <c r="J82" s="16">
        <f>IFERROR(IF($C82="",0,VLOOKUP($C82,'Ürün Kartları'!$B$5:$G$154,6,FALSE)*$G82),0)</f>
      </c>
      <c r="K82" s="15"/>
      <c r="L82" s="14"/>
      <c r="M82" s="21">
        <f>IF($C82="","",IF($K82=1,-($J82*0.5)-$L82,$H82-$I82-$J82-$L82))</f>
      </c>
      <c r="N82" s="22">
        <f>IF(OR($C82="",$H82=0),"",$M82/$H82)</f>
      </c>
    </row>
    <row r="83" spans="2:14" x14ac:dyDescent="0.25">
      <c r="B83" s="19"/>
      <c r="C83" s="8"/>
      <c r="D83" s="20">
        <f>IFERROR(IF($C83="","",VLOOKUP($C83,'Ürün Kartları'!$B$5:$C$154,2,FALSE)),"— tanımsız ürün —")</f>
      </c>
      <c r="E83" s="8"/>
      <c r="F83" s="10"/>
      <c r="G83" s="11"/>
      <c r="H83" s="16">
        <f>IF(OR($F83="",$G83=""),0,$F83*$G83)</f>
      </c>
      <c r="I83" s="16">
        <f>IFERROR(IF($E83="",0,$H83*VLOOKUP($E83,'Pazaryeri Kartları'!$B$5:$C$24,2,FALSE)+VLOOKUP($E83,'Pazaryeri Kartları'!$B$5:$D$24,3,FALSE)*$G83),0)</f>
      </c>
      <c r="J83" s="16">
        <f>IFERROR(IF($C83="",0,VLOOKUP($C83,'Ürün Kartları'!$B$5:$G$154,6,FALSE)*$G83),0)</f>
      </c>
      <c r="K83" s="11"/>
      <c r="L83" s="10"/>
      <c r="M83" s="21">
        <f>IF($C83="","",IF($K83=1,-($J83*0.5)-$L83,$H83-$I83-$J83-$L83))</f>
      </c>
      <c r="N83" s="22">
        <f>IF(OR($C83="",$H83=0),"",$M83/$H83)</f>
      </c>
    </row>
    <row r="84" spans="2:14" x14ac:dyDescent="0.25">
      <c r="B84" s="23"/>
      <c r="C84" s="12"/>
      <c r="D84" s="20">
        <f>IFERROR(IF($C84="","",VLOOKUP($C84,'Ürün Kartları'!$B$5:$C$154,2,FALSE)),"— tanımsız ürün —")</f>
      </c>
      <c r="E84" s="12"/>
      <c r="F84" s="14"/>
      <c r="G84" s="15"/>
      <c r="H84" s="16">
        <f>IF(OR($F84="",$G84=""),0,$F84*$G84)</f>
      </c>
      <c r="I84" s="16">
        <f>IFERROR(IF($E84="",0,$H84*VLOOKUP($E84,'Pazaryeri Kartları'!$B$5:$C$24,2,FALSE)+VLOOKUP($E84,'Pazaryeri Kartları'!$B$5:$D$24,3,FALSE)*$G84),0)</f>
      </c>
      <c r="J84" s="16">
        <f>IFERROR(IF($C84="",0,VLOOKUP($C84,'Ürün Kartları'!$B$5:$G$154,6,FALSE)*$G84),0)</f>
      </c>
      <c r="K84" s="15"/>
      <c r="L84" s="14"/>
      <c r="M84" s="21">
        <f>IF($C84="","",IF($K84=1,-($J84*0.5)-$L84,$H84-$I84-$J84-$L84))</f>
      </c>
      <c r="N84" s="22">
        <f>IF(OR($C84="",$H84=0),"",$M84/$H84)</f>
      </c>
    </row>
    <row r="85" spans="2:14" x14ac:dyDescent="0.25">
      <c r="B85" s="19"/>
      <c r="C85" s="8"/>
      <c r="D85" s="20">
        <f>IFERROR(IF($C85="","",VLOOKUP($C85,'Ürün Kartları'!$B$5:$C$154,2,FALSE)),"— tanımsız ürün —")</f>
      </c>
      <c r="E85" s="8"/>
      <c r="F85" s="10"/>
      <c r="G85" s="11"/>
      <c r="H85" s="16">
        <f>IF(OR($F85="",$G85=""),0,$F85*$G85)</f>
      </c>
      <c r="I85" s="16">
        <f>IFERROR(IF($E85="",0,$H85*VLOOKUP($E85,'Pazaryeri Kartları'!$B$5:$C$24,2,FALSE)+VLOOKUP($E85,'Pazaryeri Kartları'!$B$5:$D$24,3,FALSE)*$G85),0)</f>
      </c>
      <c r="J85" s="16">
        <f>IFERROR(IF($C85="",0,VLOOKUP($C85,'Ürün Kartları'!$B$5:$G$154,6,FALSE)*$G85),0)</f>
      </c>
      <c r="K85" s="11"/>
      <c r="L85" s="10"/>
      <c r="M85" s="21">
        <f>IF($C85="","",IF($K85=1,-($J85*0.5)-$L85,$H85-$I85-$J85-$L85))</f>
      </c>
      <c r="N85" s="22">
        <f>IF(OR($C85="",$H85=0),"",$M85/$H85)</f>
      </c>
    </row>
    <row r="86" spans="2:14" x14ac:dyDescent="0.25">
      <c r="B86" s="23"/>
      <c r="C86" s="12"/>
      <c r="D86" s="20">
        <f>IFERROR(IF($C86="","",VLOOKUP($C86,'Ürün Kartları'!$B$5:$C$154,2,FALSE)),"— tanımsız ürün —")</f>
      </c>
      <c r="E86" s="12"/>
      <c r="F86" s="14"/>
      <c r="G86" s="15"/>
      <c r="H86" s="16">
        <f>IF(OR($F86="",$G86=""),0,$F86*$G86)</f>
      </c>
      <c r="I86" s="16">
        <f>IFERROR(IF($E86="",0,$H86*VLOOKUP($E86,'Pazaryeri Kartları'!$B$5:$C$24,2,FALSE)+VLOOKUP($E86,'Pazaryeri Kartları'!$B$5:$D$24,3,FALSE)*$G86),0)</f>
      </c>
      <c r="J86" s="16">
        <f>IFERROR(IF($C86="",0,VLOOKUP($C86,'Ürün Kartları'!$B$5:$G$154,6,FALSE)*$G86),0)</f>
      </c>
      <c r="K86" s="15"/>
      <c r="L86" s="14"/>
      <c r="M86" s="21">
        <f>IF($C86="","",IF($K86=1,-($J86*0.5)-$L86,$H86-$I86-$J86-$L86))</f>
      </c>
      <c r="N86" s="22">
        <f>IF(OR($C86="",$H86=0),"",$M86/$H86)</f>
      </c>
    </row>
    <row r="87" spans="2:14" x14ac:dyDescent="0.25">
      <c r="B87" s="19"/>
      <c r="C87" s="8"/>
      <c r="D87" s="20">
        <f>IFERROR(IF($C87="","",VLOOKUP($C87,'Ürün Kartları'!$B$5:$C$154,2,FALSE)),"— tanımsız ürün —")</f>
      </c>
      <c r="E87" s="8"/>
      <c r="F87" s="10"/>
      <c r="G87" s="11"/>
      <c r="H87" s="16">
        <f>IF(OR($F87="",$G87=""),0,$F87*$G87)</f>
      </c>
      <c r="I87" s="16">
        <f>IFERROR(IF($E87="",0,$H87*VLOOKUP($E87,'Pazaryeri Kartları'!$B$5:$C$24,2,FALSE)+VLOOKUP($E87,'Pazaryeri Kartları'!$B$5:$D$24,3,FALSE)*$G87),0)</f>
      </c>
      <c r="J87" s="16">
        <f>IFERROR(IF($C87="",0,VLOOKUP($C87,'Ürün Kartları'!$B$5:$G$154,6,FALSE)*$G87),0)</f>
      </c>
      <c r="K87" s="11"/>
      <c r="L87" s="10"/>
      <c r="M87" s="21">
        <f>IF($C87="","",IF($K87=1,-($J87*0.5)-$L87,$H87-$I87-$J87-$L87))</f>
      </c>
      <c r="N87" s="22">
        <f>IF(OR($C87="",$H87=0),"",$M87/$H87)</f>
      </c>
    </row>
    <row r="88" spans="2:14" x14ac:dyDescent="0.25">
      <c r="B88" s="23"/>
      <c r="C88" s="12"/>
      <c r="D88" s="20">
        <f>IFERROR(IF($C88="","",VLOOKUP($C88,'Ürün Kartları'!$B$5:$C$154,2,FALSE)),"— tanımsız ürün —")</f>
      </c>
      <c r="E88" s="12"/>
      <c r="F88" s="14"/>
      <c r="G88" s="15"/>
      <c r="H88" s="16">
        <f>IF(OR($F88="",$G88=""),0,$F88*$G88)</f>
      </c>
      <c r="I88" s="16">
        <f>IFERROR(IF($E88="",0,$H88*VLOOKUP($E88,'Pazaryeri Kartları'!$B$5:$C$24,2,FALSE)+VLOOKUP($E88,'Pazaryeri Kartları'!$B$5:$D$24,3,FALSE)*$G88),0)</f>
      </c>
      <c r="J88" s="16">
        <f>IFERROR(IF($C88="",0,VLOOKUP($C88,'Ürün Kartları'!$B$5:$G$154,6,FALSE)*$G88),0)</f>
      </c>
      <c r="K88" s="15"/>
      <c r="L88" s="14"/>
      <c r="M88" s="21">
        <f>IF($C88="","",IF($K88=1,-($J88*0.5)-$L88,$H88-$I88-$J88-$L88))</f>
      </c>
      <c r="N88" s="22">
        <f>IF(OR($C88="",$H88=0),"",$M88/$H88)</f>
      </c>
    </row>
    <row r="89" spans="2:14" x14ac:dyDescent="0.25">
      <c r="B89" s="19"/>
      <c r="C89" s="8"/>
      <c r="D89" s="20">
        <f>IFERROR(IF($C89="","",VLOOKUP($C89,'Ürün Kartları'!$B$5:$C$154,2,FALSE)),"— tanımsız ürün —")</f>
      </c>
      <c r="E89" s="8"/>
      <c r="F89" s="10"/>
      <c r="G89" s="11"/>
      <c r="H89" s="16">
        <f>IF(OR($F89="",$G89=""),0,$F89*$G89)</f>
      </c>
      <c r="I89" s="16">
        <f>IFERROR(IF($E89="",0,$H89*VLOOKUP($E89,'Pazaryeri Kartları'!$B$5:$C$24,2,FALSE)+VLOOKUP($E89,'Pazaryeri Kartları'!$B$5:$D$24,3,FALSE)*$G89),0)</f>
      </c>
      <c r="J89" s="16">
        <f>IFERROR(IF($C89="",0,VLOOKUP($C89,'Ürün Kartları'!$B$5:$G$154,6,FALSE)*$G89),0)</f>
      </c>
      <c r="K89" s="11"/>
      <c r="L89" s="10"/>
      <c r="M89" s="21">
        <f>IF($C89="","",IF($K89=1,-($J89*0.5)-$L89,$H89-$I89-$J89-$L89))</f>
      </c>
      <c r="N89" s="22">
        <f>IF(OR($C89="",$H89=0),"",$M89/$H89)</f>
      </c>
    </row>
    <row r="90" spans="2:14" x14ac:dyDescent="0.25">
      <c r="B90" s="23"/>
      <c r="C90" s="12"/>
      <c r="D90" s="20">
        <f>IFERROR(IF($C90="","",VLOOKUP($C90,'Ürün Kartları'!$B$5:$C$154,2,FALSE)),"— tanımsız ürün —")</f>
      </c>
      <c r="E90" s="12"/>
      <c r="F90" s="14"/>
      <c r="G90" s="15"/>
      <c r="H90" s="16">
        <f>IF(OR($F90="",$G90=""),0,$F90*$G90)</f>
      </c>
      <c r="I90" s="16">
        <f>IFERROR(IF($E90="",0,$H90*VLOOKUP($E90,'Pazaryeri Kartları'!$B$5:$C$24,2,FALSE)+VLOOKUP($E90,'Pazaryeri Kartları'!$B$5:$D$24,3,FALSE)*$G90),0)</f>
      </c>
      <c r="J90" s="16">
        <f>IFERROR(IF($C90="",0,VLOOKUP($C90,'Ürün Kartları'!$B$5:$G$154,6,FALSE)*$G90),0)</f>
      </c>
      <c r="K90" s="15"/>
      <c r="L90" s="14"/>
      <c r="M90" s="21">
        <f>IF($C90="","",IF($K90=1,-($J90*0.5)-$L90,$H90-$I90-$J90-$L90))</f>
      </c>
      <c r="N90" s="22">
        <f>IF(OR($C90="",$H90=0),"",$M90/$H90)</f>
      </c>
    </row>
    <row r="91" spans="2:14" x14ac:dyDescent="0.25">
      <c r="B91" s="19"/>
      <c r="C91" s="8"/>
      <c r="D91" s="20">
        <f>IFERROR(IF($C91="","",VLOOKUP($C91,'Ürün Kartları'!$B$5:$C$154,2,FALSE)),"— tanımsız ürün —")</f>
      </c>
      <c r="E91" s="8"/>
      <c r="F91" s="10"/>
      <c r="G91" s="11"/>
      <c r="H91" s="16">
        <f>IF(OR($F91="",$G91=""),0,$F91*$G91)</f>
      </c>
      <c r="I91" s="16">
        <f>IFERROR(IF($E91="",0,$H91*VLOOKUP($E91,'Pazaryeri Kartları'!$B$5:$C$24,2,FALSE)+VLOOKUP($E91,'Pazaryeri Kartları'!$B$5:$D$24,3,FALSE)*$G91),0)</f>
      </c>
      <c r="J91" s="16">
        <f>IFERROR(IF($C91="",0,VLOOKUP($C91,'Ürün Kartları'!$B$5:$G$154,6,FALSE)*$G91),0)</f>
      </c>
      <c r="K91" s="11"/>
      <c r="L91" s="10"/>
      <c r="M91" s="21">
        <f>IF($C91="","",IF($K91=1,-($J91*0.5)-$L91,$H91-$I91-$J91-$L91))</f>
      </c>
      <c r="N91" s="22">
        <f>IF(OR($C91="",$H91=0),"",$M91/$H91)</f>
      </c>
    </row>
    <row r="92" spans="2:14" x14ac:dyDescent="0.25">
      <c r="B92" s="23"/>
      <c r="C92" s="12"/>
      <c r="D92" s="20">
        <f>IFERROR(IF($C92="","",VLOOKUP($C92,'Ürün Kartları'!$B$5:$C$154,2,FALSE)),"— tanımsız ürün —")</f>
      </c>
      <c r="E92" s="12"/>
      <c r="F92" s="14"/>
      <c r="G92" s="15"/>
      <c r="H92" s="16">
        <f>IF(OR($F92="",$G92=""),0,$F92*$G92)</f>
      </c>
      <c r="I92" s="16">
        <f>IFERROR(IF($E92="",0,$H92*VLOOKUP($E92,'Pazaryeri Kartları'!$B$5:$C$24,2,FALSE)+VLOOKUP($E92,'Pazaryeri Kartları'!$B$5:$D$24,3,FALSE)*$G92),0)</f>
      </c>
      <c r="J92" s="16">
        <f>IFERROR(IF($C92="",0,VLOOKUP($C92,'Ürün Kartları'!$B$5:$G$154,6,FALSE)*$G92),0)</f>
      </c>
      <c r="K92" s="15"/>
      <c r="L92" s="14"/>
      <c r="M92" s="21">
        <f>IF($C92="","",IF($K92=1,-($J92*0.5)-$L92,$H92-$I92-$J92-$L92))</f>
      </c>
      <c r="N92" s="22">
        <f>IF(OR($C92="",$H92=0),"",$M92/$H92)</f>
      </c>
    </row>
    <row r="93" spans="2:14" x14ac:dyDescent="0.25">
      <c r="B93" s="19"/>
      <c r="C93" s="8"/>
      <c r="D93" s="20">
        <f>IFERROR(IF($C93="","",VLOOKUP($C93,'Ürün Kartları'!$B$5:$C$154,2,FALSE)),"— tanımsız ürün —")</f>
      </c>
      <c r="E93" s="8"/>
      <c r="F93" s="10"/>
      <c r="G93" s="11"/>
      <c r="H93" s="16">
        <f>IF(OR($F93="",$G93=""),0,$F93*$G93)</f>
      </c>
      <c r="I93" s="16">
        <f>IFERROR(IF($E93="",0,$H93*VLOOKUP($E93,'Pazaryeri Kartları'!$B$5:$C$24,2,FALSE)+VLOOKUP($E93,'Pazaryeri Kartları'!$B$5:$D$24,3,FALSE)*$G93),0)</f>
      </c>
      <c r="J93" s="16">
        <f>IFERROR(IF($C93="",0,VLOOKUP($C93,'Ürün Kartları'!$B$5:$G$154,6,FALSE)*$G93),0)</f>
      </c>
      <c r="K93" s="11"/>
      <c r="L93" s="10"/>
      <c r="M93" s="21">
        <f>IF($C93="","",IF($K93=1,-($J93*0.5)-$L93,$H93-$I93-$J93-$L93))</f>
      </c>
      <c r="N93" s="22">
        <f>IF(OR($C93="",$H93=0),"",$M93/$H93)</f>
      </c>
    </row>
    <row r="94" spans="2:14" x14ac:dyDescent="0.25">
      <c r="B94" s="23"/>
      <c r="C94" s="12"/>
      <c r="D94" s="20">
        <f>IFERROR(IF($C94="","",VLOOKUP($C94,'Ürün Kartları'!$B$5:$C$154,2,FALSE)),"— tanımsız ürün —")</f>
      </c>
      <c r="E94" s="12"/>
      <c r="F94" s="14"/>
      <c r="G94" s="15"/>
      <c r="H94" s="16">
        <f>IF(OR($F94="",$G94=""),0,$F94*$G94)</f>
      </c>
      <c r="I94" s="16">
        <f>IFERROR(IF($E94="",0,$H94*VLOOKUP($E94,'Pazaryeri Kartları'!$B$5:$C$24,2,FALSE)+VLOOKUP($E94,'Pazaryeri Kartları'!$B$5:$D$24,3,FALSE)*$G94),0)</f>
      </c>
      <c r="J94" s="16">
        <f>IFERROR(IF($C94="",0,VLOOKUP($C94,'Ürün Kartları'!$B$5:$G$154,6,FALSE)*$G94),0)</f>
      </c>
      <c r="K94" s="15"/>
      <c r="L94" s="14"/>
      <c r="M94" s="21">
        <f>IF($C94="","",IF($K94=1,-($J94*0.5)-$L94,$H94-$I94-$J94-$L94))</f>
      </c>
      <c r="N94" s="22">
        <f>IF(OR($C94="",$H94=0),"",$M94/$H94)</f>
      </c>
    </row>
    <row r="95" spans="2:14" x14ac:dyDescent="0.25">
      <c r="B95" s="19"/>
      <c r="C95" s="8"/>
      <c r="D95" s="20">
        <f>IFERROR(IF($C95="","",VLOOKUP($C95,'Ürün Kartları'!$B$5:$C$154,2,FALSE)),"— tanımsız ürün —")</f>
      </c>
      <c r="E95" s="8"/>
      <c r="F95" s="10"/>
      <c r="G95" s="11"/>
      <c r="H95" s="16">
        <f>IF(OR($F95="",$G95=""),0,$F95*$G95)</f>
      </c>
      <c r="I95" s="16">
        <f>IFERROR(IF($E95="",0,$H95*VLOOKUP($E95,'Pazaryeri Kartları'!$B$5:$C$24,2,FALSE)+VLOOKUP($E95,'Pazaryeri Kartları'!$B$5:$D$24,3,FALSE)*$G95),0)</f>
      </c>
      <c r="J95" s="16">
        <f>IFERROR(IF($C95="",0,VLOOKUP($C95,'Ürün Kartları'!$B$5:$G$154,6,FALSE)*$G95),0)</f>
      </c>
      <c r="K95" s="11"/>
      <c r="L95" s="10"/>
      <c r="M95" s="21">
        <f>IF($C95="","",IF($K95=1,-($J95*0.5)-$L95,$H95-$I95-$J95-$L95))</f>
      </c>
      <c r="N95" s="22">
        <f>IF(OR($C95="",$H95=0),"",$M95/$H95)</f>
      </c>
    </row>
    <row r="96" spans="2:14" x14ac:dyDescent="0.25">
      <c r="B96" s="23"/>
      <c r="C96" s="12"/>
      <c r="D96" s="20">
        <f>IFERROR(IF($C96="","",VLOOKUP($C96,'Ürün Kartları'!$B$5:$C$154,2,FALSE)),"— tanımsız ürün —")</f>
      </c>
      <c r="E96" s="12"/>
      <c r="F96" s="14"/>
      <c r="G96" s="15"/>
      <c r="H96" s="16">
        <f>IF(OR($F96="",$G96=""),0,$F96*$G96)</f>
      </c>
      <c r="I96" s="16">
        <f>IFERROR(IF($E96="",0,$H96*VLOOKUP($E96,'Pazaryeri Kartları'!$B$5:$C$24,2,FALSE)+VLOOKUP($E96,'Pazaryeri Kartları'!$B$5:$D$24,3,FALSE)*$G96),0)</f>
      </c>
      <c r="J96" s="16">
        <f>IFERROR(IF($C96="",0,VLOOKUP($C96,'Ürün Kartları'!$B$5:$G$154,6,FALSE)*$G96),0)</f>
      </c>
      <c r="K96" s="15"/>
      <c r="L96" s="14"/>
      <c r="M96" s="21">
        <f>IF($C96="","",IF($K96=1,-($J96*0.5)-$L96,$H96-$I96-$J96-$L96))</f>
      </c>
      <c r="N96" s="22">
        <f>IF(OR($C96="",$H96=0),"",$M96/$H96)</f>
      </c>
    </row>
    <row r="97" spans="2:14" x14ac:dyDescent="0.25">
      <c r="B97" s="19"/>
      <c r="C97" s="8"/>
      <c r="D97" s="20">
        <f>IFERROR(IF($C97="","",VLOOKUP($C97,'Ürün Kartları'!$B$5:$C$154,2,FALSE)),"— tanımsız ürün —")</f>
      </c>
      <c r="E97" s="8"/>
      <c r="F97" s="10"/>
      <c r="G97" s="11"/>
      <c r="H97" s="16">
        <f>IF(OR($F97="",$G97=""),0,$F97*$G97)</f>
      </c>
      <c r="I97" s="16">
        <f>IFERROR(IF($E97="",0,$H97*VLOOKUP($E97,'Pazaryeri Kartları'!$B$5:$C$24,2,FALSE)+VLOOKUP($E97,'Pazaryeri Kartları'!$B$5:$D$24,3,FALSE)*$G97),0)</f>
      </c>
      <c r="J97" s="16">
        <f>IFERROR(IF($C97="",0,VLOOKUP($C97,'Ürün Kartları'!$B$5:$G$154,6,FALSE)*$G97),0)</f>
      </c>
      <c r="K97" s="11"/>
      <c r="L97" s="10"/>
      <c r="M97" s="21">
        <f>IF($C97="","",IF($K97=1,-($J97*0.5)-$L97,$H97-$I97-$J97-$L97))</f>
      </c>
      <c r="N97" s="22">
        <f>IF(OR($C97="",$H97=0),"",$M97/$H97)</f>
      </c>
    </row>
    <row r="98" spans="2:14" x14ac:dyDescent="0.25">
      <c r="B98" s="23"/>
      <c r="C98" s="12"/>
      <c r="D98" s="20">
        <f>IFERROR(IF($C98="","",VLOOKUP($C98,'Ürün Kartları'!$B$5:$C$154,2,FALSE)),"— tanımsız ürün —")</f>
      </c>
      <c r="E98" s="12"/>
      <c r="F98" s="14"/>
      <c r="G98" s="15"/>
      <c r="H98" s="16">
        <f>IF(OR($F98="",$G98=""),0,$F98*$G98)</f>
      </c>
      <c r="I98" s="16">
        <f>IFERROR(IF($E98="",0,$H98*VLOOKUP($E98,'Pazaryeri Kartları'!$B$5:$C$24,2,FALSE)+VLOOKUP($E98,'Pazaryeri Kartları'!$B$5:$D$24,3,FALSE)*$G98),0)</f>
      </c>
      <c r="J98" s="16">
        <f>IFERROR(IF($C98="",0,VLOOKUP($C98,'Ürün Kartları'!$B$5:$G$154,6,FALSE)*$G98),0)</f>
      </c>
      <c r="K98" s="15"/>
      <c r="L98" s="14"/>
      <c r="M98" s="21">
        <f>IF($C98="","",IF($K98=1,-($J98*0.5)-$L98,$H98-$I98-$J98-$L98))</f>
      </c>
      <c r="N98" s="22">
        <f>IF(OR($C98="",$H98=0),"",$M98/$H98)</f>
      </c>
    </row>
    <row r="99" spans="2:14" x14ac:dyDescent="0.25">
      <c r="B99" s="19"/>
      <c r="C99" s="8"/>
      <c r="D99" s="20">
        <f>IFERROR(IF($C99="","",VLOOKUP($C99,'Ürün Kartları'!$B$5:$C$154,2,FALSE)),"— tanımsız ürün —")</f>
      </c>
      <c r="E99" s="8"/>
      <c r="F99" s="10"/>
      <c r="G99" s="11"/>
      <c r="H99" s="16">
        <f>IF(OR($F99="",$G99=""),0,$F99*$G99)</f>
      </c>
      <c r="I99" s="16">
        <f>IFERROR(IF($E99="",0,$H99*VLOOKUP($E99,'Pazaryeri Kartları'!$B$5:$C$24,2,FALSE)+VLOOKUP($E99,'Pazaryeri Kartları'!$B$5:$D$24,3,FALSE)*$G99),0)</f>
      </c>
      <c r="J99" s="16">
        <f>IFERROR(IF($C99="",0,VLOOKUP($C99,'Ürün Kartları'!$B$5:$G$154,6,FALSE)*$G99),0)</f>
      </c>
      <c r="K99" s="11"/>
      <c r="L99" s="10"/>
      <c r="M99" s="21">
        <f>IF($C99="","",IF($K99=1,-($J99*0.5)-$L99,$H99-$I99-$J99-$L99))</f>
      </c>
      <c r="N99" s="22">
        <f>IF(OR($C99="",$H99=0),"",$M99/$H99)</f>
      </c>
    </row>
    <row r="100" spans="2:14" x14ac:dyDescent="0.25">
      <c r="B100" s="23"/>
      <c r="C100" s="12"/>
      <c r="D100" s="20">
        <f>IFERROR(IF($C100="","",VLOOKUP($C100,'Ürün Kartları'!$B$5:$C$154,2,FALSE)),"— tanımsız ürün —")</f>
      </c>
      <c r="E100" s="12"/>
      <c r="F100" s="14"/>
      <c r="G100" s="15"/>
      <c r="H100" s="16">
        <f>IF(OR($F100="",$G100=""),0,$F100*$G100)</f>
      </c>
      <c r="I100" s="16">
        <f>IFERROR(IF($E100="",0,$H100*VLOOKUP($E100,'Pazaryeri Kartları'!$B$5:$C$24,2,FALSE)+VLOOKUP($E100,'Pazaryeri Kartları'!$B$5:$D$24,3,FALSE)*$G100),0)</f>
      </c>
      <c r="J100" s="16">
        <f>IFERROR(IF($C100="",0,VLOOKUP($C100,'Ürün Kartları'!$B$5:$G$154,6,FALSE)*$G100),0)</f>
      </c>
      <c r="K100" s="15"/>
      <c r="L100" s="14"/>
      <c r="M100" s="21">
        <f>IF($C100="","",IF($K100=1,-($J100*0.5)-$L100,$H100-$I100-$J100-$L100))</f>
      </c>
      <c r="N100" s="22">
        <f>IF(OR($C100="",$H100=0),"",$M100/$H100)</f>
      </c>
    </row>
    <row r="101" spans="2:14" x14ac:dyDescent="0.25">
      <c r="B101" s="19"/>
      <c r="C101" s="8"/>
      <c r="D101" s="20">
        <f>IFERROR(IF($C101="","",VLOOKUP($C101,'Ürün Kartları'!$B$5:$C$154,2,FALSE)),"— tanımsız ürün —")</f>
      </c>
      <c r="E101" s="8"/>
      <c r="F101" s="10"/>
      <c r="G101" s="11"/>
      <c r="H101" s="16">
        <f>IF(OR($F101="",$G101=""),0,$F101*$G101)</f>
      </c>
      <c r="I101" s="16">
        <f>IFERROR(IF($E101="",0,$H101*VLOOKUP($E101,'Pazaryeri Kartları'!$B$5:$C$24,2,FALSE)+VLOOKUP($E101,'Pazaryeri Kartları'!$B$5:$D$24,3,FALSE)*$G101),0)</f>
      </c>
      <c r="J101" s="16">
        <f>IFERROR(IF($C101="",0,VLOOKUP($C101,'Ürün Kartları'!$B$5:$G$154,6,FALSE)*$G101),0)</f>
      </c>
      <c r="K101" s="11"/>
      <c r="L101" s="10"/>
      <c r="M101" s="21">
        <f>IF($C101="","",IF($K101=1,-($J101*0.5)-$L101,$H101-$I101-$J101-$L101))</f>
      </c>
      <c r="N101" s="22">
        <f>IF(OR($C101="",$H101=0),"",$M101/$H101)</f>
      </c>
    </row>
    <row r="102" spans="2:14" x14ac:dyDescent="0.25">
      <c r="B102" s="23"/>
      <c r="C102" s="12"/>
      <c r="D102" s="20">
        <f>IFERROR(IF($C102="","",VLOOKUP($C102,'Ürün Kartları'!$B$5:$C$154,2,FALSE)),"— tanımsız ürün —")</f>
      </c>
      <c r="E102" s="12"/>
      <c r="F102" s="14"/>
      <c r="G102" s="15"/>
      <c r="H102" s="16">
        <f>IF(OR($F102="",$G102=""),0,$F102*$G102)</f>
      </c>
      <c r="I102" s="16">
        <f>IFERROR(IF($E102="",0,$H102*VLOOKUP($E102,'Pazaryeri Kartları'!$B$5:$C$24,2,FALSE)+VLOOKUP($E102,'Pazaryeri Kartları'!$B$5:$D$24,3,FALSE)*$G102),0)</f>
      </c>
      <c r="J102" s="16">
        <f>IFERROR(IF($C102="",0,VLOOKUP($C102,'Ürün Kartları'!$B$5:$G$154,6,FALSE)*$G102),0)</f>
      </c>
      <c r="K102" s="15"/>
      <c r="L102" s="14"/>
      <c r="M102" s="21">
        <f>IF($C102="","",IF($K102=1,-($J102*0.5)-$L102,$H102-$I102-$J102-$L102))</f>
      </c>
      <c r="N102" s="22">
        <f>IF(OR($C102="",$H102=0),"",$M102/$H102)</f>
      </c>
    </row>
    <row r="103" spans="2:14" x14ac:dyDescent="0.25">
      <c r="B103" s="19"/>
      <c r="C103" s="8"/>
      <c r="D103" s="20">
        <f>IFERROR(IF($C103="","",VLOOKUP($C103,'Ürün Kartları'!$B$5:$C$154,2,FALSE)),"— tanımsız ürün —")</f>
      </c>
      <c r="E103" s="8"/>
      <c r="F103" s="10"/>
      <c r="G103" s="11"/>
      <c r="H103" s="16">
        <f>IF(OR($F103="",$G103=""),0,$F103*$G103)</f>
      </c>
      <c r="I103" s="16">
        <f>IFERROR(IF($E103="",0,$H103*VLOOKUP($E103,'Pazaryeri Kartları'!$B$5:$C$24,2,FALSE)+VLOOKUP($E103,'Pazaryeri Kartları'!$B$5:$D$24,3,FALSE)*$G103),0)</f>
      </c>
      <c r="J103" s="16">
        <f>IFERROR(IF($C103="",0,VLOOKUP($C103,'Ürün Kartları'!$B$5:$G$154,6,FALSE)*$G103),0)</f>
      </c>
      <c r="K103" s="11"/>
      <c r="L103" s="10"/>
      <c r="M103" s="21">
        <f>IF($C103="","",IF($K103=1,-($J103*0.5)-$L103,$H103-$I103-$J103-$L103))</f>
      </c>
      <c r="N103" s="22">
        <f>IF(OR($C103="",$H103=0),"",$M103/$H103)</f>
      </c>
    </row>
    <row r="104" spans="2:14" x14ac:dyDescent="0.25">
      <c r="B104" s="23"/>
      <c r="C104" s="12"/>
      <c r="D104" s="20">
        <f>IFERROR(IF($C104="","",VLOOKUP($C104,'Ürün Kartları'!$B$5:$C$154,2,FALSE)),"— tanımsız ürün —")</f>
      </c>
      <c r="E104" s="12"/>
      <c r="F104" s="14"/>
      <c r="G104" s="15"/>
      <c r="H104" s="16">
        <f>IF(OR($F104="",$G104=""),0,$F104*$G104)</f>
      </c>
      <c r="I104" s="16">
        <f>IFERROR(IF($E104="",0,$H104*VLOOKUP($E104,'Pazaryeri Kartları'!$B$5:$C$24,2,FALSE)+VLOOKUP($E104,'Pazaryeri Kartları'!$B$5:$D$24,3,FALSE)*$G104),0)</f>
      </c>
      <c r="J104" s="16">
        <f>IFERROR(IF($C104="",0,VLOOKUP($C104,'Ürün Kartları'!$B$5:$G$154,6,FALSE)*$G104),0)</f>
      </c>
      <c r="K104" s="15"/>
      <c r="L104" s="14"/>
      <c r="M104" s="21">
        <f>IF($C104="","",IF($K104=1,-($J104*0.5)-$L104,$H104-$I104-$J104-$L104))</f>
      </c>
      <c r="N104" s="22">
        <f>IF(OR($C104="",$H104=0),"",$M104/$H104)</f>
      </c>
    </row>
    <row r="105" spans="2:14" x14ac:dyDescent="0.25">
      <c r="B105" s="19"/>
      <c r="C105" s="8"/>
      <c r="D105" s="20">
        <f>IFERROR(IF($C105="","",VLOOKUP($C105,'Ürün Kartları'!$B$5:$C$154,2,FALSE)),"— tanımsız ürün —")</f>
      </c>
      <c r="E105" s="8"/>
      <c r="F105" s="10"/>
      <c r="G105" s="11"/>
      <c r="H105" s="16">
        <f>IF(OR($F105="",$G105=""),0,$F105*$G105)</f>
      </c>
      <c r="I105" s="16">
        <f>IFERROR(IF($E105="",0,$H105*VLOOKUP($E105,'Pazaryeri Kartları'!$B$5:$C$24,2,FALSE)+VLOOKUP($E105,'Pazaryeri Kartları'!$B$5:$D$24,3,FALSE)*$G105),0)</f>
      </c>
      <c r="J105" s="16">
        <f>IFERROR(IF($C105="",0,VLOOKUP($C105,'Ürün Kartları'!$B$5:$G$154,6,FALSE)*$G105),0)</f>
      </c>
      <c r="K105" s="11"/>
      <c r="L105" s="10"/>
      <c r="M105" s="21">
        <f>IF($C105="","",IF($K105=1,-($J105*0.5)-$L105,$H105-$I105-$J105-$L105))</f>
      </c>
      <c r="N105" s="22">
        <f>IF(OR($C105="",$H105=0),"",$M105/$H105)</f>
      </c>
    </row>
    <row r="106" spans="2:14" x14ac:dyDescent="0.25">
      <c r="B106" s="23"/>
      <c r="C106" s="12"/>
      <c r="D106" s="20">
        <f>IFERROR(IF($C106="","",VLOOKUP($C106,'Ürün Kartları'!$B$5:$C$154,2,FALSE)),"— tanımsız ürün —")</f>
      </c>
      <c r="E106" s="12"/>
      <c r="F106" s="14"/>
      <c r="G106" s="15"/>
      <c r="H106" s="16">
        <f>IF(OR($F106="",$G106=""),0,$F106*$G106)</f>
      </c>
      <c r="I106" s="16">
        <f>IFERROR(IF($E106="",0,$H106*VLOOKUP($E106,'Pazaryeri Kartları'!$B$5:$C$24,2,FALSE)+VLOOKUP($E106,'Pazaryeri Kartları'!$B$5:$D$24,3,FALSE)*$G106),0)</f>
      </c>
      <c r="J106" s="16">
        <f>IFERROR(IF($C106="",0,VLOOKUP($C106,'Ürün Kartları'!$B$5:$G$154,6,FALSE)*$G106),0)</f>
      </c>
      <c r="K106" s="15"/>
      <c r="L106" s="14"/>
      <c r="M106" s="21">
        <f>IF($C106="","",IF($K106=1,-($J106*0.5)-$L106,$H106-$I106-$J106-$L106))</f>
      </c>
      <c r="N106" s="22">
        <f>IF(OR($C106="",$H106=0),"",$M106/$H106)</f>
      </c>
    </row>
    <row r="107" spans="2:14" x14ac:dyDescent="0.25">
      <c r="B107" s="19"/>
      <c r="C107" s="8"/>
      <c r="D107" s="20">
        <f>IFERROR(IF($C107="","",VLOOKUP($C107,'Ürün Kartları'!$B$5:$C$154,2,FALSE)),"— tanımsız ürün —")</f>
      </c>
      <c r="E107" s="8"/>
      <c r="F107" s="10"/>
      <c r="G107" s="11"/>
      <c r="H107" s="16">
        <f>IF(OR($F107="",$G107=""),0,$F107*$G107)</f>
      </c>
      <c r="I107" s="16">
        <f>IFERROR(IF($E107="",0,$H107*VLOOKUP($E107,'Pazaryeri Kartları'!$B$5:$C$24,2,FALSE)+VLOOKUP($E107,'Pazaryeri Kartları'!$B$5:$D$24,3,FALSE)*$G107),0)</f>
      </c>
      <c r="J107" s="16">
        <f>IFERROR(IF($C107="",0,VLOOKUP($C107,'Ürün Kartları'!$B$5:$G$154,6,FALSE)*$G107),0)</f>
      </c>
      <c r="K107" s="11"/>
      <c r="L107" s="10"/>
      <c r="M107" s="21">
        <f>IF($C107="","",IF($K107=1,-($J107*0.5)-$L107,$H107-$I107-$J107-$L107))</f>
      </c>
      <c r="N107" s="22">
        <f>IF(OR($C107="",$H107=0),"",$M107/$H107)</f>
      </c>
    </row>
    <row r="108" spans="2:14" x14ac:dyDescent="0.25">
      <c r="B108" s="23"/>
      <c r="C108" s="12"/>
      <c r="D108" s="20">
        <f>IFERROR(IF($C108="","",VLOOKUP($C108,'Ürün Kartları'!$B$5:$C$154,2,FALSE)),"— tanımsız ürün —")</f>
      </c>
      <c r="E108" s="12"/>
      <c r="F108" s="14"/>
      <c r="G108" s="15"/>
      <c r="H108" s="16">
        <f>IF(OR($F108="",$G108=""),0,$F108*$G108)</f>
      </c>
      <c r="I108" s="16">
        <f>IFERROR(IF($E108="",0,$H108*VLOOKUP($E108,'Pazaryeri Kartları'!$B$5:$C$24,2,FALSE)+VLOOKUP($E108,'Pazaryeri Kartları'!$B$5:$D$24,3,FALSE)*$G108),0)</f>
      </c>
      <c r="J108" s="16">
        <f>IFERROR(IF($C108="",0,VLOOKUP($C108,'Ürün Kartları'!$B$5:$G$154,6,FALSE)*$G108),0)</f>
      </c>
      <c r="K108" s="15"/>
      <c r="L108" s="14"/>
      <c r="M108" s="21">
        <f>IF($C108="","",IF($K108=1,-($J108*0.5)-$L108,$H108-$I108-$J108-$L108))</f>
      </c>
      <c r="N108" s="22">
        <f>IF(OR($C108="",$H108=0),"",$M108/$H108)</f>
      </c>
    </row>
    <row r="109" spans="2:14" x14ac:dyDescent="0.25">
      <c r="B109" s="19"/>
      <c r="C109" s="8"/>
      <c r="D109" s="20">
        <f>IFERROR(IF($C109="","",VLOOKUP($C109,'Ürün Kartları'!$B$5:$C$154,2,FALSE)),"— tanımsız ürün —")</f>
      </c>
      <c r="E109" s="8"/>
      <c r="F109" s="10"/>
      <c r="G109" s="11"/>
      <c r="H109" s="16">
        <f>IF(OR($F109="",$G109=""),0,$F109*$G109)</f>
      </c>
      <c r="I109" s="16">
        <f>IFERROR(IF($E109="",0,$H109*VLOOKUP($E109,'Pazaryeri Kartları'!$B$5:$C$24,2,FALSE)+VLOOKUP($E109,'Pazaryeri Kartları'!$B$5:$D$24,3,FALSE)*$G109),0)</f>
      </c>
      <c r="J109" s="16">
        <f>IFERROR(IF($C109="",0,VLOOKUP($C109,'Ürün Kartları'!$B$5:$G$154,6,FALSE)*$G109),0)</f>
      </c>
      <c r="K109" s="11"/>
      <c r="L109" s="10"/>
      <c r="M109" s="21">
        <f>IF($C109="","",IF($K109=1,-($J109*0.5)-$L109,$H109-$I109-$J109-$L109))</f>
      </c>
      <c r="N109" s="22">
        <f>IF(OR($C109="",$H109=0),"",$M109/$H109)</f>
      </c>
    </row>
    <row r="110" spans="2:14" x14ac:dyDescent="0.25">
      <c r="B110" s="23"/>
      <c r="C110" s="12"/>
      <c r="D110" s="20">
        <f>IFERROR(IF($C110="","",VLOOKUP($C110,'Ürün Kartları'!$B$5:$C$154,2,FALSE)),"— tanımsız ürün —")</f>
      </c>
      <c r="E110" s="12"/>
      <c r="F110" s="14"/>
      <c r="G110" s="15"/>
      <c r="H110" s="16">
        <f>IF(OR($F110="",$G110=""),0,$F110*$G110)</f>
      </c>
      <c r="I110" s="16">
        <f>IFERROR(IF($E110="",0,$H110*VLOOKUP($E110,'Pazaryeri Kartları'!$B$5:$C$24,2,FALSE)+VLOOKUP($E110,'Pazaryeri Kartları'!$B$5:$D$24,3,FALSE)*$G110),0)</f>
      </c>
      <c r="J110" s="16">
        <f>IFERROR(IF($C110="",0,VLOOKUP($C110,'Ürün Kartları'!$B$5:$G$154,6,FALSE)*$G110),0)</f>
      </c>
      <c r="K110" s="15"/>
      <c r="L110" s="14"/>
      <c r="M110" s="21">
        <f>IF($C110="","",IF($K110=1,-($J110*0.5)-$L110,$H110-$I110-$J110-$L110))</f>
      </c>
      <c r="N110" s="22">
        <f>IF(OR($C110="",$H110=0),"",$M110/$H110)</f>
      </c>
    </row>
    <row r="111" spans="2:14" x14ac:dyDescent="0.25">
      <c r="B111" s="19"/>
      <c r="C111" s="8"/>
      <c r="D111" s="20">
        <f>IFERROR(IF($C111="","",VLOOKUP($C111,'Ürün Kartları'!$B$5:$C$154,2,FALSE)),"— tanımsız ürün —")</f>
      </c>
      <c r="E111" s="8"/>
      <c r="F111" s="10"/>
      <c r="G111" s="11"/>
      <c r="H111" s="16">
        <f>IF(OR($F111="",$G111=""),0,$F111*$G111)</f>
      </c>
      <c r="I111" s="16">
        <f>IFERROR(IF($E111="",0,$H111*VLOOKUP($E111,'Pazaryeri Kartları'!$B$5:$C$24,2,FALSE)+VLOOKUP($E111,'Pazaryeri Kartları'!$B$5:$D$24,3,FALSE)*$G111),0)</f>
      </c>
      <c r="J111" s="16">
        <f>IFERROR(IF($C111="",0,VLOOKUP($C111,'Ürün Kartları'!$B$5:$G$154,6,FALSE)*$G111),0)</f>
      </c>
      <c r="K111" s="11"/>
      <c r="L111" s="10"/>
      <c r="M111" s="21">
        <f>IF($C111="","",IF($K111=1,-($J111*0.5)-$L111,$H111-$I111-$J111-$L111))</f>
      </c>
      <c r="N111" s="22">
        <f>IF(OR($C111="",$H111=0),"",$M111/$H111)</f>
      </c>
    </row>
    <row r="112" spans="2:14" x14ac:dyDescent="0.25">
      <c r="B112" s="23"/>
      <c r="C112" s="12"/>
      <c r="D112" s="20">
        <f>IFERROR(IF($C112="","",VLOOKUP($C112,'Ürün Kartları'!$B$5:$C$154,2,FALSE)),"— tanımsız ürün —")</f>
      </c>
      <c r="E112" s="12"/>
      <c r="F112" s="14"/>
      <c r="G112" s="15"/>
      <c r="H112" s="16">
        <f>IF(OR($F112="",$G112=""),0,$F112*$G112)</f>
      </c>
      <c r="I112" s="16">
        <f>IFERROR(IF($E112="",0,$H112*VLOOKUP($E112,'Pazaryeri Kartları'!$B$5:$C$24,2,FALSE)+VLOOKUP($E112,'Pazaryeri Kartları'!$B$5:$D$24,3,FALSE)*$G112),0)</f>
      </c>
      <c r="J112" s="16">
        <f>IFERROR(IF($C112="",0,VLOOKUP($C112,'Ürün Kartları'!$B$5:$G$154,6,FALSE)*$G112),0)</f>
      </c>
      <c r="K112" s="15"/>
      <c r="L112" s="14"/>
      <c r="M112" s="21">
        <f>IF($C112="","",IF($K112=1,-($J112*0.5)-$L112,$H112-$I112-$J112-$L112))</f>
      </c>
      <c r="N112" s="22">
        <f>IF(OR($C112="",$H112=0),"",$M112/$H112)</f>
      </c>
    </row>
    <row r="113" spans="2:14" x14ac:dyDescent="0.25">
      <c r="B113" s="19"/>
      <c r="C113" s="8"/>
      <c r="D113" s="20">
        <f>IFERROR(IF($C113="","",VLOOKUP($C113,'Ürün Kartları'!$B$5:$C$154,2,FALSE)),"— tanımsız ürün —")</f>
      </c>
      <c r="E113" s="8"/>
      <c r="F113" s="10"/>
      <c r="G113" s="11"/>
      <c r="H113" s="16">
        <f>IF(OR($F113="",$G113=""),0,$F113*$G113)</f>
      </c>
      <c r="I113" s="16">
        <f>IFERROR(IF($E113="",0,$H113*VLOOKUP($E113,'Pazaryeri Kartları'!$B$5:$C$24,2,FALSE)+VLOOKUP($E113,'Pazaryeri Kartları'!$B$5:$D$24,3,FALSE)*$G113),0)</f>
      </c>
      <c r="J113" s="16">
        <f>IFERROR(IF($C113="",0,VLOOKUP($C113,'Ürün Kartları'!$B$5:$G$154,6,FALSE)*$G113),0)</f>
      </c>
      <c r="K113" s="11"/>
      <c r="L113" s="10"/>
      <c r="M113" s="21">
        <f>IF($C113="","",IF($K113=1,-($J113*0.5)-$L113,$H113-$I113-$J113-$L113))</f>
      </c>
      <c r="N113" s="22">
        <f>IF(OR($C113="",$H113=0),"",$M113/$H113)</f>
      </c>
    </row>
    <row r="114" spans="2:14" x14ac:dyDescent="0.25">
      <c r="B114" s="23"/>
      <c r="C114" s="12"/>
      <c r="D114" s="20">
        <f>IFERROR(IF($C114="","",VLOOKUP($C114,'Ürün Kartları'!$B$5:$C$154,2,FALSE)),"— tanımsız ürün —")</f>
      </c>
      <c r="E114" s="12"/>
      <c r="F114" s="14"/>
      <c r="G114" s="15"/>
      <c r="H114" s="16">
        <f>IF(OR($F114="",$G114=""),0,$F114*$G114)</f>
      </c>
      <c r="I114" s="16">
        <f>IFERROR(IF($E114="",0,$H114*VLOOKUP($E114,'Pazaryeri Kartları'!$B$5:$C$24,2,FALSE)+VLOOKUP($E114,'Pazaryeri Kartları'!$B$5:$D$24,3,FALSE)*$G114),0)</f>
      </c>
      <c r="J114" s="16">
        <f>IFERROR(IF($C114="",0,VLOOKUP($C114,'Ürün Kartları'!$B$5:$G$154,6,FALSE)*$G114),0)</f>
      </c>
      <c r="K114" s="15"/>
      <c r="L114" s="14"/>
      <c r="M114" s="21">
        <f>IF($C114="","",IF($K114=1,-($J114*0.5)-$L114,$H114-$I114-$J114-$L114))</f>
      </c>
      <c r="N114" s="22">
        <f>IF(OR($C114="",$H114=0),"",$M114/$H114)</f>
      </c>
    </row>
    <row r="115" spans="2:14" x14ac:dyDescent="0.25">
      <c r="B115" s="19"/>
      <c r="C115" s="8"/>
      <c r="D115" s="20">
        <f>IFERROR(IF($C115="","",VLOOKUP($C115,'Ürün Kartları'!$B$5:$C$154,2,FALSE)),"— tanımsız ürün —")</f>
      </c>
      <c r="E115" s="8"/>
      <c r="F115" s="10"/>
      <c r="G115" s="11"/>
      <c r="H115" s="16">
        <f>IF(OR($F115="",$G115=""),0,$F115*$G115)</f>
      </c>
      <c r="I115" s="16">
        <f>IFERROR(IF($E115="",0,$H115*VLOOKUP($E115,'Pazaryeri Kartları'!$B$5:$C$24,2,FALSE)+VLOOKUP($E115,'Pazaryeri Kartları'!$B$5:$D$24,3,FALSE)*$G115),0)</f>
      </c>
      <c r="J115" s="16">
        <f>IFERROR(IF($C115="",0,VLOOKUP($C115,'Ürün Kartları'!$B$5:$G$154,6,FALSE)*$G115),0)</f>
      </c>
      <c r="K115" s="11"/>
      <c r="L115" s="10"/>
      <c r="M115" s="21">
        <f>IF($C115="","",IF($K115=1,-($J115*0.5)-$L115,$H115-$I115-$J115-$L115))</f>
      </c>
      <c r="N115" s="22">
        <f>IF(OR($C115="",$H115=0),"",$M115/$H115)</f>
      </c>
    </row>
    <row r="116" spans="2:14" x14ac:dyDescent="0.25">
      <c r="B116" s="23"/>
      <c r="C116" s="12"/>
      <c r="D116" s="20">
        <f>IFERROR(IF($C116="","",VLOOKUP($C116,'Ürün Kartları'!$B$5:$C$154,2,FALSE)),"— tanımsız ürün —")</f>
      </c>
      <c r="E116" s="12"/>
      <c r="F116" s="14"/>
      <c r="G116" s="15"/>
      <c r="H116" s="16">
        <f>IF(OR($F116="",$G116=""),0,$F116*$G116)</f>
      </c>
      <c r="I116" s="16">
        <f>IFERROR(IF($E116="",0,$H116*VLOOKUP($E116,'Pazaryeri Kartları'!$B$5:$C$24,2,FALSE)+VLOOKUP($E116,'Pazaryeri Kartları'!$B$5:$D$24,3,FALSE)*$G116),0)</f>
      </c>
      <c r="J116" s="16">
        <f>IFERROR(IF($C116="",0,VLOOKUP($C116,'Ürün Kartları'!$B$5:$G$154,6,FALSE)*$G116),0)</f>
      </c>
      <c r="K116" s="15"/>
      <c r="L116" s="14"/>
      <c r="M116" s="21">
        <f>IF($C116="","",IF($K116=1,-($J116*0.5)-$L116,$H116-$I116-$J116-$L116))</f>
      </c>
      <c r="N116" s="22">
        <f>IF(OR($C116="",$H116=0),"",$M116/$H116)</f>
      </c>
    </row>
    <row r="117" spans="2:14" x14ac:dyDescent="0.25">
      <c r="B117" s="19"/>
      <c r="C117" s="8"/>
      <c r="D117" s="20">
        <f>IFERROR(IF($C117="","",VLOOKUP($C117,'Ürün Kartları'!$B$5:$C$154,2,FALSE)),"— tanımsız ürün —")</f>
      </c>
      <c r="E117" s="8"/>
      <c r="F117" s="10"/>
      <c r="G117" s="11"/>
      <c r="H117" s="16">
        <f>IF(OR($F117="",$G117=""),0,$F117*$G117)</f>
      </c>
      <c r="I117" s="16">
        <f>IFERROR(IF($E117="",0,$H117*VLOOKUP($E117,'Pazaryeri Kartları'!$B$5:$C$24,2,FALSE)+VLOOKUP($E117,'Pazaryeri Kartları'!$B$5:$D$24,3,FALSE)*$G117),0)</f>
      </c>
      <c r="J117" s="16">
        <f>IFERROR(IF($C117="",0,VLOOKUP($C117,'Ürün Kartları'!$B$5:$G$154,6,FALSE)*$G117),0)</f>
      </c>
      <c r="K117" s="11"/>
      <c r="L117" s="10"/>
      <c r="M117" s="21">
        <f>IF($C117="","",IF($K117=1,-($J117*0.5)-$L117,$H117-$I117-$J117-$L117))</f>
      </c>
      <c r="N117" s="22">
        <f>IF(OR($C117="",$H117=0),"",$M117/$H117)</f>
      </c>
    </row>
    <row r="118" spans="2:14" x14ac:dyDescent="0.25">
      <c r="B118" s="23"/>
      <c r="C118" s="12"/>
      <c r="D118" s="20">
        <f>IFERROR(IF($C118="","",VLOOKUP($C118,'Ürün Kartları'!$B$5:$C$154,2,FALSE)),"— tanımsız ürün —")</f>
      </c>
      <c r="E118" s="12"/>
      <c r="F118" s="14"/>
      <c r="G118" s="15"/>
      <c r="H118" s="16">
        <f>IF(OR($F118="",$G118=""),0,$F118*$G118)</f>
      </c>
      <c r="I118" s="16">
        <f>IFERROR(IF($E118="",0,$H118*VLOOKUP($E118,'Pazaryeri Kartları'!$B$5:$C$24,2,FALSE)+VLOOKUP($E118,'Pazaryeri Kartları'!$B$5:$D$24,3,FALSE)*$G118),0)</f>
      </c>
      <c r="J118" s="16">
        <f>IFERROR(IF($C118="",0,VLOOKUP($C118,'Ürün Kartları'!$B$5:$G$154,6,FALSE)*$G118),0)</f>
      </c>
      <c r="K118" s="15"/>
      <c r="L118" s="14"/>
      <c r="M118" s="21">
        <f>IF($C118="","",IF($K118=1,-($J118*0.5)-$L118,$H118-$I118-$J118-$L118))</f>
      </c>
      <c r="N118" s="22">
        <f>IF(OR($C118="",$H118=0),"",$M118/$H118)</f>
      </c>
    </row>
    <row r="119" spans="2:14" x14ac:dyDescent="0.25">
      <c r="B119" s="19"/>
      <c r="C119" s="8"/>
      <c r="D119" s="20">
        <f>IFERROR(IF($C119="","",VLOOKUP($C119,'Ürün Kartları'!$B$5:$C$154,2,FALSE)),"— tanımsız ürün —")</f>
      </c>
      <c r="E119" s="8"/>
      <c r="F119" s="10"/>
      <c r="G119" s="11"/>
      <c r="H119" s="16">
        <f>IF(OR($F119="",$G119=""),0,$F119*$G119)</f>
      </c>
      <c r="I119" s="16">
        <f>IFERROR(IF($E119="",0,$H119*VLOOKUP($E119,'Pazaryeri Kartları'!$B$5:$C$24,2,FALSE)+VLOOKUP($E119,'Pazaryeri Kartları'!$B$5:$D$24,3,FALSE)*$G119),0)</f>
      </c>
      <c r="J119" s="16">
        <f>IFERROR(IF($C119="",0,VLOOKUP($C119,'Ürün Kartları'!$B$5:$G$154,6,FALSE)*$G119),0)</f>
      </c>
      <c r="K119" s="11"/>
      <c r="L119" s="10"/>
      <c r="M119" s="21">
        <f>IF($C119="","",IF($K119=1,-($J119*0.5)-$L119,$H119-$I119-$J119-$L119))</f>
      </c>
      <c r="N119" s="22">
        <f>IF(OR($C119="",$H119=0),"",$M119/$H119)</f>
      </c>
    </row>
    <row r="120" spans="2:14" x14ac:dyDescent="0.25">
      <c r="B120" s="23"/>
      <c r="C120" s="12"/>
      <c r="D120" s="20">
        <f>IFERROR(IF($C120="","",VLOOKUP($C120,'Ürün Kartları'!$B$5:$C$154,2,FALSE)),"— tanımsız ürün —")</f>
      </c>
      <c r="E120" s="12"/>
      <c r="F120" s="14"/>
      <c r="G120" s="15"/>
      <c r="H120" s="16">
        <f>IF(OR($F120="",$G120=""),0,$F120*$G120)</f>
      </c>
      <c r="I120" s="16">
        <f>IFERROR(IF($E120="",0,$H120*VLOOKUP($E120,'Pazaryeri Kartları'!$B$5:$C$24,2,FALSE)+VLOOKUP($E120,'Pazaryeri Kartları'!$B$5:$D$24,3,FALSE)*$G120),0)</f>
      </c>
      <c r="J120" s="16">
        <f>IFERROR(IF($C120="",0,VLOOKUP($C120,'Ürün Kartları'!$B$5:$G$154,6,FALSE)*$G120),0)</f>
      </c>
      <c r="K120" s="15"/>
      <c r="L120" s="14"/>
      <c r="M120" s="21">
        <f>IF($C120="","",IF($K120=1,-($J120*0.5)-$L120,$H120-$I120-$J120-$L120))</f>
      </c>
      <c r="N120" s="22">
        <f>IF(OR($C120="",$H120=0),"",$M120/$H120)</f>
      </c>
    </row>
    <row r="121" spans="2:14" x14ac:dyDescent="0.25">
      <c r="B121" s="19"/>
      <c r="C121" s="8"/>
      <c r="D121" s="20">
        <f>IFERROR(IF($C121="","",VLOOKUP($C121,'Ürün Kartları'!$B$5:$C$154,2,FALSE)),"— tanımsız ürün —")</f>
      </c>
      <c r="E121" s="8"/>
      <c r="F121" s="10"/>
      <c r="G121" s="11"/>
      <c r="H121" s="16">
        <f>IF(OR($F121="",$G121=""),0,$F121*$G121)</f>
      </c>
      <c r="I121" s="16">
        <f>IFERROR(IF($E121="",0,$H121*VLOOKUP($E121,'Pazaryeri Kartları'!$B$5:$C$24,2,FALSE)+VLOOKUP($E121,'Pazaryeri Kartları'!$B$5:$D$24,3,FALSE)*$G121),0)</f>
      </c>
      <c r="J121" s="16">
        <f>IFERROR(IF($C121="",0,VLOOKUP($C121,'Ürün Kartları'!$B$5:$G$154,6,FALSE)*$G121),0)</f>
      </c>
      <c r="K121" s="11"/>
      <c r="L121" s="10"/>
      <c r="M121" s="21">
        <f>IF($C121="","",IF($K121=1,-($J121*0.5)-$L121,$H121-$I121-$J121-$L121))</f>
      </c>
      <c r="N121" s="22">
        <f>IF(OR($C121="",$H121=0),"",$M121/$H121)</f>
      </c>
    </row>
    <row r="122" spans="2:14" x14ac:dyDescent="0.25">
      <c r="B122" s="23"/>
      <c r="C122" s="12"/>
      <c r="D122" s="20">
        <f>IFERROR(IF($C122="","",VLOOKUP($C122,'Ürün Kartları'!$B$5:$C$154,2,FALSE)),"— tanımsız ürün —")</f>
      </c>
      <c r="E122" s="12"/>
      <c r="F122" s="14"/>
      <c r="G122" s="15"/>
      <c r="H122" s="16">
        <f>IF(OR($F122="",$G122=""),0,$F122*$G122)</f>
      </c>
      <c r="I122" s="16">
        <f>IFERROR(IF($E122="",0,$H122*VLOOKUP($E122,'Pazaryeri Kartları'!$B$5:$C$24,2,FALSE)+VLOOKUP($E122,'Pazaryeri Kartları'!$B$5:$D$24,3,FALSE)*$G122),0)</f>
      </c>
      <c r="J122" s="16">
        <f>IFERROR(IF($C122="",0,VLOOKUP($C122,'Ürün Kartları'!$B$5:$G$154,6,FALSE)*$G122),0)</f>
      </c>
      <c r="K122" s="15"/>
      <c r="L122" s="14"/>
      <c r="M122" s="21">
        <f>IF($C122="","",IF($K122=1,-($J122*0.5)-$L122,$H122-$I122-$J122-$L122))</f>
      </c>
      <c r="N122" s="22">
        <f>IF(OR($C122="",$H122=0),"",$M122/$H122)</f>
      </c>
    </row>
    <row r="123" spans="2:14" x14ac:dyDescent="0.25">
      <c r="B123" s="19"/>
      <c r="C123" s="8"/>
      <c r="D123" s="20">
        <f>IFERROR(IF($C123="","",VLOOKUP($C123,'Ürün Kartları'!$B$5:$C$154,2,FALSE)),"— tanımsız ürün —")</f>
      </c>
      <c r="E123" s="8"/>
      <c r="F123" s="10"/>
      <c r="G123" s="11"/>
      <c r="H123" s="16">
        <f>IF(OR($F123="",$G123=""),0,$F123*$G123)</f>
      </c>
      <c r="I123" s="16">
        <f>IFERROR(IF($E123="",0,$H123*VLOOKUP($E123,'Pazaryeri Kartları'!$B$5:$C$24,2,FALSE)+VLOOKUP($E123,'Pazaryeri Kartları'!$B$5:$D$24,3,FALSE)*$G123),0)</f>
      </c>
      <c r="J123" s="16">
        <f>IFERROR(IF($C123="",0,VLOOKUP($C123,'Ürün Kartları'!$B$5:$G$154,6,FALSE)*$G123),0)</f>
      </c>
      <c r="K123" s="11"/>
      <c r="L123" s="10"/>
      <c r="M123" s="21">
        <f>IF($C123="","",IF($K123=1,-($J123*0.5)-$L123,$H123-$I123-$J123-$L123))</f>
      </c>
      <c r="N123" s="22">
        <f>IF(OR($C123="",$H123=0),"",$M123/$H123)</f>
      </c>
    </row>
    <row r="124" spans="2:14" x14ac:dyDescent="0.25">
      <c r="B124" s="23"/>
      <c r="C124" s="12"/>
      <c r="D124" s="20">
        <f>IFERROR(IF($C124="","",VLOOKUP($C124,'Ürün Kartları'!$B$5:$C$154,2,FALSE)),"— tanımsız ürün —")</f>
      </c>
      <c r="E124" s="12"/>
      <c r="F124" s="14"/>
      <c r="G124" s="15"/>
      <c r="H124" s="16">
        <f>IF(OR($F124="",$G124=""),0,$F124*$G124)</f>
      </c>
      <c r="I124" s="16">
        <f>IFERROR(IF($E124="",0,$H124*VLOOKUP($E124,'Pazaryeri Kartları'!$B$5:$C$24,2,FALSE)+VLOOKUP($E124,'Pazaryeri Kartları'!$B$5:$D$24,3,FALSE)*$G124),0)</f>
      </c>
      <c r="J124" s="16">
        <f>IFERROR(IF($C124="",0,VLOOKUP($C124,'Ürün Kartları'!$B$5:$G$154,6,FALSE)*$G124),0)</f>
      </c>
      <c r="K124" s="15"/>
      <c r="L124" s="14"/>
      <c r="M124" s="21">
        <f>IF($C124="","",IF($K124=1,-($J124*0.5)-$L124,$H124-$I124-$J124-$L124))</f>
      </c>
      <c r="N124" s="22">
        <f>IF(OR($C124="",$H124=0),"",$M124/$H124)</f>
      </c>
    </row>
    <row r="125" spans="2:14" x14ac:dyDescent="0.25">
      <c r="B125" s="19"/>
      <c r="C125" s="8"/>
      <c r="D125" s="20">
        <f>IFERROR(IF($C125="","",VLOOKUP($C125,'Ürün Kartları'!$B$5:$C$154,2,FALSE)),"— tanımsız ürün —")</f>
      </c>
      <c r="E125" s="8"/>
      <c r="F125" s="10"/>
      <c r="G125" s="11"/>
      <c r="H125" s="16">
        <f>IF(OR($F125="",$G125=""),0,$F125*$G125)</f>
      </c>
      <c r="I125" s="16">
        <f>IFERROR(IF($E125="",0,$H125*VLOOKUP($E125,'Pazaryeri Kartları'!$B$5:$C$24,2,FALSE)+VLOOKUP($E125,'Pazaryeri Kartları'!$B$5:$D$24,3,FALSE)*$G125),0)</f>
      </c>
      <c r="J125" s="16">
        <f>IFERROR(IF($C125="",0,VLOOKUP($C125,'Ürün Kartları'!$B$5:$G$154,6,FALSE)*$G125),0)</f>
      </c>
      <c r="K125" s="11"/>
      <c r="L125" s="10"/>
      <c r="M125" s="21">
        <f>IF($C125="","",IF($K125=1,-($J125*0.5)-$L125,$H125-$I125-$J125-$L125))</f>
      </c>
      <c r="N125" s="22">
        <f>IF(OR($C125="",$H125=0),"",$M125/$H125)</f>
      </c>
    </row>
    <row r="126" spans="2:14" x14ac:dyDescent="0.25">
      <c r="B126" s="23"/>
      <c r="C126" s="12"/>
      <c r="D126" s="20">
        <f>IFERROR(IF($C126="","",VLOOKUP($C126,'Ürün Kartları'!$B$5:$C$154,2,FALSE)),"— tanımsız ürün —")</f>
      </c>
      <c r="E126" s="12"/>
      <c r="F126" s="14"/>
      <c r="G126" s="15"/>
      <c r="H126" s="16">
        <f>IF(OR($F126="",$G126=""),0,$F126*$G126)</f>
      </c>
      <c r="I126" s="16">
        <f>IFERROR(IF($E126="",0,$H126*VLOOKUP($E126,'Pazaryeri Kartları'!$B$5:$C$24,2,FALSE)+VLOOKUP($E126,'Pazaryeri Kartları'!$B$5:$D$24,3,FALSE)*$G126),0)</f>
      </c>
      <c r="J126" s="16">
        <f>IFERROR(IF($C126="",0,VLOOKUP($C126,'Ürün Kartları'!$B$5:$G$154,6,FALSE)*$G126),0)</f>
      </c>
      <c r="K126" s="15"/>
      <c r="L126" s="14"/>
      <c r="M126" s="21">
        <f>IF($C126="","",IF($K126=1,-($J126*0.5)-$L126,$H126-$I126-$J126-$L126))</f>
      </c>
      <c r="N126" s="22">
        <f>IF(OR($C126="",$H126=0),"",$M126/$H126)</f>
      </c>
    </row>
    <row r="127" spans="2:14" x14ac:dyDescent="0.25">
      <c r="B127" s="19"/>
      <c r="C127" s="8"/>
      <c r="D127" s="20">
        <f>IFERROR(IF($C127="","",VLOOKUP($C127,'Ürün Kartları'!$B$5:$C$154,2,FALSE)),"— tanımsız ürün —")</f>
      </c>
      <c r="E127" s="8"/>
      <c r="F127" s="10"/>
      <c r="G127" s="11"/>
      <c r="H127" s="16">
        <f>IF(OR($F127="",$G127=""),0,$F127*$G127)</f>
      </c>
      <c r="I127" s="16">
        <f>IFERROR(IF($E127="",0,$H127*VLOOKUP($E127,'Pazaryeri Kartları'!$B$5:$C$24,2,FALSE)+VLOOKUP($E127,'Pazaryeri Kartları'!$B$5:$D$24,3,FALSE)*$G127),0)</f>
      </c>
      <c r="J127" s="16">
        <f>IFERROR(IF($C127="",0,VLOOKUP($C127,'Ürün Kartları'!$B$5:$G$154,6,FALSE)*$G127),0)</f>
      </c>
      <c r="K127" s="11"/>
      <c r="L127" s="10"/>
      <c r="M127" s="21">
        <f>IF($C127="","",IF($K127=1,-($J127*0.5)-$L127,$H127-$I127-$J127-$L127))</f>
      </c>
      <c r="N127" s="22">
        <f>IF(OR($C127="",$H127=0),"",$M127/$H127)</f>
      </c>
    </row>
    <row r="128" spans="2:14" x14ac:dyDescent="0.25">
      <c r="B128" s="23"/>
      <c r="C128" s="12"/>
      <c r="D128" s="20">
        <f>IFERROR(IF($C128="","",VLOOKUP($C128,'Ürün Kartları'!$B$5:$C$154,2,FALSE)),"— tanımsız ürün —")</f>
      </c>
      <c r="E128" s="12"/>
      <c r="F128" s="14"/>
      <c r="G128" s="15"/>
      <c r="H128" s="16">
        <f>IF(OR($F128="",$G128=""),0,$F128*$G128)</f>
      </c>
      <c r="I128" s="16">
        <f>IFERROR(IF($E128="",0,$H128*VLOOKUP($E128,'Pazaryeri Kartları'!$B$5:$C$24,2,FALSE)+VLOOKUP($E128,'Pazaryeri Kartları'!$B$5:$D$24,3,FALSE)*$G128),0)</f>
      </c>
      <c r="J128" s="16">
        <f>IFERROR(IF($C128="",0,VLOOKUP($C128,'Ürün Kartları'!$B$5:$G$154,6,FALSE)*$G128),0)</f>
      </c>
      <c r="K128" s="15"/>
      <c r="L128" s="14"/>
      <c r="M128" s="21">
        <f>IF($C128="","",IF($K128=1,-($J128*0.5)-$L128,$H128-$I128-$J128-$L128))</f>
      </c>
      <c r="N128" s="22">
        <f>IF(OR($C128="",$H128=0),"",$M128/$H128)</f>
      </c>
    </row>
    <row r="129" spans="2:14" x14ac:dyDescent="0.25">
      <c r="B129" s="19"/>
      <c r="C129" s="8"/>
      <c r="D129" s="20">
        <f>IFERROR(IF($C129="","",VLOOKUP($C129,'Ürün Kartları'!$B$5:$C$154,2,FALSE)),"— tanımsız ürün —")</f>
      </c>
      <c r="E129" s="8"/>
      <c r="F129" s="10"/>
      <c r="G129" s="11"/>
      <c r="H129" s="16">
        <f>IF(OR($F129="",$G129=""),0,$F129*$G129)</f>
      </c>
      <c r="I129" s="16">
        <f>IFERROR(IF($E129="",0,$H129*VLOOKUP($E129,'Pazaryeri Kartları'!$B$5:$C$24,2,FALSE)+VLOOKUP($E129,'Pazaryeri Kartları'!$B$5:$D$24,3,FALSE)*$G129),0)</f>
      </c>
      <c r="J129" s="16">
        <f>IFERROR(IF($C129="",0,VLOOKUP($C129,'Ürün Kartları'!$B$5:$G$154,6,FALSE)*$G129),0)</f>
      </c>
      <c r="K129" s="11"/>
      <c r="L129" s="10"/>
      <c r="M129" s="21">
        <f>IF($C129="","",IF($K129=1,-($J129*0.5)-$L129,$H129-$I129-$J129-$L129))</f>
      </c>
      <c r="N129" s="22">
        <f>IF(OR($C129="",$H129=0),"",$M129/$H129)</f>
      </c>
    </row>
    <row r="130" spans="2:14" x14ac:dyDescent="0.25">
      <c r="B130" s="23"/>
      <c r="C130" s="12"/>
      <c r="D130" s="20">
        <f>IFERROR(IF($C130="","",VLOOKUP($C130,'Ürün Kartları'!$B$5:$C$154,2,FALSE)),"— tanımsız ürün —")</f>
      </c>
      <c r="E130" s="12"/>
      <c r="F130" s="14"/>
      <c r="G130" s="15"/>
      <c r="H130" s="16">
        <f>IF(OR($F130="",$G130=""),0,$F130*$G130)</f>
      </c>
      <c r="I130" s="16">
        <f>IFERROR(IF($E130="",0,$H130*VLOOKUP($E130,'Pazaryeri Kartları'!$B$5:$C$24,2,FALSE)+VLOOKUP($E130,'Pazaryeri Kartları'!$B$5:$D$24,3,FALSE)*$G130),0)</f>
      </c>
      <c r="J130" s="16">
        <f>IFERROR(IF($C130="",0,VLOOKUP($C130,'Ürün Kartları'!$B$5:$G$154,6,FALSE)*$G130),0)</f>
      </c>
      <c r="K130" s="15"/>
      <c r="L130" s="14"/>
      <c r="M130" s="21">
        <f>IF($C130="","",IF($K130=1,-($J130*0.5)-$L130,$H130-$I130-$J130-$L130))</f>
      </c>
      <c r="N130" s="22">
        <f>IF(OR($C130="",$H130=0),"",$M130/$H130)</f>
      </c>
    </row>
    <row r="131" spans="2:14" x14ac:dyDescent="0.25">
      <c r="B131" s="19"/>
      <c r="C131" s="8"/>
      <c r="D131" s="20">
        <f>IFERROR(IF($C131="","",VLOOKUP($C131,'Ürün Kartları'!$B$5:$C$154,2,FALSE)),"— tanımsız ürün —")</f>
      </c>
      <c r="E131" s="8"/>
      <c r="F131" s="10"/>
      <c r="G131" s="11"/>
      <c r="H131" s="16">
        <f>IF(OR($F131="",$G131=""),0,$F131*$G131)</f>
      </c>
      <c r="I131" s="16">
        <f>IFERROR(IF($E131="",0,$H131*VLOOKUP($E131,'Pazaryeri Kartları'!$B$5:$C$24,2,FALSE)+VLOOKUP($E131,'Pazaryeri Kartları'!$B$5:$D$24,3,FALSE)*$G131),0)</f>
      </c>
      <c r="J131" s="16">
        <f>IFERROR(IF($C131="",0,VLOOKUP($C131,'Ürün Kartları'!$B$5:$G$154,6,FALSE)*$G131),0)</f>
      </c>
      <c r="K131" s="11"/>
      <c r="L131" s="10"/>
      <c r="M131" s="21">
        <f>IF($C131="","",IF($K131=1,-($J131*0.5)-$L131,$H131-$I131-$J131-$L131))</f>
      </c>
      <c r="N131" s="22">
        <f>IF(OR($C131="",$H131=0),"",$M131/$H131)</f>
      </c>
    </row>
    <row r="132" spans="2:14" x14ac:dyDescent="0.25">
      <c r="B132" s="23"/>
      <c r="C132" s="12"/>
      <c r="D132" s="20">
        <f>IFERROR(IF($C132="","",VLOOKUP($C132,'Ürün Kartları'!$B$5:$C$154,2,FALSE)),"— tanımsız ürün —")</f>
      </c>
      <c r="E132" s="12"/>
      <c r="F132" s="14"/>
      <c r="G132" s="15"/>
      <c r="H132" s="16">
        <f>IF(OR($F132="",$G132=""),0,$F132*$G132)</f>
      </c>
      <c r="I132" s="16">
        <f>IFERROR(IF($E132="",0,$H132*VLOOKUP($E132,'Pazaryeri Kartları'!$B$5:$C$24,2,FALSE)+VLOOKUP($E132,'Pazaryeri Kartları'!$B$5:$D$24,3,FALSE)*$G132),0)</f>
      </c>
      <c r="J132" s="16">
        <f>IFERROR(IF($C132="",0,VLOOKUP($C132,'Ürün Kartları'!$B$5:$G$154,6,FALSE)*$G132),0)</f>
      </c>
      <c r="K132" s="15"/>
      <c r="L132" s="14"/>
      <c r="M132" s="21">
        <f>IF($C132="","",IF($K132=1,-($J132*0.5)-$L132,$H132-$I132-$J132-$L132))</f>
      </c>
      <c r="N132" s="22">
        <f>IF(OR($C132="",$H132=0),"",$M132/$H132)</f>
      </c>
    </row>
    <row r="133" spans="2:14" x14ac:dyDescent="0.25">
      <c r="B133" s="19"/>
      <c r="C133" s="8"/>
      <c r="D133" s="20">
        <f>IFERROR(IF($C133="","",VLOOKUP($C133,'Ürün Kartları'!$B$5:$C$154,2,FALSE)),"— tanımsız ürün —")</f>
      </c>
      <c r="E133" s="8"/>
      <c r="F133" s="10"/>
      <c r="G133" s="11"/>
      <c r="H133" s="16">
        <f>IF(OR($F133="",$G133=""),0,$F133*$G133)</f>
      </c>
      <c r="I133" s="16">
        <f>IFERROR(IF($E133="",0,$H133*VLOOKUP($E133,'Pazaryeri Kartları'!$B$5:$C$24,2,FALSE)+VLOOKUP($E133,'Pazaryeri Kartları'!$B$5:$D$24,3,FALSE)*$G133),0)</f>
      </c>
      <c r="J133" s="16">
        <f>IFERROR(IF($C133="",0,VLOOKUP($C133,'Ürün Kartları'!$B$5:$G$154,6,FALSE)*$G133),0)</f>
      </c>
      <c r="K133" s="11"/>
      <c r="L133" s="10"/>
      <c r="M133" s="21">
        <f>IF($C133="","",IF($K133=1,-($J133*0.5)-$L133,$H133-$I133-$J133-$L133))</f>
      </c>
      <c r="N133" s="22">
        <f>IF(OR($C133="",$H133=0),"",$M133/$H133)</f>
      </c>
    </row>
    <row r="134" spans="2:14" x14ac:dyDescent="0.25">
      <c r="B134" s="23"/>
      <c r="C134" s="12"/>
      <c r="D134" s="20">
        <f>IFERROR(IF($C134="","",VLOOKUP($C134,'Ürün Kartları'!$B$5:$C$154,2,FALSE)),"— tanımsız ürün —")</f>
      </c>
      <c r="E134" s="12"/>
      <c r="F134" s="14"/>
      <c r="G134" s="15"/>
      <c r="H134" s="16">
        <f>IF(OR($F134="",$G134=""),0,$F134*$G134)</f>
      </c>
      <c r="I134" s="16">
        <f>IFERROR(IF($E134="",0,$H134*VLOOKUP($E134,'Pazaryeri Kartları'!$B$5:$C$24,2,FALSE)+VLOOKUP($E134,'Pazaryeri Kartları'!$B$5:$D$24,3,FALSE)*$G134),0)</f>
      </c>
      <c r="J134" s="16">
        <f>IFERROR(IF($C134="",0,VLOOKUP($C134,'Ürün Kartları'!$B$5:$G$154,6,FALSE)*$G134),0)</f>
      </c>
      <c r="K134" s="15"/>
      <c r="L134" s="14"/>
      <c r="M134" s="21">
        <f>IF($C134="","",IF($K134=1,-($J134*0.5)-$L134,$H134-$I134-$J134-$L134))</f>
      </c>
      <c r="N134" s="22">
        <f>IF(OR($C134="",$H134=0),"",$M134/$H134)</f>
      </c>
    </row>
    <row r="135" spans="2:14" x14ac:dyDescent="0.25">
      <c r="B135" s="19"/>
      <c r="C135" s="8"/>
      <c r="D135" s="20">
        <f>IFERROR(IF($C135="","",VLOOKUP($C135,'Ürün Kartları'!$B$5:$C$154,2,FALSE)),"— tanımsız ürün —")</f>
      </c>
      <c r="E135" s="8"/>
      <c r="F135" s="10"/>
      <c r="G135" s="11"/>
      <c r="H135" s="16">
        <f>IF(OR($F135="",$G135=""),0,$F135*$G135)</f>
      </c>
      <c r="I135" s="16">
        <f>IFERROR(IF($E135="",0,$H135*VLOOKUP($E135,'Pazaryeri Kartları'!$B$5:$C$24,2,FALSE)+VLOOKUP($E135,'Pazaryeri Kartları'!$B$5:$D$24,3,FALSE)*$G135),0)</f>
      </c>
      <c r="J135" s="16">
        <f>IFERROR(IF($C135="",0,VLOOKUP($C135,'Ürün Kartları'!$B$5:$G$154,6,FALSE)*$G135),0)</f>
      </c>
      <c r="K135" s="11"/>
      <c r="L135" s="10"/>
      <c r="M135" s="21">
        <f>IF($C135="","",IF($K135=1,-($J135*0.5)-$L135,$H135-$I135-$J135-$L135))</f>
      </c>
      <c r="N135" s="22">
        <f>IF(OR($C135="",$H135=0),"",$M135/$H135)</f>
      </c>
    </row>
    <row r="136" spans="2:14" x14ac:dyDescent="0.25">
      <c r="B136" s="23"/>
      <c r="C136" s="12"/>
      <c r="D136" s="20">
        <f>IFERROR(IF($C136="","",VLOOKUP($C136,'Ürün Kartları'!$B$5:$C$154,2,FALSE)),"— tanımsız ürün —")</f>
      </c>
      <c r="E136" s="12"/>
      <c r="F136" s="14"/>
      <c r="G136" s="15"/>
      <c r="H136" s="16">
        <f>IF(OR($F136="",$G136=""),0,$F136*$G136)</f>
      </c>
      <c r="I136" s="16">
        <f>IFERROR(IF($E136="",0,$H136*VLOOKUP($E136,'Pazaryeri Kartları'!$B$5:$C$24,2,FALSE)+VLOOKUP($E136,'Pazaryeri Kartları'!$B$5:$D$24,3,FALSE)*$G136),0)</f>
      </c>
      <c r="J136" s="16">
        <f>IFERROR(IF($C136="",0,VLOOKUP($C136,'Ürün Kartları'!$B$5:$G$154,6,FALSE)*$G136),0)</f>
      </c>
      <c r="K136" s="15"/>
      <c r="L136" s="14"/>
      <c r="M136" s="21">
        <f>IF($C136="","",IF($K136=1,-($J136*0.5)-$L136,$H136-$I136-$J136-$L136))</f>
      </c>
      <c r="N136" s="22">
        <f>IF(OR($C136="",$H136=0),"",$M136/$H136)</f>
      </c>
    </row>
    <row r="137" spans="2:14" x14ac:dyDescent="0.25">
      <c r="B137" s="19"/>
      <c r="C137" s="8"/>
      <c r="D137" s="20">
        <f>IFERROR(IF($C137="","",VLOOKUP($C137,'Ürün Kartları'!$B$5:$C$154,2,FALSE)),"— tanımsız ürün —")</f>
      </c>
      <c r="E137" s="8"/>
      <c r="F137" s="10"/>
      <c r="G137" s="11"/>
      <c r="H137" s="16">
        <f>IF(OR($F137="",$G137=""),0,$F137*$G137)</f>
      </c>
      <c r="I137" s="16">
        <f>IFERROR(IF($E137="",0,$H137*VLOOKUP($E137,'Pazaryeri Kartları'!$B$5:$C$24,2,FALSE)+VLOOKUP($E137,'Pazaryeri Kartları'!$B$5:$D$24,3,FALSE)*$G137),0)</f>
      </c>
      <c r="J137" s="16">
        <f>IFERROR(IF($C137="",0,VLOOKUP($C137,'Ürün Kartları'!$B$5:$G$154,6,FALSE)*$G137),0)</f>
      </c>
      <c r="K137" s="11"/>
      <c r="L137" s="10"/>
      <c r="M137" s="21">
        <f>IF($C137="","",IF($K137=1,-($J137*0.5)-$L137,$H137-$I137-$J137-$L137))</f>
      </c>
      <c r="N137" s="22">
        <f>IF(OR($C137="",$H137=0),"",$M137/$H137)</f>
      </c>
    </row>
    <row r="138" spans="2:14" x14ac:dyDescent="0.25">
      <c r="B138" s="23"/>
      <c r="C138" s="12"/>
      <c r="D138" s="20">
        <f>IFERROR(IF($C138="","",VLOOKUP($C138,'Ürün Kartları'!$B$5:$C$154,2,FALSE)),"— tanımsız ürün —")</f>
      </c>
      <c r="E138" s="12"/>
      <c r="F138" s="14"/>
      <c r="G138" s="15"/>
      <c r="H138" s="16">
        <f>IF(OR($F138="",$G138=""),0,$F138*$G138)</f>
      </c>
      <c r="I138" s="16">
        <f>IFERROR(IF($E138="",0,$H138*VLOOKUP($E138,'Pazaryeri Kartları'!$B$5:$C$24,2,FALSE)+VLOOKUP($E138,'Pazaryeri Kartları'!$B$5:$D$24,3,FALSE)*$G138),0)</f>
      </c>
      <c r="J138" s="16">
        <f>IFERROR(IF($C138="",0,VLOOKUP($C138,'Ürün Kartları'!$B$5:$G$154,6,FALSE)*$G138),0)</f>
      </c>
      <c r="K138" s="15"/>
      <c r="L138" s="14"/>
      <c r="M138" s="21">
        <f>IF($C138="","",IF($K138=1,-($J138*0.5)-$L138,$H138-$I138-$J138-$L138))</f>
      </c>
      <c r="N138" s="22">
        <f>IF(OR($C138="",$H138=0),"",$M138/$H138)</f>
      </c>
    </row>
    <row r="139" spans="2:14" x14ac:dyDescent="0.25">
      <c r="B139" s="19"/>
      <c r="C139" s="8"/>
      <c r="D139" s="20">
        <f>IFERROR(IF($C139="","",VLOOKUP($C139,'Ürün Kartları'!$B$5:$C$154,2,FALSE)),"— tanımsız ürün —")</f>
      </c>
      <c r="E139" s="8"/>
      <c r="F139" s="10"/>
      <c r="G139" s="11"/>
      <c r="H139" s="16">
        <f>IF(OR($F139="",$G139=""),0,$F139*$G139)</f>
      </c>
      <c r="I139" s="16">
        <f>IFERROR(IF($E139="",0,$H139*VLOOKUP($E139,'Pazaryeri Kartları'!$B$5:$C$24,2,FALSE)+VLOOKUP($E139,'Pazaryeri Kartları'!$B$5:$D$24,3,FALSE)*$G139),0)</f>
      </c>
      <c r="J139" s="16">
        <f>IFERROR(IF($C139="",0,VLOOKUP($C139,'Ürün Kartları'!$B$5:$G$154,6,FALSE)*$G139),0)</f>
      </c>
      <c r="K139" s="11"/>
      <c r="L139" s="10"/>
      <c r="M139" s="21">
        <f>IF($C139="","",IF($K139=1,-($J139*0.5)-$L139,$H139-$I139-$J139-$L139))</f>
      </c>
      <c r="N139" s="22">
        <f>IF(OR($C139="",$H139=0),"",$M139/$H139)</f>
      </c>
    </row>
    <row r="140" spans="2:14" x14ac:dyDescent="0.25">
      <c r="B140" s="23"/>
      <c r="C140" s="12"/>
      <c r="D140" s="20">
        <f>IFERROR(IF($C140="","",VLOOKUP($C140,'Ürün Kartları'!$B$5:$C$154,2,FALSE)),"— tanımsız ürün —")</f>
      </c>
      <c r="E140" s="12"/>
      <c r="F140" s="14"/>
      <c r="G140" s="15"/>
      <c r="H140" s="16">
        <f>IF(OR($F140="",$G140=""),0,$F140*$G140)</f>
      </c>
      <c r="I140" s="16">
        <f>IFERROR(IF($E140="",0,$H140*VLOOKUP($E140,'Pazaryeri Kartları'!$B$5:$C$24,2,FALSE)+VLOOKUP($E140,'Pazaryeri Kartları'!$B$5:$D$24,3,FALSE)*$G140),0)</f>
      </c>
      <c r="J140" s="16">
        <f>IFERROR(IF($C140="",0,VLOOKUP($C140,'Ürün Kartları'!$B$5:$G$154,6,FALSE)*$G140),0)</f>
      </c>
      <c r="K140" s="15"/>
      <c r="L140" s="14"/>
      <c r="M140" s="21">
        <f>IF($C140="","",IF($K140=1,-($J140*0.5)-$L140,$H140-$I140-$J140-$L140))</f>
      </c>
      <c r="N140" s="22">
        <f>IF(OR($C140="",$H140=0),"",$M140/$H140)</f>
      </c>
    </row>
    <row r="141" spans="2:14" x14ac:dyDescent="0.25">
      <c r="B141" s="19"/>
      <c r="C141" s="8"/>
      <c r="D141" s="20">
        <f>IFERROR(IF($C141="","",VLOOKUP($C141,'Ürün Kartları'!$B$5:$C$154,2,FALSE)),"— tanımsız ürün —")</f>
      </c>
      <c r="E141" s="8"/>
      <c r="F141" s="10"/>
      <c r="G141" s="11"/>
      <c r="H141" s="16">
        <f>IF(OR($F141="",$G141=""),0,$F141*$G141)</f>
      </c>
      <c r="I141" s="16">
        <f>IFERROR(IF($E141="",0,$H141*VLOOKUP($E141,'Pazaryeri Kartları'!$B$5:$C$24,2,FALSE)+VLOOKUP($E141,'Pazaryeri Kartları'!$B$5:$D$24,3,FALSE)*$G141),0)</f>
      </c>
      <c r="J141" s="16">
        <f>IFERROR(IF($C141="",0,VLOOKUP($C141,'Ürün Kartları'!$B$5:$G$154,6,FALSE)*$G141),0)</f>
      </c>
      <c r="K141" s="11"/>
      <c r="L141" s="10"/>
      <c r="M141" s="21">
        <f>IF($C141="","",IF($K141=1,-($J141*0.5)-$L141,$H141-$I141-$J141-$L141))</f>
      </c>
      <c r="N141" s="22">
        <f>IF(OR($C141="",$H141=0),"",$M141/$H141)</f>
      </c>
    </row>
    <row r="142" spans="2:14" x14ac:dyDescent="0.25">
      <c r="B142" s="23"/>
      <c r="C142" s="12"/>
      <c r="D142" s="20">
        <f>IFERROR(IF($C142="","",VLOOKUP($C142,'Ürün Kartları'!$B$5:$C$154,2,FALSE)),"— tanımsız ürün —")</f>
      </c>
      <c r="E142" s="12"/>
      <c r="F142" s="14"/>
      <c r="G142" s="15"/>
      <c r="H142" s="16">
        <f>IF(OR($F142="",$G142=""),0,$F142*$G142)</f>
      </c>
      <c r="I142" s="16">
        <f>IFERROR(IF($E142="",0,$H142*VLOOKUP($E142,'Pazaryeri Kartları'!$B$5:$C$24,2,FALSE)+VLOOKUP($E142,'Pazaryeri Kartları'!$B$5:$D$24,3,FALSE)*$G142),0)</f>
      </c>
      <c r="J142" s="16">
        <f>IFERROR(IF($C142="",0,VLOOKUP($C142,'Ürün Kartları'!$B$5:$G$154,6,FALSE)*$G142),0)</f>
      </c>
      <c r="K142" s="15"/>
      <c r="L142" s="14"/>
      <c r="M142" s="21">
        <f>IF($C142="","",IF($K142=1,-($J142*0.5)-$L142,$H142-$I142-$J142-$L142))</f>
      </c>
      <c r="N142" s="22">
        <f>IF(OR($C142="",$H142=0),"",$M142/$H142)</f>
      </c>
    </row>
    <row r="143" spans="2:14" x14ac:dyDescent="0.25">
      <c r="B143" s="19"/>
      <c r="C143" s="8"/>
      <c r="D143" s="20">
        <f>IFERROR(IF($C143="","",VLOOKUP($C143,'Ürün Kartları'!$B$5:$C$154,2,FALSE)),"— tanımsız ürün —")</f>
      </c>
      <c r="E143" s="8"/>
      <c r="F143" s="10"/>
      <c r="G143" s="11"/>
      <c r="H143" s="16">
        <f>IF(OR($F143="",$G143=""),0,$F143*$G143)</f>
      </c>
      <c r="I143" s="16">
        <f>IFERROR(IF($E143="",0,$H143*VLOOKUP($E143,'Pazaryeri Kartları'!$B$5:$C$24,2,FALSE)+VLOOKUP($E143,'Pazaryeri Kartları'!$B$5:$D$24,3,FALSE)*$G143),0)</f>
      </c>
      <c r="J143" s="16">
        <f>IFERROR(IF($C143="",0,VLOOKUP($C143,'Ürün Kartları'!$B$5:$G$154,6,FALSE)*$G143),0)</f>
      </c>
      <c r="K143" s="11"/>
      <c r="L143" s="10"/>
      <c r="M143" s="21">
        <f>IF($C143="","",IF($K143=1,-($J143*0.5)-$L143,$H143-$I143-$J143-$L143))</f>
      </c>
      <c r="N143" s="22">
        <f>IF(OR($C143="",$H143=0),"",$M143/$H143)</f>
      </c>
    </row>
    <row r="144" spans="2:14" x14ac:dyDescent="0.25">
      <c r="B144" s="23"/>
      <c r="C144" s="12"/>
      <c r="D144" s="20">
        <f>IFERROR(IF($C144="","",VLOOKUP($C144,'Ürün Kartları'!$B$5:$C$154,2,FALSE)),"— tanımsız ürün —")</f>
      </c>
      <c r="E144" s="12"/>
      <c r="F144" s="14"/>
      <c r="G144" s="15"/>
      <c r="H144" s="16">
        <f>IF(OR($F144="",$G144=""),0,$F144*$G144)</f>
      </c>
      <c r="I144" s="16">
        <f>IFERROR(IF($E144="",0,$H144*VLOOKUP($E144,'Pazaryeri Kartları'!$B$5:$C$24,2,FALSE)+VLOOKUP($E144,'Pazaryeri Kartları'!$B$5:$D$24,3,FALSE)*$G144),0)</f>
      </c>
      <c r="J144" s="16">
        <f>IFERROR(IF($C144="",0,VLOOKUP($C144,'Ürün Kartları'!$B$5:$G$154,6,FALSE)*$G144),0)</f>
      </c>
      <c r="K144" s="15"/>
      <c r="L144" s="14"/>
      <c r="M144" s="21">
        <f>IF($C144="","",IF($K144=1,-($J144*0.5)-$L144,$H144-$I144-$J144-$L144))</f>
      </c>
      <c r="N144" s="22">
        <f>IF(OR($C144="",$H144=0),"",$M144/$H144)</f>
      </c>
    </row>
    <row r="145" spans="2:14" x14ac:dyDescent="0.25">
      <c r="B145" s="19"/>
      <c r="C145" s="8"/>
      <c r="D145" s="20">
        <f>IFERROR(IF($C145="","",VLOOKUP($C145,'Ürün Kartları'!$B$5:$C$154,2,FALSE)),"— tanımsız ürün —")</f>
      </c>
      <c r="E145" s="8"/>
      <c r="F145" s="10"/>
      <c r="G145" s="11"/>
      <c r="H145" s="16">
        <f>IF(OR($F145="",$G145=""),0,$F145*$G145)</f>
      </c>
      <c r="I145" s="16">
        <f>IFERROR(IF($E145="",0,$H145*VLOOKUP($E145,'Pazaryeri Kartları'!$B$5:$C$24,2,FALSE)+VLOOKUP($E145,'Pazaryeri Kartları'!$B$5:$D$24,3,FALSE)*$G145),0)</f>
      </c>
      <c r="J145" s="16">
        <f>IFERROR(IF($C145="",0,VLOOKUP($C145,'Ürün Kartları'!$B$5:$G$154,6,FALSE)*$G145),0)</f>
      </c>
      <c r="K145" s="11"/>
      <c r="L145" s="10"/>
      <c r="M145" s="21">
        <f>IF($C145="","",IF($K145=1,-($J145*0.5)-$L145,$H145-$I145-$J145-$L145))</f>
      </c>
      <c r="N145" s="22">
        <f>IF(OR($C145="",$H145=0),"",$M145/$H145)</f>
      </c>
    </row>
    <row r="146" spans="2:14" x14ac:dyDescent="0.25">
      <c r="B146" s="23"/>
      <c r="C146" s="12"/>
      <c r="D146" s="20">
        <f>IFERROR(IF($C146="","",VLOOKUP($C146,'Ürün Kartları'!$B$5:$C$154,2,FALSE)),"— tanımsız ürün —")</f>
      </c>
      <c r="E146" s="12"/>
      <c r="F146" s="14"/>
      <c r="G146" s="15"/>
      <c r="H146" s="16">
        <f>IF(OR($F146="",$G146=""),0,$F146*$G146)</f>
      </c>
      <c r="I146" s="16">
        <f>IFERROR(IF($E146="",0,$H146*VLOOKUP($E146,'Pazaryeri Kartları'!$B$5:$C$24,2,FALSE)+VLOOKUP($E146,'Pazaryeri Kartları'!$B$5:$D$24,3,FALSE)*$G146),0)</f>
      </c>
      <c r="J146" s="16">
        <f>IFERROR(IF($C146="",0,VLOOKUP($C146,'Ürün Kartları'!$B$5:$G$154,6,FALSE)*$G146),0)</f>
      </c>
      <c r="K146" s="15"/>
      <c r="L146" s="14"/>
      <c r="M146" s="21">
        <f>IF($C146="","",IF($K146=1,-($J146*0.5)-$L146,$H146-$I146-$J146-$L146))</f>
      </c>
      <c r="N146" s="22">
        <f>IF(OR($C146="",$H146=0),"",$M146/$H146)</f>
      </c>
    </row>
    <row r="147" spans="2:14" x14ac:dyDescent="0.25">
      <c r="B147" s="19"/>
      <c r="C147" s="8"/>
      <c r="D147" s="20">
        <f>IFERROR(IF($C147="","",VLOOKUP($C147,'Ürün Kartları'!$B$5:$C$154,2,FALSE)),"— tanımsız ürün —")</f>
      </c>
      <c r="E147" s="8"/>
      <c r="F147" s="10"/>
      <c r="G147" s="11"/>
      <c r="H147" s="16">
        <f>IF(OR($F147="",$G147=""),0,$F147*$G147)</f>
      </c>
      <c r="I147" s="16">
        <f>IFERROR(IF($E147="",0,$H147*VLOOKUP($E147,'Pazaryeri Kartları'!$B$5:$C$24,2,FALSE)+VLOOKUP($E147,'Pazaryeri Kartları'!$B$5:$D$24,3,FALSE)*$G147),0)</f>
      </c>
      <c r="J147" s="16">
        <f>IFERROR(IF($C147="",0,VLOOKUP($C147,'Ürün Kartları'!$B$5:$G$154,6,FALSE)*$G147),0)</f>
      </c>
      <c r="K147" s="11"/>
      <c r="L147" s="10"/>
      <c r="M147" s="21">
        <f>IF($C147="","",IF($K147=1,-($J147*0.5)-$L147,$H147-$I147-$J147-$L147))</f>
      </c>
      <c r="N147" s="22">
        <f>IF(OR($C147="",$H147=0),"",$M147/$H147)</f>
      </c>
    </row>
    <row r="148" spans="2:14" x14ac:dyDescent="0.25">
      <c r="B148" s="23"/>
      <c r="C148" s="12"/>
      <c r="D148" s="20">
        <f>IFERROR(IF($C148="","",VLOOKUP($C148,'Ürün Kartları'!$B$5:$C$154,2,FALSE)),"— tanımsız ürün —")</f>
      </c>
      <c r="E148" s="12"/>
      <c r="F148" s="14"/>
      <c r="G148" s="15"/>
      <c r="H148" s="16">
        <f>IF(OR($F148="",$G148=""),0,$F148*$G148)</f>
      </c>
      <c r="I148" s="16">
        <f>IFERROR(IF($E148="",0,$H148*VLOOKUP($E148,'Pazaryeri Kartları'!$B$5:$C$24,2,FALSE)+VLOOKUP($E148,'Pazaryeri Kartları'!$B$5:$D$24,3,FALSE)*$G148),0)</f>
      </c>
      <c r="J148" s="16">
        <f>IFERROR(IF($C148="",0,VLOOKUP($C148,'Ürün Kartları'!$B$5:$G$154,6,FALSE)*$G148),0)</f>
      </c>
      <c r="K148" s="15"/>
      <c r="L148" s="14"/>
      <c r="M148" s="21">
        <f>IF($C148="","",IF($K148=1,-($J148*0.5)-$L148,$H148-$I148-$J148-$L148))</f>
      </c>
      <c r="N148" s="22">
        <f>IF(OR($C148="",$H148=0),"",$M148/$H148)</f>
      </c>
    </row>
    <row r="149" spans="2:14" x14ac:dyDescent="0.25">
      <c r="B149" s="19"/>
      <c r="C149" s="8"/>
      <c r="D149" s="20">
        <f>IFERROR(IF($C149="","",VLOOKUP($C149,'Ürün Kartları'!$B$5:$C$154,2,FALSE)),"— tanımsız ürün —")</f>
      </c>
      <c r="E149" s="8"/>
      <c r="F149" s="10"/>
      <c r="G149" s="11"/>
      <c r="H149" s="16">
        <f>IF(OR($F149="",$G149=""),0,$F149*$G149)</f>
      </c>
      <c r="I149" s="16">
        <f>IFERROR(IF($E149="",0,$H149*VLOOKUP($E149,'Pazaryeri Kartları'!$B$5:$C$24,2,FALSE)+VLOOKUP($E149,'Pazaryeri Kartları'!$B$5:$D$24,3,FALSE)*$G149),0)</f>
      </c>
      <c r="J149" s="16">
        <f>IFERROR(IF($C149="",0,VLOOKUP($C149,'Ürün Kartları'!$B$5:$G$154,6,FALSE)*$G149),0)</f>
      </c>
      <c r="K149" s="11"/>
      <c r="L149" s="10"/>
      <c r="M149" s="21">
        <f>IF($C149="","",IF($K149=1,-($J149*0.5)-$L149,$H149-$I149-$J149-$L149))</f>
      </c>
      <c r="N149" s="22">
        <f>IF(OR($C149="",$H149=0),"",$M149/$H149)</f>
      </c>
    </row>
    <row r="150" spans="2:14" x14ac:dyDescent="0.25">
      <c r="B150" s="23"/>
      <c r="C150" s="12"/>
      <c r="D150" s="20">
        <f>IFERROR(IF($C150="","",VLOOKUP($C150,'Ürün Kartları'!$B$5:$C$154,2,FALSE)),"— tanımsız ürün —")</f>
      </c>
      <c r="E150" s="12"/>
      <c r="F150" s="14"/>
      <c r="G150" s="15"/>
      <c r="H150" s="16">
        <f>IF(OR($F150="",$G150=""),0,$F150*$G150)</f>
      </c>
      <c r="I150" s="16">
        <f>IFERROR(IF($E150="",0,$H150*VLOOKUP($E150,'Pazaryeri Kartları'!$B$5:$C$24,2,FALSE)+VLOOKUP($E150,'Pazaryeri Kartları'!$B$5:$D$24,3,FALSE)*$G150),0)</f>
      </c>
      <c r="J150" s="16">
        <f>IFERROR(IF($C150="",0,VLOOKUP($C150,'Ürün Kartları'!$B$5:$G$154,6,FALSE)*$G150),0)</f>
      </c>
      <c r="K150" s="15"/>
      <c r="L150" s="14"/>
      <c r="M150" s="21">
        <f>IF($C150="","",IF($K150=1,-($J150*0.5)-$L150,$H150-$I150-$J150-$L150))</f>
      </c>
      <c r="N150" s="22">
        <f>IF(OR($C150="",$H150=0),"",$M150/$H150)</f>
      </c>
    </row>
    <row r="151" spans="2:14" x14ac:dyDescent="0.25">
      <c r="B151" s="19"/>
      <c r="C151" s="8"/>
      <c r="D151" s="20">
        <f>IFERROR(IF($C151="","",VLOOKUP($C151,'Ürün Kartları'!$B$5:$C$154,2,FALSE)),"— tanımsız ürün —")</f>
      </c>
      <c r="E151" s="8"/>
      <c r="F151" s="10"/>
      <c r="G151" s="11"/>
      <c r="H151" s="16">
        <f>IF(OR($F151="",$G151=""),0,$F151*$G151)</f>
      </c>
      <c r="I151" s="16">
        <f>IFERROR(IF($E151="",0,$H151*VLOOKUP($E151,'Pazaryeri Kartları'!$B$5:$C$24,2,FALSE)+VLOOKUP($E151,'Pazaryeri Kartları'!$B$5:$D$24,3,FALSE)*$G151),0)</f>
      </c>
      <c r="J151" s="16">
        <f>IFERROR(IF($C151="",0,VLOOKUP($C151,'Ürün Kartları'!$B$5:$G$154,6,FALSE)*$G151),0)</f>
      </c>
      <c r="K151" s="11"/>
      <c r="L151" s="10"/>
      <c r="M151" s="21">
        <f>IF($C151="","",IF($K151=1,-($J151*0.5)-$L151,$H151-$I151-$J151-$L151))</f>
      </c>
      <c r="N151" s="22">
        <f>IF(OR($C151="",$H151=0),"",$M151/$H151)</f>
      </c>
    </row>
    <row r="152" spans="2:14" x14ac:dyDescent="0.25">
      <c r="B152" s="23"/>
      <c r="C152" s="12"/>
      <c r="D152" s="20">
        <f>IFERROR(IF($C152="","",VLOOKUP($C152,'Ürün Kartları'!$B$5:$C$154,2,FALSE)),"— tanımsız ürün —")</f>
      </c>
      <c r="E152" s="12"/>
      <c r="F152" s="14"/>
      <c r="G152" s="15"/>
      <c r="H152" s="16">
        <f>IF(OR($F152="",$G152=""),0,$F152*$G152)</f>
      </c>
      <c r="I152" s="16">
        <f>IFERROR(IF($E152="",0,$H152*VLOOKUP($E152,'Pazaryeri Kartları'!$B$5:$C$24,2,FALSE)+VLOOKUP($E152,'Pazaryeri Kartları'!$B$5:$D$24,3,FALSE)*$G152),0)</f>
      </c>
      <c r="J152" s="16">
        <f>IFERROR(IF($C152="",0,VLOOKUP($C152,'Ürün Kartları'!$B$5:$G$154,6,FALSE)*$G152),0)</f>
      </c>
      <c r="K152" s="15"/>
      <c r="L152" s="14"/>
      <c r="M152" s="21">
        <f>IF($C152="","",IF($K152=1,-($J152*0.5)-$L152,$H152-$I152-$J152-$L152))</f>
      </c>
      <c r="N152" s="22">
        <f>IF(OR($C152="",$H152=0),"",$M152/$H152)</f>
      </c>
    </row>
    <row r="153" spans="2:14" x14ac:dyDescent="0.25">
      <c r="B153" s="19"/>
      <c r="C153" s="8"/>
      <c r="D153" s="20">
        <f>IFERROR(IF($C153="","",VLOOKUP($C153,'Ürün Kartları'!$B$5:$C$154,2,FALSE)),"— tanımsız ürün —")</f>
      </c>
      <c r="E153" s="8"/>
      <c r="F153" s="10"/>
      <c r="G153" s="11"/>
      <c r="H153" s="16">
        <f>IF(OR($F153="",$G153=""),0,$F153*$G153)</f>
      </c>
      <c r="I153" s="16">
        <f>IFERROR(IF($E153="",0,$H153*VLOOKUP($E153,'Pazaryeri Kartları'!$B$5:$C$24,2,FALSE)+VLOOKUP($E153,'Pazaryeri Kartları'!$B$5:$D$24,3,FALSE)*$G153),0)</f>
      </c>
      <c r="J153" s="16">
        <f>IFERROR(IF($C153="",0,VLOOKUP($C153,'Ürün Kartları'!$B$5:$G$154,6,FALSE)*$G153),0)</f>
      </c>
      <c r="K153" s="11"/>
      <c r="L153" s="10"/>
      <c r="M153" s="21">
        <f>IF($C153="","",IF($K153=1,-($J153*0.5)-$L153,$H153-$I153-$J153-$L153))</f>
      </c>
      <c r="N153" s="22">
        <f>IF(OR($C153="",$H153=0),"",$M153/$H153)</f>
      </c>
    </row>
    <row r="154" spans="2:14" x14ac:dyDescent="0.25">
      <c r="B154" s="23"/>
      <c r="C154" s="12"/>
      <c r="D154" s="20">
        <f>IFERROR(IF($C154="","",VLOOKUP($C154,'Ürün Kartları'!$B$5:$C$154,2,FALSE)),"— tanımsız ürün —")</f>
      </c>
      <c r="E154" s="12"/>
      <c r="F154" s="14"/>
      <c r="G154" s="15"/>
      <c r="H154" s="16">
        <f>IF(OR($F154="",$G154=""),0,$F154*$G154)</f>
      </c>
      <c r="I154" s="16">
        <f>IFERROR(IF($E154="",0,$H154*VLOOKUP($E154,'Pazaryeri Kartları'!$B$5:$C$24,2,FALSE)+VLOOKUP($E154,'Pazaryeri Kartları'!$B$5:$D$24,3,FALSE)*$G154),0)</f>
      </c>
      <c r="J154" s="16">
        <f>IFERROR(IF($C154="",0,VLOOKUP($C154,'Ürün Kartları'!$B$5:$G$154,6,FALSE)*$G154),0)</f>
      </c>
      <c r="K154" s="15"/>
      <c r="L154" s="14"/>
      <c r="M154" s="21">
        <f>IF($C154="","",IF($K154=1,-($J154*0.5)-$L154,$H154-$I154-$J154-$L154))</f>
      </c>
      <c r="N154" s="22">
        <f>IF(OR($C154="",$H154=0),"",$M154/$H154)</f>
      </c>
    </row>
    <row r="155" spans="2:14" x14ac:dyDescent="0.25">
      <c r="B155" s="19"/>
      <c r="C155" s="8"/>
      <c r="D155" s="20">
        <f>IFERROR(IF($C155="","",VLOOKUP($C155,'Ürün Kartları'!$B$5:$C$154,2,FALSE)),"— tanımsız ürün —")</f>
      </c>
      <c r="E155" s="8"/>
      <c r="F155" s="10"/>
      <c r="G155" s="11"/>
      <c r="H155" s="16">
        <f>IF(OR($F155="",$G155=""),0,$F155*$G155)</f>
      </c>
      <c r="I155" s="16">
        <f>IFERROR(IF($E155="",0,$H155*VLOOKUP($E155,'Pazaryeri Kartları'!$B$5:$C$24,2,FALSE)+VLOOKUP($E155,'Pazaryeri Kartları'!$B$5:$D$24,3,FALSE)*$G155),0)</f>
      </c>
      <c r="J155" s="16">
        <f>IFERROR(IF($C155="",0,VLOOKUP($C155,'Ürün Kartları'!$B$5:$G$154,6,FALSE)*$G155),0)</f>
      </c>
      <c r="K155" s="11"/>
      <c r="L155" s="10"/>
      <c r="M155" s="21">
        <f>IF($C155="","",IF($K155=1,-($J155*0.5)-$L155,$H155-$I155-$J155-$L155))</f>
      </c>
      <c r="N155" s="22">
        <f>IF(OR($C155="",$H155=0),"",$M155/$H155)</f>
      </c>
    </row>
    <row r="156" spans="2:14" x14ac:dyDescent="0.25">
      <c r="B156" s="23"/>
      <c r="C156" s="12"/>
      <c r="D156" s="20">
        <f>IFERROR(IF($C156="","",VLOOKUP($C156,'Ürün Kartları'!$B$5:$C$154,2,FALSE)),"— tanımsız ürün —")</f>
      </c>
      <c r="E156" s="12"/>
      <c r="F156" s="14"/>
      <c r="G156" s="15"/>
      <c r="H156" s="16">
        <f>IF(OR($F156="",$G156=""),0,$F156*$G156)</f>
      </c>
      <c r="I156" s="16">
        <f>IFERROR(IF($E156="",0,$H156*VLOOKUP($E156,'Pazaryeri Kartları'!$B$5:$C$24,2,FALSE)+VLOOKUP($E156,'Pazaryeri Kartları'!$B$5:$D$24,3,FALSE)*$G156),0)</f>
      </c>
      <c r="J156" s="16">
        <f>IFERROR(IF($C156="",0,VLOOKUP($C156,'Ürün Kartları'!$B$5:$G$154,6,FALSE)*$G156),0)</f>
      </c>
      <c r="K156" s="15"/>
      <c r="L156" s="14"/>
      <c r="M156" s="21">
        <f>IF($C156="","",IF($K156=1,-($J156*0.5)-$L156,$H156-$I156-$J156-$L156))</f>
      </c>
      <c r="N156" s="22">
        <f>IF(OR($C156="",$H156=0),"",$M156/$H156)</f>
      </c>
    </row>
    <row r="157" spans="2:14" x14ac:dyDescent="0.25">
      <c r="B157" s="19"/>
      <c r="C157" s="8"/>
      <c r="D157" s="20">
        <f>IFERROR(IF($C157="","",VLOOKUP($C157,'Ürün Kartları'!$B$5:$C$154,2,FALSE)),"— tanımsız ürün —")</f>
      </c>
      <c r="E157" s="8"/>
      <c r="F157" s="10"/>
      <c r="G157" s="11"/>
      <c r="H157" s="16">
        <f>IF(OR($F157="",$G157=""),0,$F157*$G157)</f>
      </c>
      <c r="I157" s="16">
        <f>IFERROR(IF($E157="",0,$H157*VLOOKUP($E157,'Pazaryeri Kartları'!$B$5:$C$24,2,FALSE)+VLOOKUP($E157,'Pazaryeri Kartları'!$B$5:$D$24,3,FALSE)*$G157),0)</f>
      </c>
      <c r="J157" s="16">
        <f>IFERROR(IF($C157="",0,VLOOKUP($C157,'Ürün Kartları'!$B$5:$G$154,6,FALSE)*$G157),0)</f>
      </c>
      <c r="K157" s="11"/>
      <c r="L157" s="10"/>
      <c r="M157" s="21">
        <f>IF($C157="","",IF($K157=1,-($J157*0.5)-$L157,$H157-$I157-$J157-$L157))</f>
      </c>
      <c r="N157" s="22">
        <f>IF(OR($C157="",$H157=0),"",$M157/$H157)</f>
      </c>
    </row>
    <row r="158" spans="2:14" x14ac:dyDescent="0.25">
      <c r="B158" s="23"/>
      <c r="C158" s="12"/>
      <c r="D158" s="20">
        <f>IFERROR(IF($C158="","",VLOOKUP($C158,'Ürün Kartları'!$B$5:$C$154,2,FALSE)),"— tanımsız ürün —")</f>
      </c>
      <c r="E158" s="12"/>
      <c r="F158" s="14"/>
      <c r="G158" s="15"/>
      <c r="H158" s="16">
        <f>IF(OR($F158="",$G158=""),0,$F158*$G158)</f>
      </c>
      <c r="I158" s="16">
        <f>IFERROR(IF($E158="",0,$H158*VLOOKUP($E158,'Pazaryeri Kartları'!$B$5:$C$24,2,FALSE)+VLOOKUP($E158,'Pazaryeri Kartları'!$B$5:$D$24,3,FALSE)*$G158),0)</f>
      </c>
      <c r="J158" s="16">
        <f>IFERROR(IF($C158="",0,VLOOKUP($C158,'Ürün Kartları'!$B$5:$G$154,6,FALSE)*$G158),0)</f>
      </c>
      <c r="K158" s="15"/>
      <c r="L158" s="14"/>
      <c r="M158" s="21">
        <f>IF($C158="","",IF($K158=1,-($J158*0.5)-$L158,$H158-$I158-$J158-$L158))</f>
      </c>
      <c r="N158" s="22">
        <f>IF(OR($C158="",$H158=0),"",$M158/$H158)</f>
      </c>
    </row>
    <row r="159" spans="2:14" x14ac:dyDescent="0.25">
      <c r="B159" s="19"/>
      <c r="C159" s="8"/>
      <c r="D159" s="20">
        <f>IFERROR(IF($C159="","",VLOOKUP($C159,'Ürün Kartları'!$B$5:$C$154,2,FALSE)),"— tanımsız ürün —")</f>
      </c>
      <c r="E159" s="8"/>
      <c r="F159" s="10"/>
      <c r="G159" s="11"/>
      <c r="H159" s="16">
        <f>IF(OR($F159="",$G159=""),0,$F159*$G159)</f>
      </c>
      <c r="I159" s="16">
        <f>IFERROR(IF($E159="",0,$H159*VLOOKUP($E159,'Pazaryeri Kartları'!$B$5:$C$24,2,FALSE)+VLOOKUP($E159,'Pazaryeri Kartları'!$B$5:$D$24,3,FALSE)*$G159),0)</f>
      </c>
      <c r="J159" s="16">
        <f>IFERROR(IF($C159="",0,VLOOKUP($C159,'Ürün Kartları'!$B$5:$G$154,6,FALSE)*$G159),0)</f>
      </c>
      <c r="K159" s="11"/>
      <c r="L159" s="10"/>
      <c r="M159" s="21">
        <f>IF($C159="","",IF($K159=1,-($J159*0.5)-$L159,$H159-$I159-$J159-$L159))</f>
      </c>
      <c r="N159" s="22">
        <f>IF(OR($C159="",$H159=0),"",$M159/$H159)</f>
      </c>
    </row>
    <row r="160" spans="2:14" x14ac:dyDescent="0.25">
      <c r="B160" s="23"/>
      <c r="C160" s="12"/>
      <c r="D160" s="20">
        <f>IFERROR(IF($C160="","",VLOOKUP($C160,'Ürün Kartları'!$B$5:$C$154,2,FALSE)),"— tanımsız ürün —")</f>
      </c>
      <c r="E160" s="12"/>
      <c r="F160" s="14"/>
      <c r="G160" s="15"/>
      <c r="H160" s="16">
        <f>IF(OR($F160="",$G160=""),0,$F160*$G160)</f>
      </c>
      <c r="I160" s="16">
        <f>IFERROR(IF($E160="",0,$H160*VLOOKUP($E160,'Pazaryeri Kartları'!$B$5:$C$24,2,FALSE)+VLOOKUP($E160,'Pazaryeri Kartları'!$B$5:$D$24,3,FALSE)*$G160),0)</f>
      </c>
      <c r="J160" s="16">
        <f>IFERROR(IF($C160="",0,VLOOKUP($C160,'Ürün Kartları'!$B$5:$G$154,6,FALSE)*$G160),0)</f>
      </c>
      <c r="K160" s="15"/>
      <c r="L160" s="14"/>
      <c r="M160" s="21">
        <f>IF($C160="","",IF($K160=1,-($J160*0.5)-$L160,$H160-$I160-$J160-$L160))</f>
      </c>
      <c r="N160" s="22">
        <f>IF(OR($C160="",$H160=0),"",$M160/$H160)</f>
      </c>
    </row>
    <row r="161" spans="2:14" x14ac:dyDescent="0.25">
      <c r="B161" s="19"/>
      <c r="C161" s="8"/>
      <c r="D161" s="20">
        <f>IFERROR(IF($C161="","",VLOOKUP($C161,'Ürün Kartları'!$B$5:$C$154,2,FALSE)),"— tanımsız ürün —")</f>
      </c>
      <c r="E161" s="8"/>
      <c r="F161" s="10"/>
      <c r="G161" s="11"/>
      <c r="H161" s="16">
        <f>IF(OR($F161="",$G161=""),0,$F161*$G161)</f>
      </c>
      <c r="I161" s="16">
        <f>IFERROR(IF($E161="",0,$H161*VLOOKUP($E161,'Pazaryeri Kartları'!$B$5:$C$24,2,FALSE)+VLOOKUP($E161,'Pazaryeri Kartları'!$B$5:$D$24,3,FALSE)*$G161),0)</f>
      </c>
      <c r="J161" s="16">
        <f>IFERROR(IF($C161="",0,VLOOKUP($C161,'Ürün Kartları'!$B$5:$G$154,6,FALSE)*$G161),0)</f>
      </c>
      <c r="K161" s="11"/>
      <c r="L161" s="10"/>
      <c r="M161" s="21">
        <f>IF($C161="","",IF($K161=1,-($J161*0.5)-$L161,$H161-$I161-$J161-$L161))</f>
      </c>
      <c r="N161" s="22">
        <f>IF(OR($C161="",$H161=0),"",$M161/$H161)</f>
      </c>
    </row>
    <row r="162" spans="2:14" x14ac:dyDescent="0.25">
      <c r="B162" s="23"/>
      <c r="C162" s="12"/>
      <c r="D162" s="20">
        <f>IFERROR(IF($C162="","",VLOOKUP($C162,'Ürün Kartları'!$B$5:$C$154,2,FALSE)),"— tanımsız ürün —")</f>
      </c>
      <c r="E162" s="12"/>
      <c r="F162" s="14"/>
      <c r="G162" s="15"/>
      <c r="H162" s="16">
        <f>IF(OR($F162="",$G162=""),0,$F162*$G162)</f>
      </c>
      <c r="I162" s="16">
        <f>IFERROR(IF($E162="",0,$H162*VLOOKUP($E162,'Pazaryeri Kartları'!$B$5:$C$24,2,FALSE)+VLOOKUP($E162,'Pazaryeri Kartları'!$B$5:$D$24,3,FALSE)*$G162),0)</f>
      </c>
      <c r="J162" s="16">
        <f>IFERROR(IF($C162="",0,VLOOKUP($C162,'Ürün Kartları'!$B$5:$G$154,6,FALSE)*$G162),0)</f>
      </c>
      <c r="K162" s="15"/>
      <c r="L162" s="14"/>
      <c r="M162" s="21">
        <f>IF($C162="","",IF($K162=1,-($J162*0.5)-$L162,$H162-$I162-$J162-$L162))</f>
      </c>
      <c r="N162" s="22">
        <f>IF(OR($C162="",$H162=0),"",$M162/$H162)</f>
      </c>
    </row>
    <row r="163" spans="2:14" x14ac:dyDescent="0.25">
      <c r="B163" s="19"/>
      <c r="C163" s="8"/>
      <c r="D163" s="20">
        <f>IFERROR(IF($C163="","",VLOOKUP($C163,'Ürün Kartları'!$B$5:$C$154,2,FALSE)),"— tanımsız ürün —")</f>
      </c>
      <c r="E163" s="8"/>
      <c r="F163" s="10"/>
      <c r="G163" s="11"/>
      <c r="H163" s="16">
        <f>IF(OR($F163="",$G163=""),0,$F163*$G163)</f>
      </c>
      <c r="I163" s="16">
        <f>IFERROR(IF($E163="",0,$H163*VLOOKUP($E163,'Pazaryeri Kartları'!$B$5:$C$24,2,FALSE)+VLOOKUP($E163,'Pazaryeri Kartları'!$B$5:$D$24,3,FALSE)*$G163),0)</f>
      </c>
      <c r="J163" s="16">
        <f>IFERROR(IF($C163="",0,VLOOKUP($C163,'Ürün Kartları'!$B$5:$G$154,6,FALSE)*$G163),0)</f>
      </c>
      <c r="K163" s="11"/>
      <c r="L163" s="10"/>
      <c r="M163" s="21">
        <f>IF($C163="","",IF($K163=1,-($J163*0.5)-$L163,$H163-$I163-$J163-$L163))</f>
      </c>
      <c r="N163" s="22">
        <f>IF(OR($C163="",$H163=0),"",$M163/$H163)</f>
      </c>
    </row>
    <row r="164" spans="2:14" x14ac:dyDescent="0.25">
      <c r="B164" s="23"/>
      <c r="C164" s="12"/>
      <c r="D164" s="20">
        <f>IFERROR(IF($C164="","",VLOOKUP($C164,'Ürün Kartları'!$B$5:$C$154,2,FALSE)),"— tanımsız ürün —")</f>
      </c>
      <c r="E164" s="12"/>
      <c r="F164" s="14"/>
      <c r="G164" s="15"/>
      <c r="H164" s="16">
        <f>IF(OR($F164="",$G164=""),0,$F164*$G164)</f>
      </c>
      <c r="I164" s="16">
        <f>IFERROR(IF($E164="",0,$H164*VLOOKUP($E164,'Pazaryeri Kartları'!$B$5:$C$24,2,FALSE)+VLOOKUP($E164,'Pazaryeri Kartları'!$B$5:$D$24,3,FALSE)*$G164),0)</f>
      </c>
      <c r="J164" s="16">
        <f>IFERROR(IF($C164="",0,VLOOKUP($C164,'Ürün Kartları'!$B$5:$G$154,6,FALSE)*$G164),0)</f>
      </c>
      <c r="K164" s="15"/>
      <c r="L164" s="14"/>
      <c r="M164" s="21">
        <f>IF($C164="","",IF($K164=1,-($J164*0.5)-$L164,$H164-$I164-$J164-$L164))</f>
      </c>
      <c r="N164" s="22">
        <f>IF(OR($C164="",$H164=0),"",$M164/$H164)</f>
      </c>
    </row>
    <row r="165" spans="2:14" x14ac:dyDescent="0.25">
      <c r="B165" s="19"/>
      <c r="C165" s="8"/>
      <c r="D165" s="20">
        <f>IFERROR(IF($C165="","",VLOOKUP($C165,'Ürün Kartları'!$B$5:$C$154,2,FALSE)),"— tanımsız ürün —")</f>
      </c>
      <c r="E165" s="8"/>
      <c r="F165" s="10"/>
      <c r="G165" s="11"/>
      <c r="H165" s="16">
        <f>IF(OR($F165="",$G165=""),0,$F165*$G165)</f>
      </c>
      <c r="I165" s="16">
        <f>IFERROR(IF($E165="",0,$H165*VLOOKUP($E165,'Pazaryeri Kartları'!$B$5:$C$24,2,FALSE)+VLOOKUP($E165,'Pazaryeri Kartları'!$B$5:$D$24,3,FALSE)*$G165),0)</f>
      </c>
      <c r="J165" s="16">
        <f>IFERROR(IF($C165="",0,VLOOKUP($C165,'Ürün Kartları'!$B$5:$G$154,6,FALSE)*$G165),0)</f>
      </c>
      <c r="K165" s="11"/>
      <c r="L165" s="10"/>
      <c r="M165" s="21">
        <f>IF($C165="","",IF($K165=1,-($J165*0.5)-$L165,$H165-$I165-$J165-$L165))</f>
      </c>
      <c r="N165" s="22">
        <f>IF(OR($C165="",$H165=0),"",$M165/$H165)</f>
      </c>
    </row>
    <row r="166" spans="2:14" x14ac:dyDescent="0.25">
      <c r="B166" s="23"/>
      <c r="C166" s="12"/>
      <c r="D166" s="20">
        <f>IFERROR(IF($C166="","",VLOOKUP($C166,'Ürün Kartları'!$B$5:$C$154,2,FALSE)),"— tanımsız ürün —")</f>
      </c>
      <c r="E166" s="12"/>
      <c r="F166" s="14"/>
      <c r="G166" s="15"/>
      <c r="H166" s="16">
        <f>IF(OR($F166="",$G166=""),0,$F166*$G166)</f>
      </c>
      <c r="I166" s="16">
        <f>IFERROR(IF($E166="",0,$H166*VLOOKUP($E166,'Pazaryeri Kartları'!$B$5:$C$24,2,FALSE)+VLOOKUP($E166,'Pazaryeri Kartları'!$B$5:$D$24,3,FALSE)*$G166),0)</f>
      </c>
      <c r="J166" s="16">
        <f>IFERROR(IF($C166="",0,VLOOKUP($C166,'Ürün Kartları'!$B$5:$G$154,6,FALSE)*$G166),0)</f>
      </c>
      <c r="K166" s="15"/>
      <c r="L166" s="14"/>
      <c r="M166" s="21">
        <f>IF($C166="","",IF($K166=1,-($J166*0.5)-$L166,$H166-$I166-$J166-$L166))</f>
      </c>
      <c r="N166" s="22">
        <f>IF(OR($C166="",$H166=0),"",$M166/$H166)</f>
      </c>
    </row>
    <row r="167" spans="2:14" x14ac:dyDescent="0.25">
      <c r="B167" s="19"/>
      <c r="C167" s="8"/>
      <c r="D167" s="20">
        <f>IFERROR(IF($C167="","",VLOOKUP($C167,'Ürün Kartları'!$B$5:$C$154,2,FALSE)),"— tanımsız ürün —")</f>
      </c>
      <c r="E167" s="8"/>
      <c r="F167" s="10"/>
      <c r="G167" s="11"/>
      <c r="H167" s="16">
        <f>IF(OR($F167="",$G167=""),0,$F167*$G167)</f>
      </c>
      <c r="I167" s="16">
        <f>IFERROR(IF($E167="",0,$H167*VLOOKUP($E167,'Pazaryeri Kartları'!$B$5:$C$24,2,FALSE)+VLOOKUP($E167,'Pazaryeri Kartları'!$B$5:$D$24,3,FALSE)*$G167),0)</f>
      </c>
      <c r="J167" s="16">
        <f>IFERROR(IF($C167="",0,VLOOKUP($C167,'Ürün Kartları'!$B$5:$G$154,6,FALSE)*$G167),0)</f>
      </c>
      <c r="K167" s="11"/>
      <c r="L167" s="10"/>
      <c r="M167" s="21">
        <f>IF($C167="","",IF($K167=1,-($J167*0.5)-$L167,$H167-$I167-$J167-$L167))</f>
      </c>
      <c r="N167" s="22">
        <f>IF(OR($C167="",$H167=0),"",$M167/$H167)</f>
      </c>
    </row>
    <row r="168" spans="2:14" x14ac:dyDescent="0.25">
      <c r="B168" s="23"/>
      <c r="C168" s="12"/>
      <c r="D168" s="20">
        <f>IFERROR(IF($C168="","",VLOOKUP($C168,'Ürün Kartları'!$B$5:$C$154,2,FALSE)),"— tanımsız ürün —")</f>
      </c>
      <c r="E168" s="12"/>
      <c r="F168" s="14"/>
      <c r="G168" s="15"/>
      <c r="H168" s="16">
        <f>IF(OR($F168="",$G168=""),0,$F168*$G168)</f>
      </c>
      <c r="I168" s="16">
        <f>IFERROR(IF($E168="",0,$H168*VLOOKUP($E168,'Pazaryeri Kartları'!$B$5:$C$24,2,FALSE)+VLOOKUP($E168,'Pazaryeri Kartları'!$B$5:$D$24,3,FALSE)*$G168),0)</f>
      </c>
      <c r="J168" s="16">
        <f>IFERROR(IF($C168="",0,VLOOKUP($C168,'Ürün Kartları'!$B$5:$G$154,6,FALSE)*$G168),0)</f>
      </c>
      <c r="K168" s="15"/>
      <c r="L168" s="14"/>
      <c r="M168" s="21">
        <f>IF($C168="","",IF($K168=1,-($J168*0.5)-$L168,$H168-$I168-$J168-$L168))</f>
      </c>
      <c r="N168" s="22">
        <f>IF(OR($C168="",$H168=0),"",$M168/$H168)</f>
      </c>
    </row>
    <row r="169" spans="2:14" x14ac:dyDescent="0.25">
      <c r="B169" s="19"/>
      <c r="C169" s="8"/>
      <c r="D169" s="20">
        <f>IFERROR(IF($C169="","",VLOOKUP($C169,'Ürün Kartları'!$B$5:$C$154,2,FALSE)),"— tanımsız ürün —")</f>
      </c>
      <c r="E169" s="8"/>
      <c r="F169" s="10"/>
      <c r="G169" s="11"/>
      <c r="H169" s="16">
        <f>IF(OR($F169="",$G169=""),0,$F169*$G169)</f>
      </c>
      <c r="I169" s="16">
        <f>IFERROR(IF($E169="",0,$H169*VLOOKUP($E169,'Pazaryeri Kartları'!$B$5:$C$24,2,FALSE)+VLOOKUP($E169,'Pazaryeri Kartları'!$B$5:$D$24,3,FALSE)*$G169),0)</f>
      </c>
      <c r="J169" s="16">
        <f>IFERROR(IF($C169="",0,VLOOKUP($C169,'Ürün Kartları'!$B$5:$G$154,6,FALSE)*$G169),0)</f>
      </c>
      <c r="K169" s="11"/>
      <c r="L169" s="10"/>
      <c r="M169" s="21">
        <f>IF($C169="","",IF($K169=1,-($J169*0.5)-$L169,$H169-$I169-$J169-$L169))</f>
      </c>
      <c r="N169" s="22">
        <f>IF(OR($C169="",$H169=0),"",$M169/$H169)</f>
      </c>
    </row>
    <row r="170" spans="2:14" x14ac:dyDescent="0.25">
      <c r="B170" s="23"/>
      <c r="C170" s="12"/>
      <c r="D170" s="20">
        <f>IFERROR(IF($C170="","",VLOOKUP($C170,'Ürün Kartları'!$B$5:$C$154,2,FALSE)),"— tanımsız ürün —")</f>
      </c>
      <c r="E170" s="12"/>
      <c r="F170" s="14"/>
      <c r="G170" s="15"/>
      <c r="H170" s="16">
        <f>IF(OR($F170="",$G170=""),0,$F170*$G170)</f>
      </c>
      <c r="I170" s="16">
        <f>IFERROR(IF($E170="",0,$H170*VLOOKUP($E170,'Pazaryeri Kartları'!$B$5:$C$24,2,FALSE)+VLOOKUP($E170,'Pazaryeri Kartları'!$B$5:$D$24,3,FALSE)*$G170),0)</f>
      </c>
      <c r="J170" s="16">
        <f>IFERROR(IF($C170="",0,VLOOKUP($C170,'Ürün Kartları'!$B$5:$G$154,6,FALSE)*$G170),0)</f>
      </c>
      <c r="K170" s="15"/>
      <c r="L170" s="14"/>
      <c r="M170" s="21">
        <f>IF($C170="","",IF($K170=1,-($J170*0.5)-$L170,$H170-$I170-$J170-$L170))</f>
      </c>
      <c r="N170" s="22">
        <f>IF(OR($C170="",$H170=0),"",$M170/$H170)</f>
      </c>
    </row>
    <row r="171" spans="2:14" x14ac:dyDescent="0.25">
      <c r="B171" s="19"/>
      <c r="C171" s="8"/>
      <c r="D171" s="20">
        <f>IFERROR(IF($C171="","",VLOOKUP($C171,'Ürün Kartları'!$B$5:$C$154,2,FALSE)),"— tanımsız ürün —")</f>
      </c>
      <c r="E171" s="8"/>
      <c r="F171" s="10"/>
      <c r="G171" s="11"/>
      <c r="H171" s="16">
        <f>IF(OR($F171="",$G171=""),0,$F171*$G171)</f>
      </c>
      <c r="I171" s="16">
        <f>IFERROR(IF($E171="",0,$H171*VLOOKUP($E171,'Pazaryeri Kartları'!$B$5:$C$24,2,FALSE)+VLOOKUP($E171,'Pazaryeri Kartları'!$B$5:$D$24,3,FALSE)*$G171),0)</f>
      </c>
      <c r="J171" s="16">
        <f>IFERROR(IF($C171="",0,VLOOKUP($C171,'Ürün Kartları'!$B$5:$G$154,6,FALSE)*$G171),0)</f>
      </c>
      <c r="K171" s="11"/>
      <c r="L171" s="10"/>
      <c r="M171" s="21">
        <f>IF($C171="","",IF($K171=1,-($J171*0.5)-$L171,$H171-$I171-$J171-$L171))</f>
      </c>
      <c r="N171" s="22">
        <f>IF(OR($C171="",$H171=0),"",$M171/$H171)</f>
      </c>
    </row>
    <row r="172" spans="2:14" x14ac:dyDescent="0.25">
      <c r="B172" s="23"/>
      <c r="C172" s="12"/>
      <c r="D172" s="20">
        <f>IFERROR(IF($C172="","",VLOOKUP($C172,'Ürün Kartları'!$B$5:$C$154,2,FALSE)),"— tanımsız ürün —")</f>
      </c>
      <c r="E172" s="12"/>
      <c r="F172" s="14"/>
      <c r="G172" s="15"/>
      <c r="H172" s="16">
        <f>IF(OR($F172="",$G172=""),0,$F172*$G172)</f>
      </c>
      <c r="I172" s="16">
        <f>IFERROR(IF($E172="",0,$H172*VLOOKUP($E172,'Pazaryeri Kartları'!$B$5:$C$24,2,FALSE)+VLOOKUP($E172,'Pazaryeri Kartları'!$B$5:$D$24,3,FALSE)*$G172),0)</f>
      </c>
      <c r="J172" s="16">
        <f>IFERROR(IF($C172="",0,VLOOKUP($C172,'Ürün Kartları'!$B$5:$G$154,6,FALSE)*$G172),0)</f>
      </c>
      <c r="K172" s="15"/>
      <c r="L172" s="14"/>
      <c r="M172" s="21">
        <f>IF($C172="","",IF($K172=1,-($J172*0.5)-$L172,$H172-$I172-$J172-$L172))</f>
      </c>
      <c r="N172" s="22">
        <f>IF(OR($C172="",$H172=0),"",$M172/$H172)</f>
      </c>
    </row>
    <row r="173" spans="2:14" x14ac:dyDescent="0.25">
      <c r="B173" s="19"/>
      <c r="C173" s="8"/>
      <c r="D173" s="20">
        <f>IFERROR(IF($C173="","",VLOOKUP($C173,'Ürün Kartları'!$B$5:$C$154,2,FALSE)),"— tanımsız ürün —")</f>
      </c>
      <c r="E173" s="8"/>
      <c r="F173" s="10"/>
      <c r="G173" s="11"/>
      <c r="H173" s="16">
        <f>IF(OR($F173="",$G173=""),0,$F173*$G173)</f>
      </c>
      <c r="I173" s="16">
        <f>IFERROR(IF($E173="",0,$H173*VLOOKUP($E173,'Pazaryeri Kartları'!$B$5:$C$24,2,FALSE)+VLOOKUP($E173,'Pazaryeri Kartları'!$B$5:$D$24,3,FALSE)*$G173),0)</f>
      </c>
      <c r="J173" s="16">
        <f>IFERROR(IF($C173="",0,VLOOKUP($C173,'Ürün Kartları'!$B$5:$G$154,6,FALSE)*$G173),0)</f>
      </c>
      <c r="K173" s="11"/>
      <c r="L173" s="10"/>
      <c r="M173" s="21">
        <f>IF($C173="","",IF($K173=1,-($J173*0.5)-$L173,$H173-$I173-$J173-$L173))</f>
      </c>
      <c r="N173" s="22">
        <f>IF(OR($C173="",$H173=0),"",$M173/$H173)</f>
      </c>
    </row>
    <row r="174" spans="2:14" x14ac:dyDescent="0.25">
      <c r="B174" s="23"/>
      <c r="C174" s="12"/>
      <c r="D174" s="20">
        <f>IFERROR(IF($C174="","",VLOOKUP($C174,'Ürün Kartları'!$B$5:$C$154,2,FALSE)),"— tanımsız ürün —")</f>
      </c>
      <c r="E174" s="12"/>
      <c r="F174" s="14"/>
      <c r="G174" s="15"/>
      <c r="H174" s="16">
        <f>IF(OR($F174="",$G174=""),0,$F174*$G174)</f>
      </c>
      <c r="I174" s="16">
        <f>IFERROR(IF($E174="",0,$H174*VLOOKUP($E174,'Pazaryeri Kartları'!$B$5:$C$24,2,FALSE)+VLOOKUP($E174,'Pazaryeri Kartları'!$B$5:$D$24,3,FALSE)*$G174),0)</f>
      </c>
      <c r="J174" s="16">
        <f>IFERROR(IF($C174="",0,VLOOKUP($C174,'Ürün Kartları'!$B$5:$G$154,6,FALSE)*$G174),0)</f>
      </c>
      <c r="K174" s="15"/>
      <c r="L174" s="14"/>
      <c r="M174" s="21">
        <f>IF($C174="","",IF($K174=1,-($J174*0.5)-$L174,$H174-$I174-$J174-$L174))</f>
      </c>
      <c r="N174" s="22">
        <f>IF(OR($C174="",$H174=0),"",$M174/$H174)</f>
      </c>
    </row>
    <row r="175" spans="2:14" x14ac:dyDescent="0.25">
      <c r="B175" s="19"/>
      <c r="C175" s="8"/>
      <c r="D175" s="20">
        <f>IFERROR(IF($C175="","",VLOOKUP($C175,'Ürün Kartları'!$B$5:$C$154,2,FALSE)),"— tanımsız ürün —")</f>
      </c>
      <c r="E175" s="8"/>
      <c r="F175" s="10"/>
      <c r="G175" s="11"/>
      <c r="H175" s="16">
        <f>IF(OR($F175="",$G175=""),0,$F175*$G175)</f>
      </c>
      <c r="I175" s="16">
        <f>IFERROR(IF($E175="",0,$H175*VLOOKUP($E175,'Pazaryeri Kartları'!$B$5:$C$24,2,FALSE)+VLOOKUP($E175,'Pazaryeri Kartları'!$B$5:$D$24,3,FALSE)*$G175),0)</f>
      </c>
      <c r="J175" s="16">
        <f>IFERROR(IF($C175="",0,VLOOKUP($C175,'Ürün Kartları'!$B$5:$G$154,6,FALSE)*$G175),0)</f>
      </c>
      <c r="K175" s="11"/>
      <c r="L175" s="10"/>
      <c r="M175" s="21">
        <f>IF($C175="","",IF($K175=1,-($J175*0.5)-$L175,$H175-$I175-$J175-$L175))</f>
      </c>
      <c r="N175" s="22">
        <f>IF(OR($C175="",$H175=0),"",$M175/$H175)</f>
      </c>
    </row>
    <row r="176" spans="2:14" x14ac:dyDescent="0.25">
      <c r="B176" s="23"/>
      <c r="C176" s="12"/>
      <c r="D176" s="20">
        <f>IFERROR(IF($C176="","",VLOOKUP($C176,'Ürün Kartları'!$B$5:$C$154,2,FALSE)),"— tanımsız ürün —")</f>
      </c>
      <c r="E176" s="12"/>
      <c r="F176" s="14"/>
      <c r="G176" s="15"/>
      <c r="H176" s="16">
        <f>IF(OR($F176="",$G176=""),0,$F176*$G176)</f>
      </c>
      <c r="I176" s="16">
        <f>IFERROR(IF($E176="",0,$H176*VLOOKUP($E176,'Pazaryeri Kartları'!$B$5:$C$24,2,FALSE)+VLOOKUP($E176,'Pazaryeri Kartları'!$B$5:$D$24,3,FALSE)*$G176),0)</f>
      </c>
      <c r="J176" s="16">
        <f>IFERROR(IF($C176="",0,VLOOKUP($C176,'Ürün Kartları'!$B$5:$G$154,6,FALSE)*$G176),0)</f>
      </c>
      <c r="K176" s="15"/>
      <c r="L176" s="14"/>
      <c r="M176" s="21">
        <f>IF($C176="","",IF($K176=1,-($J176*0.5)-$L176,$H176-$I176-$J176-$L176))</f>
      </c>
      <c r="N176" s="22">
        <f>IF(OR($C176="",$H176=0),"",$M176/$H176)</f>
      </c>
    </row>
    <row r="177" spans="2:14" x14ac:dyDescent="0.25">
      <c r="B177" s="19"/>
      <c r="C177" s="8"/>
      <c r="D177" s="20">
        <f>IFERROR(IF($C177="","",VLOOKUP($C177,'Ürün Kartları'!$B$5:$C$154,2,FALSE)),"— tanımsız ürün —")</f>
      </c>
      <c r="E177" s="8"/>
      <c r="F177" s="10"/>
      <c r="G177" s="11"/>
      <c r="H177" s="16">
        <f>IF(OR($F177="",$G177=""),0,$F177*$G177)</f>
      </c>
      <c r="I177" s="16">
        <f>IFERROR(IF($E177="",0,$H177*VLOOKUP($E177,'Pazaryeri Kartları'!$B$5:$C$24,2,FALSE)+VLOOKUP($E177,'Pazaryeri Kartları'!$B$5:$D$24,3,FALSE)*$G177),0)</f>
      </c>
      <c r="J177" s="16">
        <f>IFERROR(IF($C177="",0,VLOOKUP($C177,'Ürün Kartları'!$B$5:$G$154,6,FALSE)*$G177),0)</f>
      </c>
      <c r="K177" s="11"/>
      <c r="L177" s="10"/>
      <c r="M177" s="21">
        <f>IF($C177="","",IF($K177=1,-($J177*0.5)-$L177,$H177-$I177-$J177-$L177))</f>
      </c>
      <c r="N177" s="22">
        <f>IF(OR($C177="",$H177=0),"",$M177/$H177)</f>
      </c>
    </row>
    <row r="178" spans="2:14" x14ac:dyDescent="0.25">
      <c r="B178" s="23"/>
      <c r="C178" s="12"/>
      <c r="D178" s="20">
        <f>IFERROR(IF($C178="","",VLOOKUP($C178,'Ürün Kartları'!$B$5:$C$154,2,FALSE)),"— tanımsız ürün —")</f>
      </c>
      <c r="E178" s="12"/>
      <c r="F178" s="14"/>
      <c r="G178" s="15"/>
      <c r="H178" s="16">
        <f>IF(OR($F178="",$G178=""),0,$F178*$G178)</f>
      </c>
      <c r="I178" s="16">
        <f>IFERROR(IF($E178="",0,$H178*VLOOKUP($E178,'Pazaryeri Kartları'!$B$5:$C$24,2,FALSE)+VLOOKUP($E178,'Pazaryeri Kartları'!$B$5:$D$24,3,FALSE)*$G178),0)</f>
      </c>
      <c r="J178" s="16">
        <f>IFERROR(IF($C178="",0,VLOOKUP($C178,'Ürün Kartları'!$B$5:$G$154,6,FALSE)*$G178),0)</f>
      </c>
      <c r="K178" s="15"/>
      <c r="L178" s="14"/>
      <c r="M178" s="21">
        <f>IF($C178="","",IF($K178=1,-($J178*0.5)-$L178,$H178-$I178-$J178-$L178))</f>
      </c>
      <c r="N178" s="22">
        <f>IF(OR($C178="",$H178=0),"",$M178/$H178)</f>
      </c>
    </row>
    <row r="179" spans="2:14" x14ac:dyDescent="0.25">
      <c r="B179" s="19"/>
      <c r="C179" s="8"/>
      <c r="D179" s="20">
        <f>IFERROR(IF($C179="","",VLOOKUP($C179,'Ürün Kartları'!$B$5:$C$154,2,FALSE)),"— tanımsız ürün —")</f>
      </c>
      <c r="E179" s="8"/>
      <c r="F179" s="10"/>
      <c r="G179" s="11"/>
      <c r="H179" s="16">
        <f>IF(OR($F179="",$G179=""),0,$F179*$G179)</f>
      </c>
      <c r="I179" s="16">
        <f>IFERROR(IF($E179="",0,$H179*VLOOKUP($E179,'Pazaryeri Kartları'!$B$5:$C$24,2,FALSE)+VLOOKUP($E179,'Pazaryeri Kartları'!$B$5:$D$24,3,FALSE)*$G179),0)</f>
      </c>
      <c r="J179" s="16">
        <f>IFERROR(IF($C179="",0,VLOOKUP($C179,'Ürün Kartları'!$B$5:$G$154,6,FALSE)*$G179),0)</f>
      </c>
      <c r="K179" s="11"/>
      <c r="L179" s="10"/>
      <c r="M179" s="21">
        <f>IF($C179="","",IF($K179=1,-($J179*0.5)-$L179,$H179-$I179-$J179-$L179))</f>
      </c>
      <c r="N179" s="22">
        <f>IF(OR($C179="",$H179=0),"",$M179/$H179)</f>
      </c>
    </row>
    <row r="180" spans="2:14" x14ac:dyDescent="0.25">
      <c r="B180" s="23"/>
      <c r="C180" s="12"/>
      <c r="D180" s="20">
        <f>IFERROR(IF($C180="","",VLOOKUP($C180,'Ürün Kartları'!$B$5:$C$154,2,FALSE)),"— tanımsız ürün —")</f>
      </c>
      <c r="E180" s="12"/>
      <c r="F180" s="14"/>
      <c r="G180" s="15"/>
      <c r="H180" s="16">
        <f>IF(OR($F180="",$G180=""),0,$F180*$G180)</f>
      </c>
      <c r="I180" s="16">
        <f>IFERROR(IF($E180="",0,$H180*VLOOKUP($E180,'Pazaryeri Kartları'!$B$5:$C$24,2,FALSE)+VLOOKUP($E180,'Pazaryeri Kartları'!$B$5:$D$24,3,FALSE)*$G180),0)</f>
      </c>
      <c r="J180" s="16">
        <f>IFERROR(IF($C180="",0,VLOOKUP($C180,'Ürün Kartları'!$B$5:$G$154,6,FALSE)*$G180),0)</f>
      </c>
      <c r="K180" s="15"/>
      <c r="L180" s="14"/>
      <c r="M180" s="21">
        <f>IF($C180="","",IF($K180=1,-($J180*0.5)-$L180,$H180-$I180-$J180-$L180))</f>
      </c>
      <c r="N180" s="22">
        <f>IF(OR($C180="",$H180=0),"",$M180/$H180)</f>
      </c>
    </row>
    <row r="181" spans="2:14" x14ac:dyDescent="0.25">
      <c r="B181" s="19"/>
      <c r="C181" s="8"/>
      <c r="D181" s="20">
        <f>IFERROR(IF($C181="","",VLOOKUP($C181,'Ürün Kartları'!$B$5:$C$154,2,FALSE)),"— tanımsız ürün —")</f>
      </c>
      <c r="E181" s="8"/>
      <c r="F181" s="10"/>
      <c r="G181" s="11"/>
      <c r="H181" s="16">
        <f>IF(OR($F181="",$G181=""),0,$F181*$G181)</f>
      </c>
      <c r="I181" s="16">
        <f>IFERROR(IF($E181="",0,$H181*VLOOKUP($E181,'Pazaryeri Kartları'!$B$5:$C$24,2,FALSE)+VLOOKUP($E181,'Pazaryeri Kartları'!$B$5:$D$24,3,FALSE)*$G181),0)</f>
      </c>
      <c r="J181" s="16">
        <f>IFERROR(IF($C181="",0,VLOOKUP($C181,'Ürün Kartları'!$B$5:$G$154,6,FALSE)*$G181),0)</f>
      </c>
      <c r="K181" s="11"/>
      <c r="L181" s="10"/>
      <c r="M181" s="21">
        <f>IF($C181="","",IF($K181=1,-($J181*0.5)-$L181,$H181-$I181-$J181-$L181))</f>
      </c>
      <c r="N181" s="22">
        <f>IF(OR($C181="",$H181=0),"",$M181/$H181)</f>
      </c>
    </row>
    <row r="182" spans="2:14" x14ac:dyDescent="0.25">
      <c r="B182" s="23"/>
      <c r="C182" s="12"/>
      <c r="D182" s="20">
        <f>IFERROR(IF($C182="","",VLOOKUP($C182,'Ürün Kartları'!$B$5:$C$154,2,FALSE)),"— tanımsız ürün —")</f>
      </c>
      <c r="E182" s="12"/>
      <c r="F182" s="14"/>
      <c r="G182" s="15"/>
      <c r="H182" s="16">
        <f>IF(OR($F182="",$G182=""),0,$F182*$G182)</f>
      </c>
      <c r="I182" s="16">
        <f>IFERROR(IF($E182="",0,$H182*VLOOKUP($E182,'Pazaryeri Kartları'!$B$5:$C$24,2,FALSE)+VLOOKUP($E182,'Pazaryeri Kartları'!$B$5:$D$24,3,FALSE)*$G182),0)</f>
      </c>
      <c r="J182" s="16">
        <f>IFERROR(IF($C182="",0,VLOOKUP($C182,'Ürün Kartları'!$B$5:$G$154,6,FALSE)*$G182),0)</f>
      </c>
      <c r="K182" s="15"/>
      <c r="L182" s="14"/>
      <c r="M182" s="21">
        <f>IF($C182="","",IF($K182=1,-($J182*0.5)-$L182,$H182-$I182-$J182-$L182))</f>
      </c>
      <c r="N182" s="22">
        <f>IF(OR($C182="",$H182=0),"",$M182/$H182)</f>
      </c>
    </row>
    <row r="183" spans="2:14" x14ac:dyDescent="0.25">
      <c r="B183" s="19"/>
      <c r="C183" s="8"/>
      <c r="D183" s="20">
        <f>IFERROR(IF($C183="","",VLOOKUP($C183,'Ürün Kartları'!$B$5:$C$154,2,FALSE)),"— tanımsız ürün —")</f>
      </c>
      <c r="E183" s="8"/>
      <c r="F183" s="10"/>
      <c r="G183" s="11"/>
      <c r="H183" s="16">
        <f>IF(OR($F183="",$G183=""),0,$F183*$G183)</f>
      </c>
      <c r="I183" s="16">
        <f>IFERROR(IF($E183="",0,$H183*VLOOKUP($E183,'Pazaryeri Kartları'!$B$5:$C$24,2,FALSE)+VLOOKUP($E183,'Pazaryeri Kartları'!$B$5:$D$24,3,FALSE)*$G183),0)</f>
      </c>
      <c r="J183" s="16">
        <f>IFERROR(IF($C183="",0,VLOOKUP($C183,'Ürün Kartları'!$B$5:$G$154,6,FALSE)*$G183),0)</f>
      </c>
      <c r="K183" s="11"/>
      <c r="L183" s="10"/>
      <c r="M183" s="21">
        <f>IF($C183="","",IF($K183=1,-($J183*0.5)-$L183,$H183-$I183-$J183-$L183))</f>
      </c>
      <c r="N183" s="22">
        <f>IF(OR($C183="",$H183=0),"",$M183/$H183)</f>
      </c>
    </row>
    <row r="184" spans="2:14" x14ac:dyDescent="0.25">
      <c r="B184" s="23"/>
      <c r="C184" s="12"/>
      <c r="D184" s="20">
        <f>IFERROR(IF($C184="","",VLOOKUP($C184,'Ürün Kartları'!$B$5:$C$154,2,FALSE)),"— tanımsız ürün —")</f>
      </c>
      <c r="E184" s="12"/>
      <c r="F184" s="14"/>
      <c r="G184" s="15"/>
      <c r="H184" s="16">
        <f>IF(OR($F184="",$G184=""),0,$F184*$G184)</f>
      </c>
      <c r="I184" s="16">
        <f>IFERROR(IF($E184="",0,$H184*VLOOKUP($E184,'Pazaryeri Kartları'!$B$5:$C$24,2,FALSE)+VLOOKUP($E184,'Pazaryeri Kartları'!$B$5:$D$24,3,FALSE)*$G184),0)</f>
      </c>
      <c r="J184" s="16">
        <f>IFERROR(IF($C184="",0,VLOOKUP($C184,'Ürün Kartları'!$B$5:$G$154,6,FALSE)*$G184),0)</f>
      </c>
      <c r="K184" s="15"/>
      <c r="L184" s="14"/>
      <c r="M184" s="21">
        <f>IF($C184="","",IF($K184=1,-($J184*0.5)-$L184,$H184-$I184-$J184-$L184))</f>
      </c>
      <c r="N184" s="22">
        <f>IF(OR($C184="",$H184=0),"",$M184/$H184)</f>
      </c>
    </row>
    <row r="185" spans="2:14" x14ac:dyDescent="0.25">
      <c r="B185" s="19"/>
      <c r="C185" s="8"/>
      <c r="D185" s="20">
        <f>IFERROR(IF($C185="","",VLOOKUP($C185,'Ürün Kartları'!$B$5:$C$154,2,FALSE)),"— tanımsız ürün —")</f>
      </c>
      <c r="E185" s="8"/>
      <c r="F185" s="10"/>
      <c r="G185" s="11"/>
      <c r="H185" s="16">
        <f>IF(OR($F185="",$G185=""),0,$F185*$G185)</f>
      </c>
      <c r="I185" s="16">
        <f>IFERROR(IF($E185="",0,$H185*VLOOKUP($E185,'Pazaryeri Kartları'!$B$5:$C$24,2,FALSE)+VLOOKUP($E185,'Pazaryeri Kartları'!$B$5:$D$24,3,FALSE)*$G185),0)</f>
      </c>
      <c r="J185" s="16">
        <f>IFERROR(IF($C185="",0,VLOOKUP($C185,'Ürün Kartları'!$B$5:$G$154,6,FALSE)*$G185),0)</f>
      </c>
      <c r="K185" s="11"/>
      <c r="L185" s="10"/>
      <c r="M185" s="21">
        <f>IF($C185="","",IF($K185=1,-($J185*0.5)-$L185,$H185-$I185-$J185-$L185))</f>
      </c>
      <c r="N185" s="22">
        <f>IF(OR($C185="",$H185=0),"",$M185/$H185)</f>
      </c>
    </row>
    <row r="186" spans="2:14" x14ac:dyDescent="0.25">
      <c r="B186" s="23"/>
      <c r="C186" s="12"/>
      <c r="D186" s="20">
        <f>IFERROR(IF($C186="","",VLOOKUP($C186,'Ürün Kartları'!$B$5:$C$154,2,FALSE)),"— tanımsız ürün —")</f>
      </c>
      <c r="E186" s="12"/>
      <c r="F186" s="14"/>
      <c r="G186" s="15"/>
      <c r="H186" s="16">
        <f>IF(OR($F186="",$G186=""),0,$F186*$G186)</f>
      </c>
      <c r="I186" s="16">
        <f>IFERROR(IF($E186="",0,$H186*VLOOKUP($E186,'Pazaryeri Kartları'!$B$5:$C$24,2,FALSE)+VLOOKUP($E186,'Pazaryeri Kartları'!$B$5:$D$24,3,FALSE)*$G186),0)</f>
      </c>
      <c r="J186" s="16">
        <f>IFERROR(IF($C186="",0,VLOOKUP($C186,'Ürün Kartları'!$B$5:$G$154,6,FALSE)*$G186),0)</f>
      </c>
      <c r="K186" s="15"/>
      <c r="L186" s="14"/>
      <c r="M186" s="21">
        <f>IF($C186="","",IF($K186=1,-($J186*0.5)-$L186,$H186-$I186-$J186-$L186))</f>
      </c>
      <c r="N186" s="22">
        <f>IF(OR($C186="",$H186=0),"",$M186/$H186)</f>
      </c>
    </row>
    <row r="187" spans="2:14" x14ac:dyDescent="0.25">
      <c r="B187" s="19"/>
      <c r="C187" s="8"/>
      <c r="D187" s="20">
        <f>IFERROR(IF($C187="","",VLOOKUP($C187,'Ürün Kartları'!$B$5:$C$154,2,FALSE)),"— tanımsız ürün —")</f>
      </c>
      <c r="E187" s="8"/>
      <c r="F187" s="10"/>
      <c r="G187" s="11"/>
      <c r="H187" s="16">
        <f>IF(OR($F187="",$G187=""),0,$F187*$G187)</f>
      </c>
      <c r="I187" s="16">
        <f>IFERROR(IF($E187="",0,$H187*VLOOKUP($E187,'Pazaryeri Kartları'!$B$5:$C$24,2,FALSE)+VLOOKUP($E187,'Pazaryeri Kartları'!$B$5:$D$24,3,FALSE)*$G187),0)</f>
      </c>
      <c r="J187" s="16">
        <f>IFERROR(IF($C187="",0,VLOOKUP($C187,'Ürün Kartları'!$B$5:$G$154,6,FALSE)*$G187),0)</f>
      </c>
      <c r="K187" s="11"/>
      <c r="L187" s="10"/>
      <c r="M187" s="21">
        <f>IF($C187="","",IF($K187=1,-($J187*0.5)-$L187,$H187-$I187-$J187-$L187))</f>
      </c>
      <c r="N187" s="22">
        <f>IF(OR($C187="",$H187=0),"",$M187/$H187)</f>
      </c>
    </row>
    <row r="188" spans="2:14" x14ac:dyDescent="0.25">
      <c r="B188" s="23"/>
      <c r="C188" s="12"/>
      <c r="D188" s="20">
        <f>IFERROR(IF($C188="","",VLOOKUP($C188,'Ürün Kartları'!$B$5:$C$154,2,FALSE)),"— tanımsız ürün —")</f>
      </c>
      <c r="E188" s="12"/>
      <c r="F188" s="14"/>
      <c r="G188" s="15"/>
      <c r="H188" s="16">
        <f>IF(OR($F188="",$G188=""),0,$F188*$G188)</f>
      </c>
      <c r="I188" s="16">
        <f>IFERROR(IF($E188="",0,$H188*VLOOKUP($E188,'Pazaryeri Kartları'!$B$5:$C$24,2,FALSE)+VLOOKUP($E188,'Pazaryeri Kartları'!$B$5:$D$24,3,FALSE)*$G188),0)</f>
      </c>
      <c r="J188" s="16">
        <f>IFERROR(IF($C188="",0,VLOOKUP($C188,'Ürün Kartları'!$B$5:$G$154,6,FALSE)*$G188),0)</f>
      </c>
      <c r="K188" s="15"/>
      <c r="L188" s="14"/>
      <c r="M188" s="21">
        <f>IF($C188="","",IF($K188=1,-($J188*0.5)-$L188,$H188-$I188-$J188-$L188))</f>
      </c>
      <c r="N188" s="22">
        <f>IF(OR($C188="",$H188=0),"",$M188/$H188)</f>
      </c>
    </row>
    <row r="189" spans="2:14" x14ac:dyDescent="0.25">
      <c r="B189" s="19"/>
      <c r="C189" s="8"/>
      <c r="D189" s="20">
        <f>IFERROR(IF($C189="","",VLOOKUP($C189,'Ürün Kartları'!$B$5:$C$154,2,FALSE)),"— tanımsız ürün —")</f>
      </c>
      <c r="E189" s="8"/>
      <c r="F189" s="10"/>
      <c r="G189" s="11"/>
      <c r="H189" s="16">
        <f>IF(OR($F189="",$G189=""),0,$F189*$G189)</f>
      </c>
      <c r="I189" s="16">
        <f>IFERROR(IF($E189="",0,$H189*VLOOKUP($E189,'Pazaryeri Kartları'!$B$5:$C$24,2,FALSE)+VLOOKUP($E189,'Pazaryeri Kartları'!$B$5:$D$24,3,FALSE)*$G189),0)</f>
      </c>
      <c r="J189" s="16">
        <f>IFERROR(IF($C189="",0,VLOOKUP($C189,'Ürün Kartları'!$B$5:$G$154,6,FALSE)*$G189),0)</f>
      </c>
      <c r="K189" s="11"/>
      <c r="L189" s="10"/>
      <c r="M189" s="21">
        <f>IF($C189="","",IF($K189=1,-($J189*0.5)-$L189,$H189-$I189-$J189-$L189))</f>
      </c>
      <c r="N189" s="22">
        <f>IF(OR($C189="",$H189=0),"",$M189/$H189)</f>
      </c>
    </row>
    <row r="190" spans="2:14" x14ac:dyDescent="0.25">
      <c r="B190" s="23"/>
      <c r="C190" s="12"/>
      <c r="D190" s="20">
        <f>IFERROR(IF($C190="","",VLOOKUP($C190,'Ürün Kartları'!$B$5:$C$154,2,FALSE)),"— tanımsız ürün —")</f>
      </c>
      <c r="E190" s="12"/>
      <c r="F190" s="14"/>
      <c r="G190" s="15"/>
      <c r="H190" s="16">
        <f>IF(OR($F190="",$G190=""),0,$F190*$G190)</f>
      </c>
      <c r="I190" s="16">
        <f>IFERROR(IF($E190="",0,$H190*VLOOKUP($E190,'Pazaryeri Kartları'!$B$5:$C$24,2,FALSE)+VLOOKUP($E190,'Pazaryeri Kartları'!$B$5:$D$24,3,FALSE)*$G190),0)</f>
      </c>
      <c r="J190" s="16">
        <f>IFERROR(IF($C190="",0,VLOOKUP($C190,'Ürün Kartları'!$B$5:$G$154,6,FALSE)*$G190),0)</f>
      </c>
      <c r="K190" s="15"/>
      <c r="L190" s="14"/>
      <c r="M190" s="21">
        <f>IF($C190="","",IF($K190=1,-($J190*0.5)-$L190,$H190-$I190-$J190-$L190))</f>
      </c>
      <c r="N190" s="22">
        <f>IF(OR($C190="",$H190=0),"",$M190/$H190)</f>
      </c>
    </row>
    <row r="191" spans="2:14" x14ac:dyDescent="0.25">
      <c r="B191" s="19"/>
      <c r="C191" s="8"/>
      <c r="D191" s="20">
        <f>IFERROR(IF($C191="","",VLOOKUP($C191,'Ürün Kartları'!$B$5:$C$154,2,FALSE)),"— tanımsız ürün —")</f>
      </c>
      <c r="E191" s="8"/>
      <c r="F191" s="10"/>
      <c r="G191" s="11"/>
      <c r="H191" s="16">
        <f>IF(OR($F191="",$G191=""),0,$F191*$G191)</f>
      </c>
      <c r="I191" s="16">
        <f>IFERROR(IF($E191="",0,$H191*VLOOKUP($E191,'Pazaryeri Kartları'!$B$5:$C$24,2,FALSE)+VLOOKUP($E191,'Pazaryeri Kartları'!$B$5:$D$24,3,FALSE)*$G191),0)</f>
      </c>
      <c r="J191" s="16">
        <f>IFERROR(IF($C191="",0,VLOOKUP($C191,'Ürün Kartları'!$B$5:$G$154,6,FALSE)*$G191),0)</f>
      </c>
      <c r="K191" s="11"/>
      <c r="L191" s="10"/>
      <c r="M191" s="21">
        <f>IF($C191="","",IF($K191=1,-($J191*0.5)-$L191,$H191-$I191-$J191-$L191))</f>
      </c>
      <c r="N191" s="22">
        <f>IF(OR($C191="",$H191=0),"",$M191/$H191)</f>
      </c>
    </row>
    <row r="192" spans="2:14" x14ac:dyDescent="0.25">
      <c r="B192" s="23"/>
      <c r="C192" s="12"/>
      <c r="D192" s="20">
        <f>IFERROR(IF($C192="","",VLOOKUP($C192,'Ürün Kartları'!$B$5:$C$154,2,FALSE)),"— tanımsız ürün —")</f>
      </c>
      <c r="E192" s="12"/>
      <c r="F192" s="14"/>
      <c r="G192" s="15"/>
      <c r="H192" s="16">
        <f>IF(OR($F192="",$G192=""),0,$F192*$G192)</f>
      </c>
      <c r="I192" s="16">
        <f>IFERROR(IF($E192="",0,$H192*VLOOKUP($E192,'Pazaryeri Kartları'!$B$5:$C$24,2,FALSE)+VLOOKUP($E192,'Pazaryeri Kartları'!$B$5:$D$24,3,FALSE)*$G192),0)</f>
      </c>
      <c r="J192" s="16">
        <f>IFERROR(IF($C192="",0,VLOOKUP($C192,'Ürün Kartları'!$B$5:$G$154,6,FALSE)*$G192),0)</f>
      </c>
      <c r="K192" s="15"/>
      <c r="L192" s="14"/>
      <c r="M192" s="21">
        <f>IF($C192="","",IF($K192=1,-($J192*0.5)-$L192,$H192-$I192-$J192-$L192))</f>
      </c>
      <c r="N192" s="22">
        <f>IF(OR($C192="",$H192=0),"",$M192/$H192)</f>
      </c>
    </row>
    <row r="193" spans="2:14" x14ac:dyDescent="0.25">
      <c r="B193" s="19"/>
      <c r="C193" s="8"/>
      <c r="D193" s="20">
        <f>IFERROR(IF($C193="","",VLOOKUP($C193,'Ürün Kartları'!$B$5:$C$154,2,FALSE)),"— tanımsız ürün —")</f>
      </c>
      <c r="E193" s="8"/>
      <c r="F193" s="10"/>
      <c r="G193" s="11"/>
      <c r="H193" s="16">
        <f>IF(OR($F193="",$G193=""),0,$F193*$G193)</f>
      </c>
      <c r="I193" s="16">
        <f>IFERROR(IF($E193="",0,$H193*VLOOKUP($E193,'Pazaryeri Kartları'!$B$5:$C$24,2,FALSE)+VLOOKUP($E193,'Pazaryeri Kartları'!$B$5:$D$24,3,FALSE)*$G193),0)</f>
      </c>
      <c r="J193" s="16">
        <f>IFERROR(IF($C193="",0,VLOOKUP($C193,'Ürün Kartları'!$B$5:$G$154,6,FALSE)*$G193),0)</f>
      </c>
      <c r="K193" s="11"/>
      <c r="L193" s="10"/>
      <c r="M193" s="21">
        <f>IF($C193="","",IF($K193=1,-($J193*0.5)-$L193,$H193-$I193-$J193-$L193))</f>
      </c>
      <c r="N193" s="22">
        <f>IF(OR($C193="",$H193=0),"",$M193/$H193)</f>
      </c>
    </row>
    <row r="194" spans="2:14" x14ac:dyDescent="0.25">
      <c r="B194" s="23"/>
      <c r="C194" s="12"/>
      <c r="D194" s="20">
        <f>IFERROR(IF($C194="","",VLOOKUP($C194,'Ürün Kartları'!$B$5:$C$154,2,FALSE)),"— tanımsız ürün —")</f>
      </c>
      <c r="E194" s="12"/>
      <c r="F194" s="14"/>
      <c r="G194" s="15"/>
      <c r="H194" s="16">
        <f>IF(OR($F194="",$G194=""),0,$F194*$G194)</f>
      </c>
      <c r="I194" s="16">
        <f>IFERROR(IF($E194="",0,$H194*VLOOKUP($E194,'Pazaryeri Kartları'!$B$5:$C$24,2,FALSE)+VLOOKUP($E194,'Pazaryeri Kartları'!$B$5:$D$24,3,FALSE)*$G194),0)</f>
      </c>
      <c r="J194" s="16">
        <f>IFERROR(IF($C194="",0,VLOOKUP($C194,'Ürün Kartları'!$B$5:$G$154,6,FALSE)*$G194),0)</f>
      </c>
      <c r="K194" s="15"/>
      <c r="L194" s="14"/>
      <c r="M194" s="21">
        <f>IF($C194="","",IF($K194=1,-($J194*0.5)-$L194,$H194-$I194-$J194-$L194))</f>
      </c>
      <c r="N194" s="22">
        <f>IF(OR($C194="",$H194=0),"",$M194/$H194)</f>
      </c>
    </row>
    <row r="195" spans="2:14" x14ac:dyDescent="0.25">
      <c r="B195" s="19"/>
      <c r="C195" s="8"/>
      <c r="D195" s="20">
        <f>IFERROR(IF($C195="","",VLOOKUP($C195,'Ürün Kartları'!$B$5:$C$154,2,FALSE)),"— tanımsız ürün —")</f>
      </c>
      <c r="E195" s="8"/>
      <c r="F195" s="10"/>
      <c r="G195" s="11"/>
      <c r="H195" s="16">
        <f>IF(OR($F195="",$G195=""),0,$F195*$G195)</f>
      </c>
      <c r="I195" s="16">
        <f>IFERROR(IF($E195="",0,$H195*VLOOKUP($E195,'Pazaryeri Kartları'!$B$5:$C$24,2,FALSE)+VLOOKUP($E195,'Pazaryeri Kartları'!$B$5:$D$24,3,FALSE)*$G195),0)</f>
      </c>
      <c r="J195" s="16">
        <f>IFERROR(IF($C195="",0,VLOOKUP($C195,'Ürün Kartları'!$B$5:$G$154,6,FALSE)*$G195),0)</f>
      </c>
      <c r="K195" s="11"/>
      <c r="L195" s="10"/>
      <c r="M195" s="21">
        <f>IF($C195="","",IF($K195=1,-($J195*0.5)-$L195,$H195-$I195-$J195-$L195))</f>
      </c>
      <c r="N195" s="22">
        <f>IF(OR($C195="",$H195=0),"",$M195/$H195)</f>
      </c>
    </row>
    <row r="196" spans="2:14" x14ac:dyDescent="0.25">
      <c r="B196" s="23"/>
      <c r="C196" s="12"/>
      <c r="D196" s="20">
        <f>IFERROR(IF($C196="","",VLOOKUP($C196,'Ürün Kartları'!$B$5:$C$154,2,FALSE)),"— tanımsız ürün —")</f>
      </c>
      <c r="E196" s="12"/>
      <c r="F196" s="14"/>
      <c r="G196" s="15"/>
      <c r="H196" s="16">
        <f>IF(OR($F196="",$G196=""),0,$F196*$G196)</f>
      </c>
      <c r="I196" s="16">
        <f>IFERROR(IF($E196="",0,$H196*VLOOKUP($E196,'Pazaryeri Kartları'!$B$5:$C$24,2,FALSE)+VLOOKUP($E196,'Pazaryeri Kartları'!$B$5:$D$24,3,FALSE)*$G196),0)</f>
      </c>
      <c r="J196" s="16">
        <f>IFERROR(IF($C196="",0,VLOOKUP($C196,'Ürün Kartları'!$B$5:$G$154,6,FALSE)*$G196),0)</f>
      </c>
      <c r="K196" s="15"/>
      <c r="L196" s="14"/>
      <c r="M196" s="21">
        <f>IF($C196="","",IF($K196=1,-($J196*0.5)-$L196,$H196-$I196-$J196-$L196))</f>
      </c>
      <c r="N196" s="22">
        <f>IF(OR($C196="",$H196=0),"",$M196/$H196)</f>
      </c>
    </row>
    <row r="197" spans="2:14" x14ac:dyDescent="0.25">
      <c r="B197" s="19"/>
      <c r="C197" s="8"/>
      <c r="D197" s="20">
        <f>IFERROR(IF($C197="","",VLOOKUP($C197,'Ürün Kartları'!$B$5:$C$154,2,FALSE)),"— tanımsız ürün —")</f>
      </c>
      <c r="E197" s="8"/>
      <c r="F197" s="10"/>
      <c r="G197" s="11"/>
      <c r="H197" s="16">
        <f>IF(OR($F197="",$G197=""),0,$F197*$G197)</f>
      </c>
      <c r="I197" s="16">
        <f>IFERROR(IF($E197="",0,$H197*VLOOKUP($E197,'Pazaryeri Kartları'!$B$5:$C$24,2,FALSE)+VLOOKUP($E197,'Pazaryeri Kartları'!$B$5:$D$24,3,FALSE)*$G197),0)</f>
      </c>
      <c r="J197" s="16">
        <f>IFERROR(IF($C197="",0,VLOOKUP($C197,'Ürün Kartları'!$B$5:$G$154,6,FALSE)*$G197),0)</f>
      </c>
      <c r="K197" s="11"/>
      <c r="L197" s="10"/>
      <c r="M197" s="21">
        <f>IF($C197="","",IF($K197=1,-($J197*0.5)-$L197,$H197-$I197-$J197-$L197))</f>
      </c>
      <c r="N197" s="22">
        <f>IF(OR($C197="",$H197=0),"",$M197/$H197)</f>
      </c>
    </row>
    <row r="198" spans="2:14" x14ac:dyDescent="0.25">
      <c r="B198" s="23"/>
      <c r="C198" s="12"/>
      <c r="D198" s="20">
        <f>IFERROR(IF($C198="","",VLOOKUP($C198,'Ürün Kartları'!$B$5:$C$154,2,FALSE)),"— tanımsız ürün —")</f>
      </c>
      <c r="E198" s="12"/>
      <c r="F198" s="14"/>
      <c r="G198" s="15"/>
      <c r="H198" s="16">
        <f>IF(OR($F198="",$G198=""),0,$F198*$G198)</f>
      </c>
      <c r="I198" s="16">
        <f>IFERROR(IF($E198="",0,$H198*VLOOKUP($E198,'Pazaryeri Kartları'!$B$5:$C$24,2,FALSE)+VLOOKUP($E198,'Pazaryeri Kartları'!$B$5:$D$24,3,FALSE)*$G198),0)</f>
      </c>
      <c r="J198" s="16">
        <f>IFERROR(IF($C198="",0,VLOOKUP($C198,'Ürün Kartları'!$B$5:$G$154,6,FALSE)*$G198),0)</f>
      </c>
      <c r="K198" s="15"/>
      <c r="L198" s="14"/>
      <c r="M198" s="21">
        <f>IF($C198="","",IF($K198=1,-($J198*0.5)-$L198,$H198-$I198-$J198-$L198))</f>
      </c>
      <c r="N198" s="22">
        <f>IF(OR($C198="",$H198=0),"",$M198/$H198)</f>
      </c>
    </row>
    <row r="199" spans="2:14" x14ac:dyDescent="0.25">
      <c r="B199" s="19"/>
      <c r="C199" s="8"/>
      <c r="D199" s="20">
        <f>IFERROR(IF($C199="","",VLOOKUP($C199,'Ürün Kartları'!$B$5:$C$154,2,FALSE)),"— tanımsız ürün —")</f>
      </c>
      <c r="E199" s="8"/>
      <c r="F199" s="10"/>
      <c r="G199" s="11"/>
      <c r="H199" s="16">
        <f>IF(OR($F199="",$G199=""),0,$F199*$G199)</f>
      </c>
      <c r="I199" s="16">
        <f>IFERROR(IF($E199="",0,$H199*VLOOKUP($E199,'Pazaryeri Kartları'!$B$5:$C$24,2,FALSE)+VLOOKUP($E199,'Pazaryeri Kartları'!$B$5:$D$24,3,FALSE)*$G199),0)</f>
      </c>
      <c r="J199" s="16">
        <f>IFERROR(IF($C199="",0,VLOOKUP($C199,'Ürün Kartları'!$B$5:$G$154,6,FALSE)*$G199),0)</f>
      </c>
      <c r="K199" s="11"/>
      <c r="L199" s="10"/>
      <c r="M199" s="21">
        <f>IF($C199="","",IF($K199=1,-($J199*0.5)-$L199,$H199-$I199-$J199-$L199))</f>
      </c>
      <c r="N199" s="22">
        <f>IF(OR($C199="",$H199=0),"",$M199/$H199)</f>
      </c>
    </row>
    <row r="200" spans="2:14" x14ac:dyDescent="0.25">
      <c r="B200" s="23"/>
      <c r="C200" s="12"/>
      <c r="D200" s="20">
        <f>IFERROR(IF($C200="","",VLOOKUP($C200,'Ürün Kartları'!$B$5:$C$154,2,FALSE)),"— tanımsız ürün —")</f>
      </c>
      <c r="E200" s="12"/>
      <c r="F200" s="14"/>
      <c r="G200" s="15"/>
      <c r="H200" s="16">
        <f>IF(OR($F200="",$G200=""),0,$F200*$G200)</f>
      </c>
      <c r="I200" s="16">
        <f>IFERROR(IF($E200="",0,$H200*VLOOKUP($E200,'Pazaryeri Kartları'!$B$5:$C$24,2,FALSE)+VLOOKUP($E200,'Pazaryeri Kartları'!$B$5:$D$24,3,FALSE)*$G200),0)</f>
      </c>
      <c r="J200" s="16">
        <f>IFERROR(IF($C200="",0,VLOOKUP($C200,'Ürün Kartları'!$B$5:$G$154,6,FALSE)*$G200),0)</f>
      </c>
      <c r="K200" s="15"/>
      <c r="L200" s="14"/>
      <c r="M200" s="21">
        <f>IF($C200="","",IF($K200=1,-($J200*0.5)-$L200,$H200-$I200-$J200-$L200))</f>
      </c>
      <c r="N200" s="22">
        <f>IF(OR($C200="",$H200=0),"",$M200/$H200)</f>
      </c>
    </row>
    <row r="201" spans="2:14" x14ac:dyDescent="0.25">
      <c r="B201" s="19"/>
      <c r="C201" s="8"/>
      <c r="D201" s="20">
        <f>IFERROR(IF($C201="","",VLOOKUP($C201,'Ürün Kartları'!$B$5:$C$154,2,FALSE)),"— tanımsız ürün —")</f>
      </c>
      <c r="E201" s="8"/>
      <c r="F201" s="10"/>
      <c r="G201" s="11"/>
      <c r="H201" s="16">
        <f>IF(OR($F201="",$G201=""),0,$F201*$G201)</f>
      </c>
      <c r="I201" s="16">
        <f>IFERROR(IF($E201="",0,$H201*VLOOKUP($E201,'Pazaryeri Kartları'!$B$5:$C$24,2,FALSE)+VLOOKUP($E201,'Pazaryeri Kartları'!$B$5:$D$24,3,FALSE)*$G201),0)</f>
      </c>
      <c r="J201" s="16">
        <f>IFERROR(IF($C201="",0,VLOOKUP($C201,'Ürün Kartları'!$B$5:$G$154,6,FALSE)*$G201),0)</f>
      </c>
      <c r="K201" s="11"/>
      <c r="L201" s="10"/>
      <c r="M201" s="21">
        <f>IF($C201="","",IF($K201=1,-($J201*0.5)-$L201,$H201-$I201-$J201-$L201))</f>
      </c>
      <c r="N201" s="22">
        <f>IF(OR($C201="",$H201=0),"",$M201/$H201)</f>
      </c>
    </row>
    <row r="202" spans="2:14" x14ac:dyDescent="0.25">
      <c r="B202" s="23"/>
      <c r="C202" s="12"/>
      <c r="D202" s="20">
        <f>IFERROR(IF($C202="","",VLOOKUP($C202,'Ürün Kartları'!$B$5:$C$154,2,FALSE)),"— tanımsız ürün —")</f>
      </c>
      <c r="E202" s="12"/>
      <c r="F202" s="14"/>
      <c r="G202" s="15"/>
      <c r="H202" s="16">
        <f>IF(OR($F202="",$G202=""),0,$F202*$G202)</f>
      </c>
      <c r="I202" s="16">
        <f>IFERROR(IF($E202="",0,$H202*VLOOKUP($E202,'Pazaryeri Kartları'!$B$5:$C$24,2,FALSE)+VLOOKUP($E202,'Pazaryeri Kartları'!$B$5:$D$24,3,FALSE)*$G202),0)</f>
      </c>
      <c r="J202" s="16">
        <f>IFERROR(IF($C202="",0,VLOOKUP($C202,'Ürün Kartları'!$B$5:$G$154,6,FALSE)*$G202),0)</f>
      </c>
      <c r="K202" s="15"/>
      <c r="L202" s="14"/>
      <c r="M202" s="21">
        <f>IF($C202="","",IF($K202=1,-($J202*0.5)-$L202,$H202-$I202-$J202-$L202))</f>
      </c>
      <c r="N202" s="22">
        <f>IF(OR($C202="",$H202=0),"",$M202/$H202)</f>
      </c>
    </row>
    <row r="203" spans="2:14" x14ac:dyDescent="0.25">
      <c r="B203" s="19"/>
      <c r="C203" s="8"/>
      <c r="D203" s="20">
        <f>IFERROR(IF($C203="","",VLOOKUP($C203,'Ürün Kartları'!$B$5:$C$154,2,FALSE)),"— tanımsız ürün —")</f>
      </c>
      <c r="E203" s="8"/>
      <c r="F203" s="10"/>
      <c r="G203" s="11"/>
      <c r="H203" s="16">
        <f>IF(OR($F203="",$G203=""),0,$F203*$G203)</f>
      </c>
      <c r="I203" s="16">
        <f>IFERROR(IF($E203="",0,$H203*VLOOKUP($E203,'Pazaryeri Kartları'!$B$5:$C$24,2,FALSE)+VLOOKUP($E203,'Pazaryeri Kartları'!$B$5:$D$24,3,FALSE)*$G203),0)</f>
      </c>
      <c r="J203" s="16">
        <f>IFERROR(IF($C203="",0,VLOOKUP($C203,'Ürün Kartları'!$B$5:$G$154,6,FALSE)*$G203),0)</f>
      </c>
      <c r="K203" s="11"/>
      <c r="L203" s="10"/>
      <c r="M203" s="21">
        <f>IF($C203="","",IF($K203=1,-($J203*0.5)-$L203,$H203-$I203-$J203-$L203))</f>
      </c>
      <c r="N203" s="22">
        <f>IF(OR($C203="",$H203=0),"",$M203/$H203)</f>
      </c>
    </row>
    <row r="204" spans="2:14" x14ac:dyDescent="0.25">
      <c r="B204" s="23"/>
      <c r="C204" s="12"/>
      <c r="D204" s="20">
        <f>IFERROR(IF($C204="","",VLOOKUP($C204,'Ürün Kartları'!$B$5:$C$154,2,FALSE)),"— tanımsız ürün —")</f>
      </c>
      <c r="E204" s="12"/>
      <c r="F204" s="14"/>
      <c r="G204" s="15"/>
      <c r="H204" s="16">
        <f>IF(OR($F204="",$G204=""),0,$F204*$G204)</f>
      </c>
      <c r="I204" s="16">
        <f>IFERROR(IF($E204="",0,$H204*VLOOKUP($E204,'Pazaryeri Kartları'!$B$5:$C$24,2,FALSE)+VLOOKUP($E204,'Pazaryeri Kartları'!$B$5:$D$24,3,FALSE)*$G204),0)</f>
      </c>
      <c r="J204" s="16">
        <f>IFERROR(IF($C204="",0,VLOOKUP($C204,'Ürün Kartları'!$B$5:$G$154,6,FALSE)*$G204),0)</f>
      </c>
      <c r="K204" s="15"/>
      <c r="L204" s="14"/>
      <c r="M204" s="21">
        <f>IF($C204="","",IF($K204=1,-($J204*0.5)-$L204,$H204-$I204-$J204-$L204))</f>
      </c>
      <c r="N204" s="22">
        <f>IF(OR($C204="",$H204=0),"",$M204/$H204)</f>
      </c>
    </row>
    <row r="205" spans="2:14" x14ac:dyDescent="0.25">
      <c r="B205" s="19"/>
      <c r="C205" s="8"/>
      <c r="D205" s="20">
        <f>IFERROR(IF($C205="","",VLOOKUP($C205,'Ürün Kartları'!$B$5:$C$154,2,FALSE)),"— tanımsız ürün —")</f>
      </c>
      <c r="E205" s="8"/>
      <c r="F205" s="10"/>
      <c r="G205" s="11"/>
      <c r="H205" s="16">
        <f>IF(OR($F205="",$G205=""),0,$F205*$G205)</f>
      </c>
      <c r="I205" s="16">
        <f>IFERROR(IF($E205="",0,$H205*VLOOKUP($E205,'Pazaryeri Kartları'!$B$5:$C$24,2,FALSE)+VLOOKUP($E205,'Pazaryeri Kartları'!$B$5:$D$24,3,FALSE)*$G205),0)</f>
      </c>
      <c r="J205" s="16">
        <f>IFERROR(IF($C205="",0,VLOOKUP($C205,'Ürün Kartları'!$B$5:$G$154,6,FALSE)*$G205),0)</f>
      </c>
      <c r="K205" s="11"/>
      <c r="L205" s="10"/>
      <c r="M205" s="21">
        <f>IF($C205="","",IF($K205=1,-($J205*0.5)-$L205,$H205-$I205-$J205-$L205))</f>
      </c>
      <c r="N205" s="22">
        <f>IF(OR($C205="",$H205=0),"",$M205/$H205)</f>
      </c>
    </row>
    <row r="206" spans="2:14" x14ac:dyDescent="0.25">
      <c r="B206" s="23"/>
      <c r="C206" s="12"/>
      <c r="D206" s="20">
        <f>IFERROR(IF($C206="","",VLOOKUP($C206,'Ürün Kartları'!$B$5:$C$154,2,FALSE)),"— tanımsız ürün —")</f>
      </c>
      <c r="E206" s="12"/>
      <c r="F206" s="14"/>
      <c r="G206" s="15"/>
      <c r="H206" s="16">
        <f>IF(OR($F206="",$G206=""),0,$F206*$G206)</f>
      </c>
      <c r="I206" s="16">
        <f>IFERROR(IF($E206="",0,$H206*VLOOKUP($E206,'Pazaryeri Kartları'!$B$5:$C$24,2,FALSE)+VLOOKUP($E206,'Pazaryeri Kartları'!$B$5:$D$24,3,FALSE)*$G206),0)</f>
      </c>
      <c r="J206" s="16">
        <f>IFERROR(IF($C206="",0,VLOOKUP($C206,'Ürün Kartları'!$B$5:$G$154,6,FALSE)*$G206),0)</f>
      </c>
      <c r="K206" s="15"/>
      <c r="L206" s="14"/>
      <c r="M206" s="21">
        <f>IF($C206="","",IF($K206=1,-($J206*0.5)-$L206,$H206-$I206-$J206-$L206))</f>
      </c>
      <c r="N206" s="22">
        <f>IF(OR($C206="",$H206=0),"",$M206/$H206)</f>
      </c>
    </row>
    <row r="207" spans="2:14" x14ac:dyDescent="0.25">
      <c r="B207" s="19"/>
      <c r="C207" s="8"/>
      <c r="D207" s="20">
        <f>IFERROR(IF($C207="","",VLOOKUP($C207,'Ürün Kartları'!$B$5:$C$154,2,FALSE)),"— tanımsız ürün —")</f>
      </c>
      <c r="E207" s="8"/>
      <c r="F207" s="10"/>
      <c r="G207" s="11"/>
      <c r="H207" s="16">
        <f>IF(OR($F207="",$G207=""),0,$F207*$G207)</f>
      </c>
      <c r="I207" s="16">
        <f>IFERROR(IF($E207="",0,$H207*VLOOKUP($E207,'Pazaryeri Kartları'!$B$5:$C$24,2,FALSE)+VLOOKUP($E207,'Pazaryeri Kartları'!$B$5:$D$24,3,FALSE)*$G207),0)</f>
      </c>
      <c r="J207" s="16">
        <f>IFERROR(IF($C207="",0,VLOOKUP($C207,'Ürün Kartları'!$B$5:$G$154,6,FALSE)*$G207),0)</f>
      </c>
      <c r="K207" s="11"/>
      <c r="L207" s="10"/>
      <c r="M207" s="21">
        <f>IF($C207="","",IF($K207=1,-($J207*0.5)-$L207,$H207-$I207-$J207-$L207))</f>
      </c>
      <c r="N207" s="22">
        <f>IF(OR($C207="",$H207=0),"",$M207/$H207)</f>
      </c>
    </row>
    <row r="208" spans="2:14" x14ac:dyDescent="0.25">
      <c r="B208" s="23"/>
      <c r="C208" s="12"/>
      <c r="D208" s="20">
        <f>IFERROR(IF($C208="","",VLOOKUP($C208,'Ürün Kartları'!$B$5:$C$154,2,FALSE)),"— tanımsız ürün —")</f>
      </c>
      <c r="E208" s="12"/>
      <c r="F208" s="14"/>
      <c r="G208" s="15"/>
      <c r="H208" s="16">
        <f>IF(OR($F208="",$G208=""),0,$F208*$G208)</f>
      </c>
      <c r="I208" s="16">
        <f>IFERROR(IF($E208="",0,$H208*VLOOKUP($E208,'Pazaryeri Kartları'!$B$5:$C$24,2,FALSE)+VLOOKUP($E208,'Pazaryeri Kartları'!$B$5:$D$24,3,FALSE)*$G208),0)</f>
      </c>
      <c r="J208" s="16">
        <f>IFERROR(IF($C208="",0,VLOOKUP($C208,'Ürün Kartları'!$B$5:$G$154,6,FALSE)*$G208),0)</f>
      </c>
      <c r="K208" s="15"/>
      <c r="L208" s="14"/>
      <c r="M208" s="21">
        <f>IF($C208="","",IF($K208=1,-($J208*0.5)-$L208,$H208-$I208-$J208-$L208))</f>
      </c>
      <c r="N208" s="22">
        <f>IF(OR($C208="",$H208=0),"",$M208/$H208)</f>
      </c>
    </row>
    <row r="209" spans="2:14" x14ac:dyDescent="0.25">
      <c r="B209" s="19"/>
      <c r="C209" s="8"/>
      <c r="D209" s="20">
        <f>IFERROR(IF($C209="","",VLOOKUP($C209,'Ürün Kartları'!$B$5:$C$154,2,FALSE)),"— tanımsız ürün —")</f>
      </c>
      <c r="E209" s="8"/>
      <c r="F209" s="10"/>
      <c r="G209" s="11"/>
      <c r="H209" s="16">
        <f>IF(OR($F209="",$G209=""),0,$F209*$G209)</f>
      </c>
      <c r="I209" s="16">
        <f>IFERROR(IF($E209="",0,$H209*VLOOKUP($E209,'Pazaryeri Kartları'!$B$5:$C$24,2,FALSE)+VLOOKUP($E209,'Pazaryeri Kartları'!$B$5:$D$24,3,FALSE)*$G209),0)</f>
      </c>
      <c r="J209" s="16">
        <f>IFERROR(IF($C209="",0,VLOOKUP($C209,'Ürün Kartları'!$B$5:$G$154,6,FALSE)*$G209),0)</f>
      </c>
      <c r="K209" s="11"/>
      <c r="L209" s="10"/>
      <c r="M209" s="21">
        <f>IF($C209="","",IF($K209=1,-($J209*0.5)-$L209,$H209-$I209-$J209-$L209))</f>
      </c>
      <c r="N209" s="22">
        <f>IF(OR($C209="",$H209=0),"",$M209/$H209)</f>
      </c>
    </row>
    <row r="210" spans="2:14" x14ac:dyDescent="0.25">
      <c r="B210" s="23"/>
      <c r="C210" s="12"/>
      <c r="D210" s="20">
        <f>IFERROR(IF($C210="","",VLOOKUP($C210,'Ürün Kartları'!$B$5:$C$154,2,FALSE)),"— tanımsız ürün —")</f>
      </c>
      <c r="E210" s="12"/>
      <c r="F210" s="14"/>
      <c r="G210" s="15"/>
      <c r="H210" s="16">
        <f>IF(OR($F210="",$G210=""),0,$F210*$G210)</f>
      </c>
      <c r="I210" s="16">
        <f>IFERROR(IF($E210="",0,$H210*VLOOKUP($E210,'Pazaryeri Kartları'!$B$5:$C$24,2,FALSE)+VLOOKUP($E210,'Pazaryeri Kartları'!$B$5:$D$24,3,FALSE)*$G210),0)</f>
      </c>
      <c r="J210" s="16">
        <f>IFERROR(IF($C210="",0,VLOOKUP($C210,'Ürün Kartları'!$B$5:$G$154,6,FALSE)*$G210),0)</f>
      </c>
      <c r="K210" s="15"/>
      <c r="L210" s="14"/>
      <c r="M210" s="21">
        <f>IF($C210="","",IF($K210=1,-($J210*0.5)-$L210,$H210-$I210-$J210-$L210))</f>
      </c>
      <c r="N210" s="22">
        <f>IF(OR($C210="",$H210=0),"",$M210/$H210)</f>
      </c>
    </row>
    <row r="211" spans="2:14" x14ac:dyDescent="0.25">
      <c r="B211" s="19"/>
      <c r="C211" s="8"/>
      <c r="D211" s="20">
        <f>IFERROR(IF($C211="","",VLOOKUP($C211,'Ürün Kartları'!$B$5:$C$154,2,FALSE)),"— tanımsız ürün —")</f>
      </c>
      <c r="E211" s="8"/>
      <c r="F211" s="10"/>
      <c r="G211" s="11"/>
      <c r="H211" s="16">
        <f>IF(OR($F211="",$G211=""),0,$F211*$G211)</f>
      </c>
      <c r="I211" s="16">
        <f>IFERROR(IF($E211="",0,$H211*VLOOKUP($E211,'Pazaryeri Kartları'!$B$5:$C$24,2,FALSE)+VLOOKUP($E211,'Pazaryeri Kartları'!$B$5:$D$24,3,FALSE)*$G211),0)</f>
      </c>
      <c r="J211" s="16">
        <f>IFERROR(IF($C211="",0,VLOOKUP($C211,'Ürün Kartları'!$B$5:$G$154,6,FALSE)*$G211),0)</f>
      </c>
      <c r="K211" s="11"/>
      <c r="L211" s="10"/>
      <c r="M211" s="21">
        <f>IF($C211="","",IF($K211=1,-($J211*0.5)-$L211,$H211-$I211-$J211-$L211))</f>
      </c>
      <c r="N211" s="22">
        <f>IF(OR($C211="",$H211=0),"",$M211/$H211)</f>
      </c>
    </row>
    <row r="212" spans="2:14" x14ac:dyDescent="0.25">
      <c r="B212" s="23"/>
      <c r="C212" s="12"/>
      <c r="D212" s="20">
        <f>IFERROR(IF($C212="","",VLOOKUP($C212,'Ürün Kartları'!$B$5:$C$154,2,FALSE)),"— tanımsız ürün —")</f>
      </c>
      <c r="E212" s="12"/>
      <c r="F212" s="14"/>
      <c r="G212" s="15"/>
      <c r="H212" s="16">
        <f>IF(OR($F212="",$G212=""),0,$F212*$G212)</f>
      </c>
      <c r="I212" s="16">
        <f>IFERROR(IF($E212="",0,$H212*VLOOKUP($E212,'Pazaryeri Kartları'!$B$5:$C$24,2,FALSE)+VLOOKUP($E212,'Pazaryeri Kartları'!$B$5:$D$24,3,FALSE)*$G212),0)</f>
      </c>
      <c r="J212" s="16">
        <f>IFERROR(IF($C212="",0,VLOOKUP($C212,'Ürün Kartları'!$B$5:$G$154,6,FALSE)*$G212),0)</f>
      </c>
      <c r="K212" s="15"/>
      <c r="L212" s="14"/>
      <c r="M212" s="21">
        <f>IF($C212="","",IF($K212=1,-($J212*0.5)-$L212,$H212-$I212-$J212-$L212))</f>
      </c>
      <c r="N212" s="22">
        <f>IF(OR($C212="",$H212=0),"",$M212/$H212)</f>
      </c>
    </row>
    <row r="213" spans="2:14" x14ac:dyDescent="0.25">
      <c r="B213" s="19"/>
      <c r="C213" s="8"/>
      <c r="D213" s="20">
        <f>IFERROR(IF($C213="","",VLOOKUP($C213,'Ürün Kartları'!$B$5:$C$154,2,FALSE)),"— tanımsız ürün —")</f>
      </c>
      <c r="E213" s="8"/>
      <c r="F213" s="10"/>
      <c r="G213" s="11"/>
      <c r="H213" s="16">
        <f>IF(OR($F213="",$G213=""),0,$F213*$G213)</f>
      </c>
      <c r="I213" s="16">
        <f>IFERROR(IF($E213="",0,$H213*VLOOKUP($E213,'Pazaryeri Kartları'!$B$5:$C$24,2,FALSE)+VLOOKUP($E213,'Pazaryeri Kartları'!$B$5:$D$24,3,FALSE)*$G213),0)</f>
      </c>
      <c r="J213" s="16">
        <f>IFERROR(IF($C213="",0,VLOOKUP($C213,'Ürün Kartları'!$B$5:$G$154,6,FALSE)*$G213),0)</f>
      </c>
      <c r="K213" s="11"/>
      <c r="L213" s="10"/>
      <c r="M213" s="21">
        <f>IF($C213="","",IF($K213=1,-($J213*0.5)-$L213,$H213-$I213-$J213-$L213))</f>
      </c>
      <c r="N213" s="22">
        <f>IF(OR($C213="",$H213=0),"",$M213/$H213)</f>
      </c>
    </row>
    <row r="214" spans="2:14" x14ac:dyDescent="0.25">
      <c r="B214" s="23"/>
      <c r="C214" s="12"/>
      <c r="D214" s="20">
        <f>IFERROR(IF($C214="","",VLOOKUP($C214,'Ürün Kartları'!$B$5:$C$154,2,FALSE)),"— tanımsız ürün —")</f>
      </c>
      <c r="E214" s="12"/>
      <c r="F214" s="14"/>
      <c r="G214" s="15"/>
      <c r="H214" s="16">
        <f>IF(OR($F214="",$G214=""),0,$F214*$G214)</f>
      </c>
      <c r="I214" s="16">
        <f>IFERROR(IF($E214="",0,$H214*VLOOKUP($E214,'Pazaryeri Kartları'!$B$5:$C$24,2,FALSE)+VLOOKUP($E214,'Pazaryeri Kartları'!$B$5:$D$24,3,FALSE)*$G214),0)</f>
      </c>
      <c r="J214" s="16">
        <f>IFERROR(IF($C214="",0,VLOOKUP($C214,'Ürün Kartları'!$B$5:$G$154,6,FALSE)*$G214),0)</f>
      </c>
      <c r="K214" s="15"/>
      <c r="L214" s="14"/>
      <c r="M214" s="21">
        <f>IF($C214="","",IF($K214=1,-($J214*0.5)-$L214,$H214-$I214-$J214-$L214))</f>
      </c>
      <c r="N214" s="22">
        <f>IF(OR($C214="",$H214=0),"",$M214/$H214)</f>
      </c>
    </row>
    <row r="215" spans="2:14" x14ac:dyDescent="0.25">
      <c r="B215" s="19"/>
      <c r="C215" s="8"/>
      <c r="D215" s="20">
        <f>IFERROR(IF($C215="","",VLOOKUP($C215,'Ürün Kartları'!$B$5:$C$154,2,FALSE)),"— tanımsız ürün —")</f>
      </c>
      <c r="E215" s="8"/>
      <c r="F215" s="10"/>
      <c r="G215" s="11"/>
      <c r="H215" s="16">
        <f>IF(OR($F215="",$G215=""),0,$F215*$G215)</f>
      </c>
      <c r="I215" s="16">
        <f>IFERROR(IF($E215="",0,$H215*VLOOKUP($E215,'Pazaryeri Kartları'!$B$5:$C$24,2,FALSE)+VLOOKUP($E215,'Pazaryeri Kartları'!$B$5:$D$24,3,FALSE)*$G215),0)</f>
      </c>
      <c r="J215" s="16">
        <f>IFERROR(IF($C215="",0,VLOOKUP($C215,'Ürün Kartları'!$B$5:$G$154,6,FALSE)*$G215),0)</f>
      </c>
      <c r="K215" s="11"/>
      <c r="L215" s="10"/>
      <c r="M215" s="21">
        <f>IF($C215="","",IF($K215=1,-($J215*0.5)-$L215,$H215-$I215-$J215-$L215))</f>
      </c>
      <c r="N215" s="22">
        <f>IF(OR($C215="",$H215=0),"",$M215/$H215)</f>
      </c>
    </row>
    <row r="216" spans="2:14" x14ac:dyDescent="0.25">
      <c r="B216" s="23"/>
      <c r="C216" s="12"/>
      <c r="D216" s="20">
        <f>IFERROR(IF($C216="","",VLOOKUP($C216,'Ürün Kartları'!$B$5:$C$154,2,FALSE)),"— tanımsız ürün —")</f>
      </c>
      <c r="E216" s="12"/>
      <c r="F216" s="14"/>
      <c r="G216" s="15"/>
      <c r="H216" s="16">
        <f>IF(OR($F216="",$G216=""),0,$F216*$G216)</f>
      </c>
      <c r="I216" s="16">
        <f>IFERROR(IF($E216="",0,$H216*VLOOKUP($E216,'Pazaryeri Kartları'!$B$5:$C$24,2,FALSE)+VLOOKUP($E216,'Pazaryeri Kartları'!$B$5:$D$24,3,FALSE)*$G216),0)</f>
      </c>
      <c r="J216" s="16">
        <f>IFERROR(IF($C216="",0,VLOOKUP($C216,'Ürün Kartları'!$B$5:$G$154,6,FALSE)*$G216),0)</f>
      </c>
      <c r="K216" s="15"/>
      <c r="L216" s="14"/>
      <c r="M216" s="21">
        <f>IF($C216="","",IF($K216=1,-($J216*0.5)-$L216,$H216-$I216-$J216-$L216))</f>
      </c>
      <c r="N216" s="22">
        <f>IF(OR($C216="",$H216=0),"",$M216/$H216)</f>
      </c>
    </row>
    <row r="217" spans="2:14" x14ac:dyDescent="0.25">
      <c r="B217" s="19"/>
      <c r="C217" s="8"/>
      <c r="D217" s="20">
        <f>IFERROR(IF($C217="","",VLOOKUP($C217,'Ürün Kartları'!$B$5:$C$154,2,FALSE)),"— tanımsız ürün —")</f>
      </c>
      <c r="E217" s="8"/>
      <c r="F217" s="10"/>
      <c r="G217" s="11"/>
      <c r="H217" s="16">
        <f>IF(OR($F217="",$G217=""),0,$F217*$G217)</f>
      </c>
      <c r="I217" s="16">
        <f>IFERROR(IF($E217="",0,$H217*VLOOKUP($E217,'Pazaryeri Kartları'!$B$5:$C$24,2,FALSE)+VLOOKUP($E217,'Pazaryeri Kartları'!$B$5:$D$24,3,FALSE)*$G217),0)</f>
      </c>
      <c r="J217" s="16">
        <f>IFERROR(IF($C217="",0,VLOOKUP($C217,'Ürün Kartları'!$B$5:$G$154,6,FALSE)*$G217),0)</f>
      </c>
      <c r="K217" s="11"/>
      <c r="L217" s="10"/>
      <c r="M217" s="21">
        <f>IF($C217="","",IF($K217=1,-($J217*0.5)-$L217,$H217-$I217-$J217-$L217))</f>
      </c>
      <c r="N217" s="22">
        <f>IF(OR($C217="",$H217=0),"",$M217/$H217)</f>
      </c>
    </row>
    <row r="218" spans="2:14" x14ac:dyDescent="0.25">
      <c r="B218" s="23"/>
      <c r="C218" s="12"/>
      <c r="D218" s="20">
        <f>IFERROR(IF($C218="","",VLOOKUP($C218,'Ürün Kartları'!$B$5:$C$154,2,FALSE)),"— tanımsız ürün —")</f>
      </c>
      <c r="E218" s="12"/>
      <c r="F218" s="14"/>
      <c r="G218" s="15"/>
      <c r="H218" s="16">
        <f>IF(OR($F218="",$G218=""),0,$F218*$G218)</f>
      </c>
      <c r="I218" s="16">
        <f>IFERROR(IF($E218="",0,$H218*VLOOKUP($E218,'Pazaryeri Kartları'!$B$5:$C$24,2,FALSE)+VLOOKUP($E218,'Pazaryeri Kartları'!$B$5:$D$24,3,FALSE)*$G218),0)</f>
      </c>
      <c r="J218" s="16">
        <f>IFERROR(IF($C218="",0,VLOOKUP($C218,'Ürün Kartları'!$B$5:$G$154,6,FALSE)*$G218),0)</f>
      </c>
      <c r="K218" s="15"/>
      <c r="L218" s="14"/>
      <c r="M218" s="21">
        <f>IF($C218="","",IF($K218=1,-($J218*0.5)-$L218,$H218-$I218-$J218-$L218))</f>
      </c>
      <c r="N218" s="22">
        <f>IF(OR($C218="",$H218=0),"",$M218/$H218)</f>
      </c>
    </row>
    <row r="219" spans="2:14" x14ac:dyDescent="0.25">
      <c r="B219" s="19"/>
      <c r="C219" s="8"/>
      <c r="D219" s="20">
        <f>IFERROR(IF($C219="","",VLOOKUP($C219,'Ürün Kartları'!$B$5:$C$154,2,FALSE)),"— tanımsız ürün —")</f>
      </c>
      <c r="E219" s="8"/>
      <c r="F219" s="10"/>
      <c r="G219" s="11"/>
      <c r="H219" s="16">
        <f>IF(OR($F219="",$G219=""),0,$F219*$G219)</f>
      </c>
      <c r="I219" s="16">
        <f>IFERROR(IF($E219="",0,$H219*VLOOKUP($E219,'Pazaryeri Kartları'!$B$5:$C$24,2,FALSE)+VLOOKUP($E219,'Pazaryeri Kartları'!$B$5:$D$24,3,FALSE)*$G219),0)</f>
      </c>
      <c r="J219" s="16">
        <f>IFERROR(IF($C219="",0,VLOOKUP($C219,'Ürün Kartları'!$B$5:$G$154,6,FALSE)*$G219),0)</f>
      </c>
      <c r="K219" s="11"/>
      <c r="L219" s="10"/>
      <c r="M219" s="21">
        <f>IF($C219="","",IF($K219=1,-($J219*0.5)-$L219,$H219-$I219-$J219-$L219))</f>
      </c>
      <c r="N219" s="22">
        <f>IF(OR($C219="",$H219=0),"",$M219/$H219)</f>
      </c>
    </row>
    <row r="220" spans="2:14" x14ac:dyDescent="0.25">
      <c r="B220" s="23"/>
      <c r="C220" s="12"/>
      <c r="D220" s="20">
        <f>IFERROR(IF($C220="","",VLOOKUP($C220,'Ürün Kartları'!$B$5:$C$154,2,FALSE)),"— tanımsız ürün —")</f>
      </c>
      <c r="E220" s="12"/>
      <c r="F220" s="14"/>
      <c r="G220" s="15"/>
      <c r="H220" s="16">
        <f>IF(OR($F220="",$G220=""),0,$F220*$G220)</f>
      </c>
      <c r="I220" s="16">
        <f>IFERROR(IF($E220="",0,$H220*VLOOKUP($E220,'Pazaryeri Kartları'!$B$5:$C$24,2,FALSE)+VLOOKUP($E220,'Pazaryeri Kartları'!$B$5:$D$24,3,FALSE)*$G220),0)</f>
      </c>
      <c r="J220" s="16">
        <f>IFERROR(IF($C220="",0,VLOOKUP($C220,'Ürün Kartları'!$B$5:$G$154,6,FALSE)*$G220),0)</f>
      </c>
      <c r="K220" s="15"/>
      <c r="L220" s="14"/>
      <c r="M220" s="21">
        <f>IF($C220="","",IF($K220=1,-($J220*0.5)-$L220,$H220-$I220-$J220-$L220))</f>
      </c>
      <c r="N220" s="22">
        <f>IF(OR($C220="",$H220=0),"",$M220/$H220)</f>
      </c>
    </row>
    <row r="221" spans="2:14" x14ac:dyDescent="0.25">
      <c r="B221" s="19"/>
      <c r="C221" s="8"/>
      <c r="D221" s="20">
        <f>IFERROR(IF($C221="","",VLOOKUP($C221,'Ürün Kartları'!$B$5:$C$154,2,FALSE)),"— tanımsız ürün —")</f>
      </c>
      <c r="E221" s="8"/>
      <c r="F221" s="10"/>
      <c r="G221" s="11"/>
      <c r="H221" s="16">
        <f>IF(OR($F221="",$G221=""),0,$F221*$G221)</f>
      </c>
      <c r="I221" s="16">
        <f>IFERROR(IF($E221="",0,$H221*VLOOKUP($E221,'Pazaryeri Kartları'!$B$5:$C$24,2,FALSE)+VLOOKUP($E221,'Pazaryeri Kartları'!$B$5:$D$24,3,FALSE)*$G221),0)</f>
      </c>
      <c r="J221" s="16">
        <f>IFERROR(IF($C221="",0,VLOOKUP($C221,'Ürün Kartları'!$B$5:$G$154,6,FALSE)*$G221),0)</f>
      </c>
      <c r="K221" s="11"/>
      <c r="L221" s="10"/>
      <c r="M221" s="21">
        <f>IF($C221="","",IF($K221=1,-($J221*0.5)-$L221,$H221-$I221-$J221-$L221))</f>
      </c>
      <c r="N221" s="22">
        <f>IF(OR($C221="",$H221=0),"",$M221/$H221)</f>
      </c>
    </row>
    <row r="222" spans="2:14" x14ac:dyDescent="0.25">
      <c r="B222" s="23"/>
      <c r="C222" s="12"/>
      <c r="D222" s="20">
        <f>IFERROR(IF($C222="","",VLOOKUP($C222,'Ürün Kartları'!$B$5:$C$154,2,FALSE)),"— tanımsız ürün —")</f>
      </c>
      <c r="E222" s="12"/>
      <c r="F222" s="14"/>
      <c r="G222" s="15"/>
      <c r="H222" s="16">
        <f>IF(OR($F222="",$G222=""),0,$F222*$G222)</f>
      </c>
      <c r="I222" s="16">
        <f>IFERROR(IF($E222="",0,$H222*VLOOKUP($E222,'Pazaryeri Kartları'!$B$5:$C$24,2,FALSE)+VLOOKUP($E222,'Pazaryeri Kartları'!$B$5:$D$24,3,FALSE)*$G222),0)</f>
      </c>
      <c r="J222" s="16">
        <f>IFERROR(IF($C222="",0,VLOOKUP($C222,'Ürün Kartları'!$B$5:$G$154,6,FALSE)*$G222),0)</f>
      </c>
      <c r="K222" s="15"/>
      <c r="L222" s="14"/>
      <c r="M222" s="21">
        <f>IF($C222="","",IF($K222=1,-($J222*0.5)-$L222,$H222-$I222-$J222-$L222))</f>
      </c>
      <c r="N222" s="22">
        <f>IF(OR($C222="",$H222=0),"",$M222/$H222)</f>
      </c>
    </row>
    <row r="223" spans="2:14" x14ac:dyDescent="0.25">
      <c r="B223" s="19"/>
      <c r="C223" s="8"/>
      <c r="D223" s="20">
        <f>IFERROR(IF($C223="","",VLOOKUP($C223,'Ürün Kartları'!$B$5:$C$154,2,FALSE)),"— tanımsız ürün —")</f>
      </c>
      <c r="E223" s="8"/>
      <c r="F223" s="10"/>
      <c r="G223" s="11"/>
      <c r="H223" s="16">
        <f>IF(OR($F223="",$G223=""),0,$F223*$G223)</f>
      </c>
      <c r="I223" s="16">
        <f>IFERROR(IF($E223="",0,$H223*VLOOKUP($E223,'Pazaryeri Kartları'!$B$5:$C$24,2,FALSE)+VLOOKUP($E223,'Pazaryeri Kartları'!$B$5:$D$24,3,FALSE)*$G223),0)</f>
      </c>
      <c r="J223" s="16">
        <f>IFERROR(IF($C223="",0,VLOOKUP($C223,'Ürün Kartları'!$B$5:$G$154,6,FALSE)*$G223),0)</f>
      </c>
      <c r="K223" s="11"/>
      <c r="L223" s="10"/>
      <c r="M223" s="21">
        <f>IF($C223="","",IF($K223=1,-($J223*0.5)-$L223,$H223-$I223-$J223-$L223))</f>
      </c>
      <c r="N223" s="22">
        <f>IF(OR($C223="",$H223=0),"",$M223/$H223)</f>
      </c>
    </row>
    <row r="224" spans="2:14" x14ac:dyDescent="0.25">
      <c r="B224" s="23"/>
      <c r="C224" s="12"/>
      <c r="D224" s="20">
        <f>IFERROR(IF($C224="","",VLOOKUP($C224,'Ürün Kartları'!$B$5:$C$154,2,FALSE)),"— tanımsız ürün —")</f>
      </c>
      <c r="E224" s="12"/>
      <c r="F224" s="14"/>
      <c r="G224" s="15"/>
      <c r="H224" s="16">
        <f>IF(OR($F224="",$G224=""),0,$F224*$G224)</f>
      </c>
      <c r="I224" s="16">
        <f>IFERROR(IF($E224="",0,$H224*VLOOKUP($E224,'Pazaryeri Kartları'!$B$5:$C$24,2,FALSE)+VLOOKUP($E224,'Pazaryeri Kartları'!$B$5:$D$24,3,FALSE)*$G224),0)</f>
      </c>
      <c r="J224" s="16">
        <f>IFERROR(IF($C224="",0,VLOOKUP($C224,'Ürün Kartları'!$B$5:$G$154,6,FALSE)*$G224),0)</f>
      </c>
      <c r="K224" s="15"/>
      <c r="L224" s="14"/>
      <c r="M224" s="21">
        <f>IF($C224="","",IF($K224=1,-($J224*0.5)-$L224,$H224-$I224-$J224-$L224))</f>
      </c>
      <c r="N224" s="22">
        <f>IF(OR($C224="",$H224=0),"",$M224/$H224)</f>
      </c>
    </row>
    <row r="225" spans="2:14" x14ac:dyDescent="0.25">
      <c r="B225" s="19"/>
      <c r="C225" s="8"/>
      <c r="D225" s="20">
        <f>IFERROR(IF($C225="","",VLOOKUP($C225,'Ürün Kartları'!$B$5:$C$154,2,FALSE)),"— tanımsız ürün —")</f>
      </c>
      <c r="E225" s="8"/>
      <c r="F225" s="10"/>
      <c r="G225" s="11"/>
      <c r="H225" s="16">
        <f>IF(OR($F225="",$G225=""),0,$F225*$G225)</f>
      </c>
      <c r="I225" s="16">
        <f>IFERROR(IF($E225="",0,$H225*VLOOKUP($E225,'Pazaryeri Kartları'!$B$5:$C$24,2,FALSE)+VLOOKUP($E225,'Pazaryeri Kartları'!$B$5:$D$24,3,FALSE)*$G225),0)</f>
      </c>
      <c r="J225" s="16">
        <f>IFERROR(IF($C225="",0,VLOOKUP($C225,'Ürün Kartları'!$B$5:$G$154,6,FALSE)*$G225),0)</f>
      </c>
      <c r="K225" s="11"/>
      <c r="L225" s="10"/>
      <c r="M225" s="21">
        <f>IF($C225="","",IF($K225=1,-($J225*0.5)-$L225,$H225-$I225-$J225-$L225))</f>
      </c>
      <c r="N225" s="22">
        <f>IF(OR($C225="",$H225=0),"",$M225/$H225)</f>
      </c>
    </row>
    <row r="226" spans="2:14" x14ac:dyDescent="0.25">
      <c r="B226" s="23"/>
      <c r="C226" s="12"/>
      <c r="D226" s="20">
        <f>IFERROR(IF($C226="","",VLOOKUP($C226,'Ürün Kartları'!$B$5:$C$154,2,FALSE)),"— tanımsız ürün —")</f>
      </c>
      <c r="E226" s="12"/>
      <c r="F226" s="14"/>
      <c r="G226" s="15"/>
      <c r="H226" s="16">
        <f>IF(OR($F226="",$G226=""),0,$F226*$G226)</f>
      </c>
      <c r="I226" s="16">
        <f>IFERROR(IF($E226="",0,$H226*VLOOKUP($E226,'Pazaryeri Kartları'!$B$5:$C$24,2,FALSE)+VLOOKUP($E226,'Pazaryeri Kartları'!$B$5:$D$24,3,FALSE)*$G226),0)</f>
      </c>
      <c r="J226" s="16">
        <f>IFERROR(IF($C226="",0,VLOOKUP($C226,'Ürün Kartları'!$B$5:$G$154,6,FALSE)*$G226),0)</f>
      </c>
      <c r="K226" s="15"/>
      <c r="L226" s="14"/>
      <c r="M226" s="21">
        <f>IF($C226="","",IF($K226=1,-($J226*0.5)-$L226,$H226-$I226-$J226-$L226))</f>
      </c>
      <c r="N226" s="22">
        <f>IF(OR($C226="",$H226=0),"",$M226/$H226)</f>
      </c>
    </row>
    <row r="227" spans="2:14" x14ac:dyDescent="0.25">
      <c r="B227" s="19"/>
      <c r="C227" s="8"/>
      <c r="D227" s="20">
        <f>IFERROR(IF($C227="","",VLOOKUP($C227,'Ürün Kartları'!$B$5:$C$154,2,FALSE)),"— tanımsız ürün —")</f>
      </c>
      <c r="E227" s="8"/>
      <c r="F227" s="10"/>
      <c r="G227" s="11"/>
      <c r="H227" s="16">
        <f>IF(OR($F227="",$G227=""),0,$F227*$G227)</f>
      </c>
      <c r="I227" s="16">
        <f>IFERROR(IF($E227="",0,$H227*VLOOKUP($E227,'Pazaryeri Kartları'!$B$5:$C$24,2,FALSE)+VLOOKUP($E227,'Pazaryeri Kartları'!$B$5:$D$24,3,FALSE)*$G227),0)</f>
      </c>
      <c r="J227" s="16">
        <f>IFERROR(IF($C227="",0,VLOOKUP($C227,'Ürün Kartları'!$B$5:$G$154,6,FALSE)*$G227),0)</f>
      </c>
      <c r="K227" s="11"/>
      <c r="L227" s="10"/>
      <c r="M227" s="21">
        <f>IF($C227="","",IF($K227=1,-($J227*0.5)-$L227,$H227-$I227-$J227-$L227))</f>
      </c>
      <c r="N227" s="22">
        <f>IF(OR($C227="",$H227=0),"",$M227/$H227)</f>
      </c>
    </row>
    <row r="228" spans="2:14" x14ac:dyDescent="0.25">
      <c r="B228" s="23"/>
      <c r="C228" s="12"/>
      <c r="D228" s="20">
        <f>IFERROR(IF($C228="","",VLOOKUP($C228,'Ürün Kartları'!$B$5:$C$154,2,FALSE)),"— tanımsız ürün —")</f>
      </c>
      <c r="E228" s="12"/>
      <c r="F228" s="14"/>
      <c r="G228" s="15"/>
      <c r="H228" s="16">
        <f>IF(OR($F228="",$G228=""),0,$F228*$G228)</f>
      </c>
      <c r="I228" s="16">
        <f>IFERROR(IF($E228="",0,$H228*VLOOKUP($E228,'Pazaryeri Kartları'!$B$5:$C$24,2,FALSE)+VLOOKUP($E228,'Pazaryeri Kartları'!$B$5:$D$24,3,FALSE)*$G228),0)</f>
      </c>
      <c r="J228" s="16">
        <f>IFERROR(IF($C228="",0,VLOOKUP($C228,'Ürün Kartları'!$B$5:$G$154,6,FALSE)*$G228),0)</f>
      </c>
      <c r="K228" s="15"/>
      <c r="L228" s="14"/>
      <c r="M228" s="21">
        <f>IF($C228="","",IF($K228=1,-($J228*0.5)-$L228,$H228-$I228-$J228-$L228))</f>
      </c>
      <c r="N228" s="22">
        <f>IF(OR($C228="",$H228=0),"",$M228/$H228)</f>
      </c>
    </row>
    <row r="229" spans="2:14" x14ac:dyDescent="0.25">
      <c r="B229" s="19"/>
      <c r="C229" s="8"/>
      <c r="D229" s="20">
        <f>IFERROR(IF($C229="","",VLOOKUP($C229,'Ürün Kartları'!$B$5:$C$154,2,FALSE)),"— tanımsız ürün —")</f>
      </c>
      <c r="E229" s="8"/>
      <c r="F229" s="10"/>
      <c r="G229" s="11"/>
      <c r="H229" s="16">
        <f>IF(OR($F229="",$G229=""),0,$F229*$G229)</f>
      </c>
      <c r="I229" s="16">
        <f>IFERROR(IF($E229="",0,$H229*VLOOKUP($E229,'Pazaryeri Kartları'!$B$5:$C$24,2,FALSE)+VLOOKUP($E229,'Pazaryeri Kartları'!$B$5:$D$24,3,FALSE)*$G229),0)</f>
      </c>
      <c r="J229" s="16">
        <f>IFERROR(IF($C229="",0,VLOOKUP($C229,'Ürün Kartları'!$B$5:$G$154,6,FALSE)*$G229),0)</f>
      </c>
      <c r="K229" s="11"/>
      <c r="L229" s="10"/>
      <c r="M229" s="21">
        <f>IF($C229="","",IF($K229=1,-($J229*0.5)-$L229,$H229-$I229-$J229-$L229))</f>
      </c>
      <c r="N229" s="22">
        <f>IF(OR($C229="",$H229=0),"",$M229/$H229)</f>
      </c>
    </row>
    <row r="230" spans="2:14" x14ac:dyDescent="0.25">
      <c r="B230" s="23"/>
      <c r="C230" s="12"/>
      <c r="D230" s="20">
        <f>IFERROR(IF($C230="","",VLOOKUP($C230,'Ürün Kartları'!$B$5:$C$154,2,FALSE)),"— tanımsız ürün —")</f>
      </c>
      <c r="E230" s="12"/>
      <c r="F230" s="14"/>
      <c r="G230" s="15"/>
      <c r="H230" s="16">
        <f>IF(OR($F230="",$G230=""),0,$F230*$G230)</f>
      </c>
      <c r="I230" s="16">
        <f>IFERROR(IF($E230="",0,$H230*VLOOKUP($E230,'Pazaryeri Kartları'!$B$5:$C$24,2,FALSE)+VLOOKUP($E230,'Pazaryeri Kartları'!$B$5:$D$24,3,FALSE)*$G230),0)</f>
      </c>
      <c r="J230" s="16">
        <f>IFERROR(IF($C230="",0,VLOOKUP($C230,'Ürün Kartları'!$B$5:$G$154,6,FALSE)*$G230),0)</f>
      </c>
      <c r="K230" s="15"/>
      <c r="L230" s="14"/>
      <c r="M230" s="21">
        <f>IF($C230="","",IF($K230=1,-($J230*0.5)-$L230,$H230-$I230-$J230-$L230))</f>
      </c>
      <c r="N230" s="22">
        <f>IF(OR($C230="",$H230=0),"",$M230/$H230)</f>
      </c>
    </row>
    <row r="231" spans="2:14" x14ac:dyDescent="0.25">
      <c r="B231" s="19"/>
      <c r="C231" s="8"/>
      <c r="D231" s="20">
        <f>IFERROR(IF($C231="","",VLOOKUP($C231,'Ürün Kartları'!$B$5:$C$154,2,FALSE)),"— tanımsız ürün —")</f>
      </c>
      <c r="E231" s="8"/>
      <c r="F231" s="10"/>
      <c r="G231" s="11"/>
      <c r="H231" s="16">
        <f>IF(OR($F231="",$G231=""),0,$F231*$G231)</f>
      </c>
      <c r="I231" s="16">
        <f>IFERROR(IF($E231="",0,$H231*VLOOKUP($E231,'Pazaryeri Kartları'!$B$5:$C$24,2,FALSE)+VLOOKUP($E231,'Pazaryeri Kartları'!$B$5:$D$24,3,FALSE)*$G231),0)</f>
      </c>
      <c r="J231" s="16">
        <f>IFERROR(IF($C231="",0,VLOOKUP($C231,'Ürün Kartları'!$B$5:$G$154,6,FALSE)*$G231),0)</f>
      </c>
      <c r="K231" s="11"/>
      <c r="L231" s="10"/>
      <c r="M231" s="21">
        <f>IF($C231="","",IF($K231=1,-($J231*0.5)-$L231,$H231-$I231-$J231-$L231))</f>
      </c>
      <c r="N231" s="22">
        <f>IF(OR($C231="",$H231=0),"",$M231/$H231)</f>
      </c>
    </row>
    <row r="232" spans="2:14" x14ac:dyDescent="0.25">
      <c r="B232" s="23"/>
      <c r="C232" s="12"/>
      <c r="D232" s="20">
        <f>IFERROR(IF($C232="","",VLOOKUP($C232,'Ürün Kartları'!$B$5:$C$154,2,FALSE)),"— tanımsız ürün —")</f>
      </c>
      <c r="E232" s="12"/>
      <c r="F232" s="14"/>
      <c r="G232" s="15"/>
      <c r="H232" s="16">
        <f>IF(OR($F232="",$G232=""),0,$F232*$G232)</f>
      </c>
      <c r="I232" s="16">
        <f>IFERROR(IF($E232="",0,$H232*VLOOKUP($E232,'Pazaryeri Kartları'!$B$5:$C$24,2,FALSE)+VLOOKUP($E232,'Pazaryeri Kartları'!$B$5:$D$24,3,FALSE)*$G232),0)</f>
      </c>
      <c r="J232" s="16">
        <f>IFERROR(IF($C232="",0,VLOOKUP($C232,'Ürün Kartları'!$B$5:$G$154,6,FALSE)*$G232),0)</f>
      </c>
      <c r="K232" s="15"/>
      <c r="L232" s="14"/>
      <c r="M232" s="21">
        <f>IF($C232="","",IF($K232=1,-($J232*0.5)-$L232,$H232-$I232-$J232-$L232))</f>
      </c>
      <c r="N232" s="22">
        <f>IF(OR($C232="",$H232=0),"",$M232/$H232)</f>
      </c>
    </row>
    <row r="233" spans="2:14" x14ac:dyDescent="0.25">
      <c r="B233" s="19"/>
      <c r="C233" s="8"/>
      <c r="D233" s="20">
        <f>IFERROR(IF($C233="","",VLOOKUP($C233,'Ürün Kartları'!$B$5:$C$154,2,FALSE)),"— tanımsız ürün —")</f>
      </c>
      <c r="E233" s="8"/>
      <c r="F233" s="10"/>
      <c r="G233" s="11"/>
      <c r="H233" s="16">
        <f>IF(OR($F233="",$G233=""),0,$F233*$G233)</f>
      </c>
      <c r="I233" s="16">
        <f>IFERROR(IF($E233="",0,$H233*VLOOKUP($E233,'Pazaryeri Kartları'!$B$5:$C$24,2,FALSE)+VLOOKUP($E233,'Pazaryeri Kartları'!$B$5:$D$24,3,FALSE)*$G233),0)</f>
      </c>
      <c r="J233" s="16">
        <f>IFERROR(IF($C233="",0,VLOOKUP($C233,'Ürün Kartları'!$B$5:$G$154,6,FALSE)*$G233),0)</f>
      </c>
      <c r="K233" s="11"/>
      <c r="L233" s="10"/>
      <c r="M233" s="21">
        <f>IF($C233="","",IF($K233=1,-($J233*0.5)-$L233,$H233-$I233-$J233-$L233))</f>
      </c>
      <c r="N233" s="22">
        <f>IF(OR($C233="",$H233=0),"",$M233/$H233)</f>
      </c>
    </row>
    <row r="234" spans="2:14" x14ac:dyDescent="0.25">
      <c r="B234" s="23"/>
      <c r="C234" s="12"/>
      <c r="D234" s="20">
        <f>IFERROR(IF($C234="","",VLOOKUP($C234,'Ürün Kartları'!$B$5:$C$154,2,FALSE)),"— tanımsız ürün —")</f>
      </c>
      <c r="E234" s="12"/>
      <c r="F234" s="14"/>
      <c r="G234" s="15"/>
      <c r="H234" s="16">
        <f>IF(OR($F234="",$G234=""),0,$F234*$G234)</f>
      </c>
      <c r="I234" s="16">
        <f>IFERROR(IF($E234="",0,$H234*VLOOKUP($E234,'Pazaryeri Kartları'!$B$5:$C$24,2,FALSE)+VLOOKUP($E234,'Pazaryeri Kartları'!$B$5:$D$24,3,FALSE)*$G234),0)</f>
      </c>
      <c r="J234" s="16">
        <f>IFERROR(IF($C234="",0,VLOOKUP($C234,'Ürün Kartları'!$B$5:$G$154,6,FALSE)*$G234),0)</f>
      </c>
      <c r="K234" s="15"/>
      <c r="L234" s="14"/>
      <c r="M234" s="21">
        <f>IF($C234="","",IF($K234=1,-($J234*0.5)-$L234,$H234-$I234-$J234-$L234))</f>
      </c>
      <c r="N234" s="22">
        <f>IF(OR($C234="",$H234=0),"",$M234/$H234)</f>
      </c>
    </row>
    <row r="235" spans="2:14" x14ac:dyDescent="0.25">
      <c r="B235" s="19"/>
      <c r="C235" s="8"/>
      <c r="D235" s="20">
        <f>IFERROR(IF($C235="","",VLOOKUP($C235,'Ürün Kartları'!$B$5:$C$154,2,FALSE)),"— tanımsız ürün —")</f>
      </c>
      <c r="E235" s="8"/>
      <c r="F235" s="10"/>
      <c r="G235" s="11"/>
      <c r="H235" s="16">
        <f>IF(OR($F235="",$G235=""),0,$F235*$G235)</f>
      </c>
      <c r="I235" s="16">
        <f>IFERROR(IF($E235="",0,$H235*VLOOKUP($E235,'Pazaryeri Kartları'!$B$5:$C$24,2,FALSE)+VLOOKUP($E235,'Pazaryeri Kartları'!$B$5:$D$24,3,FALSE)*$G235),0)</f>
      </c>
      <c r="J235" s="16">
        <f>IFERROR(IF($C235="",0,VLOOKUP($C235,'Ürün Kartları'!$B$5:$G$154,6,FALSE)*$G235),0)</f>
      </c>
      <c r="K235" s="11"/>
      <c r="L235" s="10"/>
      <c r="M235" s="21">
        <f>IF($C235="","",IF($K235=1,-($J235*0.5)-$L235,$H235-$I235-$J235-$L235))</f>
      </c>
      <c r="N235" s="22">
        <f>IF(OR($C235="",$H235=0),"",$M235/$H235)</f>
      </c>
    </row>
    <row r="236" spans="2:14" x14ac:dyDescent="0.25">
      <c r="B236" s="23"/>
      <c r="C236" s="12"/>
      <c r="D236" s="20">
        <f>IFERROR(IF($C236="","",VLOOKUP($C236,'Ürün Kartları'!$B$5:$C$154,2,FALSE)),"— tanımsız ürün —")</f>
      </c>
      <c r="E236" s="12"/>
      <c r="F236" s="14"/>
      <c r="G236" s="15"/>
      <c r="H236" s="16">
        <f>IF(OR($F236="",$G236=""),0,$F236*$G236)</f>
      </c>
      <c r="I236" s="16">
        <f>IFERROR(IF($E236="",0,$H236*VLOOKUP($E236,'Pazaryeri Kartları'!$B$5:$C$24,2,FALSE)+VLOOKUP($E236,'Pazaryeri Kartları'!$B$5:$D$24,3,FALSE)*$G236),0)</f>
      </c>
      <c r="J236" s="16">
        <f>IFERROR(IF($C236="",0,VLOOKUP($C236,'Ürün Kartları'!$B$5:$G$154,6,FALSE)*$G236),0)</f>
      </c>
      <c r="K236" s="15"/>
      <c r="L236" s="14"/>
      <c r="M236" s="21">
        <f>IF($C236="","",IF($K236=1,-($J236*0.5)-$L236,$H236-$I236-$J236-$L236))</f>
      </c>
      <c r="N236" s="22">
        <f>IF(OR($C236="",$H236=0),"",$M236/$H236)</f>
      </c>
    </row>
    <row r="237" spans="2:14" x14ac:dyDescent="0.25">
      <c r="B237" s="19"/>
      <c r="C237" s="8"/>
      <c r="D237" s="20">
        <f>IFERROR(IF($C237="","",VLOOKUP($C237,'Ürün Kartları'!$B$5:$C$154,2,FALSE)),"— tanımsız ürün —")</f>
      </c>
      <c r="E237" s="8"/>
      <c r="F237" s="10"/>
      <c r="G237" s="11"/>
      <c r="H237" s="16">
        <f>IF(OR($F237="",$G237=""),0,$F237*$G237)</f>
      </c>
      <c r="I237" s="16">
        <f>IFERROR(IF($E237="",0,$H237*VLOOKUP($E237,'Pazaryeri Kartları'!$B$5:$C$24,2,FALSE)+VLOOKUP($E237,'Pazaryeri Kartları'!$B$5:$D$24,3,FALSE)*$G237),0)</f>
      </c>
      <c r="J237" s="16">
        <f>IFERROR(IF($C237="",0,VLOOKUP($C237,'Ürün Kartları'!$B$5:$G$154,6,FALSE)*$G237),0)</f>
      </c>
      <c r="K237" s="11"/>
      <c r="L237" s="10"/>
      <c r="M237" s="21">
        <f>IF($C237="","",IF($K237=1,-($J237*0.5)-$L237,$H237-$I237-$J237-$L237))</f>
      </c>
      <c r="N237" s="22">
        <f>IF(OR($C237="",$H237=0),"",$M237/$H237)</f>
      </c>
    </row>
    <row r="238" spans="2:14" x14ac:dyDescent="0.25">
      <c r="B238" s="23"/>
      <c r="C238" s="12"/>
      <c r="D238" s="20">
        <f>IFERROR(IF($C238="","",VLOOKUP($C238,'Ürün Kartları'!$B$5:$C$154,2,FALSE)),"— tanımsız ürün —")</f>
      </c>
      <c r="E238" s="12"/>
      <c r="F238" s="14"/>
      <c r="G238" s="15"/>
      <c r="H238" s="16">
        <f>IF(OR($F238="",$G238=""),0,$F238*$G238)</f>
      </c>
      <c r="I238" s="16">
        <f>IFERROR(IF($E238="",0,$H238*VLOOKUP($E238,'Pazaryeri Kartları'!$B$5:$C$24,2,FALSE)+VLOOKUP($E238,'Pazaryeri Kartları'!$B$5:$D$24,3,FALSE)*$G238),0)</f>
      </c>
      <c r="J238" s="16">
        <f>IFERROR(IF($C238="",0,VLOOKUP($C238,'Ürün Kartları'!$B$5:$G$154,6,FALSE)*$G238),0)</f>
      </c>
      <c r="K238" s="15"/>
      <c r="L238" s="14"/>
      <c r="M238" s="21">
        <f>IF($C238="","",IF($K238=1,-($J238*0.5)-$L238,$H238-$I238-$J238-$L238))</f>
      </c>
      <c r="N238" s="22">
        <f>IF(OR($C238="",$H238=0),"",$M238/$H238)</f>
      </c>
    </row>
    <row r="239" spans="2:14" x14ac:dyDescent="0.25">
      <c r="B239" s="19"/>
      <c r="C239" s="8"/>
      <c r="D239" s="20">
        <f>IFERROR(IF($C239="","",VLOOKUP($C239,'Ürün Kartları'!$B$5:$C$154,2,FALSE)),"— tanımsız ürün —")</f>
      </c>
      <c r="E239" s="8"/>
      <c r="F239" s="10"/>
      <c r="G239" s="11"/>
      <c r="H239" s="16">
        <f>IF(OR($F239="",$G239=""),0,$F239*$G239)</f>
      </c>
      <c r="I239" s="16">
        <f>IFERROR(IF($E239="",0,$H239*VLOOKUP($E239,'Pazaryeri Kartları'!$B$5:$C$24,2,FALSE)+VLOOKUP($E239,'Pazaryeri Kartları'!$B$5:$D$24,3,FALSE)*$G239),0)</f>
      </c>
      <c r="J239" s="16">
        <f>IFERROR(IF($C239="",0,VLOOKUP($C239,'Ürün Kartları'!$B$5:$G$154,6,FALSE)*$G239),0)</f>
      </c>
      <c r="K239" s="11"/>
      <c r="L239" s="10"/>
      <c r="M239" s="21">
        <f>IF($C239="","",IF($K239=1,-($J239*0.5)-$L239,$H239-$I239-$J239-$L239))</f>
      </c>
      <c r="N239" s="22">
        <f>IF(OR($C239="",$H239=0),"",$M239/$H239)</f>
      </c>
    </row>
    <row r="240" spans="2:14" x14ac:dyDescent="0.25">
      <c r="B240" s="23"/>
      <c r="C240" s="12"/>
      <c r="D240" s="20">
        <f>IFERROR(IF($C240="","",VLOOKUP($C240,'Ürün Kartları'!$B$5:$C$154,2,FALSE)),"— tanımsız ürün —")</f>
      </c>
      <c r="E240" s="12"/>
      <c r="F240" s="14"/>
      <c r="G240" s="15"/>
      <c r="H240" s="16">
        <f>IF(OR($F240="",$G240=""),0,$F240*$G240)</f>
      </c>
      <c r="I240" s="16">
        <f>IFERROR(IF($E240="",0,$H240*VLOOKUP($E240,'Pazaryeri Kartları'!$B$5:$C$24,2,FALSE)+VLOOKUP($E240,'Pazaryeri Kartları'!$B$5:$D$24,3,FALSE)*$G240),0)</f>
      </c>
      <c r="J240" s="16">
        <f>IFERROR(IF($C240="",0,VLOOKUP($C240,'Ürün Kartları'!$B$5:$G$154,6,FALSE)*$G240),0)</f>
      </c>
      <c r="K240" s="15"/>
      <c r="L240" s="14"/>
      <c r="M240" s="21">
        <f>IF($C240="","",IF($K240=1,-($J240*0.5)-$L240,$H240-$I240-$J240-$L240))</f>
      </c>
      <c r="N240" s="22">
        <f>IF(OR($C240="",$H240=0),"",$M240/$H240)</f>
      </c>
    </row>
    <row r="241" spans="2:14" x14ac:dyDescent="0.25">
      <c r="B241" s="19"/>
      <c r="C241" s="8"/>
      <c r="D241" s="20">
        <f>IFERROR(IF($C241="","",VLOOKUP($C241,'Ürün Kartları'!$B$5:$C$154,2,FALSE)),"— tanımsız ürün —")</f>
      </c>
      <c r="E241" s="8"/>
      <c r="F241" s="10"/>
      <c r="G241" s="11"/>
      <c r="H241" s="16">
        <f>IF(OR($F241="",$G241=""),0,$F241*$G241)</f>
      </c>
      <c r="I241" s="16">
        <f>IFERROR(IF($E241="",0,$H241*VLOOKUP($E241,'Pazaryeri Kartları'!$B$5:$C$24,2,FALSE)+VLOOKUP($E241,'Pazaryeri Kartları'!$B$5:$D$24,3,FALSE)*$G241),0)</f>
      </c>
      <c r="J241" s="16">
        <f>IFERROR(IF($C241="",0,VLOOKUP($C241,'Ürün Kartları'!$B$5:$G$154,6,FALSE)*$G241),0)</f>
      </c>
      <c r="K241" s="11"/>
      <c r="L241" s="10"/>
      <c r="M241" s="21">
        <f>IF($C241="","",IF($K241=1,-($J241*0.5)-$L241,$H241-$I241-$J241-$L241))</f>
      </c>
      <c r="N241" s="22">
        <f>IF(OR($C241="",$H241=0),"",$M241/$H241)</f>
      </c>
    </row>
    <row r="242" spans="2:14" x14ac:dyDescent="0.25">
      <c r="B242" s="23"/>
      <c r="C242" s="12"/>
      <c r="D242" s="20">
        <f>IFERROR(IF($C242="","",VLOOKUP($C242,'Ürün Kartları'!$B$5:$C$154,2,FALSE)),"— tanımsız ürün —")</f>
      </c>
      <c r="E242" s="12"/>
      <c r="F242" s="14"/>
      <c r="G242" s="15"/>
      <c r="H242" s="16">
        <f>IF(OR($F242="",$G242=""),0,$F242*$G242)</f>
      </c>
      <c r="I242" s="16">
        <f>IFERROR(IF($E242="",0,$H242*VLOOKUP($E242,'Pazaryeri Kartları'!$B$5:$C$24,2,FALSE)+VLOOKUP($E242,'Pazaryeri Kartları'!$B$5:$D$24,3,FALSE)*$G242),0)</f>
      </c>
      <c r="J242" s="16">
        <f>IFERROR(IF($C242="",0,VLOOKUP($C242,'Ürün Kartları'!$B$5:$G$154,6,FALSE)*$G242),0)</f>
      </c>
      <c r="K242" s="15"/>
      <c r="L242" s="14"/>
      <c r="M242" s="21">
        <f>IF($C242="","",IF($K242=1,-($J242*0.5)-$L242,$H242-$I242-$J242-$L242))</f>
      </c>
      <c r="N242" s="22">
        <f>IF(OR($C242="",$H242=0),"",$M242/$H242)</f>
      </c>
    </row>
    <row r="243" spans="2:14" x14ac:dyDescent="0.25">
      <c r="B243" s="19"/>
      <c r="C243" s="8"/>
      <c r="D243" s="20">
        <f>IFERROR(IF($C243="","",VLOOKUP($C243,'Ürün Kartları'!$B$5:$C$154,2,FALSE)),"— tanımsız ürün —")</f>
      </c>
      <c r="E243" s="8"/>
      <c r="F243" s="10"/>
      <c r="G243" s="11"/>
      <c r="H243" s="16">
        <f>IF(OR($F243="",$G243=""),0,$F243*$G243)</f>
      </c>
      <c r="I243" s="16">
        <f>IFERROR(IF($E243="",0,$H243*VLOOKUP($E243,'Pazaryeri Kartları'!$B$5:$C$24,2,FALSE)+VLOOKUP($E243,'Pazaryeri Kartları'!$B$5:$D$24,3,FALSE)*$G243),0)</f>
      </c>
      <c r="J243" s="16">
        <f>IFERROR(IF($C243="",0,VLOOKUP($C243,'Ürün Kartları'!$B$5:$G$154,6,FALSE)*$G243),0)</f>
      </c>
      <c r="K243" s="11"/>
      <c r="L243" s="10"/>
      <c r="M243" s="21">
        <f>IF($C243="","",IF($K243=1,-($J243*0.5)-$L243,$H243-$I243-$J243-$L243))</f>
      </c>
      <c r="N243" s="22">
        <f>IF(OR($C243="",$H243=0),"",$M243/$H243)</f>
      </c>
    </row>
    <row r="244" spans="2:14" x14ac:dyDescent="0.25">
      <c r="B244" s="23"/>
      <c r="C244" s="12"/>
      <c r="D244" s="20">
        <f>IFERROR(IF($C244="","",VLOOKUP($C244,'Ürün Kartları'!$B$5:$C$154,2,FALSE)),"— tanımsız ürün —")</f>
      </c>
      <c r="E244" s="12"/>
      <c r="F244" s="14"/>
      <c r="G244" s="15"/>
      <c r="H244" s="16">
        <f>IF(OR($F244="",$G244=""),0,$F244*$G244)</f>
      </c>
      <c r="I244" s="16">
        <f>IFERROR(IF($E244="",0,$H244*VLOOKUP($E244,'Pazaryeri Kartları'!$B$5:$C$24,2,FALSE)+VLOOKUP($E244,'Pazaryeri Kartları'!$B$5:$D$24,3,FALSE)*$G244),0)</f>
      </c>
      <c r="J244" s="16">
        <f>IFERROR(IF($C244="",0,VLOOKUP($C244,'Ürün Kartları'!$B$5:$G$154,6,FALSE)*$G244),0)</f>
      </c>
      <c r="K244" s="15"/>
      <c r="L244" s="14"/>
      <c r="M244" s="21">
        <f>IF($C244="","",IF($K244=1,-($J244*0.5)-$L244,$H244-$I244-$J244-$L244))</f>
      </c>
      <c r="N244" s="22">
        <f>IF(OR($C244="",$H244=0),"",$M244/$H244)</f>
      </c>
    </row>
    <row r="245" spans="2:14" x14ac:dyDescent="0.25">
      <c r="B245" s="19"/>
      <c r="C245" s="8"/>
      <c r="D245" s="20">
        <f>IFERROR(IF($C245="","",VLOOKUP($C245,'Ürün Kartları'!$B$5:$C$154,2,FALSE)),"— tanımsız ürün —")</f>
      </c>
      <c r="E245" s="8"/>
      <c r="F245" s="10"/>
      <c r="G245" s="11"/>
      <c r="H245" s="16">
        <f>IF(OR($F245="",$G245=""),0,$F245*$G245)</f>
      </c>
      <c r="I245" s="16">
        <f>IFERROR(IF($E245="",0,$H245*VLOOKUP($E245,'Pazaryeri Kartları'!$B$5:$C$24,2,FALSE)+VLOOKUP($E245,'Pazaryeri Kartları'!$B$5:$D$24,3,FALSE)*$G245),0)</f>
      </c>
      <c r="J245" s="16">
        <f>IFERROR(IF($C245="",0,VLOOKUP($C245,'Ürün Kartları'!$B$5:$G$154,6,FALSE)*$G245),0)</f>
      </c>
      <c r="K245" s="11"/>
      <c r="L245" s="10"/>
      <c r="M245" s="21">
        <f>IF($C245="","",IF($K245=1,-($J245*0.5)-$L245,$H245-$I245-$J245-$L245))</f>
      </c>
      <c r="N245" s="22">
        <f>IF(OR($C245="",$H245=0),"",$M245/$H245)</f>
      </c>
    </row>
    <row r="246" spans="2:14" x14ac:dyDescent="0.25">
      <c r="B246" s="23"/>
      <c r="C246" s="12"/>
      <c r="D246" s="20">
        <f>IFERROR(IF($C246="","",VLOOKUP($C246,'Ürün Kartları'!$B$5:$C$154,2,FALSE)),"— tanımsız ürün —")</f>
      </c>
      <c r="E246" s="12"/>
      <c r="F246" s="14"/>
      <c r="G246" s="15"/>
      <c r="H246" s="16">
        <f>IF(OR($F246="",$G246=""),0,$F246*$G246)</f>
      </c>
      <c r="I246" s="16">
        <f>IFERROR(IF($E246="",0,$H246*VLOOKUP($E246,'Pazaryeri Kartları'!$B$5:$C$24,2,FALSE)+VLOOKUP($E246,'Pazaryeri Kartları'!$B$5:$D$24,3,FALSE)*$G246),0)</f>
      </c>
      <c r="J246" s="16">
        <f>IFERROR(IF($C246="",0,VLOOKUP($C246,'Ürün Kartları'!$B$5:$G$154,6,FALSE)*$G246),0)</f>
      </c>
      <c r="K246" s="15"/>
      <c r="L246" s="14"/>
      <c r="M246" s="21">
        <f>IF($C246="","",IF($K246=1,-($J246*0.5)-$L246,$H246-$I246-$J246-$L246))</f>
      </c>
      <c r="N246" s="22">
        <f>IF(OR($C246="",$H246=0),"",$M246/$H246)</f>
      </c>
    </row>
    <row r="247" spans="2:14" x14ac:dyDescent="0.25">
      <c r="B247" s="19"/>
      <c r="C247" s="8"/>
      <c r="D247" s="20">
        <f>IFERROR(IF($C247="","",VLOOKUP($C247,'Ürün Kartları'!$B$5:$C$154,2,FALSE)),"— tanımsız ürün —")</f>
      </c>
      <c r="E247" s="8"/>
      <c r="F247" s="10"/>
      <c r="G247" s="11"/>
      <c r="H247" s="16">
        <f>IF(OR($F247="",$G247=""),0,$F247*$G247)</f>
      </c>
      <c r="I247" s="16">
        <f>IFERROR(IF($E247="",0,$H247*VLOOKUP($E247,'Pazaryeri Kartları'!$B$5:$C$24,2,FALSE)+VLOOKUP($E247,'Pazaryeri Kartları'!$B$5:$D$24,3,FALSE)*$G247),0)</f>
      </c>
      <c r="J247" s="16">
        <f>IFERROR(IF($C247="",0,VLOOKUP($C247,'Ürün Kartları'!$B$5:$G$154,6,FALSE)*$G247),0)</f>
      </c>
      <c r="K247" s="11"/>
      <c r="L247" s="10"/>
      <c r="M247" s="21">
        <f>IF($C247="","",IF($K247=1,-($J247*0.5)-$L247,$H247-$I247-$J247-$L247))</f>
      </c>
      <c r="N247" s="22">
        <f>IF(OR($C247="",$H247=0),"",$M247/$H247)</f>
      </c>
    </row>
    <row r="248" spans="2:14" x14ac:dyDescent="0.25">
      <c r="B248" s="23"/>
      <c r="C248" s="12"/>
      <c r="D248" s="20">
        <f>IFERROR(IF($C248="","",VLOOKUP($C248,'Ürün Kartları'!$B$5:$C$154,2,FALSE)),"— tanımsız ürün —")</f>
      </c>
      <c r="E248" s="12"/>
      <c r="F248" s="14"/>
      <c r="G248" s="15"/>
      <c r="H248" s="16">
        <f>IF(OR($F248="",$G248=""),0,$F248*$G248)</f>
      </c>
      <c r="I248" s="16">
        <f>IFERROR(IF($E248="",0,$H248*VLOOKUP($E248,'Pazaryeri Kartları'!$B$5:$C$24,2,FALSE)+VLOOKUP($E248,'Pazaryeri Kartları'!$B$5:$D$24,3,FALSE)*$G248),0)</f>
      </c>
      <c r="J248" s="16">
        <f>IFERROR(IF($C248="",0,VLOOKUP($C248,'Ürün Kartları'!$B$5:$G$154,6,FALSE)*$G248),0)</f>
      </c>
      <c r="K248" s="15"/>
      <c r="L248" s="14"/>
      <c r="M248" s="21">
        <f>IF($C248="","",IF($K248=1,-($J248*0.5)-$L248,$H248-$I248-$J248-$L248))</f>
      </c>
      <c r="N248" s="22">
        <f>IF(OR($C248="",$H248=0),"",$M248/$H248)</f>
      </c>
    </row>
    <row r="249" spans="2:14" x14ac:dyDescent="0.25">
      <c r="B249" s="19"/>
      <c r="C249" s="8"/>
      <c r="D249" s="20">
        <f>IFERROR(IF($C249="","",VLOOKUP($C249,'Ürün Kartları'!$B$5:$C$154,2,FALSE)),"— tanımsız ürün —")</f>
      </c>
      <c r="E249" s="8"/>
      <c r="F249" s="10"/>
      <c r="G249" s="11"/>
      <c r="H249" s="16">
        <f>IF(OR($F249="",$G249=""),0,$F249*$G249)</f>
      </c>
      <c r="I249" s="16">
        <f>IFERROR(IF($E249="",0,$H249*VLOOKUP($E249,'Pazaryeri Kartları'!$B$5:$C$24,2,FALSE)+VLOOKUP($E249,'Pazaryeri Kartları'!$B$5:$D$24,3,FALSE)*$G249),0)</f>
      </c>
      <c r="J249" s="16">
        <f>IFERROR(IF($C249="",0,VLOOKUP($C249,'Ürün Kartları'!$B$5:$G$154,6,FALSE)*$G249),0)</f>
      </c>
      <c r="K249" s="11"/>
      <c r="L249" s="10"/>
      <c r="M249" s="21">
        <f>IF($C249="","",IF($K249=1,-($J249*0.5)-$L249,$H249-$I249-$J249-$L249))</f>
      </c>
      <c r="N249" s="22">
        <f>IF(OR($C249="",$H249=0),"",$M249/$H249)</f>
      </c>
    </row>
    <row r="250" spans="2:14" x14ac:dyDescent="0.25">
      <c r="B250" s="23"/>
      <c r="C250" s="12"/>
      <c r="D250" s="20">
        <f>IFERROR(IF($C250="","",VLOOKUP($C250,'Ürün Kartları'!$B$5:$C$154,2,FALSE)),"— tanımsız ürün —")</f>
      </c>
      <c r="E250" s="12"/>
      <c r="F250" s="14"/>
      <c r="G250" s="15"/>
      <c r="H250" s="16">
        <f>IF(OR($F250="",$G250=""),0,$F250*$G250)</f>
      </c>
      <c r="I250" s="16">
        <f>IFERROR(IF($E250="",0,$H250*VLOOKUP($E250,'Pazaryeri Kartları'!$B$5:$C$24,2,FALSE)+VLOOKUP($E250,'Pazaryeri Kartları'!$B$5:$D$24,3,FALSE)*$G250),0)</f>
      </c>
      <c r="J250" s="16">
        <f>IFERROR(IF($C250="",0,VLOOKUP($C250,'Ürün Kartları'!$B$5:$G$154,6,FALSE)*$G250),0)</f>
      </c>
      <c r="K250" s="15"/>
      <c r="L250" s="14"/>
      <c r="M250" s="21">
        <f>IF($C250="","",IF($K250=1,-($J250*0.5)-$L250,$H250-$I250-$J250-$L250))</f>
      </c>
      <c r="N250" s="22">
        <f>IF(OR($C250="",$H250=0),"",$M250/$H250)</f>
      </c>
    </row>
    <row r="251" spans="2:14" x14ac:dyDescent="0.25">
      <c r="B251" s="19"/>
      <c r="C251" s="8"/>
      <c r="D251" s="20">
        <f>IFERROR(IF($C251="","",VLOOKUP($C251,'Ürün Kartları'!$B$5:$C$154,2,FALSE)),"— tanımsız ürün —")</f>
      </c>
      <c r="E251" s="8"/>
      <c r="F251" s="10"/>
      <c r="G251" s="11"/>
      <c r="H251" s="16">
        <f>IF(OR($F251="",$G251=""),0,$F251*$G251)</f>
      </c>
      <c r="I251" s="16">
        <f>IFERROR(IF($E251="",0,$H251*VLOOKUP($E251,'Pazaryeri Kartları'!$B$5:$C$24,2,FALSE)+VLOOKUP($E251,'Pazaryeri Kartları'!$B$5:$D$24,3,FALSE)*$G251),0)</f>
      </c>
      <c r="J251" s="16">
        <f>IFERROR(IF($C251="",0,VLOOKUP($C251,'Ürün Kartları'!$B$5:$G$154,6,FALSE)*$G251),0)</f>
      </c>
      <c r="K251" s="11"/>
      <c r="L251" s="10"/>
      <c r="M251" s="21">
        <f>IF($C251="","",IF($K251=1,-($J251*0.5)-$L251,$H251-$I251-$J251-$L251))</f>
      </c>
      <c r="N251" s="22">
        <f>IF(OR($C251="",$H251=0),"",$M251/$H251)</f>
      </c>
    </row>
    <row r="252" spans="2:14" x14ac:dyDescent="0.25">
      <c r="B252" s="23"/>
      <c r="C252" s="12"/>
      <c r="D252" s="20">
        <f>IFERROR(IF($C252="","",VLOOKUP($C252,'Ürün Kartları'!$B$5:$C$154,2,FALSE)),"— tanımsız ürün —")</f>
      </c>
      <c r="E252" s="12"/>
      <c r="F252" s="14"/>
      <c r="G252" s="15"/>
      <c r="H252" s="16">
        <f>IF(OR($F252="",$G252=""),0,$F252*$G252)</f>
      </c>
      <c r="I252" s="16">
        <f>IFERROR(IF($E252="",0,$H252*VLOOKUP($E252,'Pazaryeri Kartları'!$B$5:$C$24,2,FALSE)+VLOOKUP($E252,'Pazaryeri Kartları'!$B$5:$D$24,3,FALSE)*$G252),0)</f>
      </c>
      <c r="J252" s="16">
        <f>IFERROR(IF($C252="",0,VLOOKUP($C252,'Ürün Kartları'!$B$5:$G$154,6,FALSE)*$G252),0)</f>
      </c>
      <c r="K252" s="15"/>
      <c r="L252" s="14"/>
      <c r="M252" s="21">
        <f>IF($C252="","",IF($K252=1,-($J252*0.5)-$L252,$H252-$I252-$J252-$L252))</f>
      </c>
      <c r="N252" s="22">
        <f>IF(OR($C252="",$H252=0),"",$M252/$H252)</f>
      </c>
    </row>
    <row r="253" spans="2:14" x14ac:dyDescent="0.25">
      <c r="B253" s="19"/>
      <c r="C253" s="8"/>
      <c r="D253" s="20">
        <f>IFERROR(IF($C253="","",VLOOKUP($C253,'Ürün Kartları'!$B$5:$C$154,2,FALSE)),"— tanımsız ürün —")</f>
      </c>
      <c r="E253" s="8"/>
      <c r="F253" s="10"/>
      <c r="G253" s="11"/>
      <c r="H253" s="16">
        <f>IF(OR($F253="",$G253=""),0,$F253*$G253)</f>
      </c>
      <c r="I253" s="16">
        <f>IFERROR(IF($E253="",0,$H253*VLOOKUP($E253,'Pazaryeri Kartları'!$B$5:$C$24,2,FALSE)+VLOOKUP($E253,'Pazaryeri Kartları'!$B$5:$D$24,3,FALSE)*$G253),0)</f>
      </c>
      <c r="J253" s="16">
        <f>IFERROR(IF($C253="",0,VLOOKUP($C253,'Ürün Kartları'!$B$5:$G$154,6,FALSE)*$G253),0)</f>
      </c>
      <c r="K253" s="11"/>
      <c r="L253" s="10"/>
      <c r="M253" s="21">
        <f>IF($C253="","",IF($K253=1,-($J253*0.5)-$L253,$H253-$I253-$J253-$L253))</f>
      </c>
      <c r="N253" s="22">
        <f>IF(OR($C253="",$H253=0),"",$M253/$H253)</f>
      </c>
    </row>
    <row r="254" spans="2:14" x14ac:dyDescent="0.25">
      <c r="B254" s="23"/>
      <c r="C254" s="12"/>
      <c r="D254" s="20">
        <f>IFERROR(IF($C254="","",VLOOKUP($C254,'Ürün Kartları'!$B$5:$C$154,2,FALSE)),"— tanımsız ürün —")</f>
      </c>
      <c r="E254" s="12"/>
      <c r="F254" s="14"/>
      <c r="G254" s="15"/>
      <c r="H254" s="16">
        <f>IF(OR($F254="",$G254=""),0,$F254*$G254)</f>
      </c>
      <c r="I254" s="16">
        <f>IFERROR(IF($E254="",0,$H254*VLOOKUP($E254,'Pazaryeri Kartları'!$B$5:$C$24,2,FALSE)+VLOOKUP($E254,'Pazaryeri Kartları'!$B$5:$D$24,3,FALSE)*$G254),0)</f>
      </c>
      <c r="J254" s="16">
        <f>IFERROR(IF($C254="",0,VLOOKUP($C254,'Ürün Kartları'!$B$5:$G$154,6,FALSE)*$G254),0)</f>
      </c>
      <c r="K254" s="15"/>
      <c r="L254" s="14"/>
      <c r="M254" s="21">
        <f>IF($C254="","",IF($K254=1,-($J254*0.5)-$L254,$H254-$I254-$J254-$L254))</f>
      </c>
      <c r="N254" s="22">
        <f>IF(OR($C254="",$H254=0),"",$M254/$H254)</f>
      </c>
    </row>
    <row r="255" spans="2:14" x14ac:dyDescent="0.25">
      <c r="B255" s="19"/>
      <c r="C255" s="8"/>
      <c r="D255" s="20">
        <f>IFERROR(IF($C255="","",VLOOKUP($C255,'Ürün Kartları'!$B$5:$C$154,2,FALSE)),"— tanımsız ürün —")</f>
      </c>
      <c r="E255" s="8"/>
      <c r="F255" s="10"/>
      <c r="G255" s="11"/>
      <c r="H255" s="16">
        <f>IF(OR($F255="",$G255=""),0,$F255*$G255)</f>
      </c>
      <c r="I255" s="16">
        <f>IFERROR(IF($E255="",0,$H255*VLOOKUP($E255,'Pazaryeri Kartları'!$B$5:$C$24,2,FALSE)+VLOOKUP($E255,'Pazaryeri Kartları'!$B$5:$D$24,3,FALSE)*$G255),0)</f>
      </c>
      <c r="J255" s="16">
        <f>IFERROR(IF($C255="",0,VLOOKUP($C255,'Ürün Kartları'!$B$5:$G$154,6,FALSE)*$G255),0)</f>
      </c>
      <c r="K255" s="11"/>
      <c r="L255" s="10"/>
      <c r="M255" s="21">
        <f>IF($C255="","",IF($K255=1,-($J255*0.5)-$L255,$H255-$I255-$J255-$L255))</f>
      </c>
      <c r="N255" s="22">
        <f>IF(OR($C255="",$H255=0),"",$M255/$H255)</f>
      </c>
    </row>
    <row r="256" spans="2:14" x14ac:dyDescent="0.25">
      <c r="B256" s="23"/>
      <c r="C256" s="12"/>
      <c r="D256" s="20">
        <f>IFERROR(IF($C256="","",VLOOKUP($C256,'Ürün Kartları'!$B$5:$C$154,2,FALSE)),"— tanımsız ürün —")</f>
      </c>
      <c r="E256" s="12"/>
      <c r="F256" s="14"/>
      <c r="G256" s="15"/>
      <c r="H256" s="16">
        <f>IF(OR($F256="",$G256=""),0,$F256*$G256)</f>
      </c>
      <c r="I256" s="16">
        <f>IFERROR(IF($E256="",0,$H256*VLOOKUP($E256,'Pazaryeri Kartları'!$B$5:$C$24,2,FALSE)+VLOOKUP($E256,'Pazaryeri Kartları'!$B$5:$D$24,3,FALSE)*$G256),0)</f>
      </c>
      <c r="J256" s="16">
        <f>IFERROR(IF($C256="",0,VLOOKUP($C256,'Ürün Kartları'!$B$5:$G$154,6,FALSE)*$G256),0)</f>
      </c>
      <c r="K256" s="15"/>
      <c r="L256" s="14"/>
      <c r="M256" s="21">
        <f>IF($C256="","",IF($K256=1,-($J256*0.5)-$L256,$H256-$I256-$J256-$L256))</f>
      </c>
      <c r="N256" s="22">
        <f>IF(OR($C256="",$H256=0),"",$M256/$H256)</f>
      </c>
    </row>
    <row r="257" spans="2:14" x14ac:dyDescent="0.25">
      <c r="B257" s="19"/>
      <c r="C257" s="8"/>
      <c r="D257" s="20">
        <f>IFERROR(IF($C257="","",VLOOKUP($C257,'Ürün Kartları'!$B$5:$C$154,2,FALSE)),"— tanımsız ürün —")</f>
      </c>
      <c r="E257" s="8"/>
      <c r="F257" s="10"/>
      <c r="G257" s="11"/>
      <c r="H257" s="16">
        <f>IF(OR($F257="",$G257=""),0,$F257*$G257)</f>
      </c>
      <c r="I257" s="16">
        <f>IFERROR(IF($E257="",0,$H257*VLOOKUP($E257,'Pazaryeri Kartları'!$B$5:$C$24,2,FALSE)+VLOOKUP($E257,'Pazaryeri Kartları'!$B$5:$D$24,3,FALSE)*$G257),0)</f>
      </c>
      <c r="J257" s="16">
        <f>IFERROR(IF($C257="",0,VLOOKUP($C257,'Ürün Kartları'!$B$5:$G$154,6,FALSE)*$G257),0)</f>
      </c>
      <c r="K257" s="11"/>
      <c r="L257" s="10"/>
      <c r="M257" s="21">
        <f>IF($C257="","",IF($K257=1,-($J257*0.5)-$L257,$H257-$I257-$J257-$L257))</f>
      </c>
      <c r="N257" s="22">
        <f>IF(OR($C257="",$H257=0),"",$M257/$H257)</f>
      </c>
    </row>
    <row r="258" spans="2:14" x14ac:dyDescent="0.25">
      <c r="B258" s="23"/>
      <c r="C258" s="12"/>
      <c r="D258" s="20">
        <f>IFERROR(IF($C258="","",VLOOKUP($C258,'Ürün Kartları'!$B$5:$C$154,2,FALSE)),"— tanımsız ürün —")</f>
      </c>
      <c r="E258" s="12"/>
      <c r="F258" s="14"/>
      <c r="G258" s="15"/>
      <c r="H258" s="16">
        <f>IF(OR($F258="",$G258=""),0,$F258*$G258)</f>
      </c>
      <c r="I258" s="16">
        <f>IFERROR(IF($E258="",0,$H258*VLOOKUP($E258,'Pazaryeri Kartları'!$B$5:$C$24,2,FALSE)+VLOOKUP($E258,'Pazaryeri Kartları'!$B$5:$D$24,3,FALSE)*$G258),0)</f>
      </c>
      <c r="J258" s="16">
        <f>IFERROR(IF($C258="",0,VLOOKUP($C258,'Ürün Kartları'!$B$5:$G$154,6,FALSE)*$G258),0)</f>
      </c>
      <c r="K258" s="15"/>
      <c r="L258" s="14"/>
      <c r="M258" s="21">
        <f>IF($C258="","",IF($K258=1,-($J258*0.5)-$L258,$H258-$I258-$J258-$L258))</f>
      </c>
      <c r="N258" s="22">
        <f>IF(OR($C258="",$H258=0),"",$M258/$H258)</f>
      </c>
    </row>
    <row r="259" spans="2:14" x14ac:dyDescent="0.25">
      <c r="B259" s="19"/>
      <c r="C259" s="8"/>
      <c r="D259" s="20">
        <f>IFERROR(IF($C259="","",VLOOKUP($C259,'Ürün Kartları'!$B$5:$C$154,2,FALSE)),"— tanımsız ürün —")</f>
      </c>
      <c r="E259" s="8"/>
      <c r="F259" s="10"/>
      <c r="G259" s="11"/>
      <c r="H259" s="16">
        <f>IF(OR($F259="",$G259=""),0,$F259*$G259)</f>
      </c>
      <c r="I259" s="16">
        <f>IFERROR(IF($E259="",0,$H259*VLOOKUP($E259,'Pazaryeri Kartları'!$B$5:$C$24,2,FALSE)+VLOOKUP($E259,'Pazaryeri Kartları'!$B$5:$D$24,3,FALSE)*$G259),0)</f>
      </c>
      <c r="J259" s="16">
        <f>IFERROR(IF($C259="",0,VLOOKUP($C259,'Ürün Kartları'!$B$5:$G$154,6,FALSE)*$G259),0)</f>
      </c>
      <c r="K259" s="11"/>
      <c r="L259" s="10"/>
      <c r="M259" s="21">
        <f>IF($C259="","",IF($K259=1,-($J259*0.5)-$L259,$H259-$I259-$J259-$L259))</f>
      </c>
      <c r="N259" s="22">
        <f>IF(OR($C259="",$H259=0),"",$M259/$H259)</f>
      </c>
    </row>
    <row r="260" spans="2:14" x14ac:dyDescent="0.25">
      <c r="B260" s="23"/>
      <c r="C260" s="12"/>
      <c r="D260" s="20">
        <f>IFERROR(IF($C260="","",VLOOKUP($C260,'Ürün Kartları'!$B$5:$C$154,2,FALSE)),"— tanımsız ürün —")</f>
      </c>
      <c r="E260" s="12"/>
      <c r="F260" s="14"/>
      <c r="G260" s="15"/>
      <c r="H260" s="16">
        <f>IF(OR($F260="",$G260=""),0,$F260*$G260)</f>
      </c>
      <c r="I260" s="16">
        <f>IFERROR(IF($E260="",0,$H260*VLOOKUP($E260,'Pazaryeri Kartları'!$B$5:$C$24,2,FALSE)+VLOOKUP($E260,'Pazaryeri Kartları'!$B$5:$D$24,3,FALSE)*$G260),0)</f>
      </c>
      <c r="J260" s="16">
        <f>IFERROR(IF($C260="",0,VLOOKUP($C260,'Ürün Kartları'!$B$5:$G$154,6,FALSE)*$G260),0)</f>
      </c>
      <c r="K260" s="15"/>
      <c r="L260" s="14"/>
      <c r="M260" s="21">
        <f>IF($C260="","",IF($K260=1,-($J260*0.5)-$L260,$H260-$I260-$J260-$L260))</f>
      </c>
      <c r="N260" s="22">
        <f>IF(OR($C260="",$H260=0),"",$M260/$H260)</f>
      </c>
    </row>
    <row r="261" spans="2:14" x14ac:dyDescent="0.25">
      <c r="B261" s="19"/>
      <c r="C261" s="8"/>
      <c r="D261" s="20">
        <f>IFERROR(IF($C261="","",VLOOKUP($C261,'Ürün Kartları'!$B$5:$C$154,2,FALSE)),"— tanımsız ürün —")</f>
      </c>
      <c r="E261" s="8"/>
      <c r="F261" s="10"/>
      <c r="G261" s="11"/>
      <c r="H261" s="16">
        <f>IF(OR($F261="",$G261=""),0,$F261*$G261)</f>
      </c>
      <c r="I261" s="16">
        <f>IFERROR(IF($E261="",0,$H261*VLOOKUP($E261,'Pazaryeri Kartları'!$B$5:$C$24,2,FALSE)+VLOOKUP($E261,'Pazaryeri Kartları'!$B$5:$D$24,3,FALSE)*$G261),0)</f>
      </c>
      <c r="J261" s="16">
        <f>IFERROR(IF($C261="",0,VLOOKUP($C261,'Ürün Kartları'!$B$5:$G$154,6,FALSE)*$G261),0)</f>
      </c>
      <c r="K261" s="11"/>
      <c r="L261" s="10"/>
      <c r="M261" s="21">
        <f>IF($C261="","",IF($K261=1,-($J261*0.5)-$L261,$H261-$I261-$J261-$L261))</f>
      </c>
      <c r="N261" s="22">
        <f>IF(OR($C261="",$H261=0),"",$M261/$H261)</f>
      </c>
    </row>
    <row r="262" spans="2:14" x14ac:dyDescent="0.25">
      <c r="B262" s="23"/>
      <c r="C262" s="12"/>
      <c r="D262" s="20">
        <f>IFERROR(IF($C262="","",VLOOKUP($C262,'Ürün Kartları'!$B$5:$C$154,2,FALSE)),"— tanımsız ürün —")</f>
      </c>
      <c r="E262" s="12"/>
      <c r="F262" s="14"/>
      <c r="G262" s="15"/>
      <c r="H262" s="16">
        <f>IF(OR($F262="",$G262=""),0,$F262*$G262)</f>
      </c>
      <c r="I262" s="16">
        <f>IFERROR(IF($E262="",0,$H262*VLOOKUP($E262,'Pazaryeri Kartları'!$B$5:$C$24,2,FALSE)+VLOOKUP($E262,'Pazaryeri Kartları'!$B$5:$D$24,3,FALSE)*$G262),0)</f>
      </c>
      <c r="J262" s="16">
        <f>IFERROR(IF($C262="",0,VLOOKUP($C262,'Ürün Kartları'!$B$5:$G$154,6,FALSE)*$G262),0)</f>
      </c>
      <c r="K262" s="15"/>
      <c r="L262" s="14"/>
      <c r="M262" s="21">
        <f>IF($C262="","",IF($K262=1,-($J262*0.5)-$L262,$H262-$I262-$J262-$L262))</f>
      </c>
      <c r="N262" s="22">
        <f>IF(OR($C262="",$H262=0),"",$M262/$H262)</f>
      </c>
    </row>
    <row r="263" spans="2:14" x14ac:dyDescent="0.25">
      <c r="B263" s="19"/>
      <c r="C263" s="8"/>
      <c r="D263" s="20">
        <f>IFERROR(IF($C263="","",VLOOKUP($C263,'Ürün Kartları'!$B$5:$C$154,2,FALSE)),"— tanımsız ürün —")</f>
      </c>
      <c r="E263" s="8"/>
      <c r="F263" s="10"/>
      <c r="G263" s="11"/>
      <c r="H263" s="16">
        <f>IF(OR($F263="",$G263=""),0,$F263*$G263)</f>
      </c>
      <c r="I263" s="16">
        <f>IFERROR(IF($E263="",0,$H263*VLOOKUP($E263,'Pazaryeri Kartları'!$B$5:$C$24,2,FALSE)+VLOOKUP($E263,'Pazaryeri Kartları'!$B$5:$D$24,3,FALSE)*$G263),0)</f>
      </c>
      <c r="J263" s="16">
        <f>IFERROR(IF($C263="",0,VLOOKUP($C263,'Ürün Kartları'!$B$5:$G$154,6,FALSE)*$G263),0)</f>
      </c>
      <c r="K263" s="11"/>
      <c r="L263" s="10"/>
      <c r="M263" s="21">
        <f>IF($C263="","",IF($K263=1,-($J263*0.5)-$L263,$H263-$I263-$J263-$L263))</f>
      </c>
      <c r="N263" s="22">
        <f>IF(OR($C263="",$H263=0),"",$M263/$H263)</f>
      </c>
    </row>
    <row r="264" spans="2:14" x14ac:dyDescent="0.25">
      <c r="B264" s="23"/>
      <c r="C264" s="12"/>
      <c r="D264" s="20">
        <f>IFERROR(IF($C264="","",VLOOKUP($C264,'Ürün Kartları'!$B$5:$C$154,2,FALSE)),"— tanımsız ürün —")</f>
      </c>
      <c r="E264" s="12"/>
      <c r="F264" s="14"/>
      <c r="G264" s="15"/>
      <c r="H264" s="16">
        <f>IF(OR($F264="",$G264=""),0,$F264*$G264)</f>
      </c>
      <c r="I264" s="16">
        <f>IFERROR(IF($E264="",0,$H264*VLOOKUP($E264,'Pazaryeri Kartları'!$B$5:$C$24,2,FALSE)+VLOOKUP($E264,'Pazaryeri Kartları'!$B$5:$D$24,3,FALSE)*$G264),0)</f>
      </c>
      <c r="J264" s="16">
        <f>IFERROR(IF($C264="",0,VLOOKUP($C264,'Ürün Kartları'!$B$5:$G$154,6,FALSE)*$G264),0)</f>
      </c>
      <c r="K264" s="15"/>
      <c r="L264" s="14"/>
      <c r="M264" s="21">
        <f>IF($C264="","",IF($K264=1,-($J264*0.5)-$L264,$H264-$I264-$J264-$L264))</f>
      </c>
      <c r="N264" s="22">
        <f>IF(OR($C264="",$H264=0),"",$M264/$H264)</f>
      </c>
    </row>
    <row r="265" spans="2:14" x14ac:dyDescent="0.25">
      <c r="B265" s="19"/>
      <c r="C265" s="8"/>
      <c r="D265" s="20">
        <f>IFERROR(IF($C265="","",VLOOKUP($C265,'Ürün Kartları'!$B$5:$C$154,2,FALSE)),"— tanımsız ürün —")</f>
      </c>
      <c r="E265" s="8"/>
      <c r="F265" s="10"/>
      <c r="G265" s="11"/>
      <c r="H265" s="16">
        <f>IF(OR($F265="",$G265=""),0,$F265*$G265)</f>
      </c>
      <c r="I265" s="16">
        <f>IFERROR(IF($E265="",0,$H265*VLOOKUP($E265,'Pazaryeri Kartları'!$B$5:$C$24,2,FALSE)+VLOOKUP($E265,'Pazaryeri Kartları'!$B$5:$D$24,3,FALSE)*$G265),0)</f>
      </c>
      <c r="J265" s="16">
        <f>IFERROR(IF($C265="",0,VLOOKUP($C265,'Ürün Kartları'!$B$5:$G$154,6,FALSE)*$G265),0)</f>
      </c>
      <c r="K265" s="11"/>
      <c r="L265" s="10"/>
      <c r="M265" s="21">
        <f>IF($C265="","",IF($K265=1,-($J265*0.5)-$L265,$H265-$I265-$J265-$L265))</f>
      </c>
      <c r="N265" s="22">
        <f>IF(OR($C265="",$H265=0),"",$M265/$H265)</f>
      </c>
    </row>
    <row r="266" spans="2:14" x14ac:dyDescent="0.25">
      <c r="B266" s="23"/>
      <c r="C266" s="12"/>
      <c r="D266" s="20">
        <f>IFERROR(IF($C266="","",VLOOKUP($C266,'Ürün Kartları'!$B$5:$C$154,2,FALSE)),"— tanımsız ürün —")</f>
      </c>
      <c r="E266" s="12"/>
      <c r="F266" s="14"/>
      <c r="G266" s="15"/>
      <c r="H266" s="16">
        <f>IF(OR($F266="",$G266=""),0,$F266*$G266)</f>
      </c>
      <c r="I266" s="16">
        <f>IFERROR(IF($E266="",0,$H266*VLOOKUP($E266,'Pazaryeri Kartları'!$B$5:$C$24,2,FALSE)+VLOOKUP($E266,'Pazaryeri Kartları'!$B$5:$D$24,3,FALSE)*$G266),0)</f>
      </c>
      <c r="J266" s="16">
        <f>IFERROR(IF($C266="",0,VLOOKUP($C266,'Ürün Kartları'!$B$5:$G$154,6,FALSE)*$G266),0)</f>
      </c>
      <c r="K266" s="15"/>
      <c r="L266" s="14"/>
      <c r="M266" s="21">
        <f>IF($C266="","",IF($K266=1,-($J266*0.5)-$L266,$H266-$I266-$J266-$L266))</f>
      </c>
      <c r="N266" s="22">
        <f>IF(OR($C266="",$H266=0),"",$M266/$H266)</f>
      </c>
    </row>
    <row r="267" spans="2:14" x14ac:dyDescent="0.25">
      <c r="B267" s="19"/>
      <c r="C267" s="8"/>
      <c r="D267" s="20">
        <f>IFERROR(IF($C267="","",VLOOKUP($C267,'Ürün Kartları'!$B$5:$C$154,2,FALSE)),"— tanımsız ürün —")</f>
      </c>
      <c r="E267" s="8"/>
      <c r="F267" s="10"/>
      <c r="G267" s="11"/>
      <c r="H267" s="16">
        <f>IF(OR($F267="",$G267=""),0,$F267*$G267)</f>
      </c>
      <c r="I267" s="16">
        <f>IFERROR(IF($E267="",0,$H267*VLOOKUP($E267,'Pazaryeri Kartları'!$B$5:$C$24,2,FALSE)+VLOOKUP($E267,'Pazaryeri Kartları'!$B$5:$D$24,3,FALSE)*$G267),0)</f>
      </c>
      <c r="J267" s="16">
        <f>IFERROR(IF($C267="",0,VLOOKUP($C267,'Ürün Kartları'!$B$5:$G$154,6,FALSE)*$G267),0)</f>
      </c>
      <c r="K267" s="11"/>
      <c r="L267" s="10"/>
      <c r="M267" s="21">
        <f>IF($C267="","",IF($K267=1,-($J267*0.5)-$L267,$H267-$I267-$J267-$L267))</f>
      </c>
      <c r="N267" s="22">
        <f>IF(OR($C267="",$H267=0),"",$M267/$H267)</f>
      </c>
    </row>
    <row r="268" spans="2:14" x14ac:dyDescent="0.25">
      <c r="B268" s="23"/>
      <c r="C268" s="12"/>
      <c r="D268" s="20">
        <f>IFERROR(IF($C268="","",VLOOKUP($C268,'Ürün Kartları'!$B$5:$C$154,2,FALSE)),"— tanımsız ürün —")</f>
      </c>
      <c r="E268" s="12"/>
      <c r="F268" s="14"/>
      <c r="G268" s="15"/>
      <c r="H268" s="16">
        <f>IF(OR($F268="",$G268=""),0,$F268*$G268)</f>
      </c>
      <c r="I268" s="16">
        <f>IFERROR(IF($E268="",0,$H268*VLOOKUP($E268,'Pazaryeri Kartları'!$B$5:$C$24,2,FALSE)+VLOOKUP($E268,'Pazaryeri Kartları'!$B$5:$D$24,3,FALSE)*$G268),0)</f>
      </c>
      <c r="J268" s="16">
        <f>IFERROR(IF($C268="",0,VLOOKUP($C268,'Ürün Kartları'!$B$5:$G$154,6,FALSE)*$G268),0)</f>
      </c>
      <c r="K268" s="15"/>
      <c r="L268" s="14"/>
      <c r="M268" s="21">
        <f>IF($C268="","",IF($K268=1,-($J268*0.5)-$L268,$H268-$I268-$J268-$L268))</f>
      </c>
      <c r="N268" s="22">
        <f>IF(OR($C268="",$H268=0),"",$M268/$H268)</f>
      </c>
    </row>
    <row r="269" spans="2:14" x14ac:dyDescent="0.25">
      <c r="B269" s="19"/>
      <c r="C269" s="8"/>
      <c r="D269" s="20">
        <f>IFERROR(IF($C269="","",VLOOKUP($C269,'Ürün Kartları'!$B$5:$C$154,2,FALSE)),"— tanımsız ürün —")</f>
      </c>
      <c r="E269" s="8"/>
      <c r="F269" s="10"/>
      <c r="G269" s="11"/>
      <c r="H269" s="16">
        <f>IF(OR($F269="",$G269=""),0,$F269*$G269)</f>
      </c>
      <c r="I269" s="16">
        <f>IFERROR(IF($E269="",0,$H269*VLOOKUP($E269,'Pazaryeri Kartları'!$B$5:$C$24,2,FALSE)+VLOOKUP($E269,'Pazaryeri Kartları'!$B$5:$D$24,3,FALSE)*$G269),0)</f>
      </c>
      <c r="J269" s="16">
        <f>IFERROR(IF($C269="",0,VLOOKUP($C269,'Ürün Kartları'!$B$5:$G$154,6,FALSE)*$G269),0)</f>
      </c>
      <c r="K269" s="11"/>
      <c r="L269" s="10"/>
      <c r="M269" s="21">
        <f>IF($C269="","",IF($K269=1,-($J269*0.5)-$L269,$H269-$I269-$J269-$L269))</f>
      </c>
      <c r="N269" s="22">
        <f>IF(OR($C269="",$H269=0),"",$M269/$H269)</f>
      </c>
    </row>
    <row r="270" spans="2:14" x14ac:dyDescent="0.25">
      <c r="B270" s="23"/>
      <c r="C270" s="12"/>
      <c r="D270" s="20">
        <f>IFERROR(IF($C270="","",VLOOKUP($C270,'Ürün Kartları'!$B$5:$C$154,2,FALSE)),"— tanımsız ürün —")</f>
      </c>
      <c r="E270" s="12"/>
      <c r="F270" s="14"/>
      <c r="G270" s="15"/>
      <c r="H270" s="16">
        <f>IF(OR($F270="",$G270=""),0,$F270*$G270)</f>
      </c>
      <c r="I270" s="16">
        <f>IFERROR(IF($E270="",0,$H270*VLOOKUP($E270,'Pazaryeri Kartları'!$B$5:$C$24,2,FALSE)+VLOOKUP($E270,'Pazaryeri Kartları'!$B$5:$D$24,3,FALSE)*$G270),0)</f>
      </c>
      <c r="J270" s="16">
        <f>IFERROR(IF($C270="",0,VLOOKUP($C270,'Ürün Kartları'!$B$5:$G$154,6,FALSE)*$G270),0)</f>
      </c>
      <c r="K270" s="15"/>
      <c r="L270" s="14"/>
      <c r="M270" s="21">
        <f>IF($C270="","",IF($K270=1,-($J270*0.5)-$L270,$H270-$I270-$J270-$L270))</f>
      </c>
      <c r="N270" s="22">
        <f>IF(OR($C270="",$H270=0),"",$M270/$H270)</f>
      </c>
    </row>
    <row r="271" spans="2:14" x14ac:dyDescent="0.25">
      <c r="B271" s="19"/>
      <c r="C271" s="8"/>
      <c r="D271" s="20">
        <f>IFERROR(IF($C271="","",VLOOKUP($C271,'Ürün Kartları'!$B$5:$C$154,2,FALSE)),"— tanımsız ürün —")</f>
      </c>
      <c r="E271" s="8"/>
      <c r="F271" s="10"/>
      <c r="G271" s="11"/>
      <c r="H271" s="16">
        <f>IF(OR($F271="",$G271=""),0,$F271*$G271)</f>
      </c>
      <c r="I271" s="16">
        <f>IFERROR(IF($E271="",0,$H271*VLOOKUP($E271,'Pazaryeri Kartları'!$B$5:$C$24,2,FALSE)+VLOOKUP($E271,'Pazaryeri Kartları'!$B$5:$D$24,3,FALSE)*$G271),0)</f>
      </c>
      <c r="J271" s="16">
        <f>IFERROR(IF($C271="",0,VLOOKUP($C271,'Ürün Kartları'!$B$5:$G$154,6,FALSE)*$G271),0)</f>
      </c>
      <c r="K271" s="11"/>
      <c r="L271" s="10"/>
      <c r="M271" s="21">
        <f>IF($C271="","",IF($K271=1,-($J271*0.5)-$L271,$H271-$I271-$J271-$L271))</f>
      </c>
      <c r="N271" s="22">
        <f>IF(OR($C271="",$H271=0),"",$M271/$H271)</f>
      </c>
    </row>
    <row r="272" spans="2:14" x14ac:dyDescent="0.25">
      <c r="B272" s="23"/>
      <c r="C272" s="12"/>
      <c r="D272" s="20">
        <f>IFERROR(IF($C272="","",VLOOKUP($C272,'Ürün Kartları'!$B$5:$C$154,2,FALSE)),"— tanımsız ürün —")</f>
      </c>
      <c r="E272" s="12"/>
      <c r="F272" s="14"/>
      <c r="G272" s="15"/>
      <c r="H272" s="16">
        <f>IF(OR($F272="",$G272=""),0,$F272*$G272)</f>
      </c>
      <c r="I272" s="16">
        <f>IFERROR(IF($E272="",0,$H272*VLOOKUP($E272,'Pazaryeri Kartları'!$B$5:$C$24,2,FALSE)+VLOOKUP($E272,'Pazaryeri Kartları'!$B$5:$D$24,3,FALSE)*$G272),0)</f>
      </c>
      <c r="J272" s="16">
        <f>IFERROR(IF($C272="",0,VLOOKUP($C272,'Ürün Kartları'!$B$5:$G$154,6,FALSE)*$G272),0)</f>
      </c>
      <c r="K272" s="15"/>
      <c r="L272" s="14"/>
      <c r="M272" s="21">
        <f>IF($C272="","",IF($K272=1,-($J272*0.5)-$L272,$H272-$I272-$J272-$L272))</f>
      </c>
      <c r="N272" s="22">
        <f>IF(OR($C272="",$H272=0),"",$M272/$H272)</f>
      </c>
    </row>
    <row r="273" spans="2:14" x14ac:dyDescent="0.25">
      <c r="B273" s="19"/>
      <c r="C273" s="8"/>
      <c r="D273" s="20">
        <f>IFERROR(IF($C273="","",VLOOKUP($C273,'Ürün Kartları'!$B$5:$C$154,2,FALSE)),"— tanımsız ürün —")</f>
      </c>
      <c r="E273" s="8"/>
      <c r="F273" s="10"/>
      <c r="G273" s="11"/>
      <c r="H273" s="16">
        <f>IF(OR($F273="",$G273=""),0,$F273*$G273)</f>
      </c>
      <c r="I273" s="16">
        <f>IFERROR(IF($E273="",0,$H273*VLOOKUP($E273,'Pazaryeri Kartları'!$B$5:$C$24,2,FALSE)+VLOOKUP($E273,'Pazaryeri Kartları'!$B$5:$D$24,3,FALSE)*$G273),0)</f>
      </c>
      <c r="J273" s="16">
        <f>IFERROR(IF($C273="",0,VLOOKUP($C273,'Ürün Kartları'!$B$5:$G$154,6,FALSE)*$G273),0)</f>
      </c>
      <c r="K273" s="11"/>
      <c r="L273" s="10"/>
      <c r="M273" s="21">
        <f>IF($C273="","",IF($K273=1,-($J273*0.5)-$L273,$H273-$I273-$J273-$L273))</f>
      </c>
      <c r="N273" s="22">
        <f>IF(OR($C273="",$H273=0),"",$M273/$H273)</f>
      </c>
    </row>
    <row r="274" spans="2:14" x14ac:dyDescent="0.25">
      <c r="B274" s="23"/>
      <c r="C274" s="12"/>
      <c r="D274" s="20">
        <f>IFERROR(IF($C274="","",VLOOKUP($C274,'Ürün Kartları'!$B$5:$C$154,2,FALSE)),"— tanımsız ürün —")</f>
      </c>
      <c r="E274" s="12"/>
      <c r="F274" s="14"/>
      <c r="G274" s="15"/>
      <c r="H274" s="16">
        <f>IF(OR($F274="",$G274=""),0,$F274*$G274)</f>
      </c>
      <c r="I274" s="16">
        <f>IFERROR(IF($E274="",0,$H274*VLOOKUP($E274,'Pazaryeri Kartları'!$B$5:$C$24,2,FALSE)+VLOOKUP($E274,'Pazaryeri Kartları'!$B$5:$D$24,3,FALSE)*$G274),0)</f>
      </c>
      <c r="J274" s="16">
        <f>IFERROR(IF($C274="",0,VLOOKUP($C274,'Ürün Kartları'!$B$5:$G$154,6,FALSE)*$G274),0)</f>
      </c>
      <c r="K274" s="15"/>
      <c r="L274" s="14"/>
      <c r="M274" s="21">
        <f>IF($C274="","",IF($K274=1,-($J274*0.5)-$L274,$H274-$I274-$J274-$L274))</f>
      </c>
      <c r="N274" s="22">
        <f>IF(OR($C274="",$H274=0),"",$M274/$H274)</f>
      </c>
    </row>
    <row r="275" spans="2:14" x14ac:dyDescent="0.25">
      <c r="B275" s="19"/>
      <c r="C275" s="8"/>
      <c r="D275" s="20">
        <f>IFERROR(IF($C275="","",VLOOKUP($C275,'Ürün Kartları'!$B$5:$C$154,2,FALSE)),"— tanımsız ürün —")</f>
      </c>
      <c r="E275" s="8"/>
      <c r="F275" s="10"/>
      <c r="G275" s="11"/>
      <c r="H275" s="16">
        <f>IF(OR($F275="",$G275=""),0,$F275*$G275)</f>
      </c>
      <c r="I275" s="16">
        <f>IFERROR(IF($E275="",0,$H275*VLOOKUP($E275,'Pazaryeri Kartları'!$B$5:$C$24,2,FALSE)+VLOOKUP($E275,'Pazaryeri Kartları'!$B$5:$D$24,3,FALSE)*$G275),0)</f>
      </c>
      <c r="J275" s="16">
        <f>IFERROR(IF($C275="",0,VLOOKUP($C275,'Ürün Kartları'!$B$5:$G$154,6,FALSE)*$G275),0)</f>
      </c>
      <c r="K275" s="11"/>
      <c r="L275" s="10"/>
      <c r="M275" s="21">
        <f>IF($C275="","",IF($K275=1,-($J275*0.5)-$L275,$H275-$I275-$J275-$L275))</f>
      </c>
      <c r="N275" s="22">
        <f>IF(OR($C275="",$H275=0),"",$M275/$H275)</f>
      </c>
    </row>
    <row r="276" spans="2:14" x14ac:dyDescent="0.25">
      <c r="B276" s="23"/>
      <c r="C276" s="12"/>
      <c r="D276" s="20">
        <f>IFERROR(IF($C276="","",VLOOKUP($C276,'Ürün Kartları'!$B$5:$C$154,2,FALSE)),"— tanımsız ürün —")</f>
      </c>
      <c r="E276" s="12"/>
      <c r="F276" s="14"/>
      <c r="G276" s="15"/>
      <c r="H276" s="16">
        <f>IF(OR($F276="",$G276=""),0,$F276*$G276)</f>
      </c>
      <c r="I276" s="16">
        <f>IFERROR(IF($E276="",0,$H276*VLOOKUP($E276,'Pazaryeri Kartları'!$B$5:$C$24,2,FALSE)+VLOOKUP($E276,'Pazaryeri Kartları'!$B$5:$D$24,3,FALSE)*$G276),0)</f>
      </c>
      <c r="J276" s="16">
        <f>IFERROR(IF($C276="",0,VLOOKUP($C276,'Ürün Kartları'!$B$5:$G$154,6,FALSE)*$G276),0)</f>
      </c>
      <c r="K276" s="15"/>
      <c r="L276" s="14"/>
      <c r="M276" s="21">
        <f>IF($C276="","",IF($K276=1,-($J276*0.5)-$L276,$H276-$I276-$J276-$L276))</f>
      </c>
      <c r="N276" s="22">
        <f>IF(OR($C276="",$H276=0),"",$M276/$H276)</f>
      </c>
    </row>
    <row r="277" spans="2:14" x14ac:dyDescent="0.25">
      <c r="B277" s="19"/>
      <c r="C277" s="8"/>
      <c r="D277" s="20">
        <f>IFERROR(IF($C277="","",VLOOKUP($C277,'Ürün Kartları'!$B$5:$C$154,2,FALSE)),"— tanımsız ürün —")</f>
      </c>
      <c r="E277" s="8"/>
      <c r="F277" s="10"/>
      <c r="G277" s="11"/>
      <c r="H277" s="16">
        <f>IF(OR($F277="",$G277=""),0,$F277*$G277)</f>
      </c>
      <c r="I277" s="16">
        <f>IFERROR(IF($E277="",0,$H277*VLOOKUP($E277,'Pazaryeri Kartları'!$B$5:$C$24,2,FALSE)+VLOOKUP($E277,'Pazaryeri Kartları'!$B$5:$D$24,3,FALSE)*$G277),0)</f>
      </c>
      <c r="J277" s="16">
        <f>IFERROR(IF($C277="",0,VLOOKUP($C277,'Ürün Kartları'!$B$5:$G$154,6,FALSE)*$G277),0)</f>
      </c>
      <c r="K277" s="11"/>
      <c r="L277" s="10"/>
      <c r="M277" s="21">
        <f>IF($C277="","",IF($K277=1,-($J277*0.5)-$L277,$H277-$I277-$J277-$L277))</f>
      </c>
      <c r="N277" s="22">
        <f>IF(OR($C277="",$H277=0),"",$M277/$H277)</f>
      </c>
    </row>
    <row r="278" spans="2:14" x14ac:dyDescent="0.25">
      <c r="B278" s="23"/>
      <c r="C278" s="12"/>
      <c r="D278" s="20">
        <f>IFERROR(IF($C278="","",VLOOKUP($C278,'Ürün Kartları'!$B$5:$C$154,2,FALSE)),"— tanımsız ürün —")</f>
      </c>
      <c r="E278" s="12"/>
      <c r="F278" s="14"/>
      <c r="G278" s="15"/>
      <c r="H278" s="16">
        <f>IF(OR($F278="",$G278=""),0,$F278*$G278)</f>
      </c>
      <c r="I278" s="16">
        <f>IFERROR(IF($E278="",0,$H278*VLOOKUP($E278,'Pazaryeri Kartları'!$B$5:$C$24,2,FALSE)+VLOOKUP($E278,'Pazaryeri Kartları'!$B$5:$D$24,3,FALSE)*$G278),0)</f>
      </c>
      <c r="J278" s="16">
        <f>IFERROR(IF($C278="",0,VLOOKUP($C278,'Ürün Kartları'!$B$5:$G$154,6,FALSE)*$G278),0)</f>
      </c>
      <c r="K278" s="15"/>
      <c r="L278" s="14"/>
      <c r="M278" s="21">
        <f>IF($C278="","",IF($K278=1,-($J278*0.5)-$L278,$H278-$I278-$J278-$L278))</f>
      </c>
      <c r="N278" s="22">
        <f>IF(OR($C278="",$H278=0),"",$M278/$H278)</f>
      </c>
    </row>
    <row r="279" spans="2:14" x14ac:dyDescent="0.25">
      <c r="B279" s="19"/>
      <c r="C279" s="8"/>
      <c r="D279" s="20">
        <f>IFERROR(IF($C279="","",VLOOKUP($C279,'Ürün Kartları'!$B$5:$C$154,2,FALSE)),"— tanımsız ürün —")</f>
      </c>
      <c r="E279" s="8"/>
      <c r="F279" s="10"/>
      <c r="G279" s="11"/>
      <c r="H279" s="16">
        <f>IF(OR($F279="",$G279=""),0,$F279*$G279)</f>
      </c>
      <c r="I279" s="16">
        <f>IFERROR(IF($E279="",0,$H279*VLOOKUP($E279,'Pazaryeri Kartları'!$B$5:$C$24,2,FALSE)+VLOOKUP($E279,'Pazaryeri Kartları'!$B$5:$D$24,3,FALSE)*$G279),0)</f>
      </c>
      <c r="J279" s="16">
        <f>IFERROR(IF($C279="",0,VLOOKUP($C279,'Ürün Kartları'!$B$5:$G$154,6,FALSE)*$G279),0)</f>
      </c>
      <c r="K279" s="11"/>
      <c r="L279" s="10"/>
      <c r="M279" s="21">
        <f>IF($C279="","",IF($K279=1,-($J279*0.5)-$L279,$H279-$I279-$J279-$L279))</f>
      </c>
      <c r="N279" s="22">
        <f>IF(OR($C279="",$H279=0),"",$M279/$H279)</f>
      </c>
    </row>
    <row r="280" spans="2:14" x14ac:dyDescent="0.25">
      <c r="B280" s="23"/>
      <c r="C280" s="12"/>
      <c r="D280" s="20">
        <f>IFERROR(IF($C280="","",VLOOKUP($C280,'Ürün Kartları'!$B$5:$C$154,2,FALSE)),"— tanımsız ürün —")</f>
      </c>
      <c r="E280" s="12"/>
      <c r="F280" s="14"/>
      <c r="G280" s="15"/>
      <c r="H280" s="16">
        <f>IF(OR($F280="",$G280=""),0,$F280*$G280)</f>
      </c>
      <c r="I280" s="16">
        <f>IFERROR(IF($E280="",0,$H280*VLOOKUP($E280,'Pazaryeri Kartları'!$B$5:$C$24,2,FALSE)+VLOOKUP($E280,'Pazaryeri Kartları'!$B$5:$D$24,3,FALSE)*$G280),0)</f>
      </c>
      <c r="J280" s="16">
        <f>IFERROR(IF($C280="",0,VLOOKUP($C280,'Ürün Kartları'!$B$5:$G$154,6,FALSE)*$G280),0)</f>
      </c>
      <c r="K280" s="15"/>
      <c r="L280" s="14"/>
      <c r="M280" s="21">
        <f>IF($C280="","",IF($K280=1,-($J280*0.5)-$L280,$H280-$I280-$J280-$L280))</f>
      </c>
      <c r="N280" s="22">
        <f>IF(OR($C280="",$H280=0),"",$M280/$H280)</f>
      </c>
    </row>
    <row r="281" spans="2:14" x14ac:dyDescent="0.25">
      <c r="B281" s="19"/>
      <c r="C281" s="8"/>
      <c r="D281" s="20">
        <f>IFERROR(IF($C281="","",VLOOKUP($C281,'Ürün Kartları'!$B$5:$C$154,2,FALSE)),"— tanımsız ürün —")</f>
      </c>
      <c r="E281" s="8"/>
      <c r="F281" s="10"/>
      <c r="G281" s="11"/>
      <c r="H281" s="16">
        <f>IF(OR($F281="",$G281=""),0,$F281*$G281)</f>
      </c>
      <c r="I281" s="16">
        <f>IFERROR(IF($E281="",0,$H281*VLOOKUP($E281,'Pazaryeri Kartları'!$B$5:$C$24,2,FALSE)+VLOOKUP($E281,'Pazaryeri Kartları'!$B$5:$D$24,3,FALSE)*$G281),0)</f>
      </c>
      <c r="J281" s="16">
        <f>IFERROR(IF($C281="",0,VLOOKUP($C281,'Ürün Kartları'!$B$5:$G$154,6,FALSE)*$G281),0)</f>
      </c>
      <c r="K281" s="11"/>
      <c r="L281" s="10"/>
      <c r="M281" s="21">
        <f>IF($C281="","",IF($K281=1,-($J281*0.5)-$L281,$H281-$I281-$J281-$L281))</f>
      </c>
      <c r="N281" s="22">
        <f>IF(OR($C281="",$H281=0),"",$M281/$H281)</f>
      </c>
    </row>
    <row r="282" spans="2:14" x14ac:dyDescent="0.25">
      <c r="B282" s="23"/>
      <c r="C282" s="12"/>
      <c r="D282" s="20">
        <f>IFERROR(IF($C282="","",VLOOKUP($C282,'Ürün Kartları'!$B$5:$C$154,2,FALSE)),"— tanımsız ürün —")</f>
      </c>
      <c r="E282" s="12"/>
      <c r="F282" s="14"/>
      <c r="G282" s="15"/>
      <c r="H282" s="16">
        <f>IF(OR($F282="",$G282=""),0,$F282*$G282)</f>
      </c>
      <c r="I282" s="16">
        <f>IFERROR(IF($E282="",0,$H282*VLOOKUP($E282,'Pazaryeri Kartları'!$B$5:$C$24,2,FALSE)+VLOOKUP($E282,'Pazaryeri Kartları'!$B$5:$D$24,3,FALSE)*$G282),0)</f>
      </c>
      <c r="J282" s="16">
        <f>IFERROR(IF($C282="",0,VLOOKUP($C282,'Ürün Kartları'!$B$5:$G$154,6,FALSE)*$G282),0)</f>
      </c>
      <c r="K282" s="15"/>
      <c r="L282" s="14"/>
      <c r="M282" s="21">
        <f>IF($C282="","",IF($K282=1,-($J282*0.5)-$L282,$H282-$I282-$J282-$L282))</f>
      </c>
      <c r="N282" s="22">
        <f>IF(OR($C282="",$H282=0),"",$M282/$H282)</f>
      </c>
    </row>
    <row r="283" spans="2:14" x14ac:dyDescent="0.25">
      <c r="B283" s="19"/>
      <c r="C283" s="8"/>
      <c r="D283" s="20">
        <f>IFERROR(IF($C283="","",VLOOKUP($C283,'Ürün Kartları'!$B$5:$C$154,2,FALSE)),"— tanımsız ürün —")</f>
      </c>
      <c r="E283" s="8"/>
      <c r="F283" s="10"/>
      <c r="G283" s="11"/>
      <c r="H283" s="16">
        <f>IF(OR($F283="",$G283=""),0,$F283*$G283)</f>
      </c>
      <c r="I283" s="16">
        <f>IFERROR(IF($E283="",0,$H283*VLOOKUP($E283,'Pazaryeri Kartları'!$B$5:$C$24,2,FALSE)+VLOOKUP($E283,'Pazaryeri Kartları'!$B$5:$D$24,3,FALSE)*$G283),0)</f>
      </c>
      <c r="J283" s="16">
        <f>IFERROR(IF($C283="",0,VLOOKUP($C283,'Ürün Kartları'!$B$5:$G$154,6,FALSE)*$G283),0)</f>
      </c>
      <c r="K283" s="11"/>
      <c r="L283" s="10"/>
      <c r="M283" s="21">
        <f>IF($C283="","",IF($K283=1,-($J283*0.5)-$L283,$H283-$I283-$J283-$L283))</f>
      </c>
      <c r="N283" s="22">
        <f>IF(OR($C283="",$H283=0),"",$M283/$H283)</f>
      </c>
    </row>
    <row r="284" spans="2:14" x14ac:dyDescent="0.25">
      <c r="B284" s="23"/>
      <c r="C284" s="12"/>
      <c r="D284" s="20">
        <f>IFERROR(IF($C284="","",VLOOKUP($C284,'Ürün Kartları'!$B$5:$C$154,2,FALSE)),"— tanımsız ürün —")</f>
      </c>
      <c r="E284" s="12"/>
      <c r="F284" s="14"/>
      <c r="G284" s="15"/>
      <c r="H284" s="16">
        <f>IF(OR($F284="",$G284=""),0,$F284*$G284)</f>
      </c>
      <c r="I284" s="16">
        <f>IFERROR(IF($E284="",0,$H284*VLOOKUP($E284,'Pazaryeri Kartları'!$B$5:$C$24,2,FALSE)+VLOOKUP($E284,'Pazaryeri Kartları'!$B$5:$D$24,3,FALSE)*$G284),0)</f>
      </c>
      <c r="J284" s="16">
        <f>IFERROR(IF($C284="",0,VLOOKUP($C284,'Ürün Kartları'!$B$5:$G$154,6,FALSE)*$G284),0)</f>
      </c>
      <c r="K284" s="15"/>
      <c r="L284" s="14"/>
      <c r="M284" s="21">
        <f>IF($C284="","",IF($K284=1,-($J284*0.5)-$L284,$H284-$I284-$J284-$L284))</f>
      </c>
      <c r="N284" s="22">
        <f>IF(OR($C284="",$H284=0),"",$M284/$H284)</f>
      </c>
    </row>
    <row r="285" spans="2:14" x14ac:dyDescent="0.25">
      <c r="B285" s="19"/>
      <c r="C285" s="8"/>
      <c r="D285" s="20">
        <f>IFERROR(IF($C285="","",VLOOKUP($C285,'Ürün Kartları'!$B$5:$C$154,2,FALSE)),"— tanımsız ürün —")</f>
      </c>
      <c r="E285" s="8"/>
      <c r="F285" s="10"/>
      <c r="G285" s="11"/>
      <c r="H285" s="16">
        <f>IF(OR($F285="",$G285=""),0,$F285*$G285)</f>
      </c>
      <c r="I285" s="16">
        <f>IFERROR(IF($E285="",0,$H285*VLOOKUP($E285,'Pazaryeri Kartları'!$B$5:$C$24,2,FALSE)+VLOOKUP($E285,'Pazaryeri Kartları'!$B$5:$D$24,3,FALSE)*$G285),0)</f>
      </c>
      <c r="J285" s="16">
        <f>IFERROR(IF($C285="",0,VLOOKUP($C285,'Ürün Kartları'!$B$5:$G$154,6,FALSE)*$G285),0)</f>
      </c>
      <c r="K285" s="11"/>
      <c r="L285" s="10"/>
      <c r="M285" s="21">
        <f>IF($C285="","",IF($K285=1,-($J285*0.5)-$L285,$H285-$I285-$J285-$L285))</f>
      </c>
      <c r="N285" s="22">
        <f>IF(OR($C285="",$H285=0),"",$M285/$H285)</f>
      </c>
    </row>
    <row r="286" spans="2:14" x14ac:dyDescent="0.25">
      <c r="B286" s="23"/>
      <c r="C286" s="12"/>
      <c r="D286" s="20">
        <f>IFERROR(IF($C286="","",VLOOKUP($C286,'Ürün Kartları'!$B$5:$C$154,2,FALSE)),"— tanımsız ürün —")</f>
      </c>
      <c r="E286" s="12"/>
      <c r="F286" s="14"/>
      <c r="G286" s="15"/>
      <c r="H286" s="16">
        <f>IF(OR($F286="",$G286=""),0,$F286*$G286)</f>
      </c>
      <c r="I286" s="16">
        <f>IFERROR(IF($E286="",0,$H286*VLOOKUP($E286,'Pazaryeri Kartları'!$B$5:$C$24,2,FALSE)+VLOOKUP($E286,'Pazaryeri Kartları'!$B$5:$D$24,3,FALSE)*$G286),0)</f>
      </c>
      <c r="J286" s="16">
        <f>IFERROR(IF($C286="",0,VLOOKUP($C286,'Ürün Kartları'!$B$5:$G$154,6,FALSE)*$G286),0)</f>
      </c>
      <c r="K286" s="15"/>
      <c r="L286" s="14"/>
      <c r="M286" s="21">
        <f>IF($C286="","",IF($K286=1,-($J286*0.5)-$L286,$H286-$I286-$J286-$L286))</f>
      </c>
      <c r="N286" s="22">
        <f>IF(OR($C286="",$H286=0),"",$M286/$H286)</f>
      </c>
    </row>
    <row r="287" spans="2:14" x14ac:dyDescent="0.25">
      <c r="B287" s="19"/>
      <c r="C287" s="8"/>
      <c r="D287" s="20">
        <f>IFERROR(IF($C287="","",VLOOKUP($C287,'Ürün Kartları'!$B$5:$C$154,2,FALSE)),"— tanımsız ürün —")</f>
      </c>
      <c r="E287" s="8"/>
      <c r="F287" s="10"/>
      <c r="G287" s="11"/>
      <c r="H287" s="16">
        <f>IF(OR($F287="",$G287=""),0,$F287*$G287)</f>
      </c>
      <c r="I287" s="16">
        <f>IFERROR(IF($E287="",0,$H287*VLOOKUP($E287,'Pazaryeri Kartları'!$B$5:$C$24,2,FALSE)+VLOOKUP($E287,'Pazaryeri Kartları'!$B$5:$D$24,3,FALSE)*$G287),0)</f>
      </c>
      <c r="J287" s="16">
        <f>IFERROR(IF($C287="",0,VLOOKUP($C287,'Ürün Kartları'!$B$5:$G$154,6,FALSE)*$G287),0)</f>
      </c>
      <c r="K287" s="11"/>
      <c r="L287" s="10"/>
      <c r="M287" s="21">
        <f>IF($C287="","",IF($K287=1,-($J287*0.5)-$L287,$H287-$I287-$J287-$L287))</f>
      </c>
      <c r="N287" s="22">
        <f>IF(OR($C287="",$H287=0),"",$M287/$H287)</f>
      </c>
    </row>
    <row r="288" spans="2:14" x14ac:dyDescent="0.25">
      <c r="B288" s="23"/>
      <c r="C288" s="12"/>
      <c r="D288" s="20">
        <f>IFERROR(IF($C288="","",VLOOKUP($C288,'Ürün Kartları'!$B$5:$C$154,2,FALSE)),"— tanımsız ürün —")</f>
      </c>
      <c r="E288" s="12"/>
      <c r="F288" s="14"/>
      <c r="G288" s="15"/>
      <c r="H288" s="16">
        <f>IF(OR($F288="",$G288=""),0,$F288*$G288)</f>
      </c>
      <c r="I288" s="16">
        <f>IFERROR(IF($E288="",0,$H288*VLOOKUP($E288,'Pazaryeri Kartları'!$B$5:$C$24,2,FALSE)+VLOOKUP($E288,'Pazaryeri Kartları'!$B$5:$D$24,3,FALSE)*$G288),0)</f>
      </c>
      <c r="J288" s="16">
        <f>IFERROR(IF($C288="",0,VLOOKUP($C288,'Ürün Kartları'!$B$5:$G$154,6,FALSE)*$G288),0)</f>
      </c>
      <c r="K288" s="15"/>
      <c r="L288" s="14"/>
      <c r="M288" s="21">
        <f>IF($C288="","",IF($K288=1,-($J288*0.5)-$L288,$H288-$I288-$J288-$L288))</f>
      </c>
      <c r="N288" s="22">
        <f>IF(OR($C288="",$H288=0),"",$M288/$H288)</f>
      </c>
    </row>
    <row r="289" spans="2:14" x14ac:dyDescent="0.25">
      <c r="B289" s="19"/>
      <c r="C289" s="8"/>
      <c r="D289" s="20">
        <f>IFERROR(IF($C289="","",VLOOKUP($C289,'Ürün Kartları'!$B$5:$C$154,2,FALSE)),"— tanımsız ürün —")</f>
      </c>
      <c r="E289" s="8"/>
      <c r="F289" s="10"/>
      <c r="G289" s="11"/>
      <c r="H289" s="16">
        <f>IF(OR($F289="",$G289=""),0,$F289*$G289)</f>
      </c>
      <c r="I289" s="16">
        <f>IFERROR(IF($E289="",0,$H289*VLOOKUP($E289,'Pazaryeri Kartları'!$B$5:$C$24,2,FALSE)+VLOOKUP($E289,'Pazaryeri Kartları'!$B$5:$D$24,3,FALSE)*$G289),0)</f>
      </c>
      <c r="J289" s="16">
        <f>IFERROR(IF($C289="",0,VLOOKUP($C289,'Ürün Kartları'!$B$5:$G$154,6,FALSE)*$G289),0)</f>
      </c>
      <c r="K289" s="11"/>
      <c r="L289" s="10"/>
      <c r="M289" s="21">
        <f>IF($C289="","",IF($K289=1,-($J289*0.5)-$L289,$H289-$I289-$J289-$L289))</f>
      </c>
      <c r="N289" s="22">
        <f>IF(OR($C289="",$H289=0),"",$M289/$H289)</f>
      </c>
    </row>
    <row r="290" spans="2:14" x14ac:dyDescent="0.25">
      <c r="B290" s="23"/>
      <c r="C290" s="12"/>
      <c r="D290" s="20">
        <f>IFERROR(IF($C290="","",VLOOKUP($C290,'Ürün Kartları'!$B$5:$C$154,2,FALSE)),"— tanımsız ürün —")</f>
      </c>
      <c r="E290" s="12"/>
      <c r="F290" s="14"/>
      <c r="G290" s="15"/>
      <c r="H290" s="16">
        <f>IF(OR($F290="",$G290=""),0,$F290*$G290)</f>
      </c>
      <c r="I290" s="16">
        <f>IFERROR(IF($E290="",0,$H290*VLOOKUP($E290,'Pazaryeri Kartları'!$B$5:$C$24,2,FALSE)+VLOOKUP($E290,'Pazaryeri Kartları'!$B$5:$D$24,3,FALSE)*$G290),0)</f>
      </c>
      <c r="J290" s="16">
        <f>IFERROR(IF($C290="",0,VLOOKUP($C290,'Ürün Kartları'!$B$5:$G$154,6,FALSE)*$G290),0)</f>
      </c>
      <c r="K290" s="15"/>
      <c r="L290" s="14"/>
      <c r="M290" s="21">
        <f>IF($C290="","",IF($K290=1,-($J290*0.5)-$L290,$H290-$I290-$J290-$L290))</f>
      </c>
      <c r="N290" s="22">
        <f>IF(OR($C290="",$H290=0),"",$M290/$H290)</f>
      </c>
    </row>
    <row r="291" spans="2:14" x14ac:dyDescent="0.25">
      <c r="B291" s="19"/>
      <c r="C291" s="8"/>
      <c r="D291" s="20">
        <f>IFERROR(IF($C291="","",VLOOKUP($C291,'Ürün Kartları'!$B$5:$C$154,2,FALSE)),"— tanımsız ürün —")</f>
      </c>
      <c r="E291" s="8"/>
      <c r="F291" s="10"/>
      <c r="G291" s="11"/>
      <c r="H291" s="16">
        <f>IF(OR($F291="",$G291=""),0,$F291*$G291)</f>
      </c>
      <c r="I291" s="16">
        <f>IFERROR(IF($E291="",0,$H291*VLOOKUP($E291,'Pazaryeri Kartları'!$B$5:$C$24,2,FALSE)+VLOOKUP($E291,'Pazaryeri Kartları'!$B$5:$D$24,3,FALSE)*$G291),0)</f>
      </c>
      <c r="J291" s="16">
        <f>IFERROR(IF($C291="",0,VLOOKUP($C291,'Ürün Kartları'!$B$5:$G$154,6,FALSE)*$G291),0)</f>
      </c>
      <c r="K291" s="11"/>
      <c r="L291" s="10"/>
      <c r="M291" s="21">
        <f>IF($C291="","",IF($K291=1,-($J291*0.5)-$L291,$H291-$I291-$J291-$L291))</f>
      </c>
      <c r="N291" s="22">
        <f>IF(OR($C291="",$H291=0),"",$M291/$H291)</f>
      </c>
    </row>
    <row r="292" spans="2:14" x14ac:dyDescent="0.25">
      <c r="B292" s="23"/>
      <c r="C292" s="12"/>
      <c r="D292" s="20">
        <f>IFERROR(IF($C292="","",VLOOKUP($C292,'Ürün Kartları'!$B$5:$C$154,2,FALSE)),"— tanımsız ürün —")</f>
      </c>
      <c r="E292" s="12"/>
      <c r="F292" s="14"/>
      <c r="G292" s="15"/>
      <c r="H292" s="16">
        <f>IF(OR($F292="",$G292=""),0,$F292*$G292)</f>
      </c>
      <c r="I292" s="16">
        <f>IFERROR(IF($E292="",0,$H292*VLOOKUP($E292,'Pazaryeri Kartları'!$B$5:$C$24,2,FALSE)+VLOOKUP($E292,'Pazaryeri Kartları'!$B$5:$D$24,3,FALSE)*$G292),0)</f>
      </c>
      <c r="J292" s="16">
        <f>IFERROR(IF($C292="",0,VLOOKUP($C292,'Ürün Kartları'!$B$5:$G$154,6,FALSE)*$G292),0)</f>
      </c>
      <c r="K292" s="15"/>
      <c r="L292" s="14"/>
      <c r="M292" s="21">
        <f>IF($C292="","",IF($K292=1,-($J292*0.5)-$L292,$H292-$I292-$J292-$L292))</f>
      </c>
      <c r="N292" s="22">
        <f>IF(OR($C292="",$H292=0),"",$M292/$H292)</f>
      </c>
    </row>
    <row r="293" spans="2:14" x14ac:dyDescent="0.25">
      <c r="B293" s="19"/>
      <c r="C293" s="8"/>
      <c r="D293" s="20">
        <f>IFERROR(IF($C293="","",VLOOKUP($C293,'Ürün Kartları'!$B$5:$C$154,2,FALSE)),"— tanımsız ürün —")</f>
      </c>
      <c r="E293" s="8"/>
      <c r="F293" s="10"/>
      <c r="G293" s="11"/>
      <c r="H293" s="16">
        <f>IF(OR($F293="",$G293=""),0,$F293*$G293)</f>
      </c>
      <c r="I293" s="16">
        <f>IFERROR(IF($E293="",0,$H293*VLOOKUP($E293,'Pazaryeri Kartları'!$B$5:$C$24,2,FALSE)+VLOOKUP($E293,'Pazaryeri Kartları'!$B$5:$D$24,3,FALSE)*$G293),0)</f>
      </c>
      <c r="J293" s="16">
        <f>IFERROR(IF($C293="",0,VLOOKUP($C293,'Ürün Kartları'!$B$5:$G$154,6,FALSE)*$G293),0)</f>
      </c>
      <c r="K293" s="11"/>
      <c r="L293" s="10"/>
      <c r="M293" s="21">
        <f>IF($C293="","",IF($K293=1,-($J293*0.5)-$L293,$H293-$I293-$J293-$L293))</f>
      </c>
      <c r="N293" s="22">
        <f>IF(OR($C293="",$H293=0),"",$M293/$H293)</f>
      </c>
    </row>
    <row r="294" spans="2:14" x14ac:dyDescent="0.25">
      <c r="B294" s="23"/>
      <c r="C294" s="12"/>
      <c r="D294" s="20">
        <f>IFERROR(IF($C294="","",VLOOKUP($C294,'Ürün Kartları'!$B$5:$C$154,2,FALSE)),"— tanımsız ürün —")</f>
      </c>
      <c r="E294" s="12"/>
      <c r="F294" s="14"/>
      <c r="G294" s="15"/>
      <c r="H294" s="16">
        <f>IF(OR($F294="",$G294=""),0,$F294*$G294)</f>
      </c>
      <c r="I294" s="16">
        <f>IFERROR(IF($E294="",0,$H294*VLOOKUP($E294,'Pazaryeri Kartları'!$B$5:$C$24,2,FALSE)+VLOOKUP($E294,'Pazaryeri Kartları'!$B$5:$D$24,3,FALSE)*$G294),0)</f>
      </c>
      <c r="J294" s="16">
        <f>IFERROR(IF($C294="",0,VLOOKUP($C294,'Ürün Kartları'!$B$5:$G$154,6,FALSE)*$G294),0)</f>
      </c>
      <c r="K294" s="15"/>
      <c r="L294" s="14"/>
      <c r="M294" s="21">
        <f>IF($C294="","",IF($K294=1,-($J294*0.5)-$L294,$H294-$I294-$J294-$L294))</f>
      </c>
      <c r="N294" s="22">
        <f>IF(OR($C294="",$H294=0),"",$M294/$H294)</f>
      </c>
    </row>
    <row r="295" spans="2:14" x14ac:dyDescent="0.25">
      <c r="B295" s="19"/>
      <c r="C295" s="8"/>
      <c r="D295" s="20">
        <f>IFERROR(IF($C295="","",VLOOKUP($C295,'Ürün Kartları'!$B$5:$C$154,2,FALSE)),"— tanımsız ürün —")</f>
      </c>
      <c r="E295" s="8"/>
      <c r="F295" s="10"/>
      <c r="G295" s="11"/>
      <c r="H295" s="16">
        <f>IF(OR($F295="",$G295=""),0,$F295*$G295)</f>
      </c>
      <c r="I295" s="16">
        <f>IFERROR(IF($E295="",0,$H295*VLOOKUP($E295,'Pazaryeri Kartları'!$B$5:$C$24,2,FALSE)+VLOOKUP($E295,'Pazaryeri Kartları'!$B$5:$D$24,3,FALSE)*$G295),0)</f>
      </c>
      <c r="J295" s="16">
        <f>IFERROR(IF($C295="",0,VLOOKUP($C295,'Ürün Kartları'!$B$5:$G$154,6,FALSE)*$G295),0)</f>
      </c>
      <c r="K295" s="11"/>
      <c r="L295" s="10"/>
      <c r="M295" s="21">
        <f>IF($C295="","",IF($K295=1,-($J295*0.5)-$L295,$H295-$I295-$J295-$L295))</f>
      </c>
      <c r="N295" s="22">
        <f>IF(OR($C295="",$H295=0),"",$M295/$H295)</f>
      </c>
    </row>
    <row r="296" spans="2:14" x14ac:dyDescent="0.25">
      <c r="B296" s="23"/>
      <c r="C296" s="12"/>
      <c r="D296" s="20">
        <f>IFERROR(IF($C296="","",VLOOKUP($C296,'Ürün Kartları'!$B$5:$C$154,2,FALSE)),"— tanımsız ürün —")</f>
      </c>
      <c r="E296" s="12"/>
      <c r="F296" s="14"/>
      <c r="G296" s="15"/>
      <c r="H296" s="16">
        <f>IF(OR($F296="",$G296=""),0,$F296*$G296)</f>
      </c>
      <c r="I296" s="16">
        <f>IFERROR(IF($E296="",0,$H296*VLOOKUP($E296,'Pazaryeri Kartları'!$B$5:$C$24,2,FALSE)+VLOOKUP($E296,'Pazaryeri Kartları'!$B$5:$D$24,3,FALSE)*$G296),0)</f>
      </c>
      <c r="J296" s="16">
        <f>IFERROR(IF($C296="",0,VLOOKUP($C296,'Ürün Kartları'!$B$5:$G$154,6,FALSE)*$G296),0)</f>
      </c>
      <c r="K296" s="15"/>
      <c r="L296" s="14"/>
      <c r="M296" s="21">
        <f>IF($C296="","",IF($K296=1,-($J296*0.5)-$L296,$H296-$I296-$J296-$L296))</f>
      </c>
      <c r="N296" s="22">
        <f>IF(OR($C296="",$H296=0),"",$M296/$H296)</f>
      </c>
    </row>
    <row r="297" spans="2:14" x14ac:dyDescent="0.25">
      <c r="B297" s="19"/>
      <c r="C297" s="8"/>
      <c r="D297" s="20">
        <f>IFERROR(IF($C297="","",VLOOKUP($C297,'Ürün Kartları'!$B$5:$C$154,2,FALSE)),"— tanımsız ürün —")</f>
      </c>
      <c r="E297" s="8"/>
      <c r="F297" s="10"/>
      <c r="G297" s="11"/>
      <c r="H297" s="16">
        <f>IF(OR($F297="",$G297=""),0,$F297*$G297)</f>
      </c>
      <c r="I297" s="16">
        <f>IFERROR(IF($E297="",0,$H297*VLOOKUP($E297,'Pazaryeri Kartları'!$B$5:$C$24,2,FALSE)+VLOOKUP($E297,'Pazaryeri Kartları'!$B$5:$D$24,3,FALSE)*$G297),0)</f>
      </c>
      <c r="J297" s="16">
        <f>IFERROR(IF($C297="",0,VLOOKUP($C297,'Ürün Kartları'!$B$5:$G$154,6,FALSE)*$G297),0)</f>
      </c>
      <c r="K297" s="11"/>
      <c r="L297" s="10"/>
      <c r="M297" s="21">
        <f>IF($C297="","",IF($K297=1,-($J297*0.5)-$L297,$H297-$I297-$J297-$L297))</f>
      </c>
      <c r="N297" s="22">
        <f>IF(OR($C297="",$H297=0),"",$M297/$H297)</f>
      </c>
    </row>
    <row r="298" spans="2:14" x14ac:dyDescent="0.25">
      <c r="B298" s="23"/>
      <c r="C298" s="12"/>
      <c r="D298" s="20">
        <f>IFERROR(IF($C298="","",VLOOKUP($C298,'Ürün Kartları'!$B$5:$C$154,2,FALSE)),"— tanımsız ürün —")</f>
      </c>
      <c r="E298" s="12"/>
      <c r="F298" s="14"/>
      <c r="G298" s="15"/>
      <c r="H298" s="16">
        <f>IF(OR($F298="",$G298=""),0,$F298*$G298)</f>
      </c>
      <c r="I298" s="16">
        <f>IFERROR(IF($E298="",0,$H298*VLOOKUP($E298,'Pazaryeri Kartları'!$B$5:$C$24,2,FALSE)+VLOOKUP($E298,'Pazaryeri Kartları'!$B$5:$D$24,3,FALSE)*$G298),0)</f>
      </c>
      <c r="J298" s="16">
        <f>IFERROR(IF($C298="",0,VLOOKUP($C298,'Ürün Kartları'!$B$5:$G$154,6,FALSE)*$G298),0)</f>
      </c>
      <c r="K298" s="15"/>
      <c r="L298" s="14"/>
      <c r="M298" s="21">
        <f>IF($C298="","",IF($K298=1,-($J298*0.5)-$L298,$H298-$I298-$J298-$L298))</f>
      </c>
      <c r="N298" s="22">
        <f>IF(OR($C298="",$H298=0),"",$M298/$H298)</f>
      </c>
    </row>
    <row r="299" spans="2:14" x14ac:dyDescent="0.25">
      <c r="B299" s="19"/>
      <c r="C299" s="8"/>
      <c r="D299" s="20">
        <f>IFERROR(IF($C299="","",VLOOKUP($C299,'Ürün Kartları'!$B$5:$C$154,2,FALSE)),"— tanımsız ürün —")</f>
      </c>
      <c r="E299" s="8"/>
      <c r="F299" s="10"/>
      <c r="G299" s="11"/>
      <c r="H299" s="16">
        <f>IF(OR($F299="",$G299=""),0,$F299*$G299)</f>
      </c>
      <c r="I299" s="16">
        <f>IFERROR(IF($E299="",0,$H299*VLOOKUP($E299,'Pazaryeri Kartları'!$B$5:$C$24,2,FALSE)+VLOOKUP($E299,'Pazaryeri Kartları'!$B$5:$D$24,3,FALSE)*$G299),0)</f>
      </c>
      <c r="J299" s="16">
        <f>IFERROR(IF($C299="",0,VLOOKUP($C299,'Ürün Kartları'!$B$5:$G$154,6,FALSE)*$G299),0)</f>
      </c>
      <c r="K299" s="11"/>
      <c r="L299" s="10"/>
      <c r="M299" s="21">
        <f>IF($C299="","",IF($K299=1,-($J299*0.5)-$L299,$H299-$I299-$J299-$L299))</f>
      </c>
      <c r="N299" s="22">
        <f>IF(OR($C299="",$H299=0),"",$M299/$H299)</f>
      </c>
    </row>
    <row r="300" spans="2:14" x14ac:dyDescent="0.25">
      <c r="B300" s="23"/>
      <c r="C300" s="12"/>
      <c r="D300" s="20">
        <f>IFERROR(IF($C300="","",VLOOKUP($C300,'Ürün Kartları'!$B$5:$C$154,2,FALSE)),"— tanımsız ürün —")</f>
      </c>
      <c r="E300" s="12"/>
      <c r="F300" s="14"/>
      <c r="G300" s="15"/>
      <c r="H300" s="16">
        <f>IF(OR($F300="",$G300=""),0,$F300*$G300)</f>
      </c>
      <c r="I300" s="16">
        <f>IFERROR(IF($E300="",0,$H300*VLOOKUP($E300,'Pazaryeri Kartları'!$B$5:$C$24,2,FALSE)+VLOOKUP($E300,'Pazaryeri Kartları'!$B$5:$D$24,3,FALSE)*$G300),0)</f>
      </c>
      <c r="J300" s="16">
        <f>IFERROR(IF($C300="",0,VLOOKUP($C300,'Ürün Kartları'!$B$5:$G$154,6,FALSE)*$G300),0)</f>
      </c>
      <c r="K300" s="15"/>
      <c r="L300" s="14"/>
      <c r="M300" s="21">
        <f>IF($C300="","",IF($K300=1,-($J300*0.5)-$L300,$H300-$I300-$J300-$L300))</f>
      </c>
      <c r="N300" s="22">
        <f>IF(OR($C300="",$H300=0),"",$M300/$H300)</f>
      </c>
    </row>
    <row r="301" spans="2:14" x14ac:dyDescent="0.25">
      <c r="B301" s="19"/>
      <c r="C301" s="8"/>
      <c r="D301" s="20">
        <f>IFERROR(IF($C301="","",VLOOKUP($C301,'Ürün Kartları'!$B$5:$C$154,2,FALSE)),"— tanımsız ürün —")</f>
      </c>
      <c r="E301" s="8"/>
      <c r="F301" s="10"/>
      <c r="G301" s="11"/>
      <c r="H301" s="16">
        <f>IF(OR($F301="",$G301=""),0,$F301*$G301)</f>
      </c>
      <c r="I301" s="16">
        <f>IFERROR(IF($E301="",0,$H301*VLOOKUP($E301,'Pazaryeri Kartları'!$B$5:$C$24,2,FALSE)+VLOOKUP($E301,'Pazaryeri Kartları'!$B$5:$D$24,3,FALSE)*$G301),0)</f>
      </c>
      <c r="J301" s="16">
        <f>IFERROR(IF($C301="",0,VLOOKUP($C301,'Ürün Kartları'!$B$5:$G$154,6,FALSE)*$G301),0)</f>
      </c>
      <c r="K301" s="11"/>
      <c r="L301" s="10"/>
      <c r="M301" s="21">
        <f>IF($C301="","",IF($K301=1,-($J301*0.5)-$L301,$H301-$I301-$J301-$L301))</f>
      </c>
      <c r="N301" s="22">
        <f>IF(OR($C301="",$H301=0),"",$M301/$H301)</f>
      </c>
    </row>
    <row r="302" spans="2:14" x14ac:dyDescent="0.25">
      <c r="B302" s="23"/>
      <c r="C302" s="12"/>
      <c r="D302" s="20">
        <f>IFERROR(IF($C302="","",VLOOKUP($C302,'Ürün Kartları'!$B$5:$C$154,2,FALSE)),"— tanımsız ürün —")</f>
      </c>
      <c r="E302" s="12"/>
      <c r="F302" s="14"/>
      <c r="G302" s="15"/>
      <c r="H302" s="16">
        <f>IF(OR($F302="",$G302=""),0,$F302*$G302)</f>
      </c>
      <c r="I302" s="16">
        <f>IFERROR(IF($E302="",0,$H302*VLOOKUP($E302,'Pazaryeri Kartları'!$B$5:$C$24,2,FALSE)+VLOOKUP($E302,'Pazaryeri Kartları'!$B$5:$D$24,3,FALSE)*$G302),0)</f>
      </c>
      <c r="J302" s="16">
        <f>IFERROR(IF($C302="",0,VLOOKUP($C302,'Ürün Kartları'!$B$5:$G$154,6,FALSE)*$G302),0)</f>
      </c>
      <c r="K302" s="15"/>
      <c r="L302" s="14"/>
      <c r="M302" s="21">
        <f>IF($C302="","",IF($K302=1,-($J302*0.5)-$L302,$H302-$I302-$J302-$L302))</f>
      </c>
      <c r="N302" s="22">
        <f>IF(OR($C302="",$H302=0),"",$M302/$H302)</f>
      </c>
    </row>
    <row r="303" spans="2:14" x14ac:dyDescent="0.25">
      <c r="B303" s="19"/>
      <c r="C303" s="8"/>
      <c r="D303" s="20">
        <f>IFERROR(IF($C303="","",VLOOKUP($C303,'Ürün Kartları'!$B$5:$C$154,2,FALSE)),"— tanımsız ürün —")</f>
      </c>
      <c r="E303" s="8"/>
      <c r="F303" s="10"/>
      <c r="G303" s="11"/>
      <c r="H303" s="16">
        <f>IF(OR($F303="",$G303=""),0,$F303*$G303)</f>
      </c>
      <c r="I303" s="16">
        <f>IFERROR(IF($E303="",0,$H303*VLOOKUP($E303,'Pazaryeri Kartları'!$B$5:$C$24,2,FALSE)+VLOOKUP($E303,'Pazaryeri Kartları'!$B$5:$D$24,3,FALSE)*$G303),0)</f>
      </c>
      <c r="J303" s="16">
        <f>IFERROR(IF($C303="",0,VLOOKUP($C303,'Ürün Kartları'!$B$5:$G$154,6,FALSE)*$G303),0)</f>
      </c>
      <c r="K303" s="11"/>
      <c r="L303" s="10"/>
      <c r="M303" s="21">
        <f>IF($C303="","",IF($K303=1,-($J303*0.5)-$L303,$H303-$I303-$J303-$L303))</f>
      </c>
      <c r="N303" s="22">
        <f>IF(OR($C303="",$H303=0),"",$M303/$H303)</f>
      </c>
    </row>
    <row r="304" spans="2:14" x14ac:dyDescent="0.25">
      <c r="B304" s="23"/>
      <c r="C304" s="12"/>
      <c r="D304" s="20">
        <f>IFERROR(IF($C304="","",VLOOKUP($C304,'Ürün Kartları'!$B$5:$C$154,2,FALSE)),"— tanımsız ürün —")</f>
      </c>
      <c r="E304" s="12"/>
      <c r="F304" s="14"/>
      <c r="G304" s="15"/>
      <c r="H304" s="16">
        <f>IF(OR($F304="",$G304=""),0,$F304*$G304)</f>
      </c>
      <c r="I304" s="16">
        <f>IFERROR(IF($E304="",0,$H304*VLOOKUP($E304,'Pazaryeri Kartları'!$B$5:$C$24,2,FALSE)+VLOOKUP($E304,'Pazaryeri Kartları'!$B$5:$D$24,3,FALSE)*$G304),0)</f>
      </c>
      <c r="J304" s="16">
        <f>IFERROR(IF($C304="",0,VLOOKUP($C304,'Ürün Kartları'!$B$5:$G$154,6,FALSE)*$G304),0)</f>
      </c>
      <c r="K304" s="15"/>
      <c r="L304" s="14"/>
      <c r="M304" s="21">
        <f>IF($C304="","",IF($K304=1,-($J304*0.5)-$L304,$H304-$I304-$J304-$L304))</f>
      </c>
      <c r="N304" s="22">
        <f>IF(OR($C304="",$H304=0),"",$M304/$H304)</f>
      </c>
    </row>
    <row r="305" spans="2:14" x14ac:dyDescent="0.25">
      <c r="B305" s="19"/>
      <c r="C305" s="8"/>
      <c r="D305" s="20">
        <f>IFERROR(IF($C305="","",VLOOKUP($C305,'Ürün Kartları'!$B$5:$C$154,2,FALSE)),"— tanımsız ürün —")</f>
      </c>
      <c r="E305" s="8"/>
      <c r="F305" s="10"/>
      <c r="G305" s="11"/>
      <c r="H305" s="16">
        <f>IF(OR($F305="",$G305=""),0,$F305*$G305)</f>
      </c>
      <c r="I305" s="16">
        <f>IFERROR(IF($E305="",0,$H305*VLOOKUP($E305,'Pazaryeri Kartları'!$B$5:$C$24,2,FALSE)+VLOOKUP($E305,'Pazaryeri Kartları'!$B$5:$D$24,3,FALSE)*$G305),0)</f>
      </c>
      <c r="J305" s="16">
        <f>IFERROR(IF($C305="",0,VLOOKUP($C305,'Ürün Kartları'!$B$5:$G$154,6,FALSE)*$G305),0)</f>
      </c>
      <c r="K305" s="11"/>
      <c r="L305" s="10"/>
      <c r="M305" s="21">
        <f>IF($C305="","",IF($K305=1,-($J305*0.5)-$L305,$H305-$I305-$J305-$L305))</f>
      </c>
      <c r="N305" s="22">
        <f>IF(OR($C305="",$H305=0),"",$M305/$H305)</f>
      </c>
    </row>
    <row r="306" spans="2:14" x14ac:dyDescent="0.25">
      <c r="B306" s="23"/>
      <c r="C306" s="12"/>
      <c r="D306" s="20">
        <f>IFERROR(IF($C306="","",VLOOKUP($C306,'Ürün Kartları'!$B$5:$C$154,2,FALSE)),"— tanımsız ürün —")</f>
      </c>
      <c r="E306" s="12"/>
      <c r="F306" s="14"/>
      <c r="G306" s="15"/>
      <c r="H306" s="16">
        <f>IF(OR($F306="",$G306=""),0,$F306*$G306)</f>
      </c>
      <c r="I306" s="16">
        <f>IFERROR(IF($E306="",0,$H306*VLOOKUP($E306,'Pazaryeri Kartları'!$B$5:$C$24,2,FALSE)+VLOOKUP($E306,'Pazaryeri Kartları'!$B$5:$D$24,3,FALSE)*$G306),0)</f>
      </c>
      <c r="J306" s="16">
        <f>IFERROR(IF($C306="",0,VLOOKUP($C306,'Ürün Kartları'!$B$5:$G$154,6,FALSE)*$G306),0)</f>
      </c>
      <c r="K306" s="15"/>
      <c r="L306" s="14"/>
      <c r="M306" s="21">
        <f>IF($C306="","",IF($K306=1,-($J306*0.5)-$L306,$H306-$I306-$J306-$L306))</f>
      </c>
      <c r="N306" s="22">
        <f>IF(OR($C306="",$H306=0),"",$M306/$H306)</f>
      </c>
    </row>
    <row r="307" spans="2:14" x14ac:dyDescent="0.25">
      <c r="B307" s="19"/>
      <c r="C307" s="8"/>
      <c r="D307" s="20">
        <f>IFERROR(IF($C307="","",VLOOKUP($C307,'Ürün Kartları'!$B$5:$C$154,2,FALSE)),"— tanımsız ürün —")</f>
      </c>
      <c r="E307" s="8"/>
      <c r="F307" s="10"/>
      <c r="G307" s="11"/>
      <c r="H307" s="16">
        <f>IF(OR($F307="",$G307=""),0,$F307*$G307)</f>
      </c>
      <c r="I307" s="16">
        <f>IFERROR(IF($E307="",0,$H307*VLOOKUP($E307,'Pazaryeri Kartları'!$B$5:$C$24,2,FALSE)+VLOOKUP($E307,'Pazaryeri Kartları'!$B$5:$D$24,3,FALSE)*$G307),0)</f>
      </c>
      <c r="J307" s="16">
        <f>IFERROR(IF($C307="",0,VLOOKUP($C307,'Ürün Kartları'!$B$5:$G$154,6,FALSE)*$G307),0)</f>
      </c>
      <c r="K307" s="11"/>
      <c r="L307" s="10"/>
      <c r="M307" s="21">
        <f>IF($C307="","",IF($K307=1,-($J307*0.5)-$L307,$H307-$I307-$J307-$L307))</f>
      </c>
      <c r="N307" s="22">
        <f>IF(OR($C307="",$H307=0),"",$M307/$H307)</f>
      </c>
    </row>
    <row r="308" spans="2:14" x14ac:dyDescent="0.25">
      <c r="B308" s="23"/>
      <c r="C308" s="12"/>
      <c r="D308" s="20">
        <f>IFERROR(IF($C308="","",VLOOKUP($C308,'Ürün Kartları'!$B$5:$C$154,2,FALSE)),"— tanımsız ürün —")</f>
      </c>
      <c r="E308" s="12"/>
      <c r="F308" s="14"/>
      <c r="G308" s="15"/>
      <c r="H308" s="16">
        <f>IF(OR($F308="",$G308=""),0,$F308*$G308)</f>
      </c>
      <c r="I308" s="16">
        <f>IFERROR(IF($E308="",0,$H308*VLOOKUP($E308,'Pazaryeri Kartları'!$B$5:$C$24,2,FALSE)+VLOOKUP($E308,'Pazaryeri Kartları'!$B$5:$D$24,3,FALSE)*$G308),0)</f>
      </c>
      <c r="J308" s="16">
        <f>IFERROR(IF($C308="",0,VLOOKUP($C308,'Ürün Kartları'!$B$5:$G$154,6,FALSE)*$G308),0)</f>
      </c>
      <c r="K308" s="15"/>
      <c r="L308" s="14"/>
      <c r="M308" s="21">
        <f>IF($C308="","",IF($K308=1,-($J308*0.5)-$L308,$H308-$I308-$J308-$L308))</f>
      </c>
      <c r="N308" s="22">
        <f>IF(OR($C308="",$H308=0),"",$M308/$H308)</f>
      </c>
    </row>
    <row r="309" spans="2:14" x14ac:dyDescent="0.25">
      <c r="B309" s="19"/>
      <c r="C309" s="8"/>
      <c r="D309" s="20">
        <f>IFERROR(IF($C309="","",VLOOKUP($C309,'Ürün Kartları'!$B$5:$C$154,2,FALSE)),"— tanımsız ürün —")</f>
      </c>
      <c r="E309" s="8"/>
      <c r="F309" s="10"/>
      <c r="G309" s="11"/>
      <c r="H309" s="16">
        <f>IF(OR($F309="",$G309=""),0,$F309*$G309)</f>
      </c>
      <c r="I309" s="16">
        <f>IFERROR(IF($E309="",0,$H309*VLOOKUP($E309,'Pazaryeri Kartları'!$B$5:$C$24,2,FALSE)+VLOOKUP($E309,'Pazaryeri Kartları'!$B$5:$D$24,3,FALSE)*$G309),0)</f>
      </c>
      <c r="J309" s="16">
        <f>IFERROR(IF($C309="",0,VLOOKUP($C309,'Ürün Kartları'!$B$5:$G$154,6,FALSE)*$G309),0)</f>
      </c>
      <c r="K309" s="11"/>
      <c r="L309" s="10"/>
      <c r="M309" s="21">
        <f>IF($C309="","",IF($K309=1,-($J309*0.5)-$L309,$H309-$I309-$J309-$L309))</f>
      </c>
      <c r="N309" s="22">
        <f>IF(OR($C309="",$H309=0),"",$M309/$H309)</f>
      </c>
    </row>
    <row r="310" spans="2:14" x14ac:dyDescent="0.25">
      <c r="B310" s="23"/>
      <c r="C310" s="12"/>
      <c r="D310" s="20">
        <f>IFERROR(IF($C310="","",VLOOKUP($C310,'Ürün Kartları'!$B$5:$C$154,2,FALSE)),"— tanımsız ürün —")</f>
      </c>
      <c r="E310" s="12"/>
      <c r="F310" s="14"/>
      <c r="G310" s="15"/>
      <c r="H310" s="16">
        <f>IF(OR($F310="",$G310=""),0,$F310*$G310)</f>
      </c>
      <c r="I310" s="16">
        <f>IFERROR(IF($E310="",0,$H310*VLOOKUP($E310,'Pazaryeri Kartları'!$B$5:$C$24,2,FALSE)+VLOOKUP($E310,'Pazaryeri Kartları'!$B$5:$D$24,3,FALSE)*$G310),0)</f>
      </c>
      <c r="J310" s="16">
        <f>IFERROR(IF($C310="",0,VLOOKUP($C310,'Ürün Kartları'!$B$5:$G$154,6,FALSE)*$G310),0)</f>
      </c>
      <c r="K310" s="15"/>
      <c r="L310" s="14"/>
      <c r="M310" s="21">
        <f>IF($C310="","",IF($K310=1,-($J310*0.5)-$L310,$H310-$I310-$J310-$L310))</f>
      </c>
      <c r="N310" s="22">
        <f>IF(OR($C310="",$H310=0),"",$M310/$H310)</f>
      </c>
    </row>
    <row r="311" spans="2:14" x14ac:dyDescent="0.25">
      <c r="B311" s="19"/>
      <c r="C311" s="8"/>
      <c r="D311" s="20">
        <f>IFERROR(IF($C311="","",VLOOKUP($C311,'Ürün Kartları'!$B$5:$C$154,2,FALSE)),"— tanımsız ürün —")</f>
      </c>
      <c r="E311" s="8"/>
      <c r="F311" s="10"/>
      <c r="G311" s="11"/>
      <c r="H311" s="16">
        <f>IF(OR($F311="",$G311=""),0,$F311*$G311)</f>
      </c>
      <c r="I311" s="16">
        <f>IFERROR(IF($E311="",0,$H311*VLOOKUP($E311,'Pazaryeri Kartları'!$B$5:$C$24,2,FALSE)+VLOOKUP($E311,'Pazaryeri Kartları'!$B$5:$D$24,3,FALSE)*$G311),0)</f>
      </c>
      <c r="J311" s="16">
        <f>IFERROR(IF($C311="",0,VLOOKUP($C311,'Ürün Kartları'!$B$5:$G$154,6,FALSE)*$G311),0)</f>
      </c>
      <c r="K311" s="11"/>
      <c r="L311" s="10"/>
      <c r="M311" s="21">
        <f>IF($C311="","",IF($K311=1,-($J311*0.5)-$L311,$H311-$I311-$J311-$L311))</f>
      </c>
      <c r="N311" s="22">
        <f>IF(OR($C311="",$H311=0),"",$M311/$H311)</f>
      </c>
    </row>
    <row r="312" spans="2:14" x14ac:dyDescent="0.25">
      <c r="B312" s="23"/>
      <c r="C312" s="12"/>
      <c r="D312" s="20">
        <f>IFERROR(IF($C312="","",VLOOKUP($C312,'Ürün Kartları'!$B$5:$C$154,2,FALSE)),"— tanımsız ürün —")</f>
      </c>
      <c r="E312" s="12"/>
      <c r="F312" s="14"/>
      <c r="G312" s="15"/>
      <c r="H312" s="16">
        <f>IF(OR($F312="",$G312=""),0,$F312*$G312)</f>
      </c>
      <c r="I312" s="16">
        <f>IFERROR(IF($E312="",0,$H312*VLOOKUP($E312,'Pazaryeri Kartları'!$B$5:$C$24,2,FALSE)+VLOOKUP($E312,'Pazaryeri Kartları'!$B$5:$D$24,3,FALSE)*$G312),0)</f>
      </c>
      <c r="J312" s="16">
        <f>IFERROR(IF($C312="",0,VLOOKUP($C312,'Ürün Kartları'!$B$5:$G$154,6,FALSE)*$G312),0)</f>
      </c>
      <c r="K312" s="15"/>
      <c r="L312" s="14"/>
      <c r="M312" s="21">
        <f>IF($C312="","",IF($K312=1,-($J312*0.5)-$L312,$H312-$I312-$J312-$L312))</f>
      </c>
      <c r="N312" s="22">
        <f>IF(OR($C312="",$H312=0),"",$M312/$H312)</f>
      </c>
    </row>
    <row r="313" spans="2:14" x14ac:dyDescent="0.25">
      <c r="B313" s="19"/>
      <c r="C313" s="8"/>
      <c r="D313" s="20">
        <f>IFERROR(IF($C313="","",VLOOKUP($C313,'Ürün Kartları'!$B$5:$C$154,2,FALSE)),"— tanımsız ürün —")</f>
      </c>
      <c r="E313" s="8"/>
      <c r="F313" s="10"/>
      <c r="G313" s="11"/>
      <c r="H313" s="16">
        <f>IF(OR($F313="",$G313=""),0,$F313*$G313)</f>
      </c>
      <c r="I313" s="16">
        <f>IFERROR(IF($E313="",0,$H313*VLOOKUP($E313,'Pazaryeri Kartları'!$B$5:$C$24,2,FALSE)+VLOOKUP($E313,'Pazaryeri Kartları'!$B$5:$D$24,3,FALSE)*$G313),0)</f>
      </c>
      <c r="J313" s="16">
        <f>IFERROR(IF($C313="",0,VLOOKUP($C313,'Ürün Kartları'!$B$5:$G$154,6,FALSE)*$G313),0)</f>
      </c>
      <c r="K313" s="11"/>
      <c r="L313" s="10"/>
      <c r="M313" s="21">
        <f>IF($C313="","",IF($K313=1,-($J313*0.5)-$L313,$H313-$I313-$J313-$L313))</f>
      </c>
      <c r="N313" s="22">
        <f>IF(OR($C313="",$H313=0),"",$M313/$H313)</f>
      </c>
    </row>
    <row r="314" spans="2:14" x14ac:dyDescent="0.25">
      <c r="B314" s="23"/>
      <c r="C314" s="12"/>
      <c r="D314" s="20">
        <f>IFERROR(IF($C314="","",VLOOKUP($C314,'Ürün Kartları'!$B$5:$C$154,2,FALSE)),"— tanımsız ürün —")</f>
      </c>
      <c r="E314" s="12"/>
      <c r="F314" s="14"/>
      <c r="G314" s="15"/>
      <c r="H314" s="16">
        <f>IF(OR($F314="",$G314=""),0,$F314*$G314)</f>
      </c>
      <c r="I314" s="16">
        <f>IFERROR(IF($E314="",0,$H314*VLOOKUP($E314,'Pazaryeri Kartları'!$B$5:$C$24,2,FALSE)+VLOOKUP($E314,'Pazaryeri Kartları'!$B$5:$D$24,3,FALSE)*$G314),0)</f>
      </c>
      <c r="J314" s="16">
        <f>IFERROR(IF($C314="",0,VLOOKUP($C314,'Ürün Kartları'!$B$5:$G$154,6,FALSE)*$G314),0)</f>
      </c>
      <c r="K314" s="15"/>
      <c r="L314" s="14"/>
      <c r="M314" s="21">
        <f>IF($C314="","",IF($K314=1,-($J314*0.5)-$L314,$H314-$I314-$J314-$L314))</f>
      </c>
      <c r="N314" s="22">
        <f>IF(OR($C314="",$H314=0),"",$M314/$H314)</f>
      </c>
    </row>
    <row r="315" spans="2:14" x14ac:dyDescent="0.25">
      <c r="B315" s="19"/>
      <c r="C315" s="8"/>
      <c r="D315" s="20">
        <f>IFERROR(IF($C315="","",VLOOKUP($C315,'Ürün Kartları'!$B$5:$C$154,2,FALSE)),"— tanımsız ürün —")</f>
      </c>
      <c r="E315" s="8"/>
      <c r="F315" s="10"/>
      <c r="G315" s="11"/>
      <c r="H315" s="16">
        <f>IF(OR($F315="",$G315=""),0,$F315*$G315)</f>
      </c>
      <c r="I315" s="16">
        <f>IFERROR(IF($E315="",0,$H315*VLOOKUP($E315,'Pazaryeri Kartları'!$B$5:$C$24,2,FALSE)+VLOOKUP($E315,'Pazaryeri Kartları'!$B$5:$D$24,3,FALSE)*$G315),0)</f>
      </c>
      <c r="J315" s="16">
        <f>IFERROR(IF($C315="",0,VLOOKUP($C315,'Ürün Kartları'!$B$5:$G$154,6,FALSE)*$G315),0)</f>
      </c>
      <c r="K315" s="11"/>
      <c r="L315" s="10"/>
      <c r="M315" s="21">
        <f>IF($C315="","",IF($K315=1,-($J315*0.5)-$L315,$H315-$I315-$J315-$L315))</f>
      </c>
      <c r="N315" s="22">
        <f>IF(OR($C315="",$H315=0),"",$M315/$H315)</f>
      </c>
    </row>
    <row r="316" spans="2:14" x14ac:dyDescent="0.25">
      <c r="B316" s="23"/>
      <c r="C316" s="12"/>
      <c r="D316" s="20">
        <f>IFERROR(IF($C316="","",VLOOKUP($C316,'Ürün Kartları'!$B$5:$C$154,2,FALSE)),"— tanımsız ürün —")</f>
      </c>
      <c r="E316" s="12"/>
      <c r="F316" s="14"/>
      <c r="G316" s="15"/>
      <c r="H316" s="16">
        <f>IF(OR($F316="",$G316=""),0,$F316*$G316)</f>
      </c>
      <c r="I316" s="16">
        <f>IFERROR(IF($E316="",0,$H316*VLOOKUP($E316,'Pazaryeri Kartları'!$B$5:$C$24,2,FALSE)+VLOOKUP($E316,'Pazaryeri Kartları'!$B$5:$D$24,3,FALSE)*$G316),0)</f>
      </c>
      <c r="J316" s="16">
        <f>IFERROR(IF($C316="",0,VLOOKUP($C316,'Ürün Kartları'!$B$5:$G$154,6,FALSE)*$G316),0)</f>
      </c>
      <c r="K316" s="15"/>
      <c r="L316" s="14"/>
      <c r="M316" s="21">
        <f>IF($C316="","",IF($K316=1,-($J316*0.5)-$L316,$H316-$I316-$J316-$L316))</f>
      </c>
      <c r="N316" s="22">
        <f>IF(OR($C316="",$H316=0),"",$M316/$H316)</f>
      </c>
    </row>
    <row r="317" spans="2:14" x14ac:dyDescent="0.25">
      <c r="B317" s="19"/>
      <c r="C317" s="8"/>
      <c r="D317" s="20">
        <f>IFERROR(IF($C317="","",VLOOKUP($C317,'Ürün Kartları'!$B$5:$C$154,2,FALSE)),"— tanımsız ürün —")</f>
      </c>
      <c r="E317" s="8"/>
      <c r="F317" s="10"/>
      <c r="G317" s="11"/>
      <c r="H317" s="16">
        <f>IF(OR($F317="",$G317=""),0,$F317*$G317)</f>
      </c>
      <c r="I317" s="16">
        <f>IFERROR(IF($E317="",0,$H317*VLOOKUP($E317,'Pazaryeri Kartları'!$B$5:$C$24,2,FALSE)+VLOOKUP($E317,'Pazaryeri Kartları'!$B$5:$D$24,3,FALSE)*$G317),0)</f>
      </c>
      <c r="J317" s="16">
        <f>IFERROR(IF($C317="",0,VLOOKUP($C317,'Ürün Kartları'!$B$5:$G$154,6,FALSE)*$G317),0)</f>
      </c>
      <c r="K317" s="11"/>
      <c r="L317" s="10"/>
      <c r="M317" s="21">
        <f>IF($C317="","",IF($K317=1,-($J317*0.5)-$L317,$H317-$I317-$J317-$L317))</f>
      </c>
      <c r="N317" s="22">
        <f>IF(OR($C317="",$H317=0),"",$M317/$H317)</f>
      </c>
    </row>
    <row r="318" spans="2:14" x14ac:dyDescent="0.25">
      <c r="B318" s="23"/>
      <c r="C318" s="12"/>
      <c r="D318" s="20">
        <f>IFERROR(IF($C318="","",VLOOKUP($C318,'Ürün Kartları'!$B$5:$C$154,2,FALSE)),"— tanımsız ürün —")</f>
      </c>
      <c r="E318" s="12"/>
      <c r="F318" s="14"/>
      <c r="G318" s="15"/>
      <c r="H318" s="16">
        <f>IF(OR($F318="",$G318=""),0,$F318*$G318)</f>
      </c>
      <c r="I318" s="16">
        <f>IFERROR(IF($E318="",0,$H318*VLOOKUP($E318,'Pazaryeri Kartları'!$B$5:$C$24,2,FALSE)+VLOOKUP($E318,'Pazaryeri Kartları'!$B$5:$D$24,3,FALSE)*$G318),0)</f>
      </c>
      <c r="J318" s="16">
        <f>IFERROR(IF($C318="",0,VLOOKUP($C318,'Ürün Kartları'!$B$5:$G$154,6,FALSE)*$G318),0)</f>
      </c>
      <c r="K318" s="15"/>
      <c r="L318" s="14"/>
      <c r="M318" s="21">
        <f>IF($C318="","",IF($K318=1,-($J318*0.5)-$L318,$H318-$I318-$J318-$L318))</f>
      </c>
      <c r="N318" s="22">
        <f>IF(OR($C318="",$H318=0),"",$M318/$H318)</f>
      </c>
    </row>
    <row r="319" spans="2:14" x14ac:dyDescent="0.25">
      <c r="B319" s="19"/>
      <c r="C319" s="8"/>
      <c r="D319" s="20">
        <f>IFERROR(IF($C319="","",VLOOKUP($C319,'Ürün Kartları'!$B$5:$C$154,2,FALSE)),"— tanımsız ürün —")</f>
      </c>
      <c r="E319" s="8"/>
      <c r="F319" s="10"/>
      <c r="G319" s="11"/>
      <c r="H319" s="16">
        <f>IF(OR($F319="",$G319=""),0,$F319*$G319)</f>
      </c>
      <c r="I319" s="16">
        <f>IFERROR(IF($E319="",0,$H319*VLOOKUP($E319,'Pazaryeri Kartları'!$B$5:$C$24,2,FALSE)+VLOOKUP($E319,'Pazaryeri Kartları'!$B$5:$D$24,3,FALSE)*$G319),0)</f>
      </c>
      <c r="J319" s="16">
        <f>IFERROR(IF($C319="",0,VLOOKUP($C319,'Ürün Kartları'!$B$5:$G$154,6,FALSE)*$G319),0)</f>
      </c>
      <c r="K319" s="11"/>
      <c r="L319" s="10"/>
      <c r="M319" s="21">
        <f>IF($C319="","",IF($K319=1,-($J319*0.5)-$L319,$H319-$I319-$J319-$L319))</f>
      </c>
      <c r="N319" s="22">
        <f>IF(OR($C319="",$H319=0),"",$M319/$H319)</f>
      </c>
    </row>
    <row r="320" spans="2:14" x14ac:dyDescent="0.25">
      <c r="B320" s="23"/>
      <c r="C320" s="12"/>
      <c r="D320" s="20">
        <f>IFERROR(IF($C320="","",VLOOKUP($C320,'Ürün Kartları'!$B$5:$C$154,2,FALSE)),"— tanımsız ürün —")</f>
      </c>
      <c r="E320" s="12"/>
      <c r="F320" s="14"/>
      <c r="G320" s="15"/>
      <c r="H320" s="16">
        <f>IF(OR($F320="",$G320=""),0,$F320*$G320)</f>
      </c>
      <c r="I320" s="16">
        <f>IFERROR(IF($E320="",0,$H320*VLOOKUP($E320,'Pazaryeri Kartları'!$B$5:$C$24,2,FALSE)+VLOOKUP($E320,'Pazaryeri Kartları'!$B$5:$D$24,3,FALSE)*$G320),0)</f>
      </c>
      <c r="J320" s="16">
        <f>IFERROR(IF($C320="",0,VLOOKUP($C320,'Ürün Kartları'!$B$5:$G$154,6,FALSE)*$G320),0)</f>
      </c>
      <c r="K320" s="15"/>
      <c r="L320" s="14"/>
      <c r="M320" s="21">
        <f>IF($C320="","",IF($K320=1,-($J320*0.5)-$L320,$H320-$I320-$J320-$L320))</f>
      </c>
      <c r="N320" s="22">
        <f>IF(OR($C320="",$H320=0),"",$M320/$H320)</f>
      </c>
    </row>
    <row r="321" spans="2:14" x14ac:dyDescent="0.25">
      <c r="B321" s="19"/>
      <c r="C321" s="8"/>
      <c r="D321" s="20">
        <f>IFERROR(IF($C321="","",VLOOKUP($C321,'Ürün Kartları'!$B$5:$C$154,2,FALSE)),"— tanımsız ürün —")</f>
      </c>
      <c r="E321" s="8"/>
      <c r="F321" s="10"/>
      <c r="G321" s="11"/>
      <c r="H321" s="16">
        <f>IF(OR($F321="",$G321=""),0,$F321*$G321)</f>
      </c>
      <c r="I321" s="16">
        <f>IFERROR(IF($E321="",0,$H321*VLOOKUP($E321,'Pazaryeri Kartları'!$B$5:$C$24,2,FALSE)+VLOOKUP($E321,'Pazaryeri Kartları'!$B$5:$D$24,3,FALSE)*$G321),0)</f>
      </c>
      <c r="J321" s="16">
        <f>IFERROR(IF($C321="",0,VLOOKUP($C321,'Ürün Kartları'!$B$5:$G$154,6,FALSE)*$G321),0)</f>
      </c>
      <c r="K321" s="11"/>
      <c r="L321" s="10"/>
      <c r="M321" s="21">
        <f>IF($C321="","",IF($K321=1,-($J321*0.5)-$L321,$H321-$I321-$J321-$L321))</f>
      </c>
      <c r="N321" s="22">
        <f>IF(OR($C321="",$H321=0),"",$M321/$H321)</f>
      </c>
    </row>
    <row r="322" spans="2:14" x14ac:dyDescent="0.25">
      <c r="B322" s="23"/>
      <c r="C322" s="12"/>
      <c r="D322" s="20">
        <f>IFERROR(IF($C322="","",VLOOKUP($C322,'Ürün Kartları'!$B$5:$C$154,2,FALSE)),"— tanımsız ürün —")</f>
      </c>
      <c r="E322" s="12"/>
      <c r="F322" s="14"/>
      <c r="G322" s="15"/>
      <c r="H322" s="16">
        <f>IF(OR($F322="",$G322=""),0,$F322*$G322)</f>
      </c>
      <c r="I322" s="16">
        <f>IFERROR(IF($E322="",0,$H322*VLOOKUP($E322,'Pazaryeri Kartları'!$B$5:$C$24,2,FALSE)+VLOOKUP($E322,'Pazaryeri Kartları'!$B$5:$D$24,3,FALSE)*$G322),0)</f>
      </c>
      <c r="J322" s="16">
        <f>IFERROR(IF($C322="",0,VLOOKUP($C322,'Ürün Kartları'!$B$5:$G$154,6,FALSE)*$G322),0)</f>
      </c>
      <c r="K322" s="15"/>
      <c r="L322" s="14"/>
      <c r="M322" s="21">
        <f>IF($C322="","",IF($K322=1,-($J322*0.5)-$L322,$H322-$I322-$J322-$L322))</f>
      </c>
      <c r="N322" s="22">
        <f>IF(OR($C322="",$H322=0),"",$M322/$H322)</f>
      </c>
    </row>
    <row r="323" spans="2:14" x14ac:dyDescent="0.25">
      <c r="B323" s="19"/>
      <c r="C323" s="8"/>
      <c r="D323" s="20">
        <f>IFERROR(IF($C323="","",VLOOKUP($C323,'Ürün Kartları'!$B$5:$C$154,2,FALSE)),"— tanımsız ürün —")</f>
      </c>
      <c r="E323" s="8"/>
      <c r="F323" s="10"/>
      <c r="G323" s="11"/>
      <c r="H323" s="16">
        <f>IF(OR($F323="",$G323=""),0,$F323*$G323)</f>
      </c>
      <c r="I323" s="16">
        <f>IFERROR(IF($E323="",0,$H323*VLOOKUP($E323,'Pazaryeri Kartları'!$B$5:$C$24,2,FALSE)+VLOOKUP($E323,'Pazaryeri Kartları'!$B$5:$D$24,3,FALSE)*$G323),0)</f>
      </c>
      <c r="J323" s="16">
        <f>IFERROR(IF($C323="",0,VLOOKUP($C323,'Ürün Kartları'!$B$5:$G$154,6,FALSE)*$G323),0)</f>
      </c>
      <c r="K323" s="11"/>
      <c r="L323" s="10"/>
      <c r="M323" s="21">
        <f>IF($C323="","",IF($K323=1,-($J323*0.5)-$L323,$H323-$I323-$J323-$L323))</f>
      </c>
      <c r="N323" s="22">
        <f>IF(OR($C323="",$H323=0),"",$M323/$H323)</f>
      </c>
    </row>
    <row r="324" spans="2:14" x14ac:dyDescent="0.25">
      <c r="B324" s="23"/>
      <c r="C324" s="12"/>
      <c r="D324" s="20">
        <f>IFERROR(IF($C324="","",VLOOKUP($C324,'Ürün Kartları'!$B$5:$C$154,2,FALSE)),"— tanımsız ürün —")</f>
      </c>
      <c r="E324" s="12"/>
      <c r="F324" s="14"/>
      <c r="G324" s="15"/>
      <c r="H324" s="16">
        <f>IF(OR($F324="",$G324=""),0,$F324*$G324)</f>
      </c>
      <c r="I324" s="16">
        <f>IFERROR(IF($E324="",0,$H324*VLOOKUP($E324,'Pazaryeri Kartları'!$B$5:$C$24,2,FALSE)+VLOOKUP($E324,'Pazaryeri Kartları'!$B$5:$D$24,3,FALSE)*$G324),0)</f>
      </c>
      <c r="J324" s="16">
        <f>IFERROR(IF($C324="",0,VLOOKUP($C324,'Ürün Kartları'!$B$5:$G$154,6,FALSE)*$G324),0)</f>
      </c>
      <c r="K324" s="15"/>
      <c r="L324" s="14"/>
      <c r="M324" s="21">
        <f>IF($C324="","",IF($K324=1,-($J324*0.5)-$L324,$H324-$I324-$J324-$L324))</f>
      </c>
      <c r="N324" s="22">
        <f>IF(OR($C324="",$H324=0),"",$M324/$H324)</f>
      </c>
    </row>
    <row r="325" spans="2:14" x14ac:dyDescent="0.25">
      <c r="B325" s="19"/>
      <c r="C325" s="8"/>
      <c r="D325" s="20">
        <f>IFERROR(IF($C325="","",VLOOKUP($C325,'Ürün Kartları'!$B$5:$C$154,2,FALSE)),"— tanımsız ürün —")</f>
      </c>
      <c r="E325" s="8"/>
      <c r="F325" s="10"/>
      <c r="G325" s="11"/>
      <c r="H325" s="16">
        <f>IF(OR($F325="",$G325=""),0,$F325*$G325)</f>
      </c>
      <c r="I325" s="16">
        <f>IFERROR(IF($E325="",0,$H325*VLOOKUP($E325,'Pazaryeri Kartları'!$B$5:$C$24,2,FALSE)+VLOOKUP($E325,'Pazaryeri Kartları'!$B$5:$D$24,3,FALSE)*$G325),0)</f>
      </c>
      <c r="J325" s="16">
        <f>IFERROR(IF($C325="",0,VLOOKUP($C325,'Ürün Kartları'!$B$5:$G$154,6,FALSE)*$G325),0)</f>
      </c>
      <c r="K325" s="11"/>
      <c r="L325" s="10"/>
      <c r="M325" s="21">
        <f>IF($C325="","",IF($K325=1,-($J325*0.5)-$L325,$H325-$I325-$J325-$L325))</f>
      </c>
      <c r="N325" s="22">
        <f>IF(OR($C325="",$H325=0),"",$M325/$H325)</f>
      </c>
    </row>
    <row r="326" spans="2:14" x14ac:dyDescent="0.25">
      <c r="B326" s="23"/>
      <c r="C326" s="12"/>
      <c r="D326" s="20">
        <f>IFERROR(IF($C326="","",VLOOKUP($C326,'Ürün Kartları'!$B$5:$C$154,2,FALSE)),"— tanımsız ürün —")</f>
      </c>
      <c r="E326" s="12"/>
      <c r="F326" s="14"/>
      <c r="G326" s="15"/>
      <c r="H326" s="16">
        <f>IF(OR($F326="",$G326=""),0,$F326*$G326)</f>
      </c>
      <c r="I326" s="16">
        <f>IFERROR(IF($E326="",0,$H326*VLOOKUP($E326,'Pazaryeri Kartları'!$B$5:$C$24,2,FALSE)+VLOOKUP($E326,'Pazaryeri Kartları'!$B$5:$D$24,3,FALSE)*$G326),0)</f>
      </c>
      <c r="J326" s="16">
        <f>IFERROR(IF($C326="",0,VLOOKUP($C326,'Ürün Kartları'!$B$5:$G$154,6,FALSE)*$G326),0)</f>
      </c>
      <c r="K326" s="15"/>
      <c r="L326" s="14"/>
      <c r="M326" s="21">
        <f>IF($C326="","",IF($K326=1,-($J326*0.5)-$L326,$H326-$I326-$J326-$L326))</f>
      </c>
      <c r="N326" s="22">
        <f>IF(OR($C326="",$H326=0),"",$M326/$H326)</f>
      </c>
    </row>
    <row r="327" spans="2:14" x14ac:dyDescent="0.25">
      <c r="B327" s="19"/>
      <c r="C327" s="8"/>
      <c r="D327" s="20">
        <f>IFERROR(IF($C327="","",VLOOKUP($C327,'Ürün Kartları'!$B$5:$C$154,2,FALSE)),"— tanımsız ürün —")</f>
      </c>
      <c r="E327" s="8"/>
      <c r="F327" s="10"/>
      <c r="G327" s="11"/>
      <c r="H327" s="16">
        <f>IF(OR($F327="",$G327=""),0,$F327*$G327)</f>
      </c>
      <c r="I327" s="16">
        <f>IFERROR(IF($E327="",0,$H327*VLOOKUP($E327,'Pazaryeri Kartları'!$B$5:$C$24,2,FALSE)+VLOOKUP($E327,'Pazaryeri Kartları'!$B$5:$D$24,3,FALSE)*$G327),0)</f>
      </c>
      <c r="J327" s="16">
        <f>IFERROR(IF($C327="",0,VLOOKUP($C327,'Ürün Kartları'!$B$5:$G$154,6,FALSE)*$G327),0)</f>
      </c>
      <c r="K327" s="11"/>
      <c r="L327" s="10"/>
      <c r="M327" s="21">
        <f>IF($C327="","",IF($K327=1,-($J327*0.5)-$L327,$H327-$I327-$J327-$L327))</f>
      </c>
      <c r="N327" s="22">
        <f>IF(OR($C327="",$H327=0),"",$M327/$H327)</f>
      </c>
    </row>
    <row r="328" spans="2:14" x14ac:dyDescent="0.25">
      <c r="B328" s="23"/>
      <c r="C328" s="12"/>
      <c r="D328" s="20">
        <f>IFERROR(IF($C328="","",VLOOKUP($C328,'Ürün Kartları'!$B$5:$C$154,2,FALSE)),"— tanımsız ürün —")</f>
      </c>
      <c r="E328" s="12"/>
      <c r="F328" s="14"/>
      <c r="G328" s="15"/>
      <c r="H328" s="16">
        <f>IF(OR($F328="",$G328=""),0,$F328*$G328)</f>
      </c>
      <c r="I328" s="16">
        <f>IFERROR(IF($E328="",0,$H328*VLOOKUP($E328,'Pazaryeri Kartları'!$B$5:$C$24,2,FALSE)+VLOOKUP($E328,'Pazaryeri Kartları'!$B$5:$D$24,3,FALSE)*$G328),0)</f>
      </c>
      <c r="J328" s="16">
        <f>IFERROR(IF($C328="",0,VLOOKUP($C328,'Ürün Kartları'!$B$5:$G$154,6,FALSE)*$G328),0)</f>
      </c>
      <c r="K328" s="15"/>
      <c r="L328" s="14"/>
      <c r="M328" s="21">
        <f>IF($C328="","",IF($K328=1,-($J328*0.5)-$L328,$H328-$I328-$J328-$L328))</f>
      </c>
      <c r="N328" s="22">
        <f>IF(OR($C328="",$H328=0),"",$M328/$H328)</f>
      </c>
    </row>
    <row r="329" spans="2:14" x14ac:dyDescent="0.25">
      <c r="B329" s="19"/>
      <c r="C329" s="8"/>
      <c r="D329" s="20">
        <f>IFERROR(IF($C329="","",VLOOKUP($C329,'Ürün Kartları'!$B$5:$C$154,2,FALSE)),"— tanımsız ürün —")</f>
      </c>
      <c r="E329" s="8"/>
      <c r="F329" s="10"/>
      <c r="G329" s="11"/>
      <c r="H329" s="16">
        <f>IF(OR($F329="",$G329=""),0,$F329*$G329)</f>
      </c>
      <c r="I329" s="16">
        <f>IFERROR(IF($E329="",0,$H329*VLOOKUP($E329,'Pazaryeri Kartları'!$B$5:$C$24,2,FALSE)+VLOOKUP($E329,'Pazaryeri Kartları'!$B$5:$D$24,3,FALSE)*$G329),0)</f>
      </c>
      <c r="J329" s="16">
        <f>IFERROR(IF($C329="",0,VLOOKUP($C329,'Ürün Kartları'!$B$5:$G$154,6,FALSE)*$G329),0)</f>
      </c>
      <c r="K329" s="11"/>
      <c r="L329" s="10"/>
      <c r="M329" s="21">
        <f>IF($C329="","",IF($K329=1,-($J329*0.5)-$L329,$H329-$I329-$J329-$L329))</f>
      </c>
      <c r="N329" s="22">
        <f>IF(OR($C329="",$H329=0),"",$M329/$H329)</f>
      </c>
    </row>
    <row r="330" spans="2:14" x14ac:dyDescent="0.25">
      <c r="B330" s="23"/>
      <c r="C330" s="12"/>
      <c r="D330" s="20">
        <f>IFERROR(IF($C330="","",VLOOKUP($C330,'Ürün Kartları'!$B$5:$C$154,2,FALSE)),"— tanımsız ürün —")</f>
      </c>
      <c r="E330" s="12"/>
      <c r="F330" s="14"/>
      <c r="G330" s="15"/>
      <c r="H330" s="16">
        <f>IF(OR($F330="",$G330=""),0,$F330*$G330)</f>
      </c>
      <c r="I330" s="16">
        <f>IFERROR(IF($E330="",0,$H330*VLOOKUP($E330,'Pazaryeri Kartları'!$B$5:$C$24,2,FALSE)+VLOOKUP($E330,'Pazaryeri Kartları'!$B$5:$D$24,3,FALSE)*$G330),0)</f>
      </c>
      <c r="J330" s="16">
        <f>IFERROR(IF($C330="",0,VLOOKUP($C330,'Ürün Kartları'!$B$5:$G$154,6,FALSE)*$G330),0)</f>
      </c>
      <c r="K330" s="15"/>
      <c r="L330" s="14"/>
      <c r="M330" s="21">
        <f>IF($C330="","",IF($K330=1,-($J330*0.5)-$L330,$H330-$I330-$J330-$L330))</f>
      </c>
      <c r="N330" s="22">
        <f>IF(OR($C330="",$H330=0),"",$M330/$H330)</f>
      </c>
    </row>
    <row r="331" spans="2:14" x14ac:dyDescent="0.25">
      <c r="B331" s="19"/>
      <c r="C331" s="8"/>
      <c r="D331" s="20">
        <f>IFERROR(IF($C331="","",VLOOKUP($C331,'Ürün Kartları'!$B$5:$C$154,2,FALSE)),"— tanımsız ürün —")</f>
      </c>
      <c r="E331" s="8"/>
      <c r="F331" s="10"/>
      <c r="G331" s="11"/>
      <c r="H331" s="16">
        <f>IF(OR($F331="",$G331=""),0,$F331*$G331)</f>
      </c>
      <c r="I331" s="16">
        <f>IFERROR(IF($E331="",0,$H331*VLOOKUP($E331,'Pazaryeri Kartları'!$B$5:$C$24,2,FALSE)+VLOOKUP($E331,'Pazaryeri Kartları'!$B$5:$D$24,3,FALSE)*$G331),0)</f>
      </c>
      <c r="J331" s="16">
        <f>IFERROR(IF($C331="",0,VLOOKUP($C331,'Ürün Kartları'!$B$5:$G$154,6,FALSE)*$G331),0)</f>
      </c>
      <c r="K331" s="11"/>
      <c r="L331" s="10"/>
      <c r="M331" s="21">
        <f>IF($C331="","",IF($K331=1,-($J331*0.5)-$L331,$H331-$I331-$J331-$L331))</f>
      </c>
      <c r="N331" s="22">
        <f>IF(OR($C331="",$H331=0),"",$M331/$H331)</f>
      </c>
    </row>
    <row r="332" spans="2:14" x14ac:dyDescent="0.25">
      <c r="B332" s="23"/>
      <c r="C332" s="12"/>
      <c r="D332" s="20">
        <f>IFERROR(IF($C332="","",VLOOKUP($C332,'Ürün Kartları'!$B$5:$C$154,2,FALSE)),"— tanımsız ürün —")</f>
      </c>
      <c r="E332" s="12"/>
      <c r="F332" s="14"/>
      <c r="G332" s="15"/>
      <c r="H332" s="16">
        <f>IF(OR($F332="",$G332=""),0,$F332*$G332)</f>
      </c>
      <c r="I332" s="16">
        <f>IFERROR(IF($E332="",0,$H332*VLOOKUP($E332,'Pazaryeri Kartları'!$B$5:$C$24,2,FALSE)+VLOOKUP($E332,'Pazaryeri Kartları'!$B$5:$D$24,3,FALSE)*$G332),0)</f>
      </c>
      <c r="J332" s="16">
        <f>IFERROR(IF($C332="",0,VLOOKUP($C332,'Ürün Kartları'!$B$5:$G$154,6,FALSE)*$G332),0)</f>
      </c>
      <c r="K332" s="15"/>
      <c r="L332" s="14"/>
      <c r="M332" s="21">
        <f>IF($C332="","",IF($K332=1,-($J332*0.5)-$L332,$H332-$I332-$J332-$L332))</f>
      </c>
      <c r="N332" s="22">
        <f>IF(OR($C332="",$H332=0),"",$M332/$H332)</f>
      </c>
    </row>
    <row r="333" spans="2:14" x14ac:dyDescent="0.25">
      <c r="B333" s="19"/>
      <c r="C333" s="8"/>
      <c r="D333" s="20">
        <f>IFERROR(IF($C333="","",VLOOKUP($C333,'Ürün Kartları'!$B$5:$C$154,2,FALSE)),"— tanımsız ürün —")</f>
      </c>
      <c r="E333" s="8"/>
      <c r="F333" s="10"/>
      <c r="G333" s="11"/>
      <c r="H333" s="16">
        <f>IF(OR($F333="",$G333=""),0,$F333*$G333)</f>
      </c>
      <c r="I333" s="16">
        <f>IFERROR(IF($E333="",0,$H333*VLOOKUP($E333,'Pazaryeri Kartları'!$B$5:$C$24,2,FALSE)+VLOOKUP($E333,'Pazaryeri Kartları'!$B$5:$D$24,3,FALSE)*$G333),0)</f>
      </c>
      <c r="J333" s="16">
        <f>IFERROR(IF($C333="",0,VLOOKUP($C333,'Ürün Kartları'!$B$5:$G$154,6,FALSE)*$G333),0)</f>
      </c>
      <c r="K333" s="11"/>
      <c r="L333" s="10"/>
      <c r="M333" s="21">
        <f>IF($C333="","",IF($K333=1,-($J333*0.5)-$L333,$H333-$I333-$J333-$L333))</f>
      </c>
      <c r="N333" s="22">
        <f>IF(OR($C333="",$H333=0),"",$M333/$H333)</f>
      </c>
    </row>
    <row r="334" spans="2:14" x14ac:dyDescent="0.25">
      <c r="B334" s="23"/>
      <c r="C334" s="12"/>
      <c r="D334" s="20">
        <f>IFERROR(IF($C334="","",VLOOKUP($C334,'Ürün Kartları'!$B$5:$C$154,2,FALSE)),"— tanımsız ürün —")</f>
      </c>
      <c r="E334" s="12"/>
      <c r="F334" s="14"/>
      <c r="G334" s="15"/>
      <c r="H334" s="16">
        <f>IF(OR($F334="",$G334=""),0,$F334*$G334)</f>
      </c>
      <c r="I334" s="16">
        <f>IFERROR(IF($E334="",0,$H334*VLOOKUP($E334,'Pazaryeri Kartları'!$B$5:$C$24,2,FALSE)+VLOOKUP($E334,'Pazaryeri Kartları'!$B$5:$D$24,3,FALSE)*$G334),0)</f>
      </c>
      <c r="J334" s="16">
        <f>IFERROR(IF($C334="",0,VLOOKUP($C334,'Ürün Kartları'!$B$5:$G$154,6,FALSE)*$G334),0)</f>
      </c>
      <c r="K334" s="15"/>
      <c r="L334" s="14"/>
      <c r="M334" s="21">
        <f>IF($C334="","",IF($K334=1,-($J334*0.5)-$L334,$H334-$I334-$J334-$L334))</f>
      </c>
      <c r="N334" s="22">
        <f>IF(OR($C334="",$H334=0),"",$M334/$H334)</f>
      </c>
    </row>
    <row r="335" spans="2:14" x14ac:dyDescent="0.25">
      <c r="B335" s="19"/>
      <c r="C335" s="8"/>
      <c r="D335" s="20">
        <f>IFERROR(IF($C335="","",VLOOKUP($C335,'Ürün Kartları'!$B$5:$C$154,2,FALSE)),"— tanımsız ürün —")</f>
      </c>
      <c r="E335" s="8"/>
      <c r="F335" s="10"/>
      <c r="G335" s="11"/>
      <c r="H335" s="16">
        <f>IF(OR($F335="",$G335=""),0,$F335*$G335)</f>
      </c>
      <c r="I335" s="16">
        <f>IFERROR(IF($E335="",0,$H335*VLOOKUP($E335,'Pazaryeri Kartları'!$B$5:$C$24,2,FALSE)+VLOOKUP($E335,'Pazaryeri Kartları'!$B$5:$D$24,3,FALSE)*$G335),0)</f>
      </c>
      <c r="J335" s="16">
        <f>IFERROR(IF($C335="",0,VLOOKUP($C335,'Ürün Kartları'!$B$5:$G$154,6,FALSE)*$G335),0)</f>
      </c>
      <c r="K335" s="11"/>
      <c r="L335" s="10"/>
      <c r="M335" s="21">
        <f>IF($C335="","",IF($K335=1,-($J335*0.5)-$L335,$H335-$I335-$J335-$L335))</f>
      </c>
      <c r="N335" s="22">
        <f>IF(OR($C335="",$H335=0),"",$M335/$H335)</f>
      </c>
    </row>
    <row r="336" spans="2:14" x14ac:dyDescent="0.25">
      <c r="B336" s="23"/>
      <c r="C336" s="12"/>
      <c r="D336" s="20">
        <f>IFERROR(IF($C336="","",VLOOKUP($C336,'Ürün Kartları'!$B$5:$C$154,2,FALSE)),"— tanımsız ürün —")</f>
      </c>
      <c r="E336" s="12"/>
      <c r="F336" s="14"/>
      <c r="G336" s="15"/>
      <c r="H336" s="16">
        <f>IF(OR($F336="",$G336=""),0,$F336*$G336)</f>
      </c>
      <c r="I336" s="16">
        <f>IFERROR(IF($E336="",0,$H336*VLOOKUP($E336,'Pazaryeri Kartları'!$B$5:$C$24,2,FALSE)+VLOOKUP($E336,'Pazaryeri Kartları'!$B$5:$D$24,3,FALSE)*$G336),0)</f>
      </c>
      <c r="J336" s="16">
        <f>IFERROR(IF($C336="",0,VLOOKUP($C336,'Ürün Kartları'!$B$5:$G$154,6,FALSE)*$G336),0)</f>
      </c>
      <c r="K336" s="15"/>
      <c r="L336" s="14"/>
      <c r="M336" s="21">
        <f>IF($C336="","",IF($K336=1,-($J336*0.5)-$L336,$H336-$I336-$J336-$L336))</f>
      </c>
      <c r="N336" s="22">
        <f>IF(OR($C336="",$H336=0),"",$M336/$H336)</f>
      </c>
    </row>
    <row r="337" spans="2:14" x14ac:dyDescent="0.25">
      <c r="B337" s="19"/>
      <c r="C337" s="8"/>
      <c r="D337" s="20">
        <f>IFERROR(IF($C337="","",VLOOKUP($C337,'Ürün Kartları'!$B$5:$C$154,2,FALSE)),"— tanımsız ürün —")</f>
      </c>
      <c r="E337" s="8"/>
      <c r="F337" s="10"/>
      <c r="G337" s="11"/>
      <c r="H337" s="16">
        <f>IF(OR($F337="",$G337=""),0,$F337*$G337)</f>
      </c>
      <c r="I337" s="16">
        <f>IFERROR(IF($E337="",0,$H337*VLOOKUP($E337,'Pazaryeri Kartları'!$B$5:$C$24,2,FALSE)+VLOOKUP($E337,'Pazaryeri Kartları'!$B$5:$D$24,3,FALSE)*$G337),0)</f>
      </c>
      <c r="J337" s="16">
        <f>IFERROR(IF($C337="",0,VLOOKUP($C337,'Ürün Kartları'!$B$5:$G$154,6,FALSE)*$G337),0)</f>
      </c>
      <c r="K337" s="11"/>
      <c r="L337" s="10"/>
      <c r="M337" s="21">
        <f>IF($C337="","",IF($K337=1,-($J337*0.5)-$L337,$H337-$I337-$J337-$L337))</f>
      </c>
      <c r="N337" s="22">
        <f>IF(OR($C337="",$H337=0),"",$M337/$H337)</f>
      </c>
    </row>
    <row r="338" spans="2:14" x14ac:dyDescent="0.25">
      <c r="B338" s="23"/>
      <c r="C338" s="12"/>
      <c r="D338" s="20">
        <f>IFERROR(IF($C338="","",VLOOKUP($C338,'Ürün Kartları'!$B$5:$C$154,2,FALSE)),"— tanımsız ürün —")</f>
      </c>
      <c r="E338" s="12"/>
      <c r="F338" s="14"/>
      <c r="G338" s="15"/>
      <c r="H338" s="16">
        <f>IF(OR($F338="",$G338=""),0,$F338*$G338)</f>
      </c>
      <c r="I338" s="16">
        <f>IFERROR(IF($E338="",0,$H338*VLOOKUP($E338,'Pazaryeri Kartları'!$B$5:$C$24,2,FALSE)+VLOOKUP($E338,'Pazaryeri Kartları'!$B$5:$D$24,3,FALSE)*$G338),0)</f>
      </c>
      <c r="J338" s="16">
        <f>IFERROR(IF($C338="",0,VLOOKUP($C338,'Ürün Kartları'!$B$5:$G$154,6,FALSE)*$G338),0)</f>
      </c>
      <c r="K338" s="15"/>
      <c r="L338" s="14"/>
      <c r="M338" s="21">
        <f>IF($C338="","",IF($K338=1,-($J338*0.5)-$L338,$H338-$I338-$J338-$L338))</f>
      </c>
      <c r="N338" s="22">
        <f>IF(OR($C338="",$H338=0),"",$M338/$H338)</f>
      </c>
    </row>
    <row r="339" spans="2:14" x14ac:dyDescent="0.25">
      <c r="B339" s="19"/>
      <c r="C339" s="8"/>
      <c r="D339" s="20">
        <f>IFERROR(IF($C339="","",VLOOKUP($C339,'Ürün Kartları'!$B$5:$C$154,2,FALSE)),"— tanımsız ürün —")</f>
      </c>
      <c r="E339" s="8"/>
      <c r="F339" s="10"/>
      <c r="G339" s="11"/>
      <c r="H339" s="16">
        <f>IF(OR($F339="",$G339=""),0,$F339*$G339)</f>
      </c>
      <c r="I339" s="16">
        <f>IFERROR(IF($E339="",0,$H339*VLOOKUP($E339,'Pazaryeri Kartları'!$B$5:$C$24,2,FALSE)+VLOOKUP($E339,'Pazaryeri Kartları'!$B$5:$D$24,3,FALSE)*$G339),0)</f>
      </c>
      <c r="J339" s="16">
        <f>IFERROR(IF($C339="",0,VLOOKUP($C339,'Ürün Kartları'!$B$5:$G$154,6,FALSE)*$G339),0)</f>
      </c>
      <c r="K339" s="11"/>
      <c r="L339" s="10"/>
      <c r="M339" s="21">
        <f>IF($C339="","",IF($K339=1,-($J339*0.5)-$L339,$H339-$I339-$J339-$L339))</f>
      </c>
      <c r="N339" s="22">
        <f>IF(OR($C339="",$H339=0),"",$M339/$H339)</f>
      </c>
    </row>
    <row r="340" spans="2:14" x14ac:dyDescent="0.25">
      <c r="B340" s="23"/>
      <c r="C340" s="12"/>
      <c r="D340" s="20">
        <f>IFERROR(IF($C340="","",VLOOKUP($C340,'Ürün Kartları'!$B$5:$C$154,2,FALSE)),"— tanımsız ürün —")</f>
      </c>
      <c r="E340" s="12"/>
      <c r="F340" s="14"/>
      <c r="G340" s="15"/>
      <c r="H340" s="16">
        <f>IF(OR($F340="",$G340=""),0,$F340*$G340)</f>
      </c>
      <c r="I340" s="16">
        <f>IFERROR(IF($E340="",0,$H340*VLOOKUP($E340,'Pazaryeri Kartları'!$B$5:$C$24,2,FALSE)+VLOOKUP($E340,'Pazaryeri Kartları'!$B$5:$D$24,3,FALSE)*$G340),0)</f>
      </c>
      <c r="J340" s="16">
        <f>IFERROR(IF($C340="",0,VLOOKUP($C340,'Ürün Kartları'!$B$5:$G$154,6,FALSE)*$G340),0)</f>
      </c>
      <c r="K340" s="15"/>
      <c r="L340" s="14"/>
      <c r="M340" s="21">
        <f>IF($C340="","",IF($K340=1,-($J340*0.5)-$L340,$H340-$I340-$J340-$L340))</f>
      </c>
      <c r="N340" s="22">
        <f>IF(OR($C340="",$H340=0),"",$M340/$H340)</f>
      </c>
    </row>
    <row r="341" spans="2:14" x14ac:dyDescent="0.25">
      <c r="B341" s="19"/>
      <c r="C341" s="8"/>
      <c r="D341" s="20">
        <f>IFERROR(IF($C341="","",VLOOKUP($C341,'Ürün Kartları'!$B$5:$C$154,2,FALSE)),"— tanımsız ürün —")</f>
      </c>
      <c r="E341" s="8"/>
      <c r="F341" s="10"/>
      <c r="G341" s="11"/>
      <c r="H341" s="16">
        <f>IF(OR($F341="",$G341=""),0,$F341*$G341)</f>
      </c>
      <c r="I341" s="16">
        <f>IFERROR(IF($E341="",0,$H341*VLOOKUP($E341,'Pazaryeri Kartları'!$B$5:$C$24,2,FALSE)+VLOOKUP($E341,'Pazaryeri Kartları'!$B$5:$D$24,3,FALSE)*$G341),0)</f>
      </c>
      <c r="J341" s="16">
        <f>IFERROR(IF($C341="",0,VLOOKUP($C341,'Ürün Kartları'!$B$5:$G$154,6,FALSE)*$G341),0)</f>
      </c>
      <c r="K341" s="11"/>
      <c r="L341" s="10"/>
      <c r="M341" s="21">
        <f>IF($C341="","",IF($K341=1,-($J341*0.5)-$L341,$H341-$I341-$J341-$L341))</f>
      </c>
      <c r="N341" s="22">
        <f>IF(OR($C341="",$H341=0),"",$M341/$H341)</f>
      </c>
    </row>
    <row r="342" spans="2:14" x14ac:dyDescent="0.25">
      <c r="B342" s="23"/>
      <c r="C342" s="12"/>
      <c r="D342" s="20">
        <f>IFERROR(IF($C342="","",VLOOKUP($C342,'Ürün Kartları'!$B$5:$C$154,2,FALSE)),"— tanımsız ürün —")</f>
      </c>
      <c r="E342" s="12"/>
      <c r="F342" s="14"/>
      <c r="G342" s="15"/>
      <c r="H342" s="16">
        <f>IF(OR($F342="",$G342=""),0,$F342*$G342)</f>
      </c>
      <c r="I342" s="16">
        <f>IFERROR(IF($E342="",0,$H342*VLOOKUP($E342,'Pazaryeri Kartları'!$B$5:$C$24,2,FALSE)+VLOOKUP($E342,'Pazaryeri Kartları'!$B$5:$D$24,3,FALSE)*$G342),0)</f>
      </c>
      <c r="J342" s="16">
        <f>IFERROR(IF($C342="",0,VLOOKUP($C342,'Ürün Kartları'!$B$5:$G$154,6,FALSE)*$G342),0)</f>
      </c>
      <c r="K342" s="15"/>
      <c r="L342" s="14"/>
      <c r="M342" s="21">
        <f>IF($C342="","",IF($K342=1,-($J342*0.5)-$L342,$H342-$I342-$J342-$L342))</f>
      </c>
      <c r="N342" s="22">
        <f>IF(OR($C342="",$H342=0),"",$M342/$H342)</f>
      </c>
    </row>
    <row r="343" spans="2:14" x14ac:dyDescent="0.25">
      <c r="B343" s="19"/>
      <c r="C343" s="8"/>
      <c r="D343" s="20">
        <f>IFERROR(IF($C343="","",VLOOKUP($C343,'Ürün Kartları'!$B$5:$C$154,2,FALSE)),"— tanımsız ürün —")</f>
      </c>
      <c r="E343" s="8"/>
      <c r="F343" s="10"/>
      <c r="G343" s="11"/>
      <c r="H343" s="16">
        <f>IF(OR($F343="",$G343=""),0,$F343*$G343)</f>
      </c>
      <c r="I343" s="16">
        <f>IFERROR(IF($E343="",0,$H343*VLOOKUP($E343,'Pazaryeri Kartları'!$B$5:$C$24,2,FALSE)+VLOOKUP($E343,'Pazaryeri Kartları'!$B$5:$D$24,3,FALSE)*$G343),0)</f>
      </c>
      <c r="J343" s="16">
        <f>IFERROR(IF($C343="",0,VLOOKUP($C343,'Ürün Kartları'!$B$5:$G$154,6,FALSE)*$G343),0)</f>
      </c>
      <c r="K343" s="11"/>
      <c r="L343" s="10"/>
      <c r="M343" s="21">
        <f>IF($C343="","",IF($K343=1,-($J343*0.5)-$L343,$H343-$I343-$J343-$L343))</f>
      </c>
      <c r="N343" s="22">
        <f>IF(OR($C343="",$H343=0),"",$M343/$H343)</f>
      </c>
    </row>
    <row r="344" spans="2:14" x14ac:dyDescent="0.25">
      <c r="B344" s="23"/>
      <c r="C344" s="12"/>
      <c r="D344" s="20">
        <f>IFERROR(IF($C344="","",VLOOKUP($C344,'Ürün Kartları'!$B$5:$C$154,2,FALSE)),"— tanımsız ürün —")</f>
      </c>
      <c r="E344" s="12"/>
      <c r="F344" s="14"/>
      <c r="G344" s="15"/>
      <c r="H344" s="16">
        <f>IF(OR($F344="",$G344=""),0,$F344*$G344)</f>
      </c>
      <c r="I344" s="16">
        <f>IFERROR(IF($E344="",0,$H344*VLOOKUP($E344,'Pazaryeri Kartları'!$B$5:$C$24,2,FALSE)+VLOOKUP($E344,'Pazaryeri Kartları'!$B$5:$D$24,3,FALSE)*$G344),0)</f>
      </c>
      <c r="J344" s="16">
        <f>IFERROR(IF($C344="",0,VLOOKUP($C344,'Ürün Kartları'!$B$5:$G$154,6,FALSE)*$G344),0)</f>
      </c>
      <c r="K344" s="15"/>
      <c r="L344" s="14"/>
      <c r="M344" s="21">
        <f>IF($C344="","",IF($K344=1,-($J344*0.5)-$L344,$H344-$I344-$J344-$L344))</f>
      </c>
      <c r="N344" s="22">
        <f>IF(OR($C344="",$H344=0),"",$M344/$H344)</f>
      </c>
    </row>
    <row r="345" spans="2:14" x14ac:dyDescent="0.25">
      <c r="B345" s="19"/>
      <c r="C345" s="8"/>
      <c r="D345" s="20">
        <f>IFERROR(IF($C345="","",VLOOKUP($C345,'Ürün Kartları'!$B$5:$C$154,2,FALSE)),"— tanımsız ürün —")</f>
      </c>
      <c r="E345" s="8"/>
      <c r="F345" s="10"/>
      <c r="G345" s="11"/>
      <c r="H345" s="16">
        <f>IF(OR($F345="",$G345=""),0,$F345*$G345)</f>
      </c>
      <c r="I345" s="16">
        <f>IFERROR(IF($E345="",0,$H345*VLOOKUP($E345,'Pazaryeri Kartları'!$B$5:$C$24,2,FALSE)+VLOOKUP($E345,'Pazaryeri Kartları'!$B$5:$D$24,3,FALSE)*$G345),0)</f>
      </c>
      <c r="J345" s="16">
        <f>IFERROR(IF($C345="",0,VLOOKUP($C345,'Ürün Kartları'!$B$5:$G$154,6,FALSE)*$G345),0)</f>
      </c>
      <c r="K345" s="11"/>
      <c r="L345" s="10"/>
      <c r="M345" s="21">
        <f>IF($C345="","",IF($K345=1,-($J345*0.5)-$L345,$H345-$I345-$J345-$L345))</f>
      </c>
      <c r="N345" s="22">
        <f>IF(OR($C345="",$H345=0),"",$M345/$H345)</f>
      </c>
    </row>
    <row r="346" spans="2:14" x14ac:dyDescent="0.25">
      <c r="B346" s="23"/>
      <c r="C346" s="12"/>
      <c r="D346" s="20">
        <f>IFERROR(IF($C346="","",VLOOKUP($C346,'Ürün Kartları'!$B$5:$C$154,2,FALSE)),"— tanımsız ürün —")</f>
      </c>
      <c r="E346" s="12"/>
      <c r="F346" s="14"/>
      <c r="G346" s="15"/>
      <c r="H346" s="16">
        <f>IF(OR($F346="",$G346=""),0,$F346*$G346)</f>
      </c>
      <c r="I346" s="16">
        <f>IFERROR(IF($E346="",0,$H346*VLOOKUP($E346,'Pazaryeri Kartları'!$B$5:$C$24,2,FALSE)+VLOOKUP($E346,'Pazaryeri Kartları'!$B$5:$D$24,3,FALSE)*$G346),0)</f>
      </c>
      <c r="J346" s="16">
        <f>IFERROR(IF($C346="",0,VLOOKUP($C346,'Ürün Kartları'!$B$5:$G$154,6,FALSE)*$G346),0)</f>
      </c>
      <c r="K346" s="15"/>
      <c r="L346" s="14"/>
      <c r="M346" s="21">
        <f>IF($C346="","",IF($K346=1,-($J346*0.5)-$L346,$H346-$I346-$J346-$L346))</f>
      </c>
      <c r="N346" s="22">
        <f>IF(OR($C346="",$H346=0),"",$M346/$H346)</f>
      </c>
    </row>
    <row r="347" spans="2:14" x14ac:dyDescent="0.25">
      <c r="B347" s="19"/>
      <c r="C347" s="8"/>
      <c r="D347" s="20">
        <f>IFERROR(IF($C347="","",VLOOKUP($C347,'Ürün Kartları'!$B$5:$C$154,2,FALSE)),"— tanımsız ürün —")</f>
      </c>
      <c r="E347" s="8"/>
      <c r="F347" s="10"/>
      <c r="G347" s="11"/>
      <c r="H347" s="16">
        <f>IF(OR($F347="",$G347=""),0,$F347*$G347)</f>
      </c>
      <c r="I347" s="16">
        <f>IFERROR(IF($E347="",0,$H347*VLOOKUP($E347,'Pazaryeri Kartları'!$B$5:$C$24,2,FALSE)+VLOOKUP($E347,'Pazaryeri Kartları'!$B$5:$D$24,3,FALSE)*$G347),0)</f>
      </c>
      <c r="J347" s="16">
        <f>IFERROR(IF($C347="",0,VLOOKUP($C347,'Ürün Kartları'!$B$5:$G$154,6,FALSE)*$G347),0)</f>
      </c>
      <c r="K347" s="11"/>
      <c r="L347" s="10"/>
      <c r="M347" s="21">
        <f>IF($C347="","",IF($K347=1,-($J347*0.5)-$L347,$H347-$I347-$J347-$L347))</f>
      </c>
      <c r="N347" s="22">
        <f>IF(OR($C347="",$H347=0),"",$M347/$H347)</f>
      </c>
    </row>
    <row r="348" spans="2:14" x14ac:dyDescent="0.25">
      <c r="B348" s="23"/>
      <c r="C348" s="12"/>
      <c r="D348" s="20">
        <f>IFERROR(IF($C348="","",VLOOKUP($C348,'Ürün Kartları'!$B$5:$C$154,2,FALSE)),"— tanımsız ürün —")</f>
      </c>
      <c r="E348" s="12"/>
      <c r="F348" s="14"/>
      <c r="G348" s="15"/>
      <c r="H348" s="16">
        <f>IF(OR($F348="",$G348=""),0,$F348*$G348)</f>
      </c>
      <c r="I348" s="16">
        <f>IFERROR(IF($E348="",0,$H348*VLOOKUP($E348,'Pazaryeri Kartları'!$B$5:$C$24,2,FALSE)+VLOOKUP($E348,'Pazaryeri Kartları'!$B$5:$D$24,3,FALSE)*$G348),0)</f>
      </c>
      <c r="J348" s="16">
        <f>IFERROR(IF($C348="",0,VLOOKUP($C348,'Ürün Kartları'!$B$5:$G$154,6,FALSE)*$G348),0)</f>
      </c>
      <c r="K348" s="15"/>
      <c r="L348" s="14"/>
      <c r="M348" s="21">
        <f>IF($C348="","",IF($K348=1,-($J348*0.5)-$L348,$H348-$I348-$J348-$L348))</f>
      </c>
      <c r="N348" s="22">
        <f>IF(OR($C348="",$H348=0),"",$M348/$H348)</f>
      </c>
    </row>
    <row r="349" spans="2:14" x14ac:dyDescent="0.25">
      <c r="B349" s="19"/>
      <c r="C349" s="8"/>
      <c r="D349" s="20">
        <f>IFERROR(IF($C349="","",VLOOKUP($C349,'Ürün Kartları'!$B$5:$C$154,2,FALSE)),"— tanımsız ürün —")</f>
      </c>
      <c r="E349" s="8"/>
      <c r="F349" s="10"/>
      <c r="G349" s="11"/>
      <c r="H349" s="16">
        <f>IF(OR($F349="",$G349=""),0,$F349*$G349)</f>
      </c>
      <c r="I349" s="16">
        <f>IFERROR(IF($E349="",0,$H349*VLOOKUP($E349,'Pazaryeri Kartları'!$B$5:$C$24,2,FALSE)+VLOOKUP($E349,'Pazaryeri Kartları'!$B$5:$D$24,3,FALSE)*$G349),0)</f>
      </c>
      <c r="J349" s="16">
        <f>IFERROR(IF($C349="",0,VLOOKUP($C349,'Ürün Kartları'!$B$5:$G$154,6,FALSE)*$G349),0)</f>
      </c>
      <c r="K349" s="11"/>
      <c r="L349" s="10"/>
      <c r="M349" s="21">
        <f>IF($C349="","",IF($K349=1,-($J349*0.5)-$L349,$H349-$I349-$J349-$L349))</f>
      </c>
      <c r="N349" s="22">
        <f>IF(OR($C349="",$H349=0),"",$M349/$H349)</f>
      </c>
    </row>
    <row r="350" spans="2:14" x14ac:dyDescent="0.25">
      <c r="B350" s="23"/>
      <c r="C350" s="12"/>
      <c r="D350" s="20">
        <f>IFERROR(IF($C350="","",VLOOKUP($C350,'Ürün Kartları'!$B$5:$C$154,2,FALSE)),"— tanımsız ürün —")</f>
      </c>
      <c r="E350" s="12"/>
      <c r="F350" s="14"/>
      <c r="G350" s="15"/>
      <c r="H350" s="16">
        <f>IF(OR($F350="",$G350=""),0,$F350*$G350)</f>
      </c>
      <c r="I350" s="16">
        <f>IFERROR(IF($E350="",0,$H350*VLOOKUP($E350,'Pazaryeri Kartları'!$B$5:$C$24,2,FALSE)+VLOOKUP($E350,'Pazaryeri Kartları'!$B$5:$D$24,3,FALSE)*$G350),0)</f>
      </c>
      <c r="J350" s="16">
        <f>IFERROR(IF($C350="",0,VLOOKUP($C350,'Ürün Kartları'!$B$5:$G$154,6,FALSE)*$G350),0)</f>
      </c>
      <c r="K350" s="15"/>
      <c r="L350" s="14"/>
      <c r="M350" s="21">
        <f>IF($C350="","",IF($K350=1,-($J350*0.5)-$L350,$H350-$I350-$J350-$L350))</f>
      </c>
      <c r="N350" s="22">
        <f>IF(OR($C350="",$H350=0),"",$M350/$H350)</f>
      </c>
    </row>
    <row r="351" spans="2:14" x14ac:dyDescent="0.25">
      <c r="B351" s="19"/>
      <c r="C351" s="8"/>
      <c r="D351" s="20">
        <f>IFERROR(IF($C351="","",VLOOKUP($C351,'Ürün Kartları'!$B$5:$C$154,2,FALSE)),"— tanımsız ürün —")</f>
      </c>
      <c r="E351" s="8"/>
      <c r="F351" s="10"/>
      <c r="G351" s="11"/>
      <c r="H351" s="16">
        <f>IF(OR($F351="",$G351=""),0,$F351*$G351)</f>
      </c>
      <c r="I351" s="16">
        <f>IFERROR(IF($E351="",0,$H351*VLOOKUP($E351,'Pazaryeri Kartları'!$B$5:$C$24,2,FALSE)+VLOOKUP($E351,'Pazaryeri Kartları'!$B$5:$D$24,3,FALSE)*$G351),0)</f>
      </c>
      <c r="J351" s="16">
        <f>IFERROR(IF($C351="",0,VLOOKUP($C351,'Ürün Kartları'!$B$5:$G$154,6,FALSE)*$G351),0)</f>
      </c>
      <c r="K351" s="11"/>
      <c r="L351" s="10"/>
      <c r="M351" s="21">
        <f>IF($C351="","",IF($K351=1,-($J351*0.5)-$L351,$H351-$I351-$J351-$L351))</f>
      </c>
      <c r="N351" s="22">
        <f>IF(OR($C351="",$H351=0),"",$M351/$H351)</f>
      </c>
    </row>
    <row r="352" spans="2:14" x14ac:dyDescent="0.25">
      <c r="B352" s="23"/>
      <c r="C352" s="12"/>
      <c r="D352" s="20">
        <f>IFERROR(IF($C352="","",VLOOKUP($C352,'Ürün Kartları'!$B$5:$C$154,2,FALSE)),"— tanımsız ürün —")</f>
      </c>
      <c r="E352" s="12"/>
      <c r="F352" s="14"/>
      <c r="G352" s="15"/>
      <c r="H352" s="16">
        <f>IF(OR($F352="",$G352=""),0,$F352*$G352)</f>
      </c>
      <c r="I352" s="16">
        <f>IFERROR(IF($E352="",0,$H352*VLOOKUP($E352,'Pazaryeri Kartları'!$B$5:$C$24,2,FALSE)+VLOOKUP($E352,'Pazaryeri Kartları'!$B$5:$D$24,3,FALSE)*$G352),0)</f>
      </c>
      <c r="J352" s="16">
        <f>IFERROR(IF($C352="",0,VLOOKUP($C352,'Ürün Kartları'!$B$5:$G$154,6,FALSE)*$G352),0)</f>
      </c>
      <c r="K352" s="15"/>
      <c r="L352" s="14"/>
      <c r="M352" s="21">
        <f>IF($C352="","",IF($K352=1,-($J352*0.5)-$L352,$H352-$I352-$J352-$L352))</f>
      </c>
      <c r="N352" s="22">
        <f>IF(OR($C352="",$H352=0),"",$M352/$H352)</f>
      </c>
    </row>
    <row r="353" spans="2:14" x14ac:dyDescent="0.25">
      <c r="B353" s="19"/>
      <c r="C353" s="8"/>
      <c r="D353" s="20">
        <f>IFERROR(IF($C353="","",VLOOKUP($C353,'Ürün Kartları'!$B$5:$C$154,2,FALSE)),"— tanımsız ürün —")</f>
      </c>
      <c r="E353" s="8"/>
      <c r="F353" s="10"/>
      <c r="G353" s="11"/>
      <c r="H353" s="16">
        <f>IF(OR($F353="",$G353=""),0,$F353*$G353)</f>
      </c>
      <c r="I353" s="16">
        <f>IFERROR(IF($E353="",0,$H353*VLOOKUP($E353,'Pazaryeri Kartları'!$B$5:$C$24,2,FALSE)+VLOOKUP($E353,'Pazaryeri Kartları'!$B$5:$D$24,3,FALSE)*$G353),0)</f>
      </c>
      <c r="J353" s="16">
        <f>IFERROR(IF($C353="",0,VLOOKUP($C353,'Ürün Kartları'!$B$5:$G$154,6,FALSE)*$G353),0)</f>
      </c>
      <c r="K353" s="11"/>
      <c r="L353" s="10"/>
      <c r="M353" s="21">
        <f>IF($C353="","",IF($K353=1,-($J353*0.5)-$L353,$H353-$I353-$J353-$L353))</f>
      </c>
      <c r="N353" s="22">
        <f>IF(OR($C353="",$H353=0),"",$M353/$H353)</f>
      </c>
    </row>
    <row r="354" spans="2:14" x14ac:dyDescent="0.25">
      <c r="B354" s="23"/>
      <c r="C354" s="12"/>
      <c r="D354" s="20">
        <f>IFERROR(IF($C354="","",VLOOKUP($C354,'Ürün Kartları'!$B$5:$C$154,2,FALSE)),"— tanımsız ürün —")</f>
      </c>
      <c r="E354" s="12"/>
      <c r="F354" s="14"/>
      <c r="G354" s="15"/>
      <c r="H354" s="16">
        <f>IF(OR($F354="",$G354=""),0,$F354*$G354)</f>
      </c>
      <c r="I354" s="16">
        <f>IFERROR(IF($E354="",0,$H354*VLOOKUP($E354,'Pazaryeri Kartları'!$B$5:$C$24,2,FALSE)+VLOOKUP($E354,'Pazaryeri Kartları'!$B$5:$D$24,3,FALSE)*$G354),0)</f>
      </c>
      <c r="J354" s="16">
        <f>IFERROR(IF($C354="",0,VLOOKUP($C354,'Ürün Kartları'!$B$5:$G$154,6,FALSE)*$G354),0)</f>
      </c>
      <c r="K354" s="15"/>
      <c r="L354" s="14"/>
      <c r="M354" s="21">
        <f>IF($C354="","",IF($K354=1,-($J354*0.5)-$L354,$H354-$I354-$J354-$L354))</f>
      </c>
      <c r="N354" s="22">
        <f>IF(OR($C354="",$H354=0),"",$M354/$H354)</f>
      </c>
    </row>
    <row r="355" spans="2:14" x14ac:dyDescent="0.25">
      <c r="B355" s="19"/>
      <c r="C355" s="8"/>
      <c r="D355" s="20">
        <f>IFERROR(IF($C355="","",VLOOKUP($C355,'Ürün Kartları'!$B$5:$C$154,2,FALSE)),"— tanımsız ürün —")</f>
      </c>
      <c r="E355" s="8"/>
      <c r="F355" s="10"/>
      <c r="G355" s="11"/>
      <c r="H355" s="16">
        <f>IF(OR($F355="",$G355=""),0,$F355*$G355)</f>
      </c>
      <c r="I355" s="16">
        <f>IFERROR(IF($E355="",0,$H355*VLOOKUP($E355,'Pazaryeri Kartları'!$B$5:$C$24,2,FALSE)+VLOOKUP($E355,'Pazaryeri Kartları'!$B$5:$D$24,3,FALSE)*$G355),0)</f>
      </c>
      <c r="J355" s="16">
        <f>IFERROR(IF($C355="",0,VLOOKUP($C355,'Ürün Kartları'!$B$5:$G$154,6,FALSE)*$G355),0)</f>
      </c>
      <c r="K355" s="11"/>
      <c r="L355" s="10"/>
      <c r="M355" s="21">
        <f>IF($C355="","",IF($K355=1,-($J355*0.5)-$L355,$H355-$I355-$J355-$L355))</f>
      </c>
      <c r="N355" s="22">
        <f>IF(OR($C355="",$H355=0),"",$M355/$H355)</f>
      </c>
    </row>
    <row r="356" spans="2:14" x14ac:dyDescent="0.25">
      <c r="B356" s="23"/>
      <c r="C356" s="12"/>
      <c r="D356" s="20">
        <f>IFERROR(IF($C356="","",VLOOKUP($C356,'Ürün Kartları'!$B$5:$C$154,2,FALSE)),"— tanımsız ürün —")</f>
      </c>
      <c r="E356" s="12"/>
      <c r="F356" s="14"/>
      <c r="G356" s="15"/>
      <c r="H356" s="16">
        <f>IF(OR($F356="",$G356=""),0,$F356*$G356)</f>
      </c>
      <c r="I356" s="16">
        <f>IFERROR(IF($E356="",0,$H356*VLOOKUP($E356,'Pazaryeri Kartları'!$B$5:$C$24,2,FALSE)+VLOOKUP($E356,'Pazaryeri Kartları'!$B$5:$D$24,3,FALSE)*$G356),0)</f>
      </c>
      <c r="J356" s="16">
        <f>IFERROR(IF($C356="",0,VLOOKUP($C356,'Ürün Kartları'!$B$5:$G$154,6,FALSE)*$G356),0)</f>
      </c>
      <c r="K356" s="15"/>
      <c r="L356" s="14"/>
      <c r="M356" s="21">
        <f>IF($C356="","",IF($K356=1,-($J356*0.5)-$L356,$H356-$I356-$J356-$L356))</f>
      </c>
      <c r="N356" s="22">
        <f>IF(OR($C356="",$H356=0),"",$M356/$H356)</f>
      </c>
    </row>
    <row r="357" spans="2:14" x14ac:dyDescent="0.25">
      <c r="B357" s="19"/>
      <c r="C357" s="8"/>
      <c r="D357" s="20">
        <f>IFERROR(IF($C357="","",VLOOKUP($C357,'Ürün Kartları'!$B$5:$C$154,2,FALSE)),"— tanımsız ürün —")</f>
      </c>
      <c r="E357" s="8"/>
      <c r="F357" s="10"/>
      <c r="G357" s="11"/>
      <c r="H357" s="16">
        <f>IF(OR($F357="",$G357=""),0,$F357*$G357)</f>
      </c>
      <c r="I357" s="16">
        <f>IFERROR(IF($E357="",0,$H357*VLOOKUP($E357,'Pazaryeri Kartları'!$B$5:$C$24,2,FALSE)+VLOOKUP($E357,'Pazaryeri Kartları'!$B$5:$D$24,3,FALSE)*$G357),0)</f>
      </c>
      <c r="J357" s="16">
        <f>IFERROR(IF($C357="",0,VLOOKUP($C357,'Ürün Kartları'!$B$5:$G$154,6,FALSE)*$G357),0)</f>
      </c>
      <c r="K357" s="11"/>
      <c r="L357" s="10"/>
      <c r="M357" s="21">
        <f>IF($C357="","",IF($K357=1,-($J357*0.5)-$L357,$H357-$I357-$J357-$L357))</f>
      </c>
      <c r="N357" s="22">
        <f>IF(OR($C357="",$H357=0),"",$M357/$H357)</f>
      </c>
    </row>
    <row r="358" spans="2:14" x14ac:dyDescent="0.25">
      <c r="B358" s="23"/>
      <c r="C358" s="12"/>
      <c r="D358" s="20">
        <f>IFERROR(IF($C358="","",VLOOKUP($C358,'Ürün Kartları'!$B$5:$C$154,2,FALSE)),"— tanımsız ürün —")</f>
      </c>
      <c r="E358" s="12"/>
      <c r="F358" s="14"/>
      <c r="G358" s="15"/>
      <c r="H358" s="16">
        <f>IF(OR($F358="",$G358=""),0,$F358*$G358)</f>
      </c>
      <c r="I358" s="16">
        <f>IFERROR(IF($E358="",0,$H358*VLOOKUP($E358,'Pazaryeri Kartları'!$B$5:$C$24,2,FALSE)+VLOOKUP($E358,'Pazaryeri Kartları'!$B$5:$D$24,3,FALSE)*$G358),0)</f>
      </c>
      <c r="J358" s="16">
        <f>IFERROR(IF($C358="",0,VLOOKUP($C358,'Ürün Kartları'!$B$5:$G$154,6,FALSE)*$G358),0)</f>
      </c>
      <c r="K358" s="15"/>
      <c r="L358" s="14"/>
      <c r="M358" s="21">
        <f>IF($C358="","",IF($K358=1,-($J358*0.5)-$L358,$H358-$I358-$J358-$L358))</f>
      </c>
      <c r="N358" s="22">
        <f>IF(OR($C358="",$H358=0),"",$M358/$H358)</f>
      </c>
    </row>
    <row r="359" spans="2:14" x14ac:dyDescent="0.25">
      <c r="B359" s="19"/>
      <c r="C359" s="8"/>
      <c r="D359" s="20">
        <f>IFERROR(IF($C359="","",VLOOKUP($C359,'Ürün Kartları'!$B$5:$C$154,2,FALSE)),"— tanımsız ürün —")</f>
      </c>
      <c r="E359" s="8"/>
      <c r="F359" s="10"/>
      <c r="G359" s="11"/>
      <c r="H359" s="16">
        <f>IF(OR($F359="",$G359=""),0,$F359*$G359)</f>
      </c>
      <c r="I359" s="16">
        <f>IFERROR(IF($E359="",0,$H359*VLOOKUP($E359,'Pazaryeri Kartları'!$B$5:$C$24,2,FALSE)+VLOOKUP($E359,'Pazaryeri Kartları'!$B$5:$D$24,3,FALSE)*$G359),0)</f>
      </c>
      <c r="J359" s="16">
        <f>IFERROR(IF($C359="",0,VLOOKUP($C359,'Ürün Kartları'!$B$5:$G$154,6,FALSE)*$G359),0)</f>
      </c>
      <c r="K359" s="11"/>
      <c r="L359" s="10"/>
      <c r="M359" s="21">
        <f>IF($C359="","",IF($K359=1,-($J359*0.5)-$L359,$H359-$I359-$J359-$L359))</f>
      </c>
      <c r="N359" s="22">
        <f>IF(OR($C359="",$H359=0),"",$M359/$H359)</f>
      </c>
    </row>
    <row r="360" spans="2:14" x14ac:dyDescent="0.25">
      <c r="B360" s="23"/>
      <c r="C360" s="12"/>
      <c r="D360" s="20">
        <f>IFERROR(IF($C360="","",VLOOKUP($C360,'Ürün Kartları'!$B$5:$C$154,2,FALSE)),"— tanımsız ürün —")</f>
      </c>
      <c r="E360" s="12"/>
      <c r="F360" s="14"/>
      <c r="G360" s="15"/>
      <c r="H360" s="16">
        <f>IF(OR($F360="",$G360=""),0,$F360*$G360)</f>
      </c>
      <c r="I360" s="16">
        <f>IFERROR(IF($E360="",0,$H360*VLOOKUP($E360,'Pazaryeri Kartları'!$B$5:$C$24,2,FALSE)+VLOOKUP($E360,'Pazaryeri Kartları'!$B$5:$D$24,3,FALSE)*$G360),0)</f>
      </c>
      <c r="J360" s="16">
        <f>IFERROR(IF($C360="",0,VLOOKUP($C360,'Ürün Kartları'!$B$5:$G$154,6,FALSE)*$G360),0)</f>
      </c>
      <c r="K360" s="15"/>
      <c r="L360" s="14"/>
      <c r="M360" s="21">
        <f>IF($C360="","",IF($K360=1,-($J360*0.5)-$L360,$H360-$I360-$J360-$L360))</f>
      </c>
      <c r="N360" s="22">
        <f>IF(OR($C360="",$H360=0),"",$M360/$H360)</f>
      </c>
    </row>
    <row r="361" spans="2:14" x14ac:dyDescent="0.25">
      <c r="B361" s="19"/>
      <c r="C361" s="8"/>
      <c r="D361" s="20">
        <f>IFERROR(IF($C361="","",VLOOKUP($C361,'Ürün Kartları'!$B$5:$C$154,2,FALSE)),"— tanımsız ürün —")</f>
      </c>
      <c r="E361" s="8"/>
      <c r="F361" s="10"/>
      <c r="G361" s="11"/>
      <c r="H361" s="16">
        <f>IF(OR($F361="",$G361=""),0,$F361*$G361)</f>
      </c>
      <c r="I361" s="16">
        <f>IFERROR(IF($E361="",0,$H361*VLOOKUP($E361,'Pazaryeri Kartları'!$B$5:$C$24,2,FALSE)+VLOOKUP($E361,'Pazaryeri Kartları'!$B$5:$D$24,3,FALSE)*$G361),0)</f>
      </c>
      <c r="J361" s="16">
        <f>IFERROR(IF($C361="",0,VLOOKUP($C361,'Ürün Kartları'!$B$5:$G$154,6,FALSE)*$G361),0)</f>
      </c>
      <c r="K361" s="11"/>
      <c r="L361" s="10"/>
      <c r="M361" s="21">
        <f>IF($C361="","",IF($K361=1,-($J361*0.5)-$L361,$H361-$I361-$J361-$L361))</f>
      </c>
      <c r="N361" s="22">
        <f>IF(OR($C361="",$H361=0),"",$M361/$H361)</f>
      </c>
    </row>
    <row r="362" spans="2:14" x14ac:dyDescent="0.25">
      <c r="B362" s="23"/>
      <c r="C362" s="12"/>
      <c r="D362" s="20">
        <f>IFERROR(IF($C362="","",VLOOKUP($C362,'Ürün Kartları'!$B$5:$C$154,2,FALSE)),"— tanımsız ürün —")</f>
      </c>
      <c r="E362" s="12"/>
      <c r="F362" s="14"/>
      <c r="G362" s="15"/>
      <c r="H362" s="16">
        <f>IF(OR($F362="",$G362=""),0,$F362*$G362)</f>
      </c>
      <c r="I362" s="16">
        <f>IFERROR(IF($E362="",0,$H362*VLOOKUP($E362,'Pazaryeri Kartları'!$B$5:$C$24,2,FALSE)+VLOOKUP($E362,'Pazaryeri Kartları'!$B$5:$D$24,3,FALSE)*$G362),0)</f>
      </c>
      <c r="J362" s="16">
        <f>IFERROR(IF($C362="",0,VLOOKUP($C362,'Ürün Kartları'!$B$5:$G$154,6,FALSE)*$G362),0)</f>
      </c>
      <c r="K362" s="15"/>
      <c r="L362" s="14"/>
      <c r="M362" s="21">
        <f>IF($C362="","",IF($K362=1,-($J362*0.5)-$L362,$H362-$I362-$J362-$L362))</f>
      </c>
      <c r="N362" s="22">
        <f>IF(OR($C362="",$H362=0),"",$M362/$H362)</f>
      </c>
    </row>
    <row r="363" spans="2:14" x14ac:dyDescent="0.25">
      <c r="B363" s="19"/>
      <c r="C363" s="8"/>
      <c r="D363" s="20">
        <f>IFERROR(IF($C363="","",VLOOKUP($C363,'Ürün Kartları'!$B$5:$C$154,2,FALSE)),"— tanımsız ürün —")</f>
      </c>
      <c r="E363" s="8"/>
      <c r="F363" s="10"/>
      <c r="G363" s="11"/>
      <c r="H363" s="16">
        <f>IF(OR($F363="",$G363=""),0,$F363*$G363)</f>
      </c>
      <c r="I363" s="16">
        <f>IFERROR(IF($E363="",0,$H363*VLOOKUP($E363,'Pazaryeri Kartları'!$B$5:$C$24,2,FALSE)+VLOOKUP($E363,'Pazaryeri Kartları'!$B$5:$D$24,3,FALSE)*$G363),0)</f>
      </c>
      <c r="J363" s="16">
        <f>IFERROR(IF($C363="",0,VLOOKUP($C363,'Ürün Kartları'!$B$5:$G$154,6,FALSE)*$G363),0)</f>
      </c>
      <c r="K363" s="11"/>
      <c r="L363" s="10"/>
      <c r="M363" s="21">
        <f>IF($C363="","",IF($K363=1,-($J363*0.5)-$L363,$H363-$I363-$J363-$L363))</f>
      </c>
      <c r="N363" s="22">
        <f>IF(OR($C363="",$H363=0),"",$M363/$H363)</f>
      </c>
    </row>
    <row r="364" spans="2:14" x14ac:dyDescent="0.25">
      <c r="B364" s="23"/>
      <c r="C364" s="12"/>
      <c r="D364" s="20">
        <f>IFERROR(IF($C364="","",VLOOKUP($C364,'Ürün Kartları'!$B$5:$C$154,2,FALSE)),"— tanımsız ürün —")</f>
      </c>
      <c r="E364" s="12"/>
      <c r="F364" s="14"/>
      <c r="G364" s="15"/>
      <c r="H364" s="16">
        <f>IF(OR($F364="",$G364=""),0,$F364*$G364)</f>
      </c>
      <c r="I364" s="16">
        <f>IFERROR(IF($E364="",0,$H364*VLOOKUP($E364,'Pazaryeri Kartları'!$B$5:$C$24,2,FALSE)+VLOOKUP($E364,'Pazaryeri Kartları'!$B$5:$D$24,3,FALSE)*$G364),0)</f>
      </c>
      <c r="J364" s="16">
        <f>IFERROR(IF($C364="",0,VLOOKUP($C364,'Ürün Kartları'!$B$5:$G$154,6,FALSE)*$G364),0)</f>
      </c>
      <c r="K364" s="15"/>
      <c r="L364" s="14"/>
      <c r="M364" s="21">
        <f>IF($C364="","",IF($K364=1,-($J364*0.5)-$L364,$H364-$I364-$J364-$L364))</f>
      </c>
      <c r="N364" s="22">
        <f>IF(OR($C364="",$H364=0),"",$M364/$H364)</f>
      </c>
    </row>
    <row r="365" spans="2:14" x14ac:dyDescent="0.25">
      <c r="B365" s="19"/>
      <c r="C365" s="8"/>
      <c r="D365" s="20">
        <f>IFERROR(IF($C365="","",VLOOKUP($C365,'Ürün Kartları'!$B$5:$C$154,2,FALSE)),"— tanımsız ürün —")</f>
      </c>
      <c r="E365" s="8"/>
      <c r="F365" s="10"/>
      <c r="G365" s="11"/>
      <c r="H365" s="16">
        <f>IF(OR($F365="",$G365=""),0,$F365*$G365)</f>
      </c>
      <c r="I365" s="16">
        <f>IFERROR(IF($E365="",0,$H365*VLOOKUP($E365,'Pazaryeri Kartları'!$B$5:$C$24,2,FALSE)+VLOOKUP($E365,'Pazaryeri Kartları'!$B$5:$D$24,3,FALSE)*$G365),0)</f>
      </c>
      <c r="J365" s="16">
        <f>IFERROR(IF($C365="",0,VLOOKUP($C365,'Ürün Kartları'!$B$5:$G$154,6,FALSE)*$G365),0)</f>
      </c>
      <c r="K365" s="11"/>
      <c r="L365" s="10"/>
      <c r="M365" s="21">
        <f>IF($C365="","",IF($K365=1,-($J365*0.5)-$L365,$H365-$I365-$J365-$L365))</f>
      </c>
      <c r="N365" s="22">
        <f>IF(OR($C365="",$H365=0),"",$M365/$H365)</f>
      </c>
    </row>
    <row r="366" spans="2:14" x14ac:dyDescent="0.25">
      <c r="B366" s="23"/>
      <c r="C366" s="12"/>
      <c r="D366" s="20">
        <f>IFERROR(IF($C366="","",VLOOKUP($C366,'Ürün Kartları'!$B$5:$C$154,2,FALSE)),"— tanımsız ürün —")</f>
      </c>
      <c r="E366" s="12"/>
      <c r="F366" s="14"/>
      <c r="G366" s="15"/>
      <c r="H366" s="16">
        <f>IF(OR($F366="",$G366=""),0,$F366*$G366)</f>
      </c>
      <c r="I366" s="16">
        <f>IFERROR(IF($E366="",0,$H366*VLOOKUP($E366,'Pazaryeri Kartları'!$B$5:$C$24,2,FALSE)+VLOOKUP($E366,'Pazaryeri Kartları'!$B$5:$D$24,3,FALSE)*$G366),0)</f>
      </c>
      <c r="J366" s="16">
        <f>IFERROR(IF($C366="",0,VLOOKUP($C366,'Ürün Kartları'!$B$5:$G$154,6,FALSE)*$G366),0)</f>
      </c>
      <c r="K366" s="15"/>
      <c r="L366" s="14"/>
      <c r="M366" s="21">
        <f>IF($C366="","",IF($K366=1,-($J366*0.5)-$L366,$H366-$I366-$J366-$L366))</f>
      </c>
      <c r="N366" s="22">
        <f>IF(OR($C366="",$H366=0),"",$M366/$H366)</f>
      </c>
    </row>
    <row r="367" spans="2:14" x14ac:dyDescent="0.25">
      <c r="B367" s="19"/>
      <c r="C367" s="8"/>
      <c r="D367" s="20">
        <f>IFERROR(IF($C367="","",VLOOKUP($C367,'Ürün Kartları'!$B$5:$C$154,2,FALSE)),"— tanımsız ürün —")</f>
      </c>
      <c r="E367" s="8"/>
      <c r="F367" s="10"/>
      <c r="G367" s="11"/>
      <c r="H367" s="16">
        <f>IF(OR($F367="",$G367=""),0,$F367*$G367)</f>
      </c>
      <c r="I367" s="16">
        <f>IFERROR(IF($E367="",0,$H367*VLOOKUP($E367,'Pazaryeri Kartları'!$B$5:$C$24,2,FALSE)+VLOOKUP($E367,'Pazaryeri Kartları'!$B$5:$D$24,3,FALSE)*$G367),0)</f>
      </c>
      <c r="J367" s="16">
        <f>IFERROR(IF($C367="",0,VLOOKUP($C367,'Ürün Kartları'!$B$5:$G$154,6,FALSE)*$G367),0)</f>
      </c>
      <c r="K367" s="11"/>
      <c r="L367" s="10"/>
      <c r="M367" s="21">
        <f>IF($C367="","",IF($K367=1,-($J367*0.5)-$L367,$H367-$I367-$J367-$L367))</f>
      </c>
      <c r="N367" s="22">
        <f>IF(OR($C367="",$H367=0),"",$M367/$H367)</f>
      </c>
    </row>
    <row r="368" spans="2:14" x14ac:dyDescent="0.25">
      <c r="B368" s="23"/>
      <c r="C368" s="12"/>
      <c r="D368" s="20">
        <f>IFERROR(IF($C368="","",VLOOKUP($C368,'Ürün Kartları'!$B$5:$C$154,2,FALSE)),"— tanımsız ürün —")</f>
      </c>
      <c r="E368" s="12"/>
      <c r="F368" s="14"/>
      <c r="G368" s="15"/>
      <c r="H368" s="16">
        <f>IF(OR($F368="",$G368=""),0,$F368*$G368)</f>
      </c>
      <c r="I368" s="16">
        <f>IFERROR(IF($E368="",0,$H368*VLOOKUP($E368,'Pazaryeri Kartları'!$B$5:$C$24,2,FALSE)+VLOOKUP($E368,'Pazaryeri Kartları'!$B$5:$D$24,3,FALSE)*$G368),0)</f>
      </c>
      <c r="J368" s="16">
        <f>IFERROR(IF($C368="",0,VLOOKUP($C368,'Ürün Kartları'!$B$5:$G$154,6,FALSE)*$G368),0)</f>
      </c>
      <c r="K368" s="15"/>
      <c r="L368" s="14"/>
      <c r="M368" s="21">
        <f>IF($C368="","",IF($K368=1,-($J368*0.5)-$L368,$H368-$I368-$J368-$L368))</f>
      </c>
      <c r="N368" s="22">
        <f>IF(OR($C368="",$H368=0),"",$M368/$H368)</f>
      </c>
    </row>
    <row r="369" spans="2:14" x14ac:dyDescent="0.25">
      <c r="B369" s="19"/>
      <c r="C369" s="8"/>
      <c r="D369" s="20">
        <f>IFERROR(IF($C369="","",VLOOKUP($C369,'Ürün Kartları'!$B$5:$C$154,2,FALSE)),"— tanımsız ürün —")</f>
      </c>
      <c r="E369" s="8"/>
      <c r="F369" s="10"/>
      <c r="G369" s="11"/>
      <c r="H369" s="16">
        <f>IF(OR($F369="",$G369=""),0,$F369*$G369)</f>
      </c>
      <c r="I369" s="16">
        <f>IFERROR(IF($E369="",0,$H369*VLOOKUP($E369,'Pazaryeri Kartları'!$B$5:$C$24,2,FALSE)+VLOOKUP($E369,'Pazaryeri Kartları'!$B$5:$D$24,3,FALSE)*$G369),0)</f>
      </c>
      <c r="J369" s="16">
        <f>IFERROR(IF($C369="",0,VLOOKUP($C369,'Ürün Kartları'!$B$5:$G$154,6,FALSE)*$G369),0)</f>
      </c>
      <c r="K369" s="11"/>
      <c r="L369" s="10"/>
      <c r="M369" s="21">
        <f>IF($C369="","",IF($K369=1,-($J369*0.5)-$L369,$H369-$I369-$J369-$L369))</f>
      </c>
      <c r="N369" s="22">
        <f>IF(OR($C369="",$H369=0),"",$M369/$H369)</f>
      </c>
    </row>
    <row r="370" spans="2:14" x14ac:dyDescent="0.25">
      <c r="B370" s="23"/>
      <c r="C370" s="12"/>
      <c r="D370" s="20">
        <f>IFERROR(IF($C370="","",VLOOKUP($C370,'Ürün Kartları'!$B$5:$C$154,2,FALSE)),"— tanımsız ürün —")</f>
      </c>
      <c r="E370" s="12"/>
      <c r="F370" s="14"/>
      <c r="G370" s="15"/>
      <c r="H370" s="16">
        <f>IF(OR($F370="",$G370=""),0,$F370*$G370)</f>
      </c>
      <c r="I370" s="16">
        <f>IFERROR(IF($E370="",0,$H370*VLOOKUP($E370,'Pazaryeri Kartları'!$B$5:$C$24,2,FALSE)+VLOOKUP($E370,'Pazaryeri Kartları'!$B$5:$D$24,3,FALSE)*$G370),0)</f>
      </c>
      <c r="J370" s="16">
        <f>IFERROR(IF($C370="",0,VLOOKUP($C370,'Ürün Kartları'!$B$5:$G$154,6,FALSE)*$G370),0)</f>
      </c>
      <c r="K370" s="15"/>
      <c r="L370" s="14"/>
      <c r="M370" s="21">
        <f>IF($C370="","",IF($K370=1,-($J370*0.5)-$L370,$H370-$I370-$J370-$L370))</f>
      </c>
      <c r="N370" s="22">
        <f>IF(OR($C370="",$H370=0),"",$M370/$H370)</f>
      </c>
    </row>
    <row r="371" spans="2:14" x14ac:dyDescent="0.25">
      <c r="B371" s="19"/>
      <c r="C371" s="8"/>
      <c r="D371" s="20">
        <f>IFERROR(IF($C371="","",VLOOKUP($C371,'Ürün Kartları'!$B$5:$C$154,2,FALSE)),"— tanımsız ürün —")</f>
      </c>
      <c r="E371" s="8"/>
      <c r="F371" s="10"/>
      <c r="G371" s="11"/>
      <c r="H371" s="16">
        <f>IF(OR($F371="",$G371=""),0,$F371*$G371)</f>
      </c>
      <c r="I371" s="16">
        <f>IFERROR(IF($E371="",0,$H371*VLOOKUP($E371,'Pazaryeri Kartları'!$B$5:$C$24,2,FALSE)+VLOOKUP($E371,'Pazaryeri Kartları'!$B$5:$D$24,3,FALSE)*$G371),0)</f>
      </c>
      <c r="J371" s="16">
        <f>IFERROR(IF($C371="",0,VLOOKUP($C371,'Ürün Kartları'!$B$5:$G$154,6,FALSE)*$G371),0)</f>
      </c>
      <c r="K371" s="11"/>
      <c r="L371" s="10"/>
      <c r="M371" s="21">
        <f>IF($C371="","",IF($K371=1,-($J371*0.5)-$L371,$H371-$I371-$J371-$L371))</f>
      </c>
      <c r="N371" s="22">
        <f>IF(OR($C371="",$H371=0),"",$M371/$H371)</f>
      </c>
    </row>
    <row r="372" spans="2:14" x14ac:dyDescent="0.25">
      <c r="B372" s="23"/>
      <c r="C372" s="12"/>
      <c r="D372" s="20">
        <f>IFERROR(IF($C372="","",VLOOKUP($C372,'Ürün Kartları'!$B$5:$C$154,2,FALSE)),"— tanımsız ürün —")</f>
      </c>
      <c r="E372" s="12"/>
      <c r="F372" s="14"/>
      <c r="G372" s="15"/>
      <c r="H372" s="16">
        <f>IF(OR($F372="",$G372=""),0,$F372*$G372)</f>
      </c>
      <c r="I372" s="16">
        <f>IFERROR(IF($E372="",0,$H372*VLOOKUP($E372,'Pazaryeri Kartları'!$B$5:$C$24,2,FALSE)+VLOOKUP($E372,'Pazaryeri Kartları'!$B$5:$D$24,3,FALSE)*$G372),0)</f>
      </c>
      <c r="J372" s="16">
        <f>IFERROR(IF($C372="",0,VLOOKUP($C372,'Ürün Kartları'!$B$5:$G$154,6,FALSE)*$G372),0)</f>
      </c>
      <c r="K372" s="15"/>
      <c r="L372" s="14"/>
      <c r="M372" s="21">
        <f>IF($C372="","",IF($K372=1,-($J372*0.5)-$L372,$H372-$I372-$J372-$L372))</f>
      </c>
      <c r="N372" s="22">
        <f>IF(OR($C372="",$H372=0),"",$M372/$H372)</f>
      </c>
    </row>
    <row r="373" spans="2:14" x14ac:dyDescent="0.25">
      <c r="B373" s="19"/>
      <c r="C373" s="8"/>
      <c r="D373" s="20">
        <f>IFERROR(IF($C373="","",VLOOKUP($C373,'Ürün Kartları'!$B$5:$C$154,2,FALSE)),"— tanımsız ürün —")</f>
      </c>
      <c r="E373" s="8"/>
      <c r="F373" s="10"/>
      <c r="G373" s="11"/>
      <c r="H373" s="16">
        <f>IF(OR($F373="",$G373=""),0,$F373*$G373)</f>
      </c>
      <c r="I373" s="16">
        <f>IFERROR(IF($E373="",0,$H373*VLOOKUP($E373,'Pazaryeri Kartları'!$B$5:$C$24,2,FALSE)+VLOOKUP($E373,'Pazaryeri Kartları'!$B$5:$D$24,3,FALSE)*$G373),0)</f>
      </c>
      <c r="J373" s="16">
        <f>IFERROR(IF($C373="",0,VLOOKUP($C373,'Ürün Kartları'!$B$5:$G$154,6,FALSE)*$G373),0)</f>
      </c>
      <c r="K373" s="11"/>
      <c r="L373" s="10"/>
      <c r="M373" s="21">
        <f>IF($C373="","",IF($K373=1,-($J373*0.5)-$L373,$H373-$I373-$J373-$L373))</f>
      </c>
      <c r="N373" s="22">
        <f>IF(OR($C373="",$H373=0),"",$M373/$H373)</f>
      </c>
    </row>
    <row r="374" spans="2:14" x14ac:dyDescent="0.25">
      <c r="B374" s="23"/>
      <c r="C374" s="12"/>
      <c r="D374" s="20">
        <f>IFERROR(IF($C374="","",VLOOKUP($C374,'Ürün Kartları'!$B$5:$C$154,2,FALSE)),"— tanımsız ürün —")</f>
      </c>
      <c r="E374" s="12"/>
      <c r="F374" s="14"/>
      <c r="G374" s="15"/>
      <c r="H374" s="16">
        <f>IF(OR($F374="",$G374=""),0,$F374*$G374)</f>
      </c>
      <c r="I374" s="16">
        <f>IFERROR(IF($E374="",0,$H374*VLOOKUP($E374,'Pazaryeri Kartları'!$B$5:$C$24,2,FALSE)+VLOOKUP($E374,'Pazaryeri Kartları'!$B$5:$D$24,3,FALSE)*$G374),0)</f>
      </c>
      <c r="J374" s="16">
        <f>IFERROR(IF($C374="",0,VLOOKUP($C374,'Ürün Kartları'!$B$5:$G$154,6,FALSE)*$G374),0)</f>
      </c>
      <c r="K374" s="15"/>
      <c r="L374" s="14"/>
      <c r="M374" s="21">
        <f>IF($C374="","",IF($K374=1,-($J374*0.5)-$L374,$H374-$I374-$J374-$L374))</f>
      </c>
      <c r="N374" s="22">
        <f>IF(OR($C374="",$H374=0),"",$M374/$H374)</f>
      </c>
    </row>
    <row r="375" spans="2:14" x14ac:dyDescent="0.25">
      <c r="B375" s="19"/>
      <c r="C375" s="8"/>
      <c r="D375" s="20">
        <f>IFERROR(IF($C375="","",VLOOKUP($C375,'Ürün Kartları'!$B$5:$C$154,2,FALSE)),"— tanımsız ürün —")</f>
      </c>
      <c r="E375" s="8"/>
      <c r="F375" s="10"/>
      <c r="G375" s="11"/>
      <c r="H375" s="16">
        <f>IF(OR($F375="",$G375=""),0,$F375*$G375)</f>
      </c>
      <c r="I375" s="16">
        <f>IFERROR(IF($E375="",0,$H375*VLOOKUP($E375,'Pazaryeri Kartları'!$B$5:$C$24,2,FALSE)+VLOOKUP($E375,'Pazaryeri Kartları'!$B$5:$D$24,3,FALSE)*$G375),0)</f>
      </c>
      <c r="J375" s="16">
        <f>IFERROR(IF($C375="",0,VLOOKUP($C375,'Ürün Kartları'!$B$5:$G$154,6,FALSE)*$G375),0)</f>
      </c>
      <c r="K375" s="11"/>
      <c r="L375" s="10"/>
      <c r="M375" s="21">
        <f>IF($C375="","",IF($K375=1,-($J375*0.5)-$L375,$H375-$I375-$J375-$L375))</f>
      </c>
      <c r="N375" s="22">
        <f>IF(OR($C375="",$H375=0),"",$M375/$H375)</f>
      </c>
    </row>
    <row r="376" spans="2:14" x14ac:dyDescent="0.25">
      <c r="B376" s="23"/>
      <c r="C376" s="12"/>
      <c r="D376" s="20">
        <f>IFERROR(IF($C376="","",VLOOKUP($C376,'Ürün Kartları'!$B$5:$C$154,2,FALSE)),"— tanımsız ürün —")</f>
      </c>
      <c r="E376" s="12"/>
      <c r="F376" s="14"/>
      <c r="G376" s="15"/>
      <c r="H376" s="16">
        <f>IF(OR($F376="",$G376=""),0,$F376*$G376)</f>
      </c>
      <c r="I376" s="16">
        <f>IFERROR(IF($E376="",0,$H376*VLOOKUP($E376,'Pazaryeri Kartları'!$B$5:$C$24,2,FALSE)+VLOOKUP($E376,'Pazaryeri Kartları'!$B$5:$D$24,3,FALSE)*$G376),0)</f>
      </c>
      <c r="J376" s="16">
        <f>IFERROR(IF($C376="",0,VLOOKUP($C376,'Ürün Kartları'!$B$5:$G$154,6,FALSE)*$G376),0)</f>
      </c>
      <c r="K376" s="15"/>
      <c r="L376" s="14"/>
      <c r="M376" s="21">
        <f>IF($C376="","",IF($K376=1,-($J376*0.5)-$L376,$H376-$I376-$J376-$L376))</f>
      </c>
      <c r="N376" s="22">
        <f>IF(OR($C376="",$H376=0),"",$M376/$H376)</f>
      </c>
    </row>
    <row r="377" spans="2:14" x14ac:dyDescent="0.25">
      <c r="B377" s="19"/>
      <c r="C377" s="8"/>
      <c r="D377" s="20">
        <f>IFERROR(IF($C377="","",VLOOKUP($C377,'Ürün Kartları'!$B$5:$C$154,2,FALSE)),"— tanımsız ürün —")</f>
      </c>
      <c r="E377" s="8"/>
      <c r="F377" s="10"/>
      <c r="G377" s="11"/>
      <c r="H377" s="16">
        <f>IF(OR($F377="",$G377=""),0,$F377*$G377)</f>
      </c>
      <c r="I377" s="16">
        <f>IFERROR(IF($E377="",0,$H377*VLOOKUP($E377,'Pazaryeri Kartları'!$B$5:$C$24,2,FALSE)+VLOOKUP($E377,'Pazaryeri Kartları'!$B$5:$D$24,3,FALSE)*$G377),0)</f>
      </c>
      <c r="J377" s="16">
        <f>IFERROR(IF($C377="",0,VLOOKUP($C377,'Ürün Kartları'!$B$5:$G$154,6,FALSE)*$G377),0)</f>
      </c>
      <c r="K377" s="11"/>
      <c r="L377" s="10"/>
      <c r="M377" s="21">
        <f>IF($C377="","",IF($K377=1,-($J377*0.5)-$L377,$H377-$I377-$J377-$L377))</f>
      </c>
      <c r="N377" s="22">
        <f>IF(OR($C377="",$H377=0),"",$M377/$H377)</f>
      </c>
    </row>
    <row r="378" spans="2:14" x14ac:dyDescent="0.25">
      <c r="B378" s="23"/>
      <c r="C378" s="12"/>
      <c r="D378" s="20">
        <f>IFERROR(IF($C378="","",VLOOKUP($C378,'Ürün Kartları'!$B$5:$C$154,2,FALSE)),"— tanımsız ürün —")</f>
      </c>
      <c r="E378" s="12"/>
      <c r="F378" s="14"/>
      <c r="G378" s="15"/>
      <c r="H378" s="16">
        <f>IF(OR($F378="",$G378=""),0,$F378*$G378)</f>
      </c>
      <c r="I378" s="16">
        <f>IFERROR(IF($E378="",0,$H378*VLOOKUP($E378,'Pazaryeri Kartları'!$B$5:$C$24,2,FALSE)+VLOOKUP($E378,'Pazaryeri Kartları'!$B$5:$D$24,3,FALSE)*$G378),0)</f>
      </c>
      <c r="J378" s="16">
        <f>IFERROR(IF($C378="",0,VLOOKUP($C378,'Ürün Kartları'!$B$5:$G$154,6,FALSE)*$G378),0)</f>
      </c>
      <c r="K378" s="15"/>
      <c r="L378" s="14"/>
      <c r="M378" s="21">
        <f>IF($C378="","",IF($K378=1,-($J378*0.5)-$L378,$H378-$I378-$J378-$L378))</f>
      </c>
      <c r="N378" s="22">
        <f>IF(OR($C378="",$H378=0),"",$M378/$H378)</f>
      </c>
    </row>
    <row r="379" spans="2:14" x14ac:dyDescent="0.25">
      <c r="B379" s="19"/>
      <c r="C379" s="8"/>
      <c r="D379" s="20">
        <f>IFERROR(IF($C379="","",VLOOKUP($C379,'Ürün Kartları'!$B$5:$C$154,2,FALSE)),"— tanımsız ürün —")</f>
      </c>
      <c r="E379" s="8"/>
      <c r="F379" s="10"/>
      <c r="G379" s="11"/>
      <c r="H379" s="16">
        <f>IF(OR($F379="",$G379=""),0,$F379*$G379)</f>
      </c>
      <c r="I379" s="16">
        <f>IFERROR(IF($E379="",0,$H379*VLOOKUP($E379,'Pazaryeri Kartları'!$B$5:$C$24,2,FALSE)+VLOOKUP($E379,'Pazaryeri Kartları'!$B$5:$D$24,3,FALSE)*$G379),0)</f>
      </c>
      <c r="J379" s="16">
        <f>IFERROR(IF($C379="",0,VLOOKUP($C379,'Ürün Kartları'!$B$5:$G$154,6,FALSE)*$G379),0)</f>
      </c>
      <c r="K379" s="11"/>
      <c r="L379" s="10"/>
      <c r="M379" s="21">
        <f>IF($C379="","",IF($K379=1,-($J379*0.5)-$L379,$H379-$I379-$J379-$L379))</f>
      </c>
      <c r="N379" s="22">
        <f>IF(OR($C379="",$H379=0),"",$M379/$H379)</f>
      </c>
    </row>
    <row r="380" spans="2:14" x14ac:dyDescent="0.25">
      <c r="B380" s="23"/>
      <c r="C380" s="12"/>
      <c r="D380" s="20">
        <f>IFERROR(IF($C380="","",VLOOKUP($C380,'Ürün Kartları'!$B$5:$C$154,2,FALSE)),"— tanımsız ürün —")</f>
      </c>
      <c r="E380" s="12"/>
      <c r="F380" s="14"/>
      <c r="G380" s="15"/>
      <c r="H380" s="16">
        <f>IF(OR($F380="",$G380=""),0,$F380*$G380)</f>
      </c>
      <c r="I380" s="16">
        <f>IFERROR(IF($E380="",0,$H380*VLOOKUP($E380,'Pazaryeri Kartları'!$B$5:$C$24,2,FALSE)+VLOOKUP($E380,'Pazaryeri Kartları'!$B$5:$D$24,3,FALSE)*$G380),0)</f>
      </c>
      <c r="J380" s="16">
        <f>IFERROR(IF($C380="",0,VLOOKUP($C380,'Ürün Kartları'!$B$5:$G$154,6,FALSE)*$G380),0)</f>
      </c>
      <c r="K380" s="15"/>
      <c r="L380" s="14"/>
      <c r="M380" s="21">
        <f>IF($C380="","",IF($K380=1,-($J380*0.5)-$L380,$H380-$I380-$J380-$L380))</f>
      </c>
      <c r="N380" s="22">
        <f>IF(OR($C380="",$H380=0),"",$M380/$H380)</f>
      </c>
    </row>
    <row r="381" spans="2:14" x14ac:dyDescent="0.25">
      <c r="B381" s="19"/>
      <c r="C381" s="8"/>
      <c r="D381" s="20">
        <f>IFERROR(IF($C381="","",VLOOKUP($C381,'Ürün Kartları'!$B$5:$C$154,2,FALSE)),"— tanımsız ürün —")</f>
      </c>
      <c r="E381" s="8"/>
      <c r="F381" s="10"/>
      <c r="G381" s="11"/>
      <c r="H381" s="16">
        <f>IF(OR($F381="",$G381=""),0,$F381*$G381)</f>
      </c>
      <c r="I381" s="16">
        <f>IFERROR(IF($E381="",0,$H381*VLOOKUP($E381,'Pazaryeri Kartları'!$B$5:$C$24,2,FALSE)+VLOOKUP($E381,'Pazaryeri Kartları'!$B$5:$D$24,3,FALSE)*$G381),0)</f>
      </c>
      <c r="J381" s="16">
        <f>IFERROR(IF($C381="",0,VLOOKUP($C381,'Ürün Kartları'!$B$5:$G$154,6,FALSE)*$G381),0)</f>
      </c>
      <c r="K381" s="11"/>
      <c r="L381" s="10"/>
      <c r="M381" s="21">
        <f>IF($C381="","",IF($K381=1,-($J381*0.5)-$L381,$H381-$I381-$J381-$L381))</f>
      </c>
      <c r="N381" s="22">
        <f>IF(OR($C381="",$H381=0),"",$M381/$H381)</f>
      </c>
    </row>
    <row r="382" spans="2:14" x14ac:dyDescent="0.25">
      <c r="B382" s="23"/>
      <c r="C382" s="12"/>
      <c r="D382" s="20">
        <f>IFERROR(IF($C382="","",VLOOKUP($C382,'Ürün Kartları'!$B$5:$C$154,2,FALSE)),"— tanımsız ürün —")</f>
      </c>
      <c r="E382" s="12"/>
      <c r="F382" s="14"/>
      <c r="G382" s="15"/>
      <c r="H382" s="16">
        <f>IF(OR($F382="",$G382=""),0,$F382*$G382)</f>
      </c>
      <c r="I382" s="16">
        <f>IFERROR(IF($E382="",0,$H382*VLOOKUP($E382,'Pazaryeri Kartları'!$B$5:$C$24,2,FALSE)+VLOOKUP($E382,'Pazaryeri Kartları'!$B$5:$D$24,3,FALSE)*$G382),0)</f>
      </c>
      <c r="J382" s="16">
        <f>IFERROR(IF($C382="",0,VLOOKUP($C382,'Ürün Kartları'!$B$5:$G$154,6,FALSE)*$G382),0)</f>
      </c>
      <c r="K382" s="15"/>
      <c r="L382" s="14"/>
      <c r="M382" s="21">
        <f>IF($C382="","",IF($K382=1,-($J382*0.5)-$L382,$H382-$I382-$J382-$L382))</f>
      </c>
      <c r="N382" s="22">
        <f>IF(OR($C382="",$H382=0),"",$M382/$H382)</f>
      </c>
    </row>
    <row r="383" spans="2:14" x14ac:dyDescent="0.25">
      <c r="B383" s="19"/>
      <c r="C383" s="8"/>
      <c r="D383" s="20">
        <f>IFERROR(IF($C383="","",VLOOKUP($C383,'Ürün Kartları'!$B$5:$C$154,2,FALSE)),"— tanımsız ürün —")</f>
      </c>
      <c r="E383" s="8"/>
      <c r="F383" s="10"/>
      <c r="G383" s="11"/>
      <c r="H383" s="16">
        <f>IF(OR($F383="",$G383=""),0,$F383*$G383)</f>
      </c>
      <c r="I383" s="16">
        <f>IFERROR(IF($E383="",0,$H383*VLOOKUP($E383,'Pazaryeri Kartları'!$B$5:$C$24,2,FALSE)+VLOOKUP($E383,'Pazaryeri Kartları'!$B$5:$D$24,3,FALSE)*$G383),0)</f>
      </c>
      <c r="J383" s="16">
        <f>IFERROR(IF($C383="",0,VLOOKUP($C383,'Ürün Kartları'!$B$5:$G$154,6,FALSE)*$G383),0)</f>
      </c>
      <c r="K383" s="11"/>
      <c r="L383" s="10"/>
      <c r="M383" s="21">
        <f>IF($C383="","",IF($K383=1,-($J383*0.5)-$L383,$H383-$I383-$J383-$L383))</f>
      </c>
      <c r="N383" s="22">
        <f>IF(OR($C383="",$H383=0),"",$M383/$H383)</f>
      </c>
    </row>
    <row r="384" spans="2:14" x14ac:dyDescent="0.25">
      <c r="B384" s="23"/>
      <c r="C384" s="12"/>
      <c r="D384" s="20">
        <f>IFERROR(IF($C384="","",VLOOKUP($C384,'Ürün Kartları'!$B$5:$C$154,2,FALSE)),"— tanımsız ürün —")</f>
      </c>
      <c r="E384" s="12"/>
      <c r="F384" s="14"/>
      <c r="G384" s="15"/>
      <c r="H384" s="16">
        <f>IF(OR($F384="",$G384=""),0,$F384*$G384)</f>
      </c>
      <c r="I384" s="16">
        <f>IFERROR(IF($E384="",0,$H384*VLOOKUP($E384,'Pazaryeri Kartları'!$B$5:$C$24,2,FALSE)+VLOOKUP($E384,'Pazaryeri Kartları'!$B$5:$D$24,3,FALSE)*$G384),0)</f>
      </c>
      <c r="J384" s="16">
        <f>IFERROR(IF($C384="",0,VLOOKUP($C384,'Ürün Kartları'!$B$5:$G$154,6,FALSE)*$G384),0)</f>
      </c>
      <c r="K384" s="15"/>
      <c r="L384" s="14"/>
      <c r="M384" s="21">
        <f>IF($C384="","",IF($K384=1,-($J384*0.5)-$L384,$H384-$I384-$J384-$L384))</f>
      </c>
      <c r="N384" s="22">
        <f>IF(OR($C384="",$H384=0),"",$M384/$H384)</f>
      </c>
    </row>
    <row r="385" spans="2:14" x14ac:dyDescent="0.25">
      <c r="B385" s="19"/>
      <c r="C385" s="8"/>
      <c r="D385" s="20">
        <f>IFERROR(IF($C385="","",VLOOKUP($C385,'Ürün Kartları'!$B$5:$C$154,2,FALSE)),"— tanımsız ürün —")</f>
      </c>
      <c r="E385" s="8"/>
      <c r="F385" s="10"/>
      <c r="G385" s="11"/>
      <c r="H385" s="16">
        <f>IF(OR($F385="",$G385=""),0,$F385*$G385)</f>
      </c>
      <c r="I385" s="16">
        <f>IFERROR(IF($E385="",0,$H385*VLOOKUP($E385,'Pazaryeri Kartları'!$B$5:$C$24,2,FALSE)+VLOOKUP($E385,'Pazaryeri Kartları'!$B$5:$D$24,3,FALSE)*$G385),0)</f>
      </c>
      <c r="J385" s="16">
        <f>IFERROR(IF($C385="",0,VLOOKUP($C385,'Ürün Kartları'!$B$5:$G$154,6,FALSE)*$G385),0)</f>
      </c>
      <c r="K385" s="11"/>
      <c r="L385" s="10"/>
      <c r="M385" s="21">
        <f>IF($C385="","",IF($K385=1,-($J385*0.5)-$L385,$H385-$I385-$J385-$L385))</f>
      </c>
      <c r="N385" s="22">
        <f>IF(OR($C385="",$H385=0),"",$M385/$H385)</f>
      </c>
    </row>
    <row r="386" spans="2:14" x14ac:dyDescent="0.25">
      <c r="B386" s="23"/>
      <c r="C386" s="12"/>
      <c r="D386" s="20">
        <f>IFERROR(IF($C386="","",VLOOKUP($C386,'Ürün Kartları'!$B$5:$C$154,2,FALSE)),"— tanımsız ürün —")</f>
      </c>
      <c r="E386" s="12"/>
      <c r="F386" s="14"/>
      <c r="G386" s="15"/>
      <c r="H386" s="16">
        <f>IF(OR($F386="",$G386=""),0,$F386*$G386)</f>
      </c>
      <c r="I386" s="16">
        <f>IFERROR(IF($E386="",0,$H386*VLOOKUP($E386,'Pazaryeri Kartları'!$B$5:$C$24,2,FALSE)+VLOOKUP($E386,'Pazaryeri Kartları'!$B$5:$D$24,3,FALSE)*$G386),0)</f>
      </c>
      <c r="J386" s="16">
        <f>IFERROR(IF($C386="",0,VLOOKUP($C386,'Ürün Kartları'!$B$5:$G$154,6,FALSE)*$G386),0)</f>
      </c>
      <c r="K386" s="15"/>
      <c r="L386" s="14"/>
      <c r="M386" s="21">
        <f>IF($C386="","",IF($K386=1,-($J386*0.5)-$L386,$H386-$I386-$J386-$L386))</f>
      </c>
      <c r="N386" s="22">
        <f>IF(OR($C386="",$H386=0),"",$M386/$H386)</f>
      </c>
    </row>
    <row r="387" spans="2:14" x14ac:dyDescent="0.25">
      <c r="B387" s="19"/>
      <c r="C387" s="8"/>
      <c r="D387" s="20">
        <f>IFERROR(IF($C387="","",VLOOKUP($C387,'Ürün Kartları'!$B$5:$C$154,2,FALSE)),"— tanımsız ürün —")</f>
      </c>
      <c r="E387" s="8"/>
      <c r="F387" s="10"/>
      <c r="G387" s="11"/>
      <c r="H387" s="16">
        <f>IF(OR($F387="",$G387=""),0,$F387*$G387)</f>
      </c>
      <c r="I387" s="16">
        <f>IFERROR(IF($E387="",0,$H387*VLOOKUP($E387,'Pazaryeri Kartları'!$B$5:$C$24,2,FALSE)+VLOOKUP($E387,'Pazaryeri Kartları'!$B$5:$D$24,3,FALSE)*$G387),0)</f>
      </c>
      <c r="J387" s="16">
        <f>IFERROR(IF($C387="",0,VLOOKUP($C387,'Ürün Kartları'!$B$5:$G$154,6,FALSE)*$G387),0)</f>
      </c>
      <c r="K387" s="11"/>
      <c r="L387" s="10"/>
      <c r="M387" s="21">
        <f>IF($C387="","",IF($K387=1,-($J387*0.5)-$L387,$H387-$I387-$J387-$L387))</f>
      </c>
      <c r="N387" s="22">
        <f>IF(OR($C387="",$H387=0),"",$M387/$H387)</f>
      </c>
    </row>
    <row r="388" spans="2:14" x14ac:dyDescent="0.25">
      <c r="B388" s="23"/>
      <c r="C388" s="12"/>
      <c r="D388" s="20">
        <f>IFERROR(IF($C388="","",VLOOKUP($C388,'Ürün Kartları'!$B$5:$C$154,2,FALSE)),"— tanımsız ürün —")</f>
      </c>
      <c r="E388" s="12"/>
      <c r="F388" s="14"/>
      <c r="G388" s="15"/>
      <c r="H388" s="16">
        <f>IF(OR($F388="",$G388=""),0,$F388*$G388)</f>
      </c>
      <c r="I388" s="16">
        <f>IFERROR(IF($E388="",0,$H388*VLOOKUP($E388,'Pazaryeri Kartları'!$B$5:$C$24,2,FALSE)+VLOOKUP($E388,'Pazaryeri Kartları'!$B$5:$D$24,3,FALSE)*$G388),0)</f>
      </c>
      <c r="J388" s="16">
        <f>IFERROR(IF($C388="",0,VLOOKUP($C388,'Ürün Kartları'!$B$5:$G$154,6,FALSE)*$G388),0)</f>
      </c>
      <c r="K388" s="15"/>
      <c r="L388" s="14"/>
      <c r="M388" s="21">
        <f>IF($C388="","",IF($K388=1,-($J388*0.5)-$L388,$H388-$I388-$J388-$L388))</f>
      </c>
      <c r="N388" s="22">
        <f>IF(OR($C388="",$H388=0),"",$M388/$H388)</f>
      </c>
    </row>
    <row r="389" spans="2:14" x14ac:dyDescent="0.25">
      <c r="B389" s="19"/>
      <c r="C389" s="8"/>
      <c r="D389" s="20">
        <f>IFERROR(IF($C389="","",VLOOKUP($C389,'Ürün Kartları'!$B$5:$C$154,2,FALSE)),"— tanımsız ürün —")</f>
      </c>
      <c r="E389" s="8"/>
      <c r="F389" s="10"/>
      <c r="G389" s="11"/>
      <c r="H389" s="16">
        <f>IF(OR($F389="",$G389=""),0,$F389*$G389)</f>
      </c>
      <c r="I389" s="16">
        <f>IFERROR(IF($E389="",0,$H389*VLOOKUP($E389,'Pazaryeri Kartları'!$B$5:$C$24,2,FALSE)+VLOOKUP($E389,'Pazaryeri Kartları'!$B$5:$D$24,3,FALSE)*$G389),0)</f>
      </c>
      <c r="J389" s="16">
        <f>IFERROR(IF($C389="",0,VLOOKUP($C389,'Ürün Kartları'!$B$5:$G$154,6,FALSE)*$G389),0)</f>
      </c>
      <c r="K389" s="11"/>
      <c r="L389" s="10"/>
      <c r="M389" s="21">
        <f>IF($C389="","",IF($K389=1,-($J389*0.5)-$L389,$H389-$I389-$J389-$L389))</f>
      </c>
      <c r="N389" s="22">
        <f>IF(OR($C389="",$H389=0),"",$M389/$H389)</f>
      </c>
    </row>
    <row r="390" spans="2:14" x14ac:dyDescent="0.25">
      <c r="B390" s="23"/>
      <c r="C390" s="12"/>
      <c r="D390" s="20">
        <f>IFERROR(IF($C390="","",VLOOKUP($C390,'Ürün Kartları'!$B$5:$C$154,2,FALSE)),"— tanımsız ürün —")</f>
      </c>
      <c r="E390" s="12"/>
      <c r="F390" s="14"/>
      <c r="G390" s="15"/>
      <c r="H390" s="16">
        <f>IF(OR($F390="",$G390=""),0,$F390*$G390)</f>
      </c>
      <c r="I390" s="16">
        <f>IFERROR(IF($E390="",0,$H390*VLOOKUP($E390,'Pazaryeri Kartları'!$B$5:$C$24,2,FALSE)+VLOOKUP($E390,'Pazaryeri Kartları'!$B$5:$D$24,3,FALSE)*$G390),0)</f>
      </c>
      <c r="J390" s="16">
        <f>IFERROR(IF($C390="",0,VLOOKUP($C390,'Ürün Kartları'!$B$5:$G$154,6,FALSE)*$G390),0)</f>
      </c>
      <c r="K390" s="15"/>
      <c r="L390" s="14"/>
      <c r="M390" s="21">
        <f>IF($C390="","",IF($K390=1,-($J390*0.5)-$L390,$H390-$I390-$J390-$L390))</f>
      </c>
      <c r="N390" s="22">
        <f>IF(OR($C390="",$H390=0),"",$M390/$H390)</f>
      </c>
    </row>
    <row r="391" spans="2:14" x14ac:dyDescent="0.25">
      <c r="B391" s="19"/>
      <c r="C391" s="8"/>
      <c r="D391" s="20">
        <f>IFERROR(IF($C391="","",VLOOKUP($C391,'Ürün Kartları'!$B$5:$C$154,2,FALSE)),"— tanımsız ürün —")</f>
      </c>
      <c r="E391" s="8"/>
      <c r="F391" s="10"/>
      <c r="G391" s="11"/>
      <c r="H391" s="16">
        <f>IF(OR($F391="",$G391=""),0,$F391*$G391)</f>
      </c>
      <c r="I391" s="16">
        <f>IFERROR(IF($E391="",0,$H391*VLOOKUP($E391,'Pazaryeri Kartları'!$B$5:$C$24,2,FALSE)+VLOOKUP($E391,'Pazaryeri Kartları'!$B$5:$D$24,3,FALSE)*$G391),0)</f>
      </c>
      <c r="J391" s="16">
        <f>IFERROR(IF($C391="",0,VLOOKUP($C391,'Ürün Kartları'!$B$5:$G$154,6,FALSE)*$G391),0)</f>
      </c>
      <c r="K391" s="11"/>
      <c r="L391" s="10"/>
      <c r="M391" s="21">
        <f>IF($C391="","",IF($K391=1,-($J391*0.5)-$L391,$H391-$I391-$J391-$L391))</f>
      </c>
      <c r="N391" s="22">
        <f>IF(OR($C391="",$H391=0),"",$M391/$H391)</f>
      </c>
    </row>
    <row r="392" spans="2:14" x14ac:dyDescent="0.25">
      <c r="B392" s="23"/>
      <c r="C392" s="12"/>
      <c r="D392" s="20">
        <f>IFERROR(IF($C392="","",VLOOKUP($C392,'Ürün Kartları'!$B$5:$C$154,2,FALSE)),"— tanımsız ürün —")</f>
      </c>
      <c r="E392" s="12"/>
      <c r="F392" s="14"/>
      <c r="G392" s="15"/>
      <c r="H392" s="16">
        <f>IF(OR($F392="",$G392=""),0,$F392*$G392)</f>
      </c>
      <c r="I392" s="16">
        <f>IFERROR(IF($E392="",0,$H392*VLOOKUP($E392,'Pazaryeri Kartları'!$B$5:$C$24,2,FALSE)+VLOOKUP($E392,'Pazaryeri Kartları'!$B$5:$D$24,3,FALSE)*$G392),0)</f>
      </c>
      <c r="J392" s="16">
        <f>IFERROR(IF($C392="",0,VLOOKUP($C392,'Ürün Kartları'!$B$5:$G$154,6,FALSE)*$G392),0)</f>
      </c>
      <c r="K392" s="15"/>
      <c r="L392" s="14"/>
      <c r="M392" s="21">
        <f>IF($C392="","",IF($K392=1,-($J392*0.5)-$L392,$H392-$I392-$J392-$L392))</f>
      </c>
      <c r="N392" s="22">
        <f>IF(OR($C392="",$H392=0),"",$M392/$H392)</f>
      </c>
    </row>
    <row r="393" spans="2:14" x14ac:dyDescent="0.25">
      <c r="B393" s="19"/>
      <c r="C393" s="8"/>
      <c r="D393" s="20">
        <f>IFERROR(IF($C393="","",VLOOKUP($C393,'Ürün Kartları'!$B$5:$C$154,2,FALSE)),"— tanımsız ürün —")</f>
      </c>
      <c r="E393" s="8"/>
      <c r="F393" s="10"/>
      <c r="G393" s="11"/>
      <c r="H393" s="16">
        <f>IF(OR($F393="",$G393=""),0,$F393*$G393)</f>
      </c>
      <c r="I393" s="16">
        <f>IFERROR(IF($E393="",0,$H393*VLOOKUP($E393,'Pazaryeri Kartları'!$B$5:$C$24,2,FALSE)+VLOOKUP($E393,'Pazaryeri Kartları'!$B$5:$D$24,3,FALSE)*$G393),0)</f>
      </c>
      <c r="J393" s="16">
        <f>IFERROR(IF($C393="",0,VLOOKUP($C393,'Ürün Kartları'!$B$5:$G$154,6,FALSE)*$G393),0)</f>
      </c>
      <c r="K393" s="11"/>
      <c r="L393" s="10"/>
      <c r="M393" s="21">
        <f>IF($C393="","",IF($K393=1,-($J393*0.5)-$L393,$H393-$I393-$J393-$L393))</f>
      </c>
      <c r="N393" s="22">
        <f>IF(OR($C393="",$H393=0),"",$M393/$H393)</f>
      </c>
    </row>
    <row r="394" spans="2:14" x14ac:dyDescent="0.25">
      <c r="B394" s="23"/>
      <c r="C394" s="12"/>
      <c r="D394" s="20">
        <f>IFERROR(IF($C394="","",VLOOKUP($C394,'Ürün Kartları'!$B$5:$C$154,2,FALSE)),"— tanımsız ürün —")</f>
      </c>
      <c r="E394" s="12"/>
      <c r="F394" s="14"/>
      <c r="G394" s="15"/>
      <c r="H394" s="16">
        <f>IF(OR($F394="",$G394=""),0,$F394*$G394)</f>
      </c>
      <c r="I394" s="16">
        <f>IFERROR(IF($E394="",0,$H394*VLOOKUP($E394,'Pazaryeri Kartları'!$B$5:$C$24,2,FALSE)+VLOOKUP($E394,'Pazaryeri Kartları'!$B$5:$D$24,3,FALSE)*$G394),0)</f>
      </c>
      <c r="J394" s="16">
        <f>IFERROR(IF($C394="",0,VLOOKUP($C394,'Ürün Kartları'!$B$5:$G$154,6,FALSE)*$G394),0)</f>
      </c>
      <c r="K394" s="15"/>
      <c r="L394" s="14"/>
      <c r="M394" s="21">
        <f>IF($C394="","",IF($K394=1,-($J394*0.5)-$L394,$H394-$I394-$J394-$L394))</f>
      </c>
      <c r="N394" s="22">
        <f>IF(OR($C394="",$H394=0),"",$M394/$H394)</f>
      </c>
    </row>
    <row r="395" spans="2:14" x14ac:dyDescent="0.25">
      <c r="B395" s="19"/>
      <c r="C395" s="8"/>
      <c r="D395" s="20">
        <f>IFERROR(IF($C395="","",VLOOKUP($C395,'Ürün Kartları'!$B$5:$C$154,2,FALSE)),"— tanımsız ürün —")</f>
      </c>
      <c r="E395" s="8"/>
      <c r="F395" s="10"/>
      <c r="G395" s="11"/>
      <c r="H395" s="16">
        <f>IF(OR($F395="",$G395=""),0,$F395*$G395)</f>
      </c>
      <c r="I395" s="16">
        <f>IFERROR(IF($E395="",0,$H395*VLOOKUP($E395,'Pazaryeri Kartları'!$B$5:$C$24,2,FALSE)+VLOOKUP($E395,'Pazaryeri Kartları'!$B$5:$D$24,3,FALSE)*$G395),0)</f>
      </c>
      <c r="J395" s="16">
        <f>IFERROR(IF($C395="",0,VLOOKUP($C395,'Ürün Kartları'!$B$5:$G$154,6,FALSE)*$G395),0)</f>
      </c>
      <c r="K395" s="11"/>
      <c r="L395" s="10"/>
      <c r="M395" s="21">
        <f>IF($C395="","",IF($K395=1,-($J395*0.5)-$L395,$H395-$I395-$J395-$L395))</f>
      </c>
      <c r="N395" s="22">
        <f>IF(OR($C395="",$H395=0),"",$M395/$H395)</f>
      </c>
    </row>
    <row r="396" spans="2:14" x14ac:dyDescent="0.25">
      <c r="B396" s="23"/>
      <c r="C396" s="12"/>
      <c r="D396" s="20">
        <f>IFERROR(IF($C396="","",VLOOKUP($C396,'Ürün Kartları'!$B$5:$C$154,2,FALSE)),"— tanımsız ürün —")</f>
      </c>
      <c r="E396" s="12"/>
      <c r="F396" s="14"/>
      <c r="G396" s="15"/>
      <c r="H396" s="16">
        <f>IF(OR($F396="",$G396=""),0,$F396*$G396)</f>
      </c>
      <c r="I396" s="16">
        <f>IFERROR(IF($E396="",0,$H396*VLOOKUP($E396,'Pazaryeri Kartları'!$B$5:$C$24,2,FALSE)+VLOOKUP($E396,'Pazaryeri Kartları'!$B$5:$D$24,3,FALSE)*$G396),0)</f>
      </c>
      <c r="J396" s="16">
        <f>IFERROR(IF($C396="",0,VLOOKUP($C396,'Ürün Kartları'!$B$5:$G$154,6,FALSE)*$G396),0)</f>
      </c>
      <c r="K396" s="15"/>
      <c r="L396" s="14"/>
      <c r="M396" s="21">
        <f>IF($C396="","",IF($K396=1,-($J396*0.5)-$L396,$H396-$I396-$J396-$L396))</f>
      </c>
      <c r="N396" s="22">
        <f>IF(OR($C396="",$H396=0),"",$M396/$H396)</f>
      </c>
    </row>
    <row r="397" spans="2:14" x14ac:dyDescent="0.25">
      <c r="B397" s="19"/>
      <c r="C397" s="8"/>
      <c r="D397" s="20">
        <f>IFERROR(IF($C397="","",VLOOKUP($C397,'Ürün Kartları'!$B$5:$C$154,2,FALSE)),"— tanımsız ürün —")</f>
      </c>
      <c r="E397" s="8"/>
      <c r="F397" s="10"/>
      <c r="G397" s="11"/>
      <c r="H397" s="16">
        <f>IF(OR($F397="",$G397=""),0,$F397*$G397)</f>
      </c>
      <c r="I397" s="16">
        <f>IFERROR(IF($E397="",0,$H397*VLOOKUP($E397,'Pazaryeri Kartları'!$B$5:$C$24,2,FALSE)+VLOOKUP($E397,'Pazaryeri Kartları'!$B$5:$D$24,3,FALSE)*$G397),0)</f>
      </c>
      <c r="J397" s="16">
        <f>IFERROR(IF($C397="",0,VLOOKUP($C397,'Ürün Kartları'!$B$5:$G$154,6,FALSE)*$G397),0)</f>
      </c>
      <c r="K397" s="11"/>
      <c r="L397" s="10"/>
      <c r="M397" s="21">
        <f>IF($C397="","",IF($K397=1,-($J397*0.5)-$L397,$H397-$I397-$J397-$L397))</f>
      </c>
      <c r="N397" s="22">
        <f>IF(OR($C397="",$H397=0),"",$M397/$H397)</f>
      </c>
    </row>
    <row r="398" spans="2:14" x14ac:dyDescent="0.25">
      <c r="B398" s="23"/>
      <c r="C398" s="12"/>
      <c r="D398" s="20">
        <f>IFERROR(IF($C398="","",VLOOKUP($C398,'Ürün Kartları'!$B$5:$C$154,2,FALSE)),"— tanımsız ürün —")</f>
      </c>
      <c r="E398" s="12"/>
      <c r="F398" s="14"/>
      <c r="G398" s="15"/>
      <c r="H398" s="16">
        <f>IF(OR($F398="",$G398=""),0,$F398*$G398)</f>
      </c>
      <c r="I398" s="16">
        <f>IFERROR(IF($E398="",0,$H398*VLOOKUP($E398,'Pazaryeri Kartları'!$B$5:$C$24,2,FALSE)+VLOOKUP($E398,'Pazaryeri Kartları'!$B$5:$D$24,3,FALSE)*$G398),0)</f>
      </c>
      <c r="J398" s="16">
        <f>IFERROR(IF($C398="",0,VLOOKUP($C398,'Ürün Kartları'!$B$5:$G$154,6,FALSE)*$G398),0)</f>
      </c>
      <c r="K398" s="15"/>
      <c r="L398" s="14"/>
      <c r="M398" s="21">
        <f>IF($C398="","",IF($K398=1,-($J398*0.5)-$L398,$H398-$I398-$J398-$L398))</f>
      </c>
      <c r="N398" s="22">
        <f>IF(OR($C398="",$H398=0),"",$M398/$H398)</f>
      </c>
    </row>
    <row r="399" spans="2:14" x14ac:dyDescent="0.25">
      <c r="B399" s="19"/>
      <c r="C399" s="8"/>
      <c r="D399" s="20">
        <f>IFERROR(IF($C399="","",VLOOKUP($C399,'Ürün Kartları'!$B$5:$C$154,2,FALSE)),"— tanımsız ürün —")</f>
      </c>
      <c r="E399" s="8"/>
      <c r="F399" s="10"/>
      <c r="G399" s="11"/>
      <c r="H399" s="16">
        <f>IF(OR($F399="",$G399=""),0,$F399*$G399)</f>
      </c>
      <c r="I399" s="16">
        <f>IFERROR(IF($E399="",0,$H399*VLOOKUP($E399,'Pazaryeri Kartları'!$B$5:$C$24,2,FALSE)+VLOOKUP($E399,'Pazaryeri Kartları'!$B$5:$D$24,3,FALSE)*$G399),0)</f>
      </c>
      <c r="J399" s="16">
        <f>IFERROR(IF($C399="",0,VLOOKUP($C399,'Ürün Kartları'!$B$5:$G$154,6,FALSE)*$G399),0)</f>
      </c>
      <c r="K399" s="11"/>
      <c r="L399" s="10"/>
      <c r="M399" s="21">
        <f>IF($C399="","",IF($K399=1,-($J399*0.5)-$L399,$H399-$I399-$J399-$L399))</f>
      </c>
      <c r="N399" s="22">
        <f>IF(OR($C399="",$H399=0),"",$M399/$H399)</f>
      </c>
    </row>
    <row r="400" spans="2:14" x14ac:dyDescent="0.25">
      <c r="B400" s="23"/>
      <c r="C400" s="12"/>
      <c r="D400" s="20">
        <f>IFERROR(IF($C400="","",VLOOKUP($C400,'Ürün Kartları'!$B$5:$C$154,2,FALSE)),"— tanımsız ürün —")</f>
      </c>
      <c r="E400" s="12"/>
      <c r="F400" s="14"/>
      <c r="G400" s="15"/>
      <c r="H400" s="16">
        <f>IF(OR($F400="",$G400=""),0,$F400*$G400)</f>
      </c>
      <c r="I400" s="16">
        <f>IFERROR(IF($E400="",0,$H400*VLOOKUP($E400,'Pazaryeri Kartları'!$B$5:$C$24,2,FALSE)+VLOOKUP($E400,'Pazaryeri Kartları'!$B$5:$D$24,3,FALSE)*$G400),0)</f>
      </c>
      <c r="J400" s="16">
        <f>IFERROR(IF($C400="",0,VLOOKUP($C400,'Ürün Kartları'!$B$5:$G$154,6,FALSE)*$G400),0)</f>
      </c>
      <c r="K400" s="15"/>
      <c r="L400" s="14"/>
      <c r="M400" s="21">
        <f>IF($C400="","",IF($K400=1,-($J400*0.5)-$L400,$H400-$I400-$J400-$L400))</f>
      </c>
      <c r="N400" s="22">
        <f>IF(OR($C400="",$H400=0),"",$M400/$H400)</f>
      </c>
    </row>
    <row r="401" spans="2:14" x14ac:dyDescent="0.25">
      <c r="B401" s="19"/>
      <c r="C401" s="8"/>
      <c r="D401" s="20">
        <f>IFERROR(IF($C401="","",VLOOKUP($C401,'Ürün Kartları'!$B$5:$C$154,2,FALSE)),"— tanımsız ürün —")</f>
      </c>
      <c r="E401" s="8"/>
      <c r="F401" s="10"/>
      <c r="G401" s="11"/>
      <c r="H401" s="16">
        <f>IF(OR($F401="",$G401=""),0,$F401*$G401)</f>
      </c>
      <c r="I401" s="16">
        <f>IFERROR(IF($E401="",0,$H401*VLOOKUP($E401,'Pazaryeri Kartları'!$B$5:$C$24,2,FALSE)+VLOOKUP($E401,'Pazaryeri Kartları'!$B$5:$D$24,3,FALSE)*$G401),0)</f>
      </c>
      <c r="J401" s="16">
        <f>IFERROR(IF($C401="",0,VLOOKUP($C401,'Ürün Kartları'!$B$5:$G$154,6,FALSE)*$G401),0)</f>
      </c>
      <c r="K401" s="11"/>
      <c r="L401" s="10"/>
      <c r="M401" s="21">
        <f>IF($C401="","",IF($K401=1,-($J401*0.5)-$L401,$H401-$I401-$J401-$L401))</f>
      </c>
      <c r="N401" s="22">
        <f>IF(OR($C401="",$H401=0),"",$M401/$H401)</f>
      </c>
    </row>
    <row r="402" spans="2:14" x14ac:dyDescent="0.25">
      <c r="B402" s="23"/>
      <c r="C402" s="12"/>
      <c r="D402" s="20">
        <f>IFERROR(IF($C402="","",VLOOKUP($C402,'Ürün Kartları'!$B$5:$C$154,2,FALSE)),"— tanımsız ürün —")</f>
      </c>
      <c r="E402" s="12"/>
      <c r="F402" s="14"/>
      <c r="G402" s="15"/>
      <c r="H402" s="16">
        <f>IF(OR($F402="",$G402=""),0,$F402*$G402)</f>
      </c>
      <c r="I402" s="16">
        <f>IFERROR(IF($E402="",0,$H402*VLOOKUP($E402,'Pazaryeri Kartları'!$B$5:$C$24,2,FALSE)+VLOOKUP($E402,'Pazaryeri Kartları'!$B$5:$D$24,3,FALSE)*$G402),0)</f>
      </c>
      <c r="J402" s="16">
        <f>IFERROR(IF($C402="",0,VLOOKUP($C402,'Ürün Kartları'!$B$5:$G$154,6,FALSE)*$G402),0)</f>
      </c>
      <c r="K402" s="15"/>
      <c r="L402" s="14"/>
      <c r="M402" s="21">
        <f>IF($C402="","",IF($K402=1,-($J402*0.5)-$L402,$H402-$I402-$J402-$L402))</f>
      </c>
      <c r="N402" s="22">
        <f>IF(OR($C402="",$H402=0),"",$M402/$H402)</f>
      </c>
    </row>
    <row r="403" spans="2:14" x14ac:dyDescent="0.25">
      <c r="B403" s="19"/>
      <c r="C403" s="8"/>
      <c r="D403" s="20">
        <f>IFERROR(IF($C403="","",VLOOKUP($C403,'Ürün Kartları'!$B$5:$C$154,2,FALSE)),"— tanımsız ürün —")</f>
      </c>
      <c r="E403" s="8"/>
      <c r="F403" s="10"/>
      <c r="G403" s="11"/>
      <c r="H403" s="16">
        <f>IF(OR($F403="",$G403=""),0,$F403*$G403)</f>
      </c>
      <c r="I403" s="16">
        <f>IFERROR(IF($E403="",0,$H403*VLOOKUP($E403,'Pazaryeri Kartları'!$B$5:$C$24,2,FALSE)+VLOOKUP($E403,'Pazaryeri Kartları'!$B$5:$D$24,3,FALSE)*$G403),0)</f>
      </c>
      <c r="J403" s="16">
        <f>IFERROR(IF($C403="",0,VLOOKUP($C403,'Ürün Kartları'!$B$5:$G$154,6,FALSE)*$G403),0)</f>
      </c>
      <c r="K403" s="11"/>
      <c r="L403" s="10"/>
      <c r="M403" s="21">
        <f>IF($C403="","",IF($K403=1,-($J403*0.5)-$L403,$H403-$I403-$J403-$L403))</f>
      </c>
      <c r="N403" s="22">
        <f>IF(OR($C403="",$H403=0),"",$M403/$H403)</f>
      </c>
    </row>
    <row r="404" spans="2:14" x14ac:dyDescent="0.25">
      <c r="B404" s="23"/>
      <c r="C404" s="12"/>
      <c r="D404" s="20">
        <f>IFERROR(IF($C404="","",VLOOKUP($C404,'Ürün Kartları'!$B$5:$C$154,2,FALSE)),"— tanımsız ürün —")</f>
      </c>
      <c r="E404" s="12"/>
      <c r="F404" s="14"/>
      <c r="G404" s="15"/>
      <c r="H404" s="16">
        <f>IF(OR($F404="",$G404=""),0,$F404*$G404)</f>
      </c>
      <c r="I404" s="16">
        <f>IFERROR(IF($E404="",0,$H404*VLOOKUP($E404,'Pazaryeri Kartları'!$B$5:$C$24,2,FALSE)+VLOOKUP($E404,'Pazaryeri Kartları'!$B$5:$D$24,3,FALSE)*$G404),0)</f>
      </c>
      <c r="J404" s="16">
        <f>IFERROR(IF($C404="",0,VLOOKUP($C404,'Ürün Kartları'!$B$5:$G$154,6,FALSE)*$G404),0)</f>
      </c>
      <c r="K404" s="15"/>
      <c r="L404" s="14"/>
      <c r="M404" s="21">
        <f>IF($C404="","",IF($K404=1,-($J404*0.5)-$L404,$H404-$I404-$J404-$L404))</f>
      </c>
      <c r="N404" s="22">
        <f>IF(OR($C404="",$H404=0),"",$M404/$H404)</f>
      </c>
    </row>
    <row r="405" spans="2:14" x14ac:dyDescent="0.25">
      <c r="B405" s="19"/>
      <c r="C405" s="8"/>
      <c r="D405" s="20">
        <f>IFERROR(IF($C405="","",VLOOKUP($C405,'Ürün Kartları'!$B$5:$C$154,2,FALSE)),"— tanımsız ürün —")</f>
      </c>
      <c r="E405" s="8"/>
      <c r="F405" s="10"/>
      <c r="G405" s="11"/>
      <c r="H405" s="16">
        <f>IF(OR($F405="",$G405=""),0,$F405*$G405)</f>
      </c>
      <c r="I405" s="16">
        <f>IFERROR(IF($E405="",0,$H405*VLOOKUP($E405,'Pazaryeri Kartları'!$B$5:$C$24,2,FALSE)+VLOOKUP($E405,'Pazaryeri Kartları'!$B$5:$D$24,3,FALSE)*$G405),0)</f>
      </c>
      <c r="J405" s="16">
        <f>IFERROR(IF($C405="",0,VLOOKUP($C405,'Ürün Kartları'!$B$5:$G$154,6,FALSE)*$G405),0)</f>
      </c>
      <c r="K405" s="11"/>
      <c r="L405" s="10"/>
      <c r="M405" s="21">
        <f>IF($C405="","",IF($K405=1,-($J405*0.5)-$L405,$H405-$I405-$J405-$L405))</f>
      </c>
      <c r="N405" s="22">
        <f>IF(OR($C405="",$H405=0),"",$M405/$H405)</f>
      </c>
    </row>
    <row r="406" spans="2:14" x14ac:dyDescent="0.25">
      <c r="B406" s="23"/>
      <c r="C406" s="12"/>
      <c r="D406" s="20">
        <f>IFERROR(IF($C406="","",VLOOKUP($C406,'Ürün Kartları'!$B$5:$C$154,2,FALSE)),"— tanımsız ürün —")</f>
      </c>
      <c r="E406" s="12"/>
      <c r="F406" s="14"/>
      <c r="G406" s="15"/>
      <c r="H406" s="16">
        <f>IF(OR($F406="",$G406=""),0,$F406*$G406)</f>
      </c>
      <c r="I406" s="16">
        <f>IFERROR(IF($E406="",0,$H406*VLOOKUP($E406,'Pazaryeri Kartları'!$B$5:$C$24,2,FALSE)+VLOOKUP($E406,'Pazaryeri Kartları'!$B$5:$D$24,3,FALSE)*$G406),0)</f>
      </c>
      <c r="J406" s="16">
        <f>IFERROR(IF($C406="",0,VLOOKUP($C406,'Ürün Kartları'!$B$5:$G$154,6,FALSE)*$G406),0)</f>
      </c>
      <c r="K406" s="15"/>
      <c r="L406" s="14"/>
      <c r="M406" s="21">
        <f>IF($C406="","",IF($K406=1,-($J406*0.5)-$L406,$H406-$I406-$J406-$L406))</f>
      </c>
      <c r="N406" s="22">
        <f>IF(OR($C406="",$H406=0),"",$M406/$H406)</f>
      </c>
    </row>
    <row r="407" spans="2:14" x14ac:dyDescent="0.25">
      <c r="B407" s="19"/>
      <c r="C407" s="8"/>
      <c r="D407" s="20">
        <f>IFERROR(IF($C407="","",VLOOKUP($C407,'Ürün Kartları'!$B$5:$C$154,2,FALSE)),"— tanımsız ürün —")</f>
      </c>
      <c r="E407" s="8"/>
      <c r="F407" s="10"/>
      <c r="G407" s="11"/>
      <c r="H407" s="16">
        <f>IF(OR($F407="",$G407=""),0,$F407*$G407)</f>
      </c>
      <c r="I407" s="16">
        <f>IFERROR(IF($E407="",0,$H407*VLOOKUP($E407,'Pazaryeri Kartları'!$B$5:$C$24,2,FALSE)+VLOOKUP($E407,'Pazaryeri Kartları'!$B$5:$D$24,3,FALSE)*$G407),0)</f>
      </c>
      <c r="J407" s="16">
        <f>IFERROR(IF($C407="",0,VLOOKUP($C407,'Ürün Kartları'!$B$5:$G$154,6,FALSE)*$G407),0)</f>
      </c>
      <c r="K407" s="11"/>
      <c r="L407" s="10"/>
      <c r="M407" s="21">
        <f>IF($C407="","",IF($K407=1,-($J407*0.5)-$L407,$H407-$I407-$J407-$L407))</f>
      </c>
      <c r="N407" s="22">
        <f>IF(OR($C407="",$H407=0),"",$M407/$H407)</f>
      </c>
    </row>
    <row r="408" spans="2:14" x14ac:dyDescent="0.25">
      <c r="B408" s="23"/>
      <c r="C408" s="12"/>
      <c r="D408" s="20">
        <f>IFERROR(IF($C408="","",VLOOKUP($C408,'Ürün Kartları'!$B$5:$C$154,2,FALSE)),"— tanımsız ürün —")</f>
      </c>
      <c r="E408" s="12"/>
      <c r="F408" s="14"/>
      <c r="G408" s="15"/>
      <c r="H408" s="16">
        <f>IF(OR($F408="",$G408=""),0,$F408*$G408)</f>
      </c>
      <c r="I408" s="16">
        <f>IFERROR(IF($E408="",0,$H408*VLOOKUP($E408,'Pazaryeri Kartları'!$B$5:$C$24,2,FALSE)+VLOOKUP($E408,'Pazaryeri Kartları'!$B$5:$D$24,3,FALSE)*$G408),0)</f>
      </c>
      <c r="J408" s="16">
        <f>IFERROR(IF($C408="",0,VLOOKUP($C408,'Ürün Kartları'!$B$5:$G$154,6,FALSE)*$G408),0)</f>
      </c>
      <c r="K408" s="15"/>
      <c r="L408" s="14"/>
      <c r="M408" s="21">
        <f>IF($C408="","",IF($K408=1,-($J408*0.5)-$L408,$H408-$I408-$J408-$L408))</f>
      </c>
      <c r="N408" s="22">
        <f>IF(OR($C408="",$H408=0),"",$M408/$H408)</f>
      </c>
    </row>
    <row r="409" spans="2:14" x14ac:dyDescent="0.25">
      <c r="B409" s="19"/>
      <c r="C409" s="8"/>
      <c r="D409" s="20">
        <f>IFERROR(IF($C409="","",VLOOKUP($C409,'Ürün Kartları'!$B$5:$C$154,2,FALSE)),"— tanımsız ürün —")</f>
      </c>
      <c r="E409" s="8"/>
      <c r="F409" s="10"/>
      <c r="G409" s="11"/>
      <c r="H409" s="16">
        <f>IF(OR($F409="",$G409=""),0,$F409*$G409)</f>
      </c>
      <c r="I409" s="16">
        <f>IFERROR(IF($E409="",0,$H409*VLOOKUP($E409,'Pazaryeri Kartları'!$B$5:$C$24,2,FALSE)+VLOOKUP($E409,'Pazaryeri Kartları'!$B$5:$D$24,3,FALSE)*$G409),0)</f>
      </c>
      <c r="J409" s="16">
        <f>IFERROR(IF($C409="",0,VLOOKUP($C409,'Ürün Kartları'!$B$5:$G$154,6,FALSE)*$G409),0)</f>
      </c>
      <c r="K409" s="11"/>
      <c r="L409" s="10"/>
      <c r="M409" s="21">
        <f>IF($C409="","",IF($K409=1,-($J409*0.5)-$L409,$H409-$I409-$J409-$L409))</f>
      </c>
      <c r="N409" s="22">
        <f>IF(OR($C409="",$H409=0),"",$M409/$H409)</f>
      </c>
    </row>
    <row r="410" spans="2:14" x14ac:dyDescent="0.25">
      <c r="B410" s="23"/>
      <c r="C410" s="12"/>
      <c r="D410" s="20">
        <f>IFERROR(IF($C410="","",VLOOKUP($C410,'Ürün Kartları'!$B$5:$C$154,2,FALSE)),"— tanımsız ürün —")</f>
      </c>
      <c r="E410" s="12"/>
      <c r="F410" s="14"/>
      <c r="G410" s="15"/>
      <c r="H410" s="16">
        <f>IF(OR($F410="",$G410=""),0,$F410*$G410)</f>
      </c>
      <c r="I410" s="16">
        <f>IFERROR(IF($E410="",0,$H410*VLOOKUP($E410,'Pazaryeri Kartları'!$B$5:$C$24,2,FALSE)+VLOOKUP($E410,'Pazaryeri Kartları'!$B$5:$D$24,3,FALSE)*$G410),0)</f>
      </c>
      <c r="J410" s="16">
        <f>IFERROR(IF($C410="",0,VLOOKUP($C410,'Ürün Kartları'!$B$5:$G$154,6,FALSE)*$G410),0)</f>
      </c>
      <c r="K410" s="15"/>
      <c r="L410" s="14"/>
      <c r="M410" s="21">
        <f>IF($C410="","",IF($K410=1,-($J410*0.5)-$L410,$H410-$I410-$J410-$L410))</f>
      </c>
      <c r="N410" s="22">
        <f>IF(OR($C410="",$H410=0),"",$M410/$H410)</f>
      </c>
    </row>
    <row r="411" spans="2:14" x14ac:dyDescent="0.25">
      <c r="B411" s="19"/>
      <c r="C411" s="8"/>
      <c r="D411" s="20">
        <f>IFERROR(IF($C411="","",VLOOKUP($C411,'Ürün Kartları'!$B$5:$C$154,2,FALSE)),"— tanımsız ürün —")</f>
      </c>
      <c r="E411" s="8"/>
      <c r="F411" s="10"/>
      <c r="G411" s="11"/>
      <c r="H411" s="16">
        <f>IF(OR($F411="",$G411=""),0,$F411*$G411)</f>
      </c>
      <c r="I411" s="16">
        <f>IFERROR(IF($E411="",0,$H411*VLOOKUP($E411,'Pazaryeri Kartları'!$B$5:$C$24,2,FALSE)+VLOOKUP($E411,'Pazaryeri Kartları'!$B$5:$D$24,3,FALSE)*$G411),0)</f>
      </c>
      <c r="J411" s="16">
        <f>IFERROR(IF($C411="",0,VLOOKUP($C411,'Ürün Kartları'!$B$5:$G$154,6,FALSE)*$G411),0)</f>
      </c>
      <c r="K411" s="11"/>
      <c r="L411" s="10"/>
      <c r="M411" s="21">
        <f>IF($C411="","",IF($K411=1,-($J411*0.5)-$L411,$H411-$I411-$J411-$L411))</f>
      </c>
      <c r="N411" s="22">
        <f>IF(OR($C411="",$H411=0),"",$M411/$H411)</f>
      </c>
    </row>
    <row r="412" spans="2:14" x14ac:dyDescent="0.25">
      <c r="B412" s="23"/>
      <c r="C412" s="12"/>
      <c r="D412" s="20">
        <f>IFERROR(IF($C412="","",VLOOKUP($C412,'Ürün Kartları'!$B$5:$C$154,2,FALSE)),"— tanımsız ürün —")</f>
      </c>
      <c r="E412" s="12"/>
      <c r="F412" s="14"/>
      <c r="G412" s="15"/>
      <c r="H412" s="16">
        <f>IF(OR($F412="",$G412=""),0,$F412*$G412)</f>
      </c>
      <c r="I412" s="16">
        <f>IFERROR(IF($E412="",0,$H412*VLOOKUP($E412,'Pazaryeri Kartları'!$B$5:$C$24,2,FALSE)+VLOOKUP($E412,'Pazaryeri Kartları'!$B$5:$D$24,3,FALSE)*$G412),0)</f>
      </c>
      <c r="J412" s="16">
        <f>IFERROR(IF($C412="",0,VLOOKUP($C412,'Ürün Kartları'!$B$5:$G$154,6,FALSE)*$G412),0)</f>
      </c>
      <c r="K412" s="15"/>
      <c r="L412" s="14"/>
      <c r="M412" s="21">
        <f>IF($C412="","",IF($K412=1,-($J412*0.5)-$L412,$H412-$I412-$J412-$L412))</f>
      </c>
      <c r="N412" s="22">
        <f>IF(OR($C412="",$H412=0),"",$M412/$H412)</f>
      </c>
    </row>
    <row r="413" spans="2:14" x14ac:dyDescent="0.25">
      <c r="B413" s="19"/>
      <c r="C413" s="8"/>
      <c r="D413" s="20">
        <f>IFERROR(IF($C413="","",VLOOKUP($C413,'Ürün Kartları'!$B$5:$C$154,2,FALSE)),"— tanımsız ürün —")</f>
      </c>
      <c r="E413" s="8"/>
      <c r="F413" s="10"/>
      <c r="G413" s="11"/>
      <c r="H413" s="16">
        <f>IF(OR($F413="",$G413=""),0,$F413*$G413)</f>
      </c>
      <c r="I413" s="16">
        <f>IFERROR(IF($E413="",0,$H413*VLOOKUP($E413,'Pazaryeri Kartları'!$B$5:$C$24,2,FALSE)+VLOOKUP($E413,'Pazaryeri Kartları'!$B$5:$D$24,3,FALSE)*$G413),0)</f>
      </c>
      <c r="J413" s="16">
        <f>IFERROR(IF($C413="",0,VLOOKUP($C413,'Ürün Kartları'!$B$5:$G$154,6,FALSE)*$G413),0)</f>
      </c>
      <c r="K413" s="11"/>
      <c r="L413" s="10"/>
      <c r="M413" s="21">
        <f>IF($C413="","",IF($K413=1,-($J413*0.5)-$L413,$H413-$I413-$J413-$L413))</f>
      </c>
      <c r="N413" s="22">
        <f>IF(OR($C413="",$H413=0),"",$M413/$H413)</f>
      </c>
    </row>
    <row r="414" spans="2:14" x14ac:dyDescent="0.25">
      <c r="B414" s="23"/>
      <c r="C414" s="12"/>
      <c r="D414" s="20">
        <f>IFERROR(IF($C414="","",VLOOKUP($C414,'Ürün Kartları'!$B$5:$C$154,2,FALSE)),"— tanımsız ürün —")</f>
      </c>
      <c r="E414" s="12"/>
      <c r="F414" s="14"/>
      <c r="G414" s="15"/>
      <c r="H414" s="16">
        <f>IF(OR($F414="",$G414=""),0,$F414*$G414)</f>
      </c>
      <c r="I414" s="16">
        <f>IFERROR(IF($E414="",0,$H414*VLOOKUP($E414,'Pazaryeri Kartları'!$B$5:$C$24,2,FALSE)+VLOOKUP($E414,'Pazaryeri Kartları'!$B$5:$D$24,3,FALSE)*$G414),0)</f>
      </c>
      <c r="J414" s="16">
        <f>IFERROR(IF($C414="",0,VLOOKUP($C414,'Ürün Kartları'!$B$5:$G$154,6,FALSE)*$G414),0)</f>
      </c>
      <c r="K414" s="15"/>
      <c r="L414" s="14"/>
      <c r="M414" s="21">
        <f>IF($C414="","",IF($K414=1,-($J414*0.5)-$L414,$H414-$I414-$J414-$L414))</f>
      </c>
      <c r="N414" s="22">
        <f>IF(OR($C414="",$H414=0),"",$M414/$H414)</f>
      </c>
    </row>
    <row r="415" spans="2:14" x14ac:dyDescent="0.25">
      <c r="B415" s="19"/>
      <c r="C415" s="8"/>
      <c r="D415" s="20">
        <f>IFERROR(IF($C415="","",VLOOKUP($C415,'Ürün Kartları'!$B$5:$C$154,2,FALSE)),"— tanımsız ürün —")</f>
      </c>
      <c r="E415" s="8"/>
      <c r="F415" s="10"/>
      <c r="G415" s="11"/>
      <c r="H415" s="16">
        <f>IF(OR($F415="",$G415=""),0,$F415*$G415)</f>
      </c>
      <c r="I415" s="16">
        <f>IFERROR(IF($E415="",0,$H415*VLOOKUP($E415,'Pazaryeri Kartları'!$B$5:$C$24,2,FALSE)+VLOOKUP($E415,'Pazaryeri Kartları'!$B$5:$D$24,3,FALSE)*$G415),0)</f>
      </c>
      <c r="J415" s="16">
        <f>IFERROR(IF($C415="",0,VLOOKUP($C415,'Ürün Kartları'!$B$5:$G$154,6,FALSE)*$G415),0)</f>
      </c>
      <c r="K415" s="11"/>
      <c r="L415" s="10"/>
      <c r="M415" s="21">
        <f>IF($C415="","",IF($K415=1,-($J415*0.5)-$L415,$H415-$I415-$J415-$L415))</f>
      </c>
      <c r="N415" s="22">
        <f>IF(OR($C415="",$H415=0),"",$M415/$H415)</f>
      </c>
    </row>
    <row r="416" spans="2:14" x14ac:dyDescent="0.25">
      <c r="B416" s="23"/>
      <c r="C416" s="12"/>
      <c r="D416" s="20">
        <f>IFERROR(IF($C416="","",VLOOKUP($C416,'Ürün Kartları'!$B$5:$C$154,2,FALSE)),"— tanımsız ürün —")</f>
      </c>
      <c r="E416" s="12"/>
      <c r="F416" s="14"/>
      <c r="G416" s="15"/>
      <c r="H416" s="16">
        <f>IF(OR($F416="",$G416=""),0,$F416*$G416)</f>
      </c>
      <c r="I416" s="16">
        <f>IFERROR(IF($E416="",0,$H416*VLOOKUP($E416,'Pazaryeri Kartları'!$B$5:$C$24,2,FALSE)+VLOOKUP($E416,'Pazaryeri Kartları'!$B$5:$D$24,3,FALSE)*$G416),0)</f>
      </c>
      <c r="J416" s="16">
        <f>IFERROR(IF($C416="",0,VLOOKUP($C416,'Ürün Kartları'!$B$5:$G$154,6,FALSE)*$G416),0)</f>
      </c>
      <c r="K416" s="15"/>
      <c r="L416" s="14"/>
      <c r="M416" s="21">
        <f>IF($C416="","",IF($K416=1,-($J416*0.5)-$L416,$H416-$I416-$J416-$L416))</f>
      </c>
      <c r="N416" s="22">
        <f>IF(OR($C416="",$H416=0),"",$M416/$H416)</f>
      </c>
    </row>
    <row r="417" spans="2:14" x14ac:dyDescent="0.25">
      <c r="B417" s="19"/>
      <c r="C417" s="8"/>
      <c r="D417" s="20">
        <f>IFERROR(IF($C417="","",VLOOKUP($C417,'Ürün Kartları'!$B$5:$C$154,2,FALSE)),"— tanımsız ürün —")</f>
      </c>
      <c r="E417" s="8"/>
      <c r="F417" s="10"/>
      <c r="G417" s="11"/>
      <c r="H417" s="16">
        <f>IF(OR($F417="",$G417=""),0,$F417*$G417)</f>
      </c>
      <c r="I417" s="16">
        <f>IFERROR(IF($E417="",0,$H417*VLOOKUP($E417,'Pazaryeri Kartları'!$B$5:$C$24,2,FALSE)+VLOOKUP($E417,'Pazaryeri Kartları'!$B$5:$D$24,3,FALSE)*$G417),0)</f>
      </c>
      <c r="J417" s="16">
        <f>IFERROR(IF($C417="",0,VLOOKUP($C417,'Ürün Kartları'!$B$5:$G$154,6,FALSE)*$G417),0)</f>
      </c>
      <c r="K417" s="11"/>
      <c r="L417" s="10"/>
      <c r="M417" s="21">
        <f>IF($C417="","",IF($K417=1,-($J417*0.5)-$L417,$H417-$I417-$J417-$L417))</f>
      </c>
      <c r="N417" s="22">
        <f>IF(OR($C417="",$H417=0),"",$M417/$H417)</f>
      </c>
    </row>
    <row r="418" spans="2:14" x14ac:dyDescent="0.25">
      <c r="B418" s="23"/>
      <c r="C418" s="12"/>
      <c r="D418" s="20">
        <f>IFERROR(IF($C418="","",VLOOKUP($C418,'Ürün Kartları'!$B$5:$C$154,2,FALSE)),"— tanımsız ürün —")</f>
      </c>
      <c r="E418" s="12"/>
      <c r="F418" s="14"/>
      <c r="G418" s="15"/>
      <c r="H418" s="16">
        <f>IF(OR($F418="",$G418=""),0,$F418*$G418)</f>
      </c>
      <c r="I418" s="16">
        <f>IFERROR(IF($E418="",0,$H418*VLOOKUP($E418,'Pazaryeri Kartları'!$B$5:$C$24,2,FALSE)+VLOOKUP($E418,'Pazaryeri Kartları'!$B$5:$D$24,3,FALSE)*$G418),0)</f>
      </c>
      <c r="J418" s="16">
        <f>IFERROR(IF($C418="",0,VLOOKUP($C418,'Ürün Kartları'!$B$5:$G$154,6,FALSE)*$G418),0)</f>
      </c>
      <c r="K418" s="15"/>
      <c r="L418" s="14"/>
      <c r="M418" s="21">
        <f>IF($C418="","",IF($K418=1,-($J418*0.5)-$L418,$H418-$I418-$J418-$L418))</f>
      </c>
      <c r="N418" s="22">
        <f>IF(OR($C418="",$H418=0),"",$M418/$H418)</f>
      </c>
    </row>
    <row r="419" spans="2:14" x14ac:dyDescent="0.25">
      <c r="B419" s="19"/>
      <c r="C419" s="8"/>
      <c r="D419" s="20">
        <f>IFERROR(IF($C419="","",VLOOKUP($C419,'Ürün Kartları'!$B$5:$C$154,2,FALSE)),"— tanımsız ürün —")</f>
      </c>
      <c r="E419" s="8"/>
      <c r="F419" s="10"/>
      <c r="G419" s="11"/>
      <c r="H419" s="16">
        <f>IF(OR($F419="",$G419=""),0,$F419*$G419)</f>
      </c>
      <c r="I419" s="16">
        <f>IFERROR(IF($E419="",0,$H419*VLOOKUP($E419,'Pazaryeri Kartları'!$B$5:$C$24,2,FALSE)+VLOOKUP($E419,'Pazaryeri Kartları'!$B$5:$D$24,3,FALSE)*$G419),0)</f>
      </c>
      <c r="J419" s="16">
        <f>IFERROR(IF($C419="",0,VLOOKUP($C419,'Ürün Kartları'!$B$5:$G$154,6,FALSE)*$G419),0)</f>
      </c>
      <c r="K419" s="11"/>
      <c r="L419" s="10"/>
      <c r="M419" s="21">
        <f>IF($C419="","",IF($K419=1,-($J419*0.5)-$L419,$H419-$I419-$J419-$L419))</f>
      </c>
      <c r="N419" s="22">
        <f>IF(OR($C419="",$H419=0),"",$M419/$H419)</f>
      </c>
    </row>
    <row r="420" spans="2:14" x14ac:dyDescent="0.25">
      <c r="B420" s="23"/>
      <c r="C420" s="12"/>
      <c r="D420" s="20">
        <f>IFERROR(IF($C420="","",VLOOKUP($C420,'Ürün Kartları'!$B$5:$C$154,2,FALSE)),"— tanımsız ürün —")</f>
      </c>
      <c r="E420" s="12"/>
      <c r="F420" s="14"/>
      <c r="G420" s="15"/>
      <c r="H420" s="16">
        <f>IF(OR($F420="",$G420=""),0,$F420*$G420)</f>
      </c>
      <c r="I420" s="16">
        <f>IFERROR(IF($E420="",0,$H420*VLOOKUP($E420,'Pazaryeri Kartları'!$B$5:$C$24,2,FALSE)+VLOOKUP($E420,'Pazaryeri Kartları'!$B$5:$D$24,3,FALSE)*$G420),0)</f>
      </c>
      <c r="J420" s="16">
        <f>IFERROR(IF($C420="",0,VLOOKUP($C420,'Ürün Kartları'!$B$5:$G$154,6,FALSE)*$G420),0)</f>
      </c>
      <c r="K420" s="15"/>
      <c r="L420" s="14"/>
      <c r="M420" s="21">
        <f>IF($C420="","",IF($K420=1,-($J420*0.5)-$L420,$H420-$I420-$J420-$L420))</f>
      </c>
      <c r="N420" s="22">
        <f>IF(OR($C420="",$H420=0),"",$M420/$H420)</f>
      </c>
    </row>
    <row r="421" spans="2:14" x14ac:dyDescent="0.25">
      <c r="B421" s="19"/>
      <c r="C421" s="8"/>
      <c r="D421" s="20">
        <f>IFERROR(IF($C421="","",VLOOKUP($C421,'Ürün Kartları'!$B$5:$C$154,2,FALSE)),"— tanımsız ürün —")</f>
      </c>
      <c r="E421" s="8"/>
      <c r="F421" s="10"/>
      <c r="G421" s="11"/>
      <c r="H421" s="16">
        <f>IF(OR($F421="",$G421=""),0,$F421*$G421)</f>
      </c>
      <c r="I421" s="16">
        <f>IFERROR(IF($E421="",0,$H421*VLOOKUP($E421,'Pazaryeri Kartları'!$B$5:$C$24,2,FALSE)+VLOOKUP($E421,'Pazaryeri Kartları'!$B$5:$D$24,3,FALSE)*$G421),0)</f>
      </c>
      <c r="J421" s="16">
        <f>IFERROR(IF($C421="",0,VLOOKUP($C421,'Ürün Kartları'!$B$5:$G$154,6,FALSE)*$G421),0)</f>
      </c>
      <c r="K421" s="11"/>
      <c r="L421" s="10"/>
      <c r="M421" s="21">
        <f>IF($C421="","",IF($K421=1,-($J421*0.5)-$L421,$H421-$I421-$J421-$L421))</f>
      </c>
      <c r="N421" s="22">
        <f>IF(OR($C421="",$H421=0),"",$M421/$H421)</f>
      </c>
    </row>
    <row r="422" spans="2:14" x14ac:dyDescent="0.25">
      <c r="B422" s="23"/>
      <c r="C422" s="12"/>
      <c r="D422" s="20">
        <f>IFERROR(IF($C422="","",VLOOKUP($C422,'Ürün Kartları'!$B$5:$C$154,2,FALSE)),"— tanımsız ürün —")</f>
      </c>
      <c r="E422" s="12"/>
      <c r="F422" s="14"/>
      <c r="G422" s="15"/>
      <c r="H422" s="16">
        <f>IF(OR($F422="",$G422=""),0,$F422*$G422)</f>
      </c>
      <c r="I422" s="16">
        <f>IFERROR(IF($E422="",0,$H422*VLOOKUP($E422,'Pazaryeri Kartları'!$B$5:$C$24,2,FALSE)+VLOOKUP($E422,'Pazaryeri Kartları'!$B$5:$D$24,3,FALSE)*$G422),0)</f>
      </c>
      <c r="J422" s="16">
        <f>IFERROR(IF($C422="",0,VLOOKUP($C422,'Ürün Kartları'!$B$5:$G$154,6,FALSE)*$G422),0)</f>
      </c>
      <c r="K422" s="15"/>
      <c r="L422" s="14"/>
      <c r="M422" s="21">
        <f>IF($C422="","",IF($K422=1,-($J422*0.5)-$L422,$H422-$I422-$J422-$L422))</f>
      </c>
      <c r="N422" s="22">
        <f>IF(OR($C422="",$H422=0),"",$M422/$H422)</f>
      </c>
    </row>
    <row r="423" spans="2:14" x14ac:dyDescent="0.25">
      <c r="B423" s="19"/>
      <c r="C423" s="8"/>
      <c r="D423" s="20">
        <f>IFERROR(IF($C423="","",VLOOKUP($C423,'Ürün Kartları'!$B$5:$C$154,2,FALSE)),"— tanımsız ürün —")</f>
      </c>
      <c r="E423" s="8"/>
      <c r="F423" s="10"/>
      <c r="G423" s="11"/>
      <c r="H423" s="16">
        <f>IF(OR($F423="",$G423=""),0,$F423*$G423)</f>
      </c>
      <c r="I423" s="16">
        <f>IFERROR(IF($E423="",0,$H423*VLOOKUP($E423,'Pazaryeri Kartları'!$B$5:$C$24,2,FALSE)+VLOOKUP($E423,'Pazaryeri Kartları'!$B$5:$D$24,3,FALSE)*$G423),0)</f>
      </c>
      <c r="J423" s="16">
        <f>IFERROR(IF($C423="",0,VLOOKUP($C423,'Ürün Kartları'!$B$5:$G$154,6,FALSE)*$G423),0)</f>
      </c>
      <c r="K423" s="11"/>
      <c r="L423" s="10"/>
      <c r="M423" s="21">
        <f>IF($C423="","",IF($K423=1,-($J423*0.5)-$L423,$H423-$I423-$J423-$L423))</f>
      </c>
      <c r="N423" s="22">
        <f>IF(OR($C423="",$H423=0),"",$M423/$H423)</f>
      </c>
    </row>
    <row r="424" spans="2:14" x14ac:dyDescent="0.25">
      <c r="B424" s="23"/>
      <c r="C424" s="12"/>
      <c r="D424" s="20">
        <f>IFERROR(IF($C424="","",VLOOKUP($C424,'Ürün Kartları'!$B$5:$C$154,2,FALSE)),"— tanımsız ürün —")</f>
      </c>
      <c r="E424" s="12"/>
      <c r="F424" s="14"/>
      <c r="G424" s="15"/>
      <c r="H424" s="16">
        <f>IF(OR($F424="",$G424=""),0,$F424*$G424)</f>
      </c>
      <c r="I424" s="16">
        <f>IFERROR(IF($E424="",0,$H424*VLOOKUP($E424,'Pazaryeri Kartları'!$B$5:$C$24,2,FALSE)+VLOOKUP($E424,'Pazaryeri Kartları'!$B$5:$D$24,3,FALSE)*$G424),0)</f>
      </c>
      <c r="J424" s="16">
        <f>IFERROR(IF($C424="",0,VLOOKUP($C424,'Ürün Kartları'!$B$5:$G$154,6,FALSE)*$G424),0)</f>
      </c>
      <c r="K424" s="15"/>
      <c r="L424" s="14"/>
      <c r="M424" s="21">
        <f>IF($C424="","",IF($K424=1,-($J424*0.5)-$L424,$H424-$I424-$J424-$L424))</f>
      </c>
      <c r="N424" s="22">
        <f>IF(OR($C424="",$H424=0),"",$M424/$H424)</f>
      </c>
    </row>
    <row r="425" spans="2:14" x14ac:dyDescent="0.25">
      <c r="B425" s="19"/>
      <c r="C425" s="8"/>
      <c r="D425" s="20">
        <f>IFERROR(IF($C425="","",VLOOKUP($C425,'Ürün Kartları'!$B$5:$C$154,2,FALSE)),"— tanımsız ürün —")</f>
      </c>
      <c r="E425" s="8"/>
      <c r="F425" s="10"/>
      <c r="G425" s="11"/>
      <c r="H425" s="16">
        <f>IF(OR($F425="",$G425=""),0,$F425*$G425)</f>
      </c>
      <c r="I425" s="16">
        <f>IFERROR(IF($E425="",0,$H425*VLOOKUP($E425,'Pazaryeri Kartları'!$B$5:$C$24,2,FALSE)+VLOOKUP($E425,'Pazaryeri Kartları'!$B$5:$D$24,3,FALSE)*$G425),0)</f>
      </c>
      <c r="J425" s="16">
        <f>IFERROR(IF($C425="",0,VLOOKUP($C425,'Ürün Kartları'!$B$5:$G$154,6,FALSE)*$G425),0)</f>
      </c>
      <c r="K425" s="11"/>
      <c r="L425" s="10"/>
      <c r="M425" s="21">
        <f>IF($C425="","",IF($K425=1,-($J425*0.5)-$L425,$H425-$I425-$J425-$L425))</f>
      </c>
      <c r="N425" s="22">
        <f>IF(OR($C425="",$H425=0),"",$M425/$H425)</f>
      </c>
    </row>
    <row r="426" spans="2:14" x14ac:dyDescent="0.25">
      <c r="B426" s="23"/>
      <c r="C426" s="12"/>
      <c r="D426" s="20">
        <f>IFERROR(IF($C426="","",VLOOKUP($C426,'Ürün Kartları'!$B$5:$C$154,2,FALSE)),"— tanımsız ürün —")</f>
      </c>
      <c r="E426" s="12"/>
      <c r="F426" s="14"/>
      <c r="G426" s="15"/>
      <c r="H426" s="16">
        <f>IF(OR($F426="",$G426=""),0,$F426*$G426)</f>
      </c>
      <c r="I426" s="16">
        <f>IFERROR(IF($E426="",0,$H426*VLOOKUP($E426,'Pazaryeri Kartları'!$B$5:$C$24,2,FALSE)+VLOOKUP($E426,'Pazaryeri Kartları'!$B$5:$D$24,3,FALSE)*$G426),0)</f>
      </c>
      <c r="J426" s="16">
        <f>IFERROR(IF($C426="",0,VLOOKUP($C426,'Ürün Kartları'!$B$5:$G$154,6,FALSE)*$G426),0)</f>
      </c>
      <c r="K426" s="15"/>
      <c r="L426" s="14"/>
      <c r="M426" s="21">
        <f>IF($C426="","",IF($K426=1,-($J426*0.5)-$L426,$H426-$I426-$J426-$L426))</f>
      </c>
      <c r="N426" s="22">
        <f>IF(OR($C426="",$H426=0),"",$M426/$H426)</f>
      </c>
    </row>
    <row r="427" spans="2:14" x14ac:dyDescent="0.25">
      <c r="B427" s="19"/>
      <c r="C427" s="8"/>
      <c r="D427" s="20">
        <f>IFERROR(IF($C427="","",VLOOKUP($C427,'Ürün Kartları'!$B$5:$C$154,2,FALSE)),"— tanımsız ürün —")</f>
      </c>
      <c r="E427" s="8"/>
      <c r="F427" s="10"/>
      <c r="G427" s="11"/>
      <c r="H427" s="16">
        <f>IF(OR($F427="",$G427=""),0,$F427*$G427)</f>
      </c>
      <c r="I427" s="16">
        <f>IFERROR(IF($E427="",0,$H427*VLOOKUP($E427,'Pazaryeri Kartları'!$B$5:$C$24,2,FALSE)+VLOOKUP($E427,'Pazaryeri Kartları'!$B$5:$D$24,3,FALSE)*$G427),0)</f>
      </c>
      <c r="J427" s="16">
        <f>IFERROR(IF($C427="",0,VLOOKUP($C427,'Ürün Kartları'!$B$5:$G$154,6,FALSE)*$G427),0)</f>
      </c>
      <c r="K427" s="11"/>
      <c r="L427" s="10"/>
      <c r="M427" s="21">
        <f>IF($C427="","",IF($K427=1,-($J427*0.5)-$L427,$H427-$I427-$J427-$L427))</f>
      </c>
      <c r="N427" s="22">
        <f>IF(OR($C427="",$H427=0),"",$M427/$H427)</f>
      </c>
    </row>
    <row r="428" spans="2:14" x14ac:dyDescent="0.25">
      <c r="B428" s="23"/>
      <c r="C428" s="12"/>
      <c r="D428" s="20">
        <f>IFERROR(IF($C428="","",VLOOKUP($C428,'Ürün Kartları'!$B$5:$C$154,2,FALSE)),"— tanımsız ürün —")</f>
      </c>
      <c r="E428" s="12"/>
      <c r="F428" s="14"/>
      <c r="G428" s="15"/>
      <c r="H428" s="16">
        <f>IF(OR($F428="",$G428=""),0,$F428*$G428)</f>
      </c>
      <c r="I428" s="16">
        <f>IFERROR(IF($E428="",0,$H428*VLOOKUP($E428,'Pazaryeri Kartları'!$B$5:$C$24,2,FALSE)+VLOOKUP($E428,'Pazaryeri Kartları'!$B$5:$D$24,3,FALSE)*$G428),0)</f>
      </c>
      <c r="J428" s="16">
        <f>IFERROR(IF($C428="",0,VLOOKUP($C428,'Ürün Kartları'!$B$5:$G$154,6,FALSE)*$G428),0)</f>
      </c>
      <c r="K428" s="15"/>
      <c r="L428" s="14"/>
      <c r="M428" s="21">
        <f>IF($C428="","",IF($K428=1,-($J428*0.5)-$L428,$H428-$I428-$J428-$L428))</f>
      </c>
      <c r="N428" s="22">
        <f>IF(OR($C428="",$H428=0),"",$M428/$H428)</f>
      </c>
    </row>
    <row r="429" spans="2:14" x14ac:dyDescent="0.25">
      <c r="B429" s="19"/>
      <c r="C429" s="8"/>
      <c r="D429" s="20">
        <f>IFERROR(IF($C429="","",VLOOKUP($C429,'Ürün Kartları'!$B$5:$C$154,2,FALSE)),"— tanımsız ürün —")</f>
      </c>
      <c r="E429" s="8"/>
      <c r="F429" s="10"/>
      <c r="G429" s="11"/>
      <c r="H429" s="16">
        <f>IF(OR($F429="",$G429=""),0,$F429*$G429)</f>
      </c>
      <c r="I429" s="16">
        <f>IFERROR(IF($E429="",0,$H429*VLOOKUP($E429,'Pazaryeri Kartları'!$B$5:$C$24,2,FALSE)+VLOOKUP($E429,'Pazaryeri Kartları'!$B$5:$D$24,3,FALSE)*$G429),0)</f>
      </c>
      <c r="J429" s="16">
        <f>IFERROR(IF($C429="",0,VLOOKUP($C429,'Ürün Kartları'!$B$5:$G$154,6,FALSE)*$G429),0)</f>
      </c>
      <c r="K429" s="11"/>
      <c r="L429" s="10"/>
      <c r="M429" s="21">
        <f>IF($C429="","",IF($K429=1,-($J429*0.5)-$L429,$H429-$I429-$J429-$L429))</f>
      </c>
      <c r="N429" s="22">
        <f>IF(OR($C429="",$H429=0),"",$M429/$H429)</f>
      </c>
    </row>
    <row r="430" spans="2:14" x14ac:dyDescent="0.25">
      <c r="B430" s="23"/>
      <c r="C430" s="12"/>
      <c r="D430" s="20">
        <f>IFERROR(IF($C430="","",VLOOKUP($C430,'Ürün Kartları'!$B$5:$C$154,2,FALSE)),"— tanımsız ürün —")</f>
      </c>
      <c r="E430" s="12"/>
      <c r="F430" s="14"/>
      <c r="G430" s="15"/>
      <c r="H430" s="16">
        <f>IF(OR($F430="",$G430=""),0,$F430*$G430)</f>
      </c>
      <c r="I430" s="16">
        <f>IFERROR(IF($E430="",0,$H430*VLOOKUP($E430,'Pazaryeri Kartları'!$B$5:$C$24,2,FALSE)+VLOOKUP($E430,'Pazaryeri Kartları'!$B$5:$D$24,3,FALSE)*$G430),0)</f>
      </c>
      <c r="J430" s="16">
        <f>IFERROR(IF($C430="",0,VLOOKUP($C430,'Ürün Kartları'!$B$5:$G$154,6,FALSE)*$G430),0)</f>
      </c>
      <c r="K430" s="15"/>
      <c r="L430" s="14"/>
      <c r="M430" s="21">
        <f>IF($C430="","",IF($K430=1,-($J430*0.5)-$L430,$H430-$I430-$J430-$L430))</f>
      </c>
      <c r="N430" s="22">
        <f>IF(OR($C430="",$H430=0),"",$M430/$H430)</f>
      </c>
    </row>
    <row r="431" spans="2:14" x14ac:dyDescent="0.25">
      <c r="B431" s="19"/>
      <c r="C431" s="8"/>
      <c r="D431" s="20">
        <f>IFERROR(IF($C431="","",VLOOKUP($C431,'Ürün Kartları'!$B$5:$C$154,2,FALSE)),"— tanımsız ürün —")</f>
      </c>
      <c r="E431" s="8"/>
      <c r="F431" s="10"/>
      <c r="G431" s="11"/>
      <c r="H431" s="16">
        <f>IF(OR($F431="",$G431=""),0,$F431*$G431)</f>
      </c>
      <c r="I431" s="16">
        <f>IFERROR(IF($E431="",0,$H431*VLOOKUP($E431,'Pazaryeri Kartları'!$B$5:$C$24,2,FALSE)+VLOOKUP($E431,'Pazaryeri Kartları'!$B$5:$D$24,3,FALSE)*$G431),0)</f>
      </c>
      <c r="J431" s="16">
        <f>IFERROR(IF($C431="",0,VLOOKUP($C431,'Ürün Kartları'!$B$5:$G$154,6,FALSE)*$G431),0)</f>
      </c>
      <c r="K431" s="11"/>
      <c r="L431" s="10"/>
      <c r="M431" s="21">
        <f>IF($C431="","",IF($K431=1,-($J431*0.5)-$L431,$H431-$I431-$J431-$L431))</f>
      </c>
      <c r="N431" s="22">
        <f>IF(OR($C431="",$H431=0),"",$M431/$H431)</f>
      </c>
    </row>
    <row r="432" spans="2:14" x14ac:dyDescent="0.25">
      <c r="B432" s="23"/>
      <c r="C432" s="12"/>
      <c r="D432" s="20">
        <f>IFERROR(IF($C432="","",VLOOKUP($C432,'Ürün Kartları'!$B$5:$C$154,2,FALSE)),"— tanımsız ürün —")</f>
      </c>
      <c r="E432" s="12"/>
      <c r="F432" s="14"/>
      <c r="G432" s="15"/>
      <c r="H432" s="16">
        <f>IF(OR($F432="",$G432=""),0,$F432*$G432)</f>
      </c>
      <c r="I432" s="16">
        <f>IFERROR(IF($E432="",0,$H432*VLOOKUP($E432,'Pazaryeri Kartları'!$B$5:$C$24,2,FALSE)+VLOOKUP($E432,'Pazaryeri Kartları'!$B$5:$D$24,3,FALSE)*$G432),0)</f>
      </c>
      <c r="J432" s="16">
        <f>IFERROR(IF($C432="",0,VLOOKUP($C432,'Ürün Kartları'!$B$5:$G$154,6,FALSE)*$G432),0)</f>
      </c>
      <c r="K432" s="15"/>
      <c r="L432" s="14"/>
      <c r="M432" s="21">
        <f>IF($C432="","",IF($K432=1,-($J432*0.5)-$L432,$H432-$I432-$J432-$L432))</f>
      </c>
      <c r="N432" s="22">
        <f>IF(OR($C432="",$H432=0),"",$M432/$H432)</f>
      </c>
    </row>
    <row r="433" spans="2:14" x14ac:dyDescent="0.25">
      <c r="B433" s="19"/>
      <c r="C433" s="8"/>
      <c r="D433" s="20">
        <f>IFERROR(IF($C433="","",VLOOKUP($C433,'Ürün Kartları'!$B$5:$C$154,2,FALSE)),"— tanımsız ürün —")</f>
      </c>
      <c r="E433" s="8"/>
      <c r="F433" s="10"/>
      <c r="G433" s="11"/>
      <c r="H433" s="16">
        <f>IF(OR($F433="",$G433=""),0,$F433*$G433)</f>
      </c>
      <c r="I433" s="16">
        <f>IFERROR(IF($E433="",0,$H433*VLOOKUP($E433,'Pazaryeri Kartları'!$B$5:$C$24,2,FALSE)+VLOOKUP($E433,'Pazaryeri Kartları'!$B$5:$D$24,3,FALSE)*$G433),0)</f>
      </c>
      <c r="J433" s="16">
        <f>IFERROR(IF($C433="",0,VLOOKUP($C433,'Ürün Kartları'!$B$5:$G$154,6,FALSE)*$G433),0)</f>
      </c>
      <c r="K433" s="11"/>
      <c r="L433" s="10"/>
      <c r="M433" s="21">
        <f>IF($C433="","",IF($K433=1,-($J433*0.5)-$L433,$H433-$I433-$J433-$L433))</f>
      </c>
      <c r="N433" s="22">
        <f>IF(OR($C433="",$H433=0),"",$M433/$H433)</f>
      </c>
    </row>
    <row r="434" spans="2:14" x14ac:dyDescent="0.25">
      <c r="B434" s="23"/>
      <c r="C434" s="12"/>
      <c r="D434" s="20">
        <f>IFERROR(IF($C434="","",VLOOKUP($C434,'Ürün Kartları'!$B$5:$C$154,2,FALSE)),"— tanımsız ürün —")</f>
      </c>
      <c r="E434" s="12"/>
      <c r="F434" s="14"/>
      <c r="G434" s="15"/>
      <c r="H434" s="16">
        <f>IF(OR($F434="",$G434=""),0,$F434*$G434)</f>
      </c>
      <c r="I434" s="16">
        <f>IFERROR(IF($E434="",0,$H434*VLOOKUP($E434,'Pazaryeri Kartları'!$B$5:$C$24,2,FALSE)+VLOOKUP($E434,'Pazaryeri Kartları'!$B$5:$D$24,3,FALSE)*$G434),0)</f>
      </c>
      <c r="J434" s="16">
        <f>IFERROR(IF($C434="",0,VLOOKUP($C434,'Ürün Kartları'!$B$5:$G$154,6,FALSE)*$G434),0)</f>
      </c>
      <c r="K434" s="15"/>
      <c r="L434" s="14"/>
      <c r="M434" s="21">
        <f>IF($C434="","",IF($K434=1,-($J434*0.5)-$L434,$H434-$I434-$J434-$L434))</f>
      </c>
      <c r="N434" s="22">
        <f>IF(OR($C434="",$H434=0),"",$M434/$H434)</f>
      </c>
    </row>
    <row r="435" spans="2:14" x14ac:dyDescent="0.25">
      <c r="B435" s="19"/>
      <c r="C435" s="8"/>
      <c r="D435" s="20">
        <f>IFERROR(IF($C435="","",VLOOKUP($C435,'Ürün Kartları'!$B$5:$C$154,2,FALSE)),"— tanımsız ürün —")</f>
      </c>
      <c r="E435" s="8"/>
      <c r="F435" s="10"/>
      <c r="G435" s="11"/>
      <c r="H435" s="16">
        <f>IF(OR($F435="",$G435=""),0,$F435*$G435)</f>
      </c>
      <c r="I435" s="16">
        <f>IFERROR(IF($E435="",0,$H435*VLOOKUP($E435,'Pazaryeri Kartları'!$B$5:$C$24,2,FALSE)+VLOOKUP($E435,'Pazaryeri Kartları'!$B$5:$D$24,3,FALSE)*$G435),0)</f>
      </c>
      <c r="J435" s="16">
        <f>IFERROR(IF($C435="",0,VLOOKUP($C435,'Ürün Kartları'!$B$5:$G$154,6,FALSE)*$G435),0)</f>
      </c>
      <c r="K435" s="11"/>
      <c r="L435" s="10"/>
      <c r="M435" s="21">
        <f>IF($C435="","",IF($K435=1,-($J435*0.5)-$L435,$H435-$I435-$J435-$L435))</f>
      </c>
      <c r="N435" s="22">
        <f>IF(OR($C435="",$H435=0),"",$M435/$H435)</f>
      </c>
    </row>
    <row r="436" spans="2:14" x14ac:dyDescent="0.25">
      <c r="B436" s="23"/>
      <c r="C436" s="12"/>
      <c r="D436" s="20">
        <f>IFERROR(IF($C436="","",VLOOKUP($C436,'Ürün Kartları'!$B$5:$C$154,2,FALSE)),"— tanımsız ürün —")</f>
      </c>
      <c r="E436" s="12"/>
      <c r="F436" s="14"/>
      <c r="G436" s="15"/>
      <c r="H436" s="16">
        <f>IF(OR($F436="",$G436=""),0,$F436*$G436)</f>
      </c>
      <c r="I436" s="16">
        <f>IFERROR(IF($E436="",0,$H436*VLOOKUP($E436,'Pazaryeri Kartları'!$B$5:$C$24,2,FALSE)+VLOOKUP($E436,'Pazaryeri Kartları'!$B$5:$D$24,3,FALSE)*$G436),0)</f>
      </c>
      <c r="J436" s="16">
        <f>IFERROR(IF($C436="",0,VLOOKUP($C436,'Ürün Kartları'!$B$5:$G$154,6,FALSE)*$G436),0)</f>
      </c>
      <c r="K436" s="15"/>
      <c r="L436" s="14"/>
      <c r="M436" s="21">
        <f>IF($C436="","",IF($K436=1,-($J436*0.5)-$L436,$H436-$I436-$J436-$L436))</f>
      </c>
      <c r="N436" s="22">
        <f>IF(OR($C436="",$H436=0),"",$M436/$H436)</f>
      </c>
    </row>
    <row r="437" spans="2:14" x14ac:dyDescent="0.25">
      <c r="B437" s="19"/>
      <c r="C437" s="8"/>
      <c r="D437" s="20">
        <f>IFERROR(IF($C437="","",VLOOKUP($C437,'Ürün Kartları'!$B$5:$C$154,2,FALSE)),"— tanımsız ürün —")</f>
      </c>
      <c r="E437" s="8"/>
      <c r="F437" s="10"/>
      <c r="G437" s="11"/>
      <c r="H437" s="16">
        <f>IF(OR($F437="",$G437=""),0,$F437*$G437)</f>
      </c>
      <c r="I437" s="16">
        <f>IFERROR(IF($E437="",0,$H437*VLOOKUP($E437,'Pazaryeri Kartları'!$B$5:$C$24,2,FALSE)+VLOOKUP($E437,'Pazaryeri Kartları'!$B$5:$D$24,3,FALSE)*$G437),0)</f>
      </c>
      <c r="J437" s="16">
        <f>IFERROR(IF($C437="",0,VLOOKUP($C437,'Ürün Kartları'!$B$5:$G$154,6,FALSE)*$G437),0)</f>
      </c>
      <c r="K437" s="11"/>
      <c r="L437" s="10"/>
      <c r="M437" s="21">
        <f>IF($C437="","",IF($K437=1,-($J437*0.5)-$L437,$H437-$I437-$J437-$L437))</f>
      </c>
      <c r="N437" s="22">
        <f>IF(OR($C437="",$H437=0),"",$M437/$H437)</f>
      </c>
    </row>
    <row r="438" spans="2:14" x14ac:dyDescent="0.25">
      <c r="B438" s="23"/>
      <c r="C438" s="12"/>
      <c r="D438" s="20">
        <f>IFERROR(IF($C438="","",VLOOKUP($C438,'Ürün Kartları'!$B$5:$C$154,2,FALSE)),"— tanımsız ürün —")</f>
      </c>
      <c r="E438" s="12"/>
      <c r="F438" s="14"/>
      <c r="G438" s="15"/>
      <c r="H438" s="16">
        <f>IF(OR($F438="",$G438=""),0,$F438*$G438)</f>
      </c>
      <c r="I438" s="16">
        <f>IFERROR(IF($E438="",0,$H438*VLOOKUP($E438,'Pazaryeri Kartları'!$B$5:$C$24,2,FALSE)+VLOOKUP($E438,'Pazaryeri Kartları'!$B$5:$D$24,3,FALSE)*$G438),0)</f>
      </c>
      <c r="J438" s="16">
        <f>IFERROR(IF($C438="",0,VLOOKUP($C438,'Ürün Kartları'!$B$5:$G$154,6,FALSE)*$G438),0)</f>
      </c>
      <c r="K438" s="15"/>
      <c r="L438" s="14"/>
      <c r="M438" s="21">
        <f>IF($C438="","",IF($K438=1,-($J438*0.5)-$L438,$H438-$I438-$J438-$L438))</f>
      </c>
      <c r="N438" s="22">
        <f>IF(OR($C438="",$H438=0),"",$M438/$H438)</f>
      </c>
    </row>
    <row r="439" spans="2:14" x14ac:dyDescent="0.25">
      <c r="B439" s="19"/>
      <c r="C439" s="8"/>
      <c r="D439" s="20">
        <f>IFERROR(IF($C439="","",VLOOKUP($C439,'Ürün Kartları'!$B$5:$C$154,2,FALSE)),"— tanımsız ürün —")</f>
      </c>
      <c r="E439" s="8"/>
      <c r="F439" s="10"/>
      <c r="G439" s="11"/>
      <c r="H439" s="16">
        <f>IF(OR($F439="",$G439=""),0,$F439*$G439)</f>
      </c>
      <c r="I439" s="16">
        <f>IFERROR(IF($E439="",0,$H439*VLOOKUP($E439,'Pazaryeri Kartları'!$B$5:$C$24,2,FALSE)+VLOOKUP($E439,'Pazaryeri Kartları'!$B$5:$D$24,3,FALSE)*$G439),0)</f>
      </c>
      <c r="J439" s="16">
        <f>IFERROR(IF($C439="",0,VLOOKUP($C439,'Ürün Kartları'!$B$5:$G$154,6,FALSE)*$G439),0)</f>
      </c>
      <c r="K439" s="11"/>
      <c r="L439" s="10"/>
      <c r="M439" s="21">
        <f>IF($C439="","",IF($K439=1,-($J439*0.5)-$L439,$H439-$I439-$J439-$L439))</f>
      </c>
      <c r="N439" s="22">
        <f>IF(OR($C439="",$H439=0),"",$M439/$H439)</f>
      </c>
    </row>
    <row r="440" spans="2:14" x14ac:dyDescent="0.25">
      <c r="B440" s="23"/>
      <c r="C440" s="12"/>
      <c r="D440" s="20">
        <f>IFERROR(IF($C440="","",VLOOKUP($C440,'Ürün Kartları'!$B$5:$C$154,2,FALSE)),"— tanımsız ürün —")</f>
      </c>
      <c r="E440" s="12"/>
      <c r="F440" s="14"/>
      <c r="G440" s="15"/>
      <c r="H440" s="16">
        <f>IF(OR($F440="",$G440=""),0,$F440*$G440)</f>
      </c>
      <c r="I440" s="16">
        <f>IFERROR(IF($E440="",0,$H440*VLOOKUP($E440,'Pazaryeri Kartları'!$B$5:$C$24,2,FALSE)+VLOOKUP($E440,'Pazaryeri Kartları'!$B$5:$D$24,3,FALSE)*$G440),0)</f>
      </c>
      <c r="J440" s="16">
        <f>IFERROR(IF($C440="",0,VLOOKUP($C440,'Ürün Kartları'!$B$5:$G$154,6,FALSE)*$G440),0)</f>
      </c>
      <c r="K440" s="15"/>
      <c r="L440" s="14"/>
      <c r="M440" s="21">
        <f>IF($C440="","",IF($K440=1,-($J440*0.5)-$L440,$H440-$I440-$J440-$L440))</f>
      </c>
      <c r="N440" s="22">
        <f>IF(OR($C440="",$H440=0),"",$M440/$H440)</f>
      </c>
    </row>
    <row r="441" spans="2:14" x14ac:dyDescent="0.25">
      <c r="B441" s="19"/>
      <c r="C441" s="8"/>
      <c r="D441" s="20">
        <f>IFERROR(IF($C441="","",VLOOKUP($C441,'Ürün Kartları'!$B$5:$C$154,2,FALSE)),"— tanımsız ürün —")</f>
      </c>
      <c r="E441" s="8"/>
      <c r="F441" s="10"/>
      <c r="G441" s="11"/>
      <c r="H441" s="16">
        <f>IF(OR($F441="",$G441=""),0,$F441*$G441)</f>
      </c>
      <c r="I441" s="16">
        <f>IFERROR(IF($E441="",0,$H441*VLOOKUP($E441,'Pazaryeri Kartları'!$B$5:$C$24,2,FALSE)+VLOOKUP($E441,'Pazaryeri Kartları'!$B$5:$D$24,3,FALSE)*$G441),0)</f>
      </c>
      <c r="J441" s="16">
        <f>IFERROR(IF($C441="",0,VLOOKUP($C441,'Ürün Kartları'!$B$5:$G$154,6,FALSE)*$G441),0)</f>
      </c>
      <c r="K441" s="11"/>
      <c r="L441" s="10"/>
      <c r="M441" s="21">
        <f>IF($C441="","",IF($K441=1,-($J441*0.5)-$L441,$H441-$I441-$J441-$L441))</f>
      </c>
      <c r="N441" s="22">
        <f>IF(OR($C441="",$H441=0),"",$M441/$H441)</f>
      </c>
    </row>
    <row r="442" spans="2:14" x14ac:dyDescent="0.25">
      <c r="B442" s="23"/>
      <c r="C442" s="12"/>
      <c r="D442" s="20">
        <f>IFERROR(IF($C442="","",VLOOKUP($C442,'Ürün Kartları'!$B$5:$C$154,2,FALSE)),"— tanımsız ürün —")</f>
      </c>
      <c r="E442" s="12"/>
      <c r="F442" s="14"/>
      <c r="G442" s="15"/>
      <c r="H442" s="16">
        <f>IF(OR($F442="",$G442=""),0,$F442*$G442)</f>
      </c>
      <c r="I442" s="16">
        <f>IFERROR(IF($E442="",0,$H442*VLOOKUP($E442,'Pazaryeri Kartları'!$B$5:$C$24,2,FALSE)+VLOOKUP($E442,'Pazaryeri Kartları'!$B$5:$D$24,3,FALSE)*$G442),0)</f>
      </c>
      <c r="J442" s="16">
        <f>IFERROR(IF($C442="",0,VLOOKUP($C442,'Ürün Kartları'!$B$5:$G$154,6,FALSE)*$G442),0)</f>
      </c>
      <c r="K442" s="15"/>
      <c r="L442" s="14"/>
      <c r="M442" s="21">
        <f>IF($C442="","",IF($K442=1,-($J442*0.5)-$L442,$H442-$I442-$J442-$L442))</f>
      </c>
      <c r="N442" s="22">
        <f>IF(OR($C442="",$H442=0),"",$M442/$H442)</f>
      </c>
    </row>
    <row r="443" spans="2:14" x14ac:dyDescent="0.25">
      <c r="B443" s="19"/>
      <c r="C443" s="8"/>
      <c r="D443" s="20">
        <f>IFERROR(IF($C443="","",VLOOKUP($C443,'Ürün Kartları'!$B$5:$C$154,2,FALSE)),"— tanımsız ürün —")</f>
      </c>
      <c r="E443" s="8"/>
      <c r="F443" s="10"/>
      <c r="G443" s="11"/>
      <c r="H443" s="16">
        <f>IF(OR($F443="",$G443=""),0,$F443*$G443)</f>
      </c>
      <c r="I443" s="16">
        <f>IFERROR(IF($E443="",0,$H443*VLOOKUP($E443,'Pazaryeri Kartları'!$B$5:$C$24,2,FALSE)+VLOOKUP($E443,'Pazaryeri Kartları'!$B$5:$D$24,3,FALSE)*$G443),0)</f>
      </c>
      <c r="J443" s="16">
        <f>IFERROR(IF($C443="",0,VLOOKUP($C443,'Ürün Kartları'!$B$5:$G$154,6,FALSE)*$G443),0)</f>
      </c>
      <c r="K443" s="11"/>
      <c r="L443" s="10"/>
      <c r="M443" s="21">
        <f>IF($C443="","",IF($K443=1,-($J443*0.5)-$L443,$H443-$I443-$J443-$L443))</f>
      </c>
      <c r="N443" s="22">
        <f>IF(OR($C443="",$H443=0),"",$M443/$H443)</f>
      </c>
    </row>
    <row r="444" spans="2:14" x14ac:dyDescent="0.25">
      <c r="B444" s="23"/>
      <c r="C444" s="12"/>
      <c r="D444" s="20">
        <f>IFERROR(IF($C444="","",VLOOKUP($C444,'Ürün Kartları'!$B$5:$C$154,2,FALSE)),"— tanımsız ürün —")</f>
      </c>
      <c r="E444" s="12"/>
      <c r="F444" s="14"/>
      <c r="G444" s="15"/>
      <c r="H444" s="16">
        <f>IF(OR($F444="",$G444=""),0,$F444*$G444)</f>
      </c>
      <c r="I444" s="16">
        <f>IFERROR(IF($E444="",0,$H444*VLOOKUP($E444,'Pazaryeri Kartları'!$B$5:$C$24,2,FALSE)+VLOOKUP($E444,'Pazaryeri Kartları'!$B$5:$D$24,3,FALSE)*$G444),0)</f>
      </c>
      <c r="J444" s="16">
        <f>IFERROR(IF($C444="",0,VLOOKUP($C444,'Ürün Kartları'!$B$5:$G$154,6,FALSE)*$G444),0)</f>
      </c>
      <c r="K444" s="15"/>
      <c r="L444" s="14"/>
      <c r="M444" s="21">
        <f>IF($C444="","",IF($K444=1,-($J444*0.5)-$L444,$H444-$I444-$J444-$L444))</f>
      </c>
      <c r="N444" s="22">
        <f>IF(OR($C444="",$H444=0),"",$M444/$H444)</f>
      </c>
    </row>
    <row r="445" spans="2:14" x14ac:dyDescent="0.25">
      <c r="B445" s="19"/>
      <c r="C445" s="8"/>
      <c r="D445" s="20">
        <f>IFERROR(IF($C445="","",VLOOKUP($C445,'Ürün Kartları'!$B$5:$C$154,2,FALSE)),"— tanımsız ürün —")</f>
      </c>
      <c r="E445" s="8"/>
      <c r="F445" s="10"/>
      <c r="G445" s="11"/>
      <c r="H445" s="16">
        <f>IF(OR($F445="",$G445=""),0,$F445*$G445)</f>
      </c>
      <c r="I445" s="16">
        <f>IFERROR(IF($E445="",0,$H445*VLOOKUP($E445,'Pazaryeri Kartları'!$B$5:$C$24,2,FALSE)+VLOOKUP($E445,'Pazaryeri Kartları'!$B$5:$D$24,3,FALSE)*$G445),0)</f>
      </c>
      <c r="J445" s="16">
        <f>IFERROR(IF($C445="",0,VLOOKUP($C445,'Ürün Kartları'!$B$5:$G$154,6,FALSE)*$G445),0)</f>
      </c>
      <c r="K445" s="11"/>
      <c r="L445" s="10"/>
      <c r="M445" s="21">
        <f>IF($C445="","",IF($K445=1,-($J445*0.5)-$L445,$H445-$I445-$J445-$L445))</f>
      </c>
      <c r="N445" s="22">
        <f>IF(OR($C445="",$H445=0),"",$M445/$H445)</f>
      </c>
    </row>
    <row r="446" spans="2:14" x14ac:dyDescent="0.25">
      <c r="B446" s="23"/>
      <c r="C446" s="12"/>
      <c r="D446" s="20">
        <f>IFERROR(IF($C446="","",VLOOKUP($C446,'Ürün Kartları'!$B$5:$C$154,2,FALSE)),"— tanımsız ürün —")</f>
      </c>
      <c r="E446" s="12"/>
      <c r="F446" s="14"/>
      <c r="G446" s="15"/>
      <c r="H446" s="16">
        <f>IF(OR($F446="",$G446=""),0,$F446*$G446)</f>
      </c>
      <c r="I446" s="16">
        <f>IFERROR(IF($E446="",0,$H446*VLOOKUP($E446,'Pazaryeri Kartları'!$B$5:$C$24,2,FALSE)+VLOOKUP($E446,'Pazaryeri Kartları'!$B$5:$D$24,3,FALSE)*$G446),0)</f>
      </c>
      <c r="J446" s="16">
        <f>IFERROR(IF($C446="",0,VLOOKUP($C446,'Ürün Kartları'!$B$5:$G$154,6,FALSE)*$G446),0)</f>
      </c>
      <c r="K446" s="15"/>
      <c r="L446" s="14"/>
      <c r="M446" s="21">
        <f>IF($C446="","",IF($K446=1,-($J446*0.5)-$L446,$H446-$I446-$J446-$L446))</f>
      </c>
      <c r="N446" s="22">
        <f>IF(OR($C446="",$H446=0),"",$M446/$H446)</f>
      </c>
    </row>
    <row r="447" spans="2:14" x14ac:dyDescent="0.25">
      <c r="B447" s="19"/>
      <c r="C447" s="8"/>
      <c r="D447" s="20">
        <f>IFERROR(IF($C447="","",VLOOKUP($C447,'Ürün Kartları'!$B$5:$C$154,2,FALSE)),"— tanımsız ürün —")</f>
      </c>
      <c r="E447" s="8"/>
      <c r="F447" s="10"/>
      <c r="G447" s="11"/>
      <c r="H447" s="16">
        <f>IF(OR($F447="",$G447=""),0,$F447*$G447)</f>
      </c>
      <c r="I447" s="16">
        <f>IFERROR(IF($E447="",0,$H447*VLOOKUP($E447,'Pazaryeri Kartları'!$B$5:$C$24,2,FALSE)+VLOOKUP($E447,'Pazaryeri Kartları'!$B$5:$D$24,3,FALSE)*$G447),0)</f>
      </c>
      <c r="J447" s="16">
        <f>IFERROR(IF($C447="",0,VLOOKUP($C447,'Ürün Kartları'!$B$5:$G$154,6,FALSE)*$G447),0)</f>
      </c>
      <c r="K447" s="11"/>
      <c r="L447" s="10"/>
      <c r="M447" s="21">
        <f>IF($C447="","",IF($K447=1,-($J447*0.5)-$L447,$H447-$I447-$J447-$L447))</f>
      </c>
      <c r="N447" s="22">
        <f>IF(OR($C447="",$H447=0),"",$M447/$H447)</f>
      </c>
    </row>
    <row r="448" spans="2:14" x14ac:dyDescent="0.25">
      <c r="B448" s="23"/>
      <c r="C448" s="12"/>
      <c r="D448" s="20">
        <f>IFERROR(IF($C448="","",VLOOKUP($C448,'Ürün Kartları'!$B$5:$C$154,2,FALSE)),"— tanımsız ürün —")</f>
      </c>
      <c r="E448" s="12"/>
      <c r="F448" s="14"/>
      <c r="G448" s="15"/>
      <c r="H448" s="16">
        <f>IF(OR($F448="",$G448=""),0,$F448*$G448)</f>
      </c>
      <c r="I448" s="16">
        <f>IFERROR(IF($E448="",0,$H448*VLOOKUP($E448,'Pazaryeri Kartları'!$B$5:$C$24,2,FALSE)+VLOOKUP($E448,'Pazaryeri Kartları'!$B$5:$D$24,3,FALSE)*$G448),0)</f>
      </c>
      <c r="J448" s="16">
        <f>IFERROR(IF($C448="",0,VLOOKUP($C448,'Ürün Kartları'!$B$5:$G$154,6,FALSE)*$G448),0)</f>
      </c>
      <c r="K448" s="15"/>
      <c r="L448" s="14"/>
      <c r="M448" s="21">
        <f>IF($C448="","",IF($K448=1,-($J448*0.5)-$L448,$H448-$I448-$J448-$L448))</f>
      </c>
      <c r="N448" s="22">
        <f>IF(OR($C448="",$H448=0),"",$M448/$H448)</f>
      </c>
    </row>
    <row r="449" spans="2:14" x14ac:dyDescent="0.25">
      <c r="B449" s="19"/>
      <c r="C449" s="8"/>
      <c r="D449" s="20">
        <f>IFERROR(IF($C449="","",VLOOKUP($C449,'Ürün Kartları'!$B$5:$C$154,2,FALSE)),"— tanımsız ürün —")</f>
      </c>
      <c r="E449" s="8"/>
      <c r="F449" s="10"/>
      <c r="G449" s="11"/>
      <c r="H449" s="16">
        <f>IF(OR($F449="",$G449=""),0,$F449*$G449)</f>
      </c>
      <c r="I449" s="16">
        <f>IFERROR(IF($E449="",0,$H449*VLOOKUP($E449,'Pazaryeri Kartları'!$B$5:$C$24,2,FALSE)+VLOOKUP($E449,'Pazaryeri Kartları'!$B$5:$D$24,3,FALSE)*$G449),0)</f>
      </c>
      <c r="J449" s="16">
        <f>IFERROR(IF($C449="",0,VLOOKUP($C449,'Ürün Kartları'!$B$5:$G$154,6,FALSE)*$G449),0)</f>
      </c>
      <c r="K449" s="11"/>
      <c r="L449" s="10"/>
      <c r="M449" s="21">
        <f>IF($C449="","",IF($K449=1,-($J449*0.5)-$L449,$H449-$I449-$J449-$L449))</f>
      </c>
      <c r="N449" s="22">
        <f>IF(OR($C449="",$H449=0),"",$M449/$H449)</f>
      </c>
    </row>
    <row r="450" spans="2:14" x14ac:dyDescent="0.25">
      <c r="B450" s="23"/>
      <c r="C450" s="12"/>
      <c r="D450" s="20">
        <f>IFERROR(IF($C450="","",VLOOKUP($C450,'Ürün Kartları'!$B$5:$C$154,2,FALSE)),"— tanımsız ürün —")</f>
      </c>
      <c r="E450" s="12"/>
      <c r="F450" s="14"/>
      <c r="G450" s="15"/>
      <c r="H450" s="16">
        <f>IF(OR($F450="",$G450=""),0,$F450*$G450)</f>
      </c>
      <c r="I450" s="16">
        <f>IFERROR(IF($E450="",0,$H450*VLOOKUP($E450,'Pazaryeri Kartları'!$B$5:$C$24,2,FALSE)+VLOOKUP($E450,'Pazaryeri Kartları'!$B$5:$D$24,3,FALSE)*$G450),0)</f>
      </c>
      <c r="J450" s="16">
        <f>IFERROR(IF($C450="",0,VLOOKUP($C450,'Ürün Kartları'!$B$5:$G$154,6,FALSE)*$G450),0)</f>
      </c>
      <c r="K450" s="15"/>
      <c r="L450" s="14"/>
      <c r="M450" s="21">
        <f>IF($C450="","",IF($K450=1,-($J450*0.5)-$L450,$H450-$I450-$J450-$L450))</f>
      </c>
      <c r="N450" s="22">
        <f>IF(OR($C450="",$H450=0),"",$M450/$H450)</f>
      </c>
    </row>
    <row r="451" spans="2:14" x14ac:dyDescent="0.25">
      <c r="B451" s="19"/>
      <c r="C451" s="8"/>
      <c r="D451" s="20">
        <f>IFERROR(IF($C451="","",VLOOKUP($C451,'Ürün Kartları'!$B$5:$C$154,2,FALSE)),"— tanımsız ürün —")</f>
      </c>
      <c r="E451" s="8"/>
      <c r="F451" s="10"/>
      <c r="G451" s="11"/>
      <c r="H451" s="16">
        <f>IF(OR($F451="",$G451=""),0,$F451*$G451)</f>
      </c>
      <c r="I451" s="16">
        <f>IFERROR(IF($E451="",0,$H451*VLOOKUP($E451,'Pazaryeri Kartları'!$B$5:$C$24,2,FALSE)+VLOOKUP($E451,'Pazaryeri Kartları'!$B$5:$D$24,3,FALSE)*$G451),0)</f>
      </c>
      <c r="J451" s="16">
        <f>IFERROR(IF($C451="",0,VLOOKUP($C451,'Ürün Kartları'!$B$5:$G$154,6,FALSE)*$G451),0)</f>
      </c>
      <c r="K451" s="11"/>
      <c r="L451" s="10"/>
      <c r="M451" s="21">
        <f>IF($C451="","",IF($K451=1,-($J451*0.5)-$L451,$H451-$I451-$J451-$L451))</f>
      </c>
      <c r="N451" s="22">
        <f>IF(OR($C451="",$H451=0),"",$M451/$H451)</f>
      </c>
    </row>
    <row r="452" spans="2:14" x14ac:dyDescent="0.25">
      <c r="B452" s="23"/>
      <c r="C452" s="12"/>
      <c r="D452" s="20">
        <f>IFERROR(IF($C452="","",VLOOKUP($C452,'Ürün Kartları'!$B$5:$C$154,2,FALSE)),"— tanımsız ürün —")</f>
      </c>
      <c r="E452" s="12"/>
      <c r="F452" s="14"/>
      <c r="G452" s="15"/>
      <c r="H452" s="16">
        <f>IF(OR($F452="",$G452=""),0,$F452*$G452)</f>
      </c>
      <c r="I452" s="16">
        <f>IFERROR(IF($E452="",0,$H452*VLOOKUP($E452,'Pazaryeri Kartları'!$B$5:$C$24,2,FALSE)+VLOOKUP($E452,'Pazaryeri Kartları'!$B$5:$D$24,3,FALSE)*$G452),0)</f>
      </c>
      <c r="J452" s="16">
        <f>IFERROR(IF($C452="",0,VLOOKUP($C452,'Ürün Kartları'!$B$5:$G$154,6,FALSE)*$G452),0)</f>
      </c>
      <c r="K452" s="15"/>
      <c r="L452" s="14"/>
      <c r="M452" s="21">
        <f>IF($C452="","",IF($K452=1,-($J452*0.5)-$L452,$H452-$I452-$J452-$L452))</f>
      </c>
      <c r="N452" s="22">
        <f>IF(OR($C452="",$H452=0),"",$M452/$H452)</f>
      </c>
    </row>
    <row r="453" spans="2:14" x14ac:dyDescent="0.25">
      <c r="B453" s="19"/>
      <c r="C453" s="8"/>
      <c r="D453" s="20">
        <f>IFERROR(IF($C453="","",VLOOKUP($C453,'Ürün Kartları'!$B$5:$C$154,2,FALSE)),"— tanımsız ürün —")</f>
      </c>
      <c r="E453" s="8"/>
      <c r="F453" s="10"/>
      <c r="G453" s="11"/>
      <c r="H453" s="16">
        <f>IF(OR($F453="",$G453=""),0,$F453*$G453)</f>
      </c>
      <c r="I453" s="16">
        <f>IFERROR(IF($E453="",0,$H453*VLOOKUP($E453,'Pazaryeri Kartları'!$B$5:$C$24,2,FALSE)+VLOOKUP($E453,'Pazaryeri Kartları'!$B$5:$D$24,3,FALSE)*$G453),0)</f>
      </c>
      <c r="J453" s="16">
        <f>IFERROR(IF($C453="",0,VLOOKUP($C453,'Ürün Kartları'!$B$5:$G$154,6,FALSE)*$G453),0)</f>
      </c>
      <c r="K453" s="11"/>
      <c r="L453" s="10"/>
      <c r="M453" s="21">
        <f>IF($C453="","",IF($K453=1,-($J453*0.5)-$L453,$H453-$I453-$J453-$L453))</f>
      </c>
      <c r="N453" s="22">
        <f>IF(OR($C453="",$H453=0),"",$M453/$H453)</f>
      </c>
    </row>
    <row r="454" spans="2:14" x14ac:dyDescent="0.25">
      <c r="B454" s="23"/>
      <c r="C454" s="12"/>
      <c r="D454" s="20">
        <f>IFERROR(IF($C454="","",VLOOKUP($C454,'Ürün Kartları'!$B$5:$C$154,2,FALSE)),"— tanımsız ürün —")</f>
      </c>
      <c r="E454" s="12"/>
      <c r="F454" s="14"/>
      <c r="G454" s="15"/>
      <c r="H454" s="16">
        <f>IF(OR($F454="",$G454=""),0,$F454*$G454)</f>
      </c>
      <c r="I454" s="16">
        <f>IFERROR(IF($E454="",0,$H454*VLOOKUP($E454,'Pazaryeri Kartları'!$B$5:$C$24,2,FALSE)+VLOOKUP($E454,'Pazaryeri Kartları'!$B$5:$D$24,3,FALSE)*$G454),0)</f>
      </c>
      <c r="J454" s="16">
        <f>IFERROR(IF($C454="",0,VLOOKUP($C454,'Ürün Kartları'!$B$5:$G$154,6,FALSE)*$G454),0)</f>
      </c>
      <c r="K454" s="15"/>
      <c r="L454" s="14"/>
      <c r="M454" s="21">
        <f>IF($C454="","",IF($K454=1,-($J454*0.5)-$L454,$H454-$I454-$J454-$L454))</f>
      </c>
      <c r="N454" s="22">
        <f>IF(OR($C454="",$H454=0),"",$M454/$H454)</f>
      </c>
    </row>
    <row r="455" spans="2:14" x14ac:dyDescent="0.25">
      <c r="B455" s="19"/>
      <c r="C455" s="8"/>
      <c r="D455" s="20">
        <f>IFERROR(IF($C455="","",VLOOKUP($C455,'Ürün Kartları'!$B$5:$C$154,2,FALSE)),"— tanımsız ürün —")</f>
      </c>
      <c r="E455" s="8"/>
      <c r="F455" s="10"/>
      <c r="G455" s="11"/>
      <c r="H455" s="16">
        <f>IF(OR($F455="",$G455=""),0,$F455*$G455)</f>
      </c>
      <c r="I455" s="16">
        <f>IFERROR(IF($E455="",0,$H455*VLOOKUP($E455,'Pazaryeri Kartları'!$B$5:$C$24,2,FALSE)+VLOOKUP($E455,'Pazaryeri Kartları'!$B$5:$D$24,3,FALSE)*$G455),0)</f>
      </c>
      <c r="J455" s="16">
        <f>IFERROR(IF($C455="",0,VLOOKUP($C455,'Ürün Kartları'!$B$5:$G$154,6,FALSE)*$G455),0)</f>
      </c>
      <c r="K455" s="11"/>
      <c r="L455" s="10"/>
      <c r="M455" s="21">
        <f>IF($C455="","",IF($K455=1,-($J455*0.5)-$L455,$H455-$I455-$J455-$L455))</f>
      </c>
      <c r="N455" s="22">
        <f>IF(OR($C455="",$H455=0),"",$M455/$H455)</f>
      </c>
    </row>
    <row r="456" spans="2:14" x14ac:dyDescent="0.25">
      <c r="B456" s="23"/>
      <c r="C456" s="12"/>
      <c r="D456" s="20">
        <f>IFERROR(IF($C456="","",VLOOKUP($C456,'Ürün Kartları'!$B$5:$C$154,2,FALSE)),"— tanımsız ürün —")</f>
      </c>
      <c r="E456" s="12"/>
      <c r="F456" s="14"/>
      <c r="G456" s="15"/>
      <c r="H456" s="16">
        <f>IF(OR($F456="",$G456=""),0,$F456*$G456)</f>
      </c>
      <c r="I456" s="16">
        <f>IFERROR(IF($E456="",0,$H456*VLOOKUP($E456,'Pazaryeri Kartları'!$B$5:$C$24,2,FALSE)+VLOOKUP($E456,'Pazaryeri Kartları'!$B$5:$D$24,3,FALSE)*$G456),0)</f>
      </c>
      <c r="J456" s="16">
        <f>IFERROR(IF($C456="",0,VLOOKUP($C456,'Ürün Kartları'!$B$5:$G$154,6,FALSE)*$G456),0)</f>
      </c>
      <c r="K456" s="15"/>
      <c r="L456" s="14"/>
      <c r="M456" s="21">
        <f>IF($C456="","",IF($K456=1,-($J456*0.5)-$L456,$H456-$I456-$J456-$L456))</f>
      </c>
      <c r="N456" s="22">
        <f>IF(OR($C456="",$H456=0),"",$M456/$H456)</f>
      </c>
    </row>
    <row r="457" spans="2:14" x14ac:dyDescent="0.25">
      <c r="B457" s="19"/>
      <c r="C457" s="8"/>
      <c r="D457" s="20">
        <f>IFERROR(IF($C457="","",VLOOKUP($C457,'Ürün Kartları'!$B$5:$C$154,2,FALSE)),"— tanımsız ürün —")</f>
      </c>
      <c r="E457" s="8"/>
      <c r="F457" s="10"/>
      <c r="G457" s="11"/>
      <c r="H457" s="16">
        <f>IF(OR($F457="",$G457=""),0,$F457*$G457)</f>
      </c>
      <c r="I457" s="16">
        <f>IFERROR(IF($E457="",0,$H457*VLOOKUP($E457,'Pazaryeri Kartları'!$B$5:$C$24,2,FALSE)+VLOOKUP($E457,'Pazaryeri Kartları'!$B$5:$D$24,3,FALSE)*$G457),0)</f>
      </c>
      <c r="J457" s="16">
        <f>IFERROR(IF($C457="",0,VLOOKUP($C457,'Ürün Kartları'!$B$5:$G$154,6,FALSE)*$G457),0)</f>
      </c>
      <c r="K457" s="11"/>
      <c r="L457" s="10"/>
      <c r="M457" s="21">
        <f>IF($C457="","",IF($K457=1,-($J457*0.5)-$L457,$H457-$I457-$J457-$L457))</f>
      </c>
      <c r="N457" s="22">
        <f>IF(OR($C457="",$H457=0),"",$M457/$H457)</f>
      </c>
    </row>
    <row r="458" spans="2:14" x14ac:dyDescent="0.25">
      <c r="B458" s="23"/>
      <c r="C458" s="12"/>
      <c r="D458" s="20">
        <f>IFERROR(IF($C458="","",VLOOKUP($C458,'Ürün Kartları'!$B$5:$C$154,2,FALSE)),"— tanımsız ürün —")</f>
      </c>
      <c r="E458" s="12"/>
      <c r="F458" s="14"/>
      <c r="G458" s="15"/>
      <c r="H458" s="16">
        <f>IF(OR($F458="",$G458=""),0,$F458*$G458)</f>
      </c>
      <c r="I458" s="16">
        <f>IFERROR(IF($E458="",0,$H458*VLOOKUP($E458,'Pazaryeri Kartları'!$B$5:$C$24,2,FALSE)+VLOOKUP($E458,'Pazaryeri Kartları'!$B$5:$D$24,3,FALSE)*$G458),0)</f>
      </c>
      <c r="J458" s="16">
        <f>IFERROR(IF($C458="",0,VLOOKUP($C458,'Ürün Kartları'!$B$5:$G$154,6,FALSE)*$G458),0)</f>
      </c>
      <c r="K458" s="15"/>
      <c r="L458" s="14"/>
      <c r="M458" s="21">
        <f>IF($C458="","",IF($K458=1,-($J458*0.5)-$L458,$H458-$I458-$J458-$L458))</f>
      </c>
      <c r="N458" s="22">
        <f>IF(OR($C458="",$H458=0),"",$M458/$H458)</f>
      </c>
    </row>
    <row r="459" spans="2:14" x14ac:dyDescent="0.25">
      <c r="B459" s="19"/>
      <c r="C459" s="8"/>
      <c r="D459" s="20">
        <f>IFERROR(IF($C459="","",VLOOKUP($C459,'Ürün Kartları'!$B$5:$C$154,2,FALSE)),"— tanımsız ürün —")</f>
      </c>
      <c r="E459" s="8"/>
      <c r="F459" s="10"/>
      <c r="G459" s="11"/>
      <c r="H459" s="16">
        <f>IF(OR($F459="",$G459=""),0,$F459*$G459)</f>
      </c>
      <c r="I459" s="16">
        <f>IFERROR(IF($E459="",0,$H459*VLOOKUP($E459,'Pazaryeri Kartları'!$B$5:$C$24,2,FALSE)+VLOOKUP($E459,'Pazaryeri Kartları'!$B$5:$D$24,3,FALSE)*$G459),0)</f>
      </c>
      <c r="J459" s="16">
        <f>IFERROR(IF($C459="",0,VLOOKUP($C459,'Ürün Kartları'!$B$5:$G$154,6,FALSE)*$G459),0)</f>
      </c>
      <c r="K459" s="11"/>
      <c r="L459" s="10"/>
      <c r="M459" s="21">
        <f>IF($C459="","",IF($K459=1,-($J459*0.5)-$L459,$H459-$I459-$J459-$L459))</f>
      </c>
      <c r="N459" s="22">
        <f>IF(OR($C459="",$H459=0),"",$M459/$H459)</f>
      </c>
    </row>
    <row r="460" spans="2:14" x14ac:dyDescent="0.25">
      <c r="B460" s="23"/>
      <c r="C460" s="12"/>
      <c r="D460" s="20">
        <f>IFERROR(IF($C460="","",VLOOKUP($C460,'Ürün Kartları'!$B$5:$C$154,2,FALSE)),"— tanımsız ürün —")</f>
      </c>
      <c r="E460" s="12"/>
      <c r="F460" s="14"/>
      <c r="G460" s="15"/>
      <c r="H460" s="16">
        <f>IF(OR($F460="",$G460=""),0,$F460*$G460)</f>
      </c>
      <c r="I460" s="16">
        <f>IFERROR(IF($E460="",0,$H460*VLOOKUP($E460,'Pazaryeri Kartları'!$B$5:$C$24,2,FALSE)+VLOOKUP($E460,'Pazaryeri Kartları'!$B$5:$D$24,3,FALSE)*$G460),0)</f>
      </c>
      <c r="J460" s="16">
        <f>IFERROR(IF($C460="",0,VLOOKUP($C460,'Ürün Kartları'!$B$5:$G$154,6,FALSE)*$G460),0)</f>
      </c>
      <c r="K460" s="15"/>
      <c r="L460" s="14"/>
      <c r="M460" s="21">
        <f>IF($C460="","",IF($K460=1,-($J460*0.5)-$L460,$H460-$I460-$J460-$L460))</f>
      </c>
      <c r="N460" s="22">
        <f>IF(OR($C460="",$H460=0),"",$M460/$H460)</f>
      </c>
    </row>
    <row r="461" spans="2:14" x14ac:dyDescent="0.25">
      <c r="B461" s="19"/>
      <c r="C461" s="8"/>
      <c r="D461" s="20">
        <f>IFERROR(IF($C461="","",VLOOKUP($C461,'Ürün Kartları'!$B$5:$C$154,2,FALSE)),"— tanımsız ürün —")</f>
      </c>
      <c r="E461" s="8"/>
      <c r="F461" s="10"/>
      <c r="G461" s="11"/>
      <c r="H461" s="16">
        <f>IF(OR($F461="",$G461=""),0,$F461*$G461)</f>
      </c>
      <c r="I461" s="16">
        <f>IFERROR(IF($E461="",0,$H461*VLOOKUP($E461,'Pazaryeri Kartları'!$B$5:$C$24,2,FALSE)+VLOOKUP($E461,'Pazaryeri Kartları'!$B$5:$D$24,3,FALSE)*$G461),0)</f>
      </c>
      <c r="J461" s="16">
        <f>IFERROR(IF($C461="",0,VLOOKUP($C461,'Ürün Kartları'!$B$5:$G$154,6,FALSE)*$G461),0)</f>
      </c>
      <c r="K461" s="11"/>
      <c r="L461" s="10"/>
      <c r="M461" s="21">
        <f>IF($C461="","",IF($K461=1,-($J461*0.5)-$L461,$H461-$I461-$J461-$L461))</f>
      </c>
      <c r="N461" s="22">
        <f>IF(OR($C461="",$H461=0),"",$M461/$H461)</f>
      </c>
    </row>
    <row r="462" spans="2:14" x14ac:dyDescent="0.25">
      <c r="B462" s="23"/>
      <c r="C462" s="12"/>
      <c r="D462" s="20">
        <f>IFERROR(IF($C462="","",VLOOKUP($C462,'Ürün Kartları'!$B$5:$C$154,2,FALSE)),"— tanımsız ürün —")</f>
      </c>
      <c r="E462" s="12"/>
      <c r="F462" s="14"/>
      <c r="G462" s="15"/>
      <c r="H462" s="16">
        <f>IF(OR($F462="",$G462=""),0,$F462*$G462)</f>
      </c>
      <c r="I462" s="16">
        <f>IFERROR(IF($E462="",0,$H462*VLOOKUP($E462,'Pazaryeri Kartları'!$B$5:$C$24,2,FALSE)+VLOOKUP($E462,'Pazaryeri Kartları'!$B$5:$D$24,3,FALSE)*$G462),0)</f>
      </c>
      <c r="J462" s="16">
        <f>IFERROR(IF($C462="",0,VLOOKUP($C462,'Ürün Kartları'!$B$5:$G$154,6,FALSE)*$G462),0)</f>
      </c>
      <c r="K462" s="15"/>
      <c r="L462" s="14"/>
      <c r="M462" s="21">
        <f>IF($C462="","",IF($K462=1,-($J462*0.5)-$L462,$H462-$I462-$J462-$L462))</f>
      </c>
      <c r="N462" s="22">
        <f>IF(OR($C462="",$H462=0),"",$M462/$H462)</f>
      </c>
    </row>
    <row r="463" spans="2:14" x14ac:dyDescent="0.25">
      <c r="B463" s="19"/>
      <c r="C463" s="8"/>
      <c r="D463" s="20">
        <f>IFERROR(IF($C463="","",VLOOKUP($C463,'Ürün Kartları'!$B$5:$C$154,2,FALSE)),"— tanımsız ürün —")</f>
      </c>
      <c r="E463" s="8"/>
      <c r="F463" s="10"/>
      <c r="G463" s="11"/>
      <c r="H463" s="16">
        <f>IF(OR($F463="",$G463=""),0,$F463*$G463)</f>
      </c>
      <c r="I463" s="16">
        <f>IFERROR(IF($E463="",0,$H463*VLOOKUP($E463,'Pazaryeri Kartları'!$B$5:$C$24,2,FALSE)+VLOOKUP($E463,'Pazaryeri Kartları'!$B$5:$D$24,3,FALSE)*$G463),0)</f>
      </c>
      <c r="J463" s="16">
        <f>IFERROR(IF($C463="",0,VLOOKUP($C463,'Ürün Kartları'!$B$5:$G$154,6,FALSE)*$G463),0)</f>
      </c>
      <c r="K463" s="11"/>
      <c r="L463" s="10"/>
      <c r="M463" s="21">
        <f>IF($C463="","",IF($K463=1,-($J463*0.5)-$L463,$H463-$I463-$J463-$L463))</f>
      </c>
      <c r="N463" s="22">
        <f>IF(OR($C463="",$H463=0),"",$M463/$H463)</f>
      </c>
    </row>
    <row r="464" spans="2:14" x14ac:dyDescent="0.25">
      <c r="B464" s="23"/>
      <c r="C464" s="12"/>
      <c r="D464" s="20">
        <f>IFERROR(IF($C464="","",VLOOKUP($C464,'Ürün Kartları'!$B$5:$C$154,2,FALSE)),"— tanımsız ürün —")</f>
      </c>
      <c r="E464" s="12"/>
      <c r="F464" s="14"/>
      <c r="G464" s="15"/>
      <c r="H464" s="16">
        <f>IF(OR($F464="",$G464=""),0,$F464*$G464)</f>
      </c>
      <c r="I464" s="16">
        <f>IFERROR(IF($E464="",0,$H464*VLOOKUP($E464,'Pazaryeri Kartları'!$B$5:$C$24,2,FALSE)+VLOOKUP($E464,'Pazaryeri Kartları'!$B$5:$D$24,3,FALSE)*$G464),0)</f>
      </c>
      <c r="J464" s="16">
        <f>IFERROR(IF($C464="",0,VLOOKUP($C464,'Ürün Kartları'!$B$5:$G$154,6,FALSE)*$G464),0)</f>
      </c>
      <c r="K464" s="15"/>
      <c r="L464" s="14"/>
      <c r="M464" s="21">
        <f>IF($C464="","",IF($K464=1,-($J464*0.5)-$L464,$H464-$I464-$J464-$L464))</f>
      </c>
      <c r="N464" s="22">
        <f>IF(OR($C464="",$H464=0),"",$M464/$H464)</f>
      </c>
    </row>
    <row r="465" spans="2:14" x14ac:dyDescent="0.25">
      <c r="B465" s="19"/>
      <c r="C465" s="8"/>
      <c r="D465" s="20">
        <f>IFERROR(IF($C465="","",VLOOKUP($C465,'Ürün Kartları'!$B$5:$C$154,2,FALSE)),"— tanımsız ürün —")</f>
      </c>
      <c r="E465" s="8"/>
      <c r="F465" s="10"/>
      <c r="G465" s="11"/>
      <c r="H465" s="16">
        <f>IF(OR($F465="",$G465=""),0,$F465*$G465)</f>
      </c>
      <c r="I465" s="16">
        <f>IFERROR(IF($E465="",0,$H465*VLOOKUP($E465,'Pazaryeri Kartları'!$B$5:$C$24,2,FALSE)+VLOOKUP($E465,'Pazaryeri Kartları'!$B$5:$D$24,3,FALSE)*$G465),0)</f>
      </c>
      <c r="J465" s="16">
        <f>IFERROR(IF($C465="",0,VLOOKUP($C465,'Ürün Kartları'!$B$5:$G$154,6,FALSE)*$G465),0)</f>
      </c>
      <c r="K465" s="11"/>
      <c r="L465" s="10"/>
      <c r="M465" s="21">
        <f>IF($C465="","",IF($K465=1,-($J465*0.5)-$L465,$H465-$I465-$J465-$L465))</f>
      </c>
      <c r="N465" s="22">
        <f>IF(OR($C465="",$H465=0),"",$M465/$H465)</f>
      </c>
    </row>
    <row r="466" spans="2:14" x14ac:dyDescent="0.25">
      <c r="B466" s="23"/>
      <c r="C466" s="12"/>
      <c r="D466" s="20">
        <f>IFERROR(IF($C466="","",VLOOKUP($C466,'Ürün Kartları'!$B$5:$C$154,2,FALSE)),"— tanımsız ürün —")</f>
      </c>
      <c r="E466" s="12"/>
      <c r="F466" s="14"/>
      <c r="G466" s="15"/>
      <c r="H466" s="16">
        <f>IF(OR($F466="",$G466=""),0,$F466*$G466)</f>
      </c>
      <c r="I466" s="16">
        <f>IFERROR(IF($E466="",0,$H466*VLOOKUP($E466,'Pazaryeri Kartları'!$B$5:$C$24,2,FALSE)+VLOOKUP($E466,'Pazaryeri Kartları'!$B$5:$D$24,3,FALSE)*$G466),0)</f>
      </c>
      <c r="J466" s="16">
        <f>IFERROR(IF($C466="",0,VLOOKUP($C466,'Ürün Kartları'!$B$5:$G$154,6,FALSE)*$G466),0)</f>
      </c>
      <c r="K466" s="15"/>
      <c r="L466" s="14"/>
      <c r="M466" s="21">
        <f>IF($C466="","",IF($K466=1,-($J466*0.5)-$L466,$H466-$I466-$J466-$L466))</f>
      </c>
      <c r="N466" s="22">
        <f>IF(OR($C466="",$H466=0),"",$M466/$H466)</f>
      </c>
    </row>
    <row r="467" spans="2:14" x14ac:dyDescent="0.25">
      <c r="B467" s="19"/>
      <c r="C467" s="8"/>
      <c r="D467" s="20">
        <f>IFERROR(IF($C467="","",VLOOKUP($C467,'Ürün Kartları'!$B$5:$C$154,2,FALSE)),"— tanımsız ürün —")</f>
      </c>
      <c r="E467" s="8"/>
      <c r="F467" s="10"/>
      <c r="G467" s="11"/>
      <c r="H467" s="16">
        <f>IF(OR($F467="",$G467=""),0,$F467*$G467)</f>
      </c>
      <c r="I467" s="16">
        <f>IFERROR(IF($E467="",0,$H467*VLOOKUP($E467,'Pazaryeri Kartları'!$B$5:$C$24,2,FALSE)+VLOOKUP($E467,'Pazaryeri Kartları'!$B$5:$D$24,3,FALSE)*$G467),0)</f>
      </c>
      <c r="J467" s="16">
        <f>IFERROR(IF($C467="",0,VLOOKUP($C467,'Ürün Kartları'!$B$5:$G$154,6,FALSE)*$G467),0)</f>
      </c>
      <c r="K467" s="11"/>
      <c r="L467" s="10"/>
      <c r="M467" s="21">
        <f>IF($C467="","",IF($K467=1,-($J467*0.5)-$L467,$H467-$I467-$J467-$L467))</f>
      </c>
      <c r="N467" s="22">
        <f>IF(OR($C467="",$H467=0),"",$M467/$H467)</f>
      </c>
    </row>
    <row r="468" spans="2:14" x14ac:dyDescent="0.25">
      <c r="B468" s="23"/>
      <c r="C468" s="12"/>
      <c r="D468" s="20">
        <f>IFERROR(IF($C468="","",VLOOKUP($C468,'Ürün Kartları'!$B$5:$C$154,2,FALSE)),"— tanımsız ürün —")</f>
      </c>
      <c r="E468" s="12"/>
      <c r="F468" s="14"/>
      <c r="G468" s="15"/>
      <c r="H468" s="16">
        <f>IF(OR($F468="",$G468=""),0,$F468*$G468)</f>
      </c>
      <c r="I468" s="16">
        <f>IFERROR(IF($E468="",0,$H468*VLOOKUP($E468,'Pazaryeri Kartları'!$B$5:$C$24,2,FALSE)+VLOOKUP($E468,'Pazaryeri Kartları'!$B$5:$D$24,3,FALSE)*$G468),0)</f>
      </c>
      <c r="J468" s="16">
        <f>IFERROR(IF($C468="",0,VLOOKUP($C468,'Ürün Kartları'!$B$5:$G$154,6,FALSE)*$G468),0)</f>
      </c>
      <c r="K468" s="15"/>
      <c r="L468" s="14"/>
      <c r="M468" s="21">
        <f>IF($C468="","",IF($K468=1,-($J468*0.5)-$L468,$H468-$I468-$J468-$L468))</f>
      </c>
      <c r="N468" s="22">
        <f>IF(OR($C468="",$H468=0),"",$M468/$H468)</f>
      </c>
    </row>
    <row r="469" spans="2:14" x14ac:dyDescent="0.25">
      <c r="B469" s="19"/>
      <c r="C469" s="8"/>
      <c r="D469" s="20">
        <f>IFERROR(IF($C469="","",VLOOKUP($C469,'Ürün Kartları'!$B$5:$C$154,2,FALSE)),"— tanımsız ürün —")</f>
      </c>
      <c r="E469" s="8"/>
      <c r="F469" s="10"/>
      <c r="G469" s="11"/>
      <c r="H469" s="16">
        <f>IF(OR($F469="",$G469=""),0,$F469*$G469)</f>
      </c>
      <c r="I469" s="16">
        <f>IFERROR(IF($E469="",0,$H469*VLOOKUP($E469,'Pazaryeri Kartları'!$B$5:$C$24,2,FALSE)+VLOOKUP($E469,'Pazaryeri Kartları'!$B$5:$D$24,3,FALSE)*$G469),0)</f>
      </c>
      <c r="J469" s="16">
        <f>IFERROR(IF($C469="",0,VLOOKUP($C469,'Ürün Kartları'!$B$5:$G$154,6,FALSE)*$G469),0)</f>
      </c>
      <c r="K469" s="11"/>
      <c r="L469" s="10"/>
      <c r="M469" s="21">
        <f>IF($C469="","",IF($K469=1,-($J469*0.5)-$L469,$H469-$I469-$J469-$L469))</f>
      </c>
      <c r="N469" s="22">
        <f>IF(OR($C469="",$H469=0),"",$M469/$H469)</f>
      </c>
    </row>
    <row r="470" spans="2:14" x14ac:dyDescent="0.25">
      <c r="B470" s="23"/>
      <c r="C470" s="12"/>
      <c r="D470" s="20">
        <f>IFERROR(IF($C470="","",VLOOKUP($C470,'Ürün Kartları'!$B$5:$C$154,2,FALSE)),"— tanımsız ürün —")</f>
      </c>
      <c r="E470" s="12"/>
      <c r="F470" s="14"/>
      <c r="G470" s="15"/>
      <c r="H470" s="16">
        <f>IF(OR($F470="",$G470=""),0,$F470*$G470)</f>
      </c>
      <c r="I470" s="16">
        <f>IFERROR(IF($E470="",0,$H470*VLOOKUP($E470,'Pazaryeri Kartları'!$B$5:$C$24,2,FALSE)+VLOOKUP($E470,'Pazaryeri Kartları'!$B$5:$D$24,3,FALSE)*$G470),0)</f>
      </c>
      <c r="J470" s="16">
        <f>IFERROR(IF($C470="",0,VLOOKUP($C470,'Ürün Kartları'!$B$5:$G$154,6,FALSE)*$G470),0)</f>
      </c>
      <c r="K470" s="15"/>
      <c r="L470" s="14"/>
      <c r="M470" s="21">
        <f>IF($C470="","",IF($K470=1,-($J470*0.5)-$L470,$H470-$I470-$J470-$L470))</f>
      </c>
      <c r="N470" s="22">
        <f>IF(OR($C470="",$H470=0),"",$M470/$H470)</f>
      </c>
    </row>
    <row r="471" spans="2:14" x14ac:dyDescent="0.25">
      <c r="B471" s="19"/>
      <c r="C471" s="8"/>
      <c r="D471" s="20">
        <f>IFERROR(IF($C471="","",VLOOKUP($C471,'Ürün Kartları'!$B$5:$C$154,2,FALSE)),"— tanımsız ürün —")</f>
      </c>
      <c r="E471" s="8"/>
      <c r="F471" s="10"/>
      <c r="G471" s="11"/>
      <c r="H471" s="16">
        <f>IF(OR($F471="",$G471=""),0,$F471*$G471)</f>
      </c>
      <c r="I471" s="16">
        <f>IFERROR(IF($E471="",0,$H471*VLOOKUP($E471,'Pazaryeri Kartları'!$B$5:$C$24,2,FALSE)+VLOOKUP($E471,'Pazaryeri Kartları'!$B$5:$D$24,3,FALSE)*$G471),0)</f>
      </c>
      <c r="J471" s="16">
        <f>IFERROR(IF($C471="",0,VLOOKUP($C471,'Ürün Kartları'!$B$5:$G$154,6,FALSE)*$G471),0)</f>
      </c>
      <c r="K471" s="11"/>
      <c r="L471" s="10"/>
      <c r="M471" s="21">
        <f>IF($C471="","",IF($K471=1,-($J471*0.5)-$L471,$H471-$I471-$J471-$L471))</f>
      </c>
      <c r="N471" s="22">
        <f>IF(OR($C471="",$H471=0),"",$M471/$H471)</f>
      </c>
    </row>
    <row r="472" spans="2:14" x14ac:dyDescent="0.25">
      <c r="B472" s="23"/>
      <c r="C472" s="12"/>
      <c r="D472" s="20">
        <f>IFERROR(IF($C472="","",VLOOKUP($C472,'Ürün Kartları'!$B$5:$C$154,2,FALSE)),"— tanımsız ürün —")</f>
      </c>
      <c r="E472" s="12"/>
      <c r="F472" s="14"/>
      <c r="G472" s="15"/>
      <c r="H472" s="16">
        <f>IF(OR($F472="",$G472=""),0,$F472*$G472)</f>
      </c>
      <c r="I472" s="16">
        <f>IFERROR(IF($E472="",0,$H472*VLOOKUP($E472,'Pazaryeri Kartları'!$B$5:$C$24,2,FALSE)+VLOOKUP($E472,'Pazaryeri Kartları'!$B$5:$D$24,3,FALSE)*$G472),0)</f>
      </c>
      <c r="J472" s="16">
        <f>IFERROR(IF($C472="",0,VLOOKUP($C472,'Ürün Kartları'!$B$5:$G$154,6,FALSE)*$G472),0)</f>
      </c>
      <c r="K472" s="15"/>
      <c r="L472" s="14"/>
      <c r="M472" s="21">
        <f>IF($C472="","",IF($K472=1,-($J472*0.5)-$L472,$H472-$I472-$J472-$L472))</f>
      </c>
      <c r="N472" s="22">
        <f>IF(OR($C472="",$H472=0),"",$M472/$H472)</f>
      </c>
    </row>
    <row r="473" spans="2:14" x14ac:dyDescent="0.25">
      <c r="B473" s="19"/>
      <c r="C473" s="8"/>
      <c r="D473" s="20">
        <f>IFERROR(IF($C473="","",VLOOKUP($C473,'Ürün Kartları'!$B$5:$C$154,2,FALSE)),"— tanımsız ürün —")</f>
      </c>
      <c r="E473" s="8"/>
      <c r="F473" s="10"/>
      <c r="G473" s="11"/>
      <c r="H473" s="16">
        <f>IF(OR($F473="",$G473=""),0,$F473*$G473)</f>
      </c>
      <c r="I473" s="16">
        <f>IFERROR(IF($E473="",0,$H473*VLOOKUP($E473,'Pazaryeri Kartları'!$B$5:$C$24,2,FALSE)+VLOOKUP($E473,'Pazaryeri Kartları'!$B$5:$D$24,3,FALSE)*$G473),0)</f>
      </c>
      <c r="J473" s="16">
        <f>IFERROR(IF($C473="",0,VLOOKUP($C473,'Ürün Kartları'!$B$5:$G$154,6,FALSE)*$G473),0)</f>
      </c>
      <c r="K473" s="11"/>
      <c r="L473" s="10"/>
      <c r="M473" s="21">
        <f>IF($C473="","",IF($K473=1,-($J473*0.5)-$L473,$H473-$I473-$J473-$L473))</f>
      </c>
      <c r="N473" s="22">
        <f>IF(OR($C473="",$H473=0),"",$M473/$H473)</f>
      </c>
    </row>
    <row r="474" spans="2:14" x14ac:dyDescent="0.25">
      <c r="B474" s="23"/>
      <c r="C474" s="12"/>
      <c r="D474" s="20">
        <f>IFERROR(IF($C474="","",VLOOKUP($C474,'Ürün Kartları'!$B$5:$C$154,2,FALSE)),"— tanımsız ürün —")</f>
      </c>
      <c r="E474" s="12"/>
      <c r="F474" s="14"/>
      <c r="G474" s="15"/>
      <c r="H474" s="16">
        <f>IF(OR($F474="",$G474=""),0,$F474*$G474)</f>
      </c>
      <c r="I474" s="16">
        <f>IFERROR(IF($E474="",0,$H474*VLOOKUP($E474,'Pazaryeri Kartları'!$B$5:$C$24,2,FALSE)+VLOOKUP($E474,'Pazaryeri Kartları'!$B$5:$D$24,3,FALSE)*$G474),0)</f>
      </c>
      <c r="J474" s="16">
        <f>IFERROR(IF($C474="",0,VLOOKUP($C474,'Ürün Kartları'!$B$5:$G$154,6,FALSE)*$G474),0)</f>
      </c>
      <c r="K474" s="15"/>
      <c r="L474" s="14"/>
      <c r="M474" s="21">
        <f>IF($C474="","",IF($K474=1,-($J474*0.5)-$L474,$H474-$I474-$J474-$L474))</f>
      </c>
      <c r="N474" s="22">
        <f>IF(OR($C474="",$H474=0),"",$M474/$H474)</f>
      </c>
    </row>
    <row r="475" spans="2:14" x14ac:dyDescent="0.25">
      <c r="B475" s="19"/>
      <c r="C475" s="8"/>
      <c r="D475" s="20">
        <f>IFERROR(IF($C475="","",VLOOKUP($C475,'Ürün Kartları'!$B$5:$C$154,2,FALSE)),"— tanımsız ürün —")</f>
      </c>
      <c r="E475" s="8"/>
      <c r="F475" s="10"/>
      <c r="G475" s="11"/>
      <c r="H475" s="16">
        <f>IF(OR($F475="",$G475=""),0,$F475*$G475)</f>
      </c>
      <c r="I475" s="16">
        <f>IFERROR(IF($E475="",0,$H475*VLOOKUP($E475,'Pazaryeri Kartları'!$B$5:$C$24,2,FALSE)+VLOOKUP($E475,'Pazaryeri Kartları'!$B$5:$D$24,3,FALSE)*$G475),0)</f>
      </c>
      <c r="J475" s="16">
        <f>IFERROR(IF($C475="",0,VLOOKUP($C475,'Ürün Kartları'!$B$5:$G$154,6,FALSE)*$G475),0)</f>
      </c>
      <c r="K475" s="11"/>
      <c r="L475" s="10"/>
      <c r="M475" s="21">
        <f>IF($C475="","",IF($K475=1,-($J475*0.5)-$L475,$H475-$I475-$J475-$L475))</f>
      </c>
      <c r="N475" s="22">
        <f>IF(OR($C475="",$H475=0),"",$M475/$H475)</f>
      </c>
    </row>
    <row r="476" spans="2:14" x14ac:dyDescent="0.25">
      <c r="B476" s="23"/>
      <c r="C476" s="12"/>
      <c r="D476" s="20">
        <f>IFERROR(IF($C476="","",VLOOKUP($C476,'Ürün Kartları'!$B$5:$C$154,2,FALSE)),"— tanımsız ürün —")</f>
      </c>
      <c r="E476" s="12"/>
      <c r="F476" s="14"/>
      <c r="G476" s="15"/>
      <c r="H476" s="16">
        <f>IF(OR($F476="",$G476=""),0,$F476*$G476)</f>
      </c>
      <c r="I476" s="16">
        <f>IFERROR(IF($E476="",0,$H476*VLOOKUP($E476,'Pazaryeri Kartları'!$B$5:$C$24,2,FALSE)+VLOOKUP($E476,'Pazaryeri Kartları'!$B$5:$D$24,3,FALSE)*$G476),0)</f>
      </c>
      <c r="J476" s="16">
        <f>IFERROR(IF($C476="",0,VLOOKUP($C476,'Ürün Kartları'!$B$5:$G$154,6,FALSE)*$G476),0)</f>
      </c>
      <c r="K476" s="15"/>
      <c r="L476" s="14"/>
      <c r="M476" s="21">
        <f>IF($C476="","",IF($K476=1,-($J476*0.5)-$L476,$H476-$I476-$J476-$L476))</f>
      </c>
      <c r="N476" s="22">
        <f>IF(OR($C476="",$H476=0),"",$M476/$H476)</f>
      </c>
    </row>
    <row r="477" spans="2:14" x14ac:dyDescent="0.25">
      <c r="B477" s="19"/>
      <c r="C477" s="8"/>
      <c r="D477" s="20">
        <f>IFERROR(IF($C477="","",VLOOKUP($C477,'Ürün Kartları'!$B$5:$C$154,2,FALSE)),"— tanımsız ürün —")</f>
      </c>
      <c r="E477" s="8"/>
      <c r="F477" s="10"/>
      <c r="G477" s="11"/>
      <c r="H477" s="16">
        <f>IF(OR($F477="",$G477=""),0,$F477*$G477)</f>
      </c>
      <c r="I477" s="16">
        <f>IFERROR(IF($E477="",0,$H477*VLOOKUP($E477,'Pazaryeri Kartları'!$B$5:$C$24,2,FALSE)+VLOOKUP($E477,'Pazaryeri Kartları'!$B$5:$D$24,3,FALSE)*$G477),0)</f>
      </c>
      <c r="J477" s="16">
        <f>IFERROR(IF($C477="",0,VLOOKUP($C477,'Ürün Kartları'!$B$5:$G$154,6,FALSE)*$G477),0)</f>
      </c>
      <c r="K477" s="11"/>
      <c r="L477" s="10"/>
      <c r="M477" s="21">
        <f>IF($C477="","",IF($K477=1,-($J477*0.5)-$L477,$H477-$I477-$J477-$L477))</f>
      </c>
      <c r="N477" s="22">
        <f>IF(OR($C477="",$H477=0),"",$M477/$H477)</f>
      </c>
    </row>
    <row r="478" spans="2:14" x14ac:dyDescent="0.25">
      <c r="B478" s="23"/>
      <c r="C478" s="12"/>
      <c r="D478" s="20">
        <f>IFERROR(IF($C478="","",VLOOKUP($C478,'Ürün Kartları'!$B$5:$C$154,2,FALSE)),"— tanımsız ürün —")</f>
      </c>
      <c r="E478" s="12"/>
      <c r="F478" s="14"/>
      <c r="G478" s="15"/>
      <c r="H478" s="16">
        <f>IF(OR($F478="",$G478=""),0,$F478*$G478)</f>
      </c>
      <c r="I478" s="16">
        <f>IFERROR(IF($E478="",0,$H478*VLOOKUP($E478,'Pazaryeri Kartları'!$B$5:$C$24,2,FALSE)+VLOOKUP($E478,'Pazaryeri Kartları'!$B$5:$D$24,3,FALSE)*$G478),0)</f>
      </c>
      <c r="J478" s="16">
        <f>IFERROR(IF($C478="",0,VLOOKUP($C478,'Ürün Kartları'!$B$5:$G$154,6,FALSE)*$G478),0)</f>
      </c>
      <c r="K478" s="15"/>
      <c r="L478" s="14"/>
      <c r="M478" s="21">
        <f>IF($C478="","",IF($K478=1,-($J478*0.5)-$L478,$H478-$I478-$J478-$L478))</f>
      </c>
      <c r="N478" s="22">
        <f>IF(OR($C478="",$H478=0),"",$M478/$H478)</f>
      </c>
    </row>
    <row r="479" spans="2:14" x14ac:dyDescent="0.25">
      <c r="B479" s="19"/>
      <c r="C479" s="8"/>
      <c r="D479" s="20">
        <f>IFERROR(IF($C479="","",VLOOKUP($C479,'Ürün Kartları'!$B$5:$C$154,2,FALSE)),"— tanımsız ürün —")</f>
      </c>
      <c r="E479" s="8"/>
      <c r="F479" s="10"/>
      <c r="G479" s="11"/>
      <c r="H479" s="16">
        <f>IF(OR($F479="",$G479=""),0,$F479*$G479)</f>
      </c>
      <c r="I479" s="16">
        <f>IFERROR(IF($E479="",0,$H479*VLOOKUP($E479,'Pazaryeri Kartları'!$B$5:$C$24,2,FALSE)+VLOOKUP($E479,'Pazaryeri Kartları'!$B$5:$D$24,3,FALSE)*$G479),0)</f>
      </c>
      <c r="J479" s="16">
        <f>IFERROR(IF($C479="",0,VLOOKUP($C479,'Ürün Kartları'!$B$5:$G$154,6,FALSE)*$G479),0)</f>
      </c>
      <c r="K479" s="11"/>
      <c r="L479" s="10"/>
      <c r="M479" s="21">
        <f>IF($C479="","",IF($K479=1,-($J479*0.5)-$L479,$H479-$I479-$J479-$L479))</f>
      </c>
      <c r="N479" s="22">
        <f>IF(OR($C479="",$H479=0),"",$M479/$H479)</f>
      </c>
    </row>
    <row r="480" spans="2:14" x14ac:dyDescent="0.25">
      <c r="B480" s="23"/>
      <c r="C480" s="12"/>
      <c r="D480" s="20">
        <f>IFERROR(IF($C480="","",VLOOKUP($C480,'Ürün Kartları'!$B$5:$C$154,2,FALSE)),"— tanımsız ürün —")</f>
      </c>
      <c r="E480" s="12"/>
      <c r="F480" s="14"/>
      <c r="G480" s="15"/>
      <c r="H480" s="16">
        <f>IF(OR($F480="",$G480=""),0,$F480*$G480)</f>
      </c>
      <c r="I480" s="16">
        <f>IFERROR(IF($E480="",0,$H480*VLOOKUP($E480,'Pazaryeri Kartları'!$B$5:$C$24,2,FALSE)+VLOOKUP($E480,'Pazaryeri Kartları'!$B$5:$D$24,3,FALSE)*$G480),0)</f>
      </c>
      <c r="J480" s="16">
        <f>IFERROR(IF($C480="",0,VLOOKUP($C480,'Ürün Kartları'!$B$5:$G$154,6,FALSE)*$G480),0)</f>
      </c>
      <c r="K480" s="15"/>
      <c r="L480" s="14"/>
      <c r="M480" s="21">
        <f>IF($C480="","",IF($K480=1,-($J480*0.5)-$L480,$H480-$I480-$J480-$L480))</f>
      </c>
      <c r="N480" s="22">
        <f>IF(OR($C480="",$H480=0),"",$M480/$H480)</f>
      </c>
    </row>
    <row r="481" spans="2:14" x14ac:dyDescent="0.25">
      <c r="B481" s="19"/>
      <c r="C481" s="8"/>
      <c r="D481" s="20">
        <f>IFERROR(IF($C481="","",VLOOKUP($C481,'Ürün Kartları'!$B$5:$C$154,2,FALSE)),"— tanımsız ürün —")</f>
      </c>
      <c r="E481" s="8"/>
      <c r="F481" s="10"/>
      <c r="G481" s="11"/>
      <c r="H481" s="16">
        <f>IF(OR($F481="",$G481=""),0,$F481*$G481)</f>
      </c>
      <c r="I481" s="16">
        <f>IFERROR(IF($E481="",0,$H481*VLOOKUP($E481,'Pazaryeri Kartları'!$B$5:$C$24,2,FALSE)+VLOOKUP($E481,'Pazaryeri Kartları'!$B$5:$D$24,3,FALSE)*$G481),0)</f>
      </c>
      <c r="J481" s="16">
        <f>IFERROR(IF($C481="",0,VLOOKUP($C481,'Ürün Kartları'!$B$5:$G$154,6,FALSE)*$G481),0)</f>
      </c>
      <c r="K481" s="11"/>
      <c r="L481" s="10"/>
      <c r="M481" s="21">
        <f>IF($C481="","",IF($K481=1,-($J481*0.5)-$L481,$H481-$I481-$J481-$L481))</f>
      </c>
      <c r="N481" s="22">
        <f>IF(OR($C481="",$H481=0),"",$M481/$H481)</f>
      </c>
    </row>
    <row r="482" spans="2:14" x14ac:dyDescent="0.25">
      <c r="B482" s="23"/>
      <c r="C482" s="12"/>
      <c r="D482" s="20">
        <f>IFERROR(IF($C482="","",VLOOKUP($C482,'Ürün Kartları'!$B$5:$C$154,2,FALSE)),"— tanımsız ürün —")</f>
      </c>
      <c r="E482" s="12"/>
      <c r="F482" s="14"/>
      <c r="G482" s="15"/>
      <c r="H482" s="16">
        <f>IF(OR($F482="",$G482=""),0,$F482*$G482)</f>
      </c>
      <c r="I482" s="16">
        <f>IFERROR(IF($E482="",0,$H482*VLOOKUP($E482,'Pazaryeri Kartları'!$B$5:$C$24,2,FALSE)+VLOOKUP($E482,'Pazaryeri Kartları'!$B$5:$D$24,3,FALSE)*$G482),0)</f>
      </c>
      <c r="J482" s="16">
        <f>IFERROR(IF($C482="",0,VLOOKUP($C482,'Ürün Kartları'!$B$5:$G$154,6,FALSE)*$G482),0)</f>
      </c>
      <c r="K482" s="15"/>
      <c r="L482" s="14"/>
      <c r="M482" s="21">
        <f>IF($C482="","",IF($K482=1,-($J482*0.5)-$L482,$H482-$I482-$J482-$L482))</f>
      </c>
      <c r="N482" s="22">
        <f>IF(OR($C482="",$H482=0),"",$M482/$H482)</f>
      </c>
    </row>
    <row r="483" spans="2:14" x14ac:dyDescent="0.25">
      <c r="B483" s="19"/>
      <c r="C483" s="8"/>
      <c r="D483" s="20">
        <f>IFERROR(IF($C483="","",VLOOKUP($C483,'Ürün Kartları'!$B$5:$C$154,2,FALSE)),"— tanımsız ürün —")</f>
      </c>
      <c r="E483" s="8"/>
      <c r="F483" s="10"/>
      <c r="G483" s="11"/>
      <c r="H483" s="16">
        <f>IF(OR($F483="",$G483=""),0,$F483*$G483)</f>
      </c>
      <c r="I483" s="16">
        <f>IFERROR(IF($E483="",0,$H483*VLOOKUP($E483,'Pazaryeri Kartları'!$B$5:$C$24,2,FALSE)+VLOOKUP($E483,'Pazaryeri Kartları'!$B$5:$D$24,3,FALSE)*$G483),0)</f>
      </c>
      <c r="J483" s="16">
        <f>IFERROR(IF($C483="",0,VLOOKUP($C483,'Ürün Kartları'!$B$5:$G$154,6,FALSE)*$G483),0)</f>
      </c>
      <c r="K483" s="11"/>
      <c r="L483" s="10"/>
      <c r="M483" s="21">
        <f>IF($C483="","",IF($K483=1,-($J483*0.5)-$L483,$H483-$I483-$J483-$L483))</f>
      </c>
      <c r="N483" s="22">
        <f>IF(OR($C483="",$H483=0),"",$M483/$H483)</f>
      </c>
    </row>
    <row r="484" spans="2:14" x14ac:dyDescent="0.25">
      <c r="B484" s="23"/>
      <c r="C484" s="12"/>
      <c r="D484" s="20">
        <f>IFERROR(IF($C484="","",VLOOKUP($C484,'Ürün Kartları'!$B$5:$C$154,2,FALSE)),"— tanımsız ürün —")</f>
      </c>
      <c r="E484" s="12"/>
      <c r="F484" s="14"/>
      <c r="G484" s="15"/>
      <c r="H484" s="16">
        <f>IF(OR($F484="",$G484=""),0,$F484*$G484)</f>
      </c>
      <c r="I484" s="16">
        <f>IFERROR(IF($E484="",0,$H484*VLOOKUP($E484,'Pazaryeri Kartları'!$B$5:$C$24,2,FALSE)+VLOOKUP($E484,'Pazaryeri Kartları'!$B$5:$D$24,3,FALSE)*$G484),0)</f>
      </c>
      <c r="J484" s="16">
        <f>IFERROR(IF($C484="",0,VLOOKUP($C484,'Ürün Kartları'!$B$5:$G$154,6,FALSE)*$G484),0)</f>
      </c>
      <c r="K484" s="15"/>
      <c r="L484" s="14"/>
      <c r="M484" s="21">
        <f>IF($C484="","",IF($K484=1,-($J484*0.5)-$L484,$H484-$I484-$J484-$L484))</f>
      </c>
      <c r="N484" s="22">
        <f>IF(OR($C484="",$H484=0),"",$M484/$H484)</f>
      </c>
    </row>
    <row r="485" spans="2:14" x14ac:dyDescent="0.25">
      <c r="B485" s="19"/>
      <c r="C485" s="8"/>
      <c r="D485" s="20">
        <f>IFERROR(IF($C485="","",VLOOKUP($C485,'Ürün Kartları'!$B$5:$C$154,2,FALSE)),"— tanımsız ürün —")</f>
      </c>
      <c r="E485" s="8"/>
      <c r="F485" s="10"/>
      <c r="G485" s="11"/>
      <c r="H485" s="16">
        <f>IF(OR($F485="",$G485=""),0,$F485*$G485)</f>
      </c>
      <c r="I485" s="16">
        <f>IFERROR(IF($E485="",0,$H485*VLOOKUP($E485,'Pazaryeri Kartları'!$B$5:$C$24,2,FALSE)+VLOOKUP($E485,'Pazaryeri Kartları'!$B$5:$D$24,3,FALSE)*$G485),0)</f>
      </c>
      <c r="J485" s="16">
        <f>IFERROR(IF($C485="",0,VLOOKUP($C485,'Ürün Kartları'!$B$5:$G$154,6,FALSE)*$G485),0)</f>
      </c>
      <c r="K485" s="11"/>
      <c r="L485" s="10"/>
      <c r="M485" s="21">
        <f>IF($C485="","",IF($K485=1,-($J485*0.5)-$L485,$H485-$I485-$J485-$L485))</f>
      </c>
      <c r="N485" s="22">
        <f>IF(OR($C485="",$H485=0),"",$M485/$H485)</f>
      </c>
    </row>
    <row r="486" spans="2:14" x14ac:dyDescent="0.25">
      <c r="B486" s="23"/>
      <c r="C486" s="12"/>
      <c r="D486" s="20">
        <f>IFERROR(IF($C486="","",VLOOKUP($C486,'Ürün Kartları'!$B$5:$C$154,2,FALSE)),"— tanımsız ürün —")</f>
      </c>
      <c r="E486" s="12"/>
      <c r="F486" s="14"/>
      <c r="G486" s="15"/>
      <c r="H486" s="16">
        <f>IF(OR($F486="",$G486=""),0,$F486*$G486)</f>
      </c>
      <c r="I486" s="16">
        <f>IFERROR(IF($E486="",0,$H486*VLOOKUP($E486,'Pazaryeri Kartları'!$B$5:$C$24,2,FALSE)+VLOOKUP($E486,'Pazaryeri Kartları'!$B$5:$D$24,3,FALSE)*$G486),0)</f>
      </c>
      <c r="J486" s="16">
        <f>IFERROR(IF($C486="",0,VLOOKUP($C486,'Ürün Kartları'!$B$5:$G$154,6,FALSE)*$G486),0)</f>
      </c>
      <c r="K486" s="15"/>
      <c r="L486" s="14"/>
      <c r="M486" s="21">
        <f>IF($C486="","",IF($K486=1,-($J486*0.5)-$L486,$H486-$I486-$J486-$L486))</f>
      </c>
      <c r="N486" s="22">
        <f>IF(OR($C486="",$H486=0),"",$M486/$H486)</f>
      </c>
    </row>
    <row r="487" spans="2:14" x14ac:dyDescent="0.25">
      <c r="B487" s="19"/>
      <c r="C487" s="8"/>
      <c r="D487" s="20">
        <f>IFERROR(IF($C487="","",VLOOKUP($C487,'Ürün Kartları'!$B$5:$C$154,2,FALSE)),"— tanımsız ürün —")</f>
      </c>
      <c r="E487" s="8"/>
      <c r="F487" s="10"/>
      <c r="G487" s="11"/>
      <c r="H487" s="16">
        <f>IF(OR($F487="",$G487=""),0,$F487*$G487)</f>
      </c>
      <c r="I487" s="16">
        <f>IFERROR(IF($E487="",0,$H487*VLOOKUP($E487,'Pazaryeri Kartları'!$B$5:$C$24,2,FALSE)+VLOOKUP($E487,'Pazaryeri Kartları'!$B$5:$D$24,3,FALSE)*$G487),0)</f>
      </c>
      <c r="J487" s="16">
        <f>IFERROR(IF($C487="",0,VLOOKUP($C487,'Ürün Kartları'!$B$5:$G$154,6,FALSE)*$G487),0)</f>
      </c>
      <c r="K487" s="11"/>
      <c r="L487" s="10"/>
      <c r="M487" s="21">
        <f>IF($C487="","",IF($K487=1,-($J487*0.5)-$L487,$H487-$I487-$J487-$L487))</f>
      </c>
      <c r="N487" s="22">
        <f>IF(OR($C487="",$H487=0),"",$M487/$H487)</f>
      </c>
    </row>
    <row r="488" spans="2:14" x14ac:dyDescent="0.25">
      <c r="B488" s="23"/>
      <c r="C488" s="12"/>
      <c r="D488" s="20">
        <f>IFERROR(IF($C488="","",VLOOKUP($C488,'Ürün Kartları'!$B$5:$C$154,2,FALSE)),"— tanımsız ürün —")</f>
      </c>
      <c r="E488" s="12"/>
      <c r="F488" s="14"/>
      <c r="G488" s="15"/>
      <c r="H488" s="16">
        <f>IF(OR($F488="",$G488=""),0,$F488*$G488)</f>
      </c>
      <c r="I488" s="16">
        <f>IFERROR(IF($E488="",0,$H488*VLOOKUP($E488,'Pazaryeri Kartları'!$B$5:$C$24,2,FALSE)+VLOOKUP($E488,'Pazaryeri Kartları'!$B$5:$D$24,3,FALSE)*$G488),0)</f>
      </c>
      <c r="J488" s="16">
        <f>IFERROR(IF($C488="",0,VLOOKUP($C488,'Ürün Kartları'!$B$5:$G$154,6,FALSE)*$G488),0)</f>
      </c>
      <c r="K488" s="15"/>
      <c r="L488" s="14"/>
      <c r="M488" s="21">
        <f>IF($C488="","",IF($K488=1,-($J488*0.5)-$L488,$H488-$I488-$J488-$L488))</f>
      </c>
      <c r="N488" s="22">
        <f>IF(OR($C488="",$H488=0),"",$M488/$H488)</f>
      </c>
    </row>
    <row r="489" spans="2:14" x14ac:dyDescent="0.25">
      <c r="B489" s="19"/>
      <c r="C489" s="8"/>
      <c r="D489" s="20">
        <f>IFERROR(IF($C489="","",VLOOKUP($C489,'Ürün Kartları'!$B$5:$C$154,2,FALSE)),"— tanımsız ürün —")</f>
      </c>
      <c r="E489" s="8"/>
      <c r="F489" s="10"/>
      <c r="G489" s="11"/>
      <c r="H489" s="16">
        <f>IF(OR($F489="",$G489=""),0,$F489*$G489)</f>
      </c>
      <c r="I489" s="16">
        <f>IFERROR(IF($E489="",0,$H489*VLOOKUP($E489,'Pazaryeri Kartları'!$B$5:$C$24,2,FALSE)+VLOOKUP($E489,'Pazaryeri Kartları'!$B$5:$D$24,3,FALSE)*$G489),0)</f>
      </c>
      <c r="J489" s="16">
        <f>IFERROR(IF($C489="",0,VLOOKUP($C489,'Ürün Kartları'!$B$5:$G$154,6,FALSE)*$G489),0)</f>
      </c>
      <c r="K489" s="11"/>
      <c r="L489" s="10"/>
      <c r="M489" s="21">
        <f>IF($C489="","",IF($K489=1,-($J489*0.5)-$L489,$H489-$I489-$J489-$L489))</f>
      </c>
      <c r="N489" s="22">
        <f>IF(OR($C489="",$H489=0),"",$M489/$H489)</f>
      </c>
    </row>
    <row r="490" spans="2:14" x14ac:dyDescent="0.25">
      <c r="B490" s="23"/>
      <c r="C490" s="12"/>
      <c r="D490" s="20">
        <f>IFERROR(IF($C490="","",VLOOKUP($C490,'Ürün Kartları'!$B$5:$C$154,2,FALSE)),"— tanımsız ürün —")</f>
      </c>
      <c r="E490" s="12"/>
      <c r="F490" s="14"/>
      <c r="G490" s="15"/>
      <c r="H490" s="16">
        <f>IF(OR($F490="",$G490=""),0,$F490*$G490)</f>
      </c>
      <c r="I490" s="16">
        <f>IFERROR(IF($E490="",0,$H490*VLOOKUP($E490,'Pazaryeri Kartları'!$B$5:$C$24,2,FALSE)+VLOOKUP($E490,'Pazaryeri Kartları'!$B$5:$D$24,3,FALSE)*$G490),0)</f>
      </c>
      <c r="J490" s="16">
        <f>IFERROR(IF($C490="",0,VLOOKUP($C490,'Ürün Kartları'!$B$5:$G$154,6,FALSE)*$G490),0)</f>
      </c>
      <c r="K490" s="15"/>
      <c r="L490" s="14"/>
      <c r="M490" s="21">
        <f>IF($C490="","",IF($K490=1,-($J490*0.5)-$L490,$H490-$I490-$J490-$L490))</f>
      </c>
      <c r="N490" s="22">
        <f>IF(OR($C490="",$H490=0),"",$M490/$H490)</f>
      </c>
    </row>
    <row r="491" spans="2:14" x14ac:dyDescent="0.25">
      <c r="B491" s="19"/>
      <c r="C491" s="8"/>
      <c r="D491" s="20">
        <f>IFERROR(IF($C491="","",VLOOKUP($C491,'Ürün Kartları'!$B$5:$C$154,2,FALSE)),"— tanımsız ürün —")</f>
      </c>
      <c r="E491" s="8"/>
      <c r="F491" s="10"/>
      <c r="G491" s="11"/>
      <c r="H491" s="16">
        <f>IF(OR($F491="",$G491=""),0,$F491*$G491)</f>
      </c>
      <c r="I491" s="16">
        <f>IFERROR(IF($E491="",0,$H491*VLOOKUP($E491,'Pazaryeri Kartları'!$B$5:$C$24,2,FALSE)+VLOOKUP($E491,'Pazaryeri Kartları'!$B$5:$D$24,3,FALSE)*$G491),0)</f>
      </c>
      <c r="J491" s="16">
        <f>IFERROR(IF($C491="",0,VLOOKUP($C491,'Ürün Kartları'!$B$5:$G$154,6,FALSE)*$G491),0)</f>
      </c>
      <c r="K491" s="11"/>
      <c r="L491" s="10"/>
      <c r="M491" s="21">
        <f>IF($C491="","",IF($K491=1,-($J491*0.5)-$L491,$H491-$I491-$J491-$L491))</f>
      </c>
      <c r="N491" s="22">
        <f>IF(OR($C491="",$H491=0),"",$M491/$H491)</f>
      </c>
    </row>
    <row r="492" spans="2:14" x14ac:dyDescent="0.25">
      <c r="B492" s="23"/>
      <c r="C492" s="12"/>
      <c r="D492" s="20">
        <f>IFERROR(IF($C492="","",VLOOKUP($C492,'Ürün Kartları'!$B$5:$C$154,2,FALSE)),"— tanımsız ürün —")</f>
      </c>
      <c r="E492" s="12"/>
      <c r="F492" s="14"/>
      <c r="G492" s="15"/>
      <c r="H492" s="16">
        <f>IF(OR($F492="",$G492=""),0,$F492*$G492)</f>
      </c>
      <c r="I492" s="16">
        <f>IFERROR(IF($E492="",0,$H492*VLOOKUP($E492,'Pazaryeri Kartları'!$B$5:$C$24,2,FALSE)+VLOOKUP($E492,'Pazaryeri Kartları'!$B$5:$D$24,3,FALSE)*$G492),0)</f>
      </c>
      <c r="J492" s="16">
        <f>IFERROR(IF($C492="",0,VLOOKUP($C492,'Ürün Kartları'!$B$5:$G$154,6,FALSE)*$G492),0)</f>
      </c>
      <c r="K492" s="15"/>
      <c r="L492" s="14"/>
      <c r="M492" s="21">
        <f>IF($C492="","",IF($K492=1,-($J492*0.5)-$L492,$H492-$I492-$J492-$L492))</f>
      </c>
      <c r="N492" s="22">
        <f>IF(OR($C492="",$H492=0),"",$M492/$H492)</f>
      </c>
    </row>
    <row r="493" spans="2:14" x14ac:dyDescent="0.25">
      <c r="B493" s="19"/>
      <c r="C493" s="8"/>
      <c r="D493" s="20">
        <f>IFERROR(IF($C493="","",VLOOKUP($C493,'Ürün Kartları'!$B$5:$C$154,2,FALSE)),"— tanımsız ürün —")</f>
      </c>
      <c r="E493" s="8"/>
      <c r="F493" s="10"/>
      <c r="G493" s="11"/>
      <c r="H493" s="16">
        <f>IF(OR($F493="",$G493=""),0,$F493*$G493)</f>
      </c>
      <c r="I493" s="16">
        <f>IFERROR(IF($E493="",0,$H493*VLOOKUP($E493,'Pazaryeri Kartları'!$B$5:$C$24,2,FALSE)+VLOOKUP($E493,'Pazaryeri Kartları'!$B$5:$D$24,3,FALSE)*$G493),0)</f>
      </c>
      <c r="J493" s="16">
        <f>IFERROR(IF($C493="",0,VLOOKUP($C493,'Ürün Kartları'!$B$5:$G$154,6,FALSE)*$G493),0)</f>
      </c>
      <c r="K493" s="11"/>
      <c r="L493" s="10"/>
      <c r="M493" s="21">
        <f>IF($C493="","",IF($K493=1,-($J493*0.5)-$L493,$H493-$I493-$J493-$L493))</f>
      </c>
      <c r="N493" s="22">
        <f>IF(OR($C493="",$H493=0),"",$M493/$H493)</f>
      </c>
    </row>
    <row r="494" spans="2:14" x14ac:dyDescent="0.25">
      <c r="B494" s="23"/>
      <c r="C494" s="12"/>
      <c r="D494" s="20">
        <f>IFERROR(IF($C494="","",VLOOKUP($C494,'Ürün Kartları'!$B$5:$C$154,2,FALSE)),"— tanımsız ürün —")</f>
      </c>
      <c r="E494" s="12"/>
      <c r="F494" s="14"/>
      <c r="G494" s="15"/>
      <c r="H494" s="16">
        <f>IF(OR($F494="",$G494=""),0,$F494*$G494)</f>
      </c>
      <c r="I494" s="16">
        <f>IFERROR(IF($E494="",0,$H494*VLOOKUP($E494,'Pazaryeri Kartları'!$B$5:$C$24,2,FALSE)+VLOOKUP($E494,'Pazaryeri Kartları'!$B$5:$D$24,3,FALSE)*$G494),0)</f>
      </c>
      <c r="J494" s="16">
        <f>IFERROR(IF($C494="",0,VLOOKUP($C494,'Ürün Kartları'!$B$5:$G$154,6,FALSE)*$G494),0)</f>
      </c>
      <c r="K494" s="15"/>
      <c r="L494" s="14"/>
      <c r="M494" s="21">
        <f>IF($C494="","",IF($K494=1,-($J494*0.5)-$L494,$H494-$I494-$J494-$L494))</f>
      </c>
      <c r="N494" s="22">
        <f>IF(OR($C494="",$H494=0),"",$M494/$H494)</f>
      </c>
    </row>
    <row r="495" spans="2:14" x14ac:dyDescent="0.25">
      <c r="B495" s="19"/>
      <c r="C495" s="8"/>
      <c r="D495" s="20">
        <f>IFERROR(IF($C495="","",VLOOKUP($C495,'Ürün Kartları'!$B$5:$C$154,2,FALSE)),"— tanımsız ürün —")</f>
      </c>
      <c r="E495" s="8"/>
      <c r="F495" s="10"/>
      <c r="G495" s="11"/>
      <c r="H495" s="16">
        <f>IF(OR($F495="",$G495=""),0,$F495*$G495)</f>
      </c>
      <c r="I495" s="16">
        <f>IFERROR(IF($E495="",0,$H495*VLOOKUP($E495,'Pazaryeri Kartları'!$B$5:$C$24,2,FALSE)+VLOOKUP($E495,'Pazaryeri Kartları'!$B$5:$D$24,3,FALSE)*$G495),0)</f>
      </c>
      <c r="J495" s="16">
        <f>IFERROR(IF($C495="",0,VLOOKUP($C495,'Ürün Kartları'!$B$5:$G$154,6,FALSE)*$G495),0)</f>
      </c>
      <c r="K495" s="11"/>
      <c r="L495" s="10"/>
      <c r="M495" s="21">
        <f>IF($C495="","",IF($K495=1,-($J495*0.5)-$L495,$H495-$I495-$J495-$L495))</f>
      </c>
      <c r="N495" s="22">
        <f>IF(OR($C495="",$H495=0),"",$M495/$H495)</f>
      </c>
    </row>
    <row r="496" spans="2:14" x14ac:dyDescent="0.25">
      <c r="B496" s="23"/>
      <c r="C496" s="12"/>
      <c r="D496" s="20">
        <f>IFERROR(IF($C496="","",VLOOKUP($C496,'Ürün Kartları'!$B$5:$C$154,2,FALSE)),"— tanımsız ürün —")</f>
      </c>
      <c r="E496" s="12"/>
      <c r="F496" s="14"/>
      <c r="G496" s="15"/>
      <c r="H496" s="16">
        <f>IF(OR($F496="",$G496=""),0,$F496*$G496)</f>
      </c>
      <c r="I496" s="16">
        <f>IFERROR(IF($E496="",0,$H496*VLOOKUP($E496,'Pazaryeri Kartları'!$B$5:$C$24,2,FALSE)+VLOOKUP($E496,'Pazaryeri Kartları'!$B$5:$D$24,3,FALSE)*$G496),0)</f>
      </c>
      <c r="J496" s="16">
        <f>IFERROR(IF($C496="",0,VLOOKUP($C496,'Ürün Kartları'!$B$5:$G$154,6,FALSE)*$G496),0)</f>
      </c>
      <c r="K496" s="15"/>
      <c r="L496" s="14"/>
      <c r="M496" s="21">
        <f>IF($C496="","",IF($K496=1,-($J496*0.5)-$L496,$H496-$I496-$J496-$L496))</f>
      </c>
      <c r="N496" s="22">
        <f>IF(OR($C496="",$H496=0),"",$M496/$H496)</f>
      </c>
    </row>
    <row r="497" spans="2:14" x14ac:dyDescent="0.25">
      <c r="B497" s="19"/>
      <c r="C497" s="8"/>
      <c r="D497" s="20">
        <f>IFERROR(IF($C497="","",VLOOKUP($C497,'Ürün Kartları'!$B$5:$C$154,2,FALSE)),"— tanımsız ürün —")</f>
      </c>
      <c r="E497" s="8"/>
      <c r="F497" s="10"/>
      <c r="G497" s="11"/>
      <c r="H497" s="16">
        <f>IF(OR($F497="",$G497=""),0,$F497*$G497)</f>
      </c>
      <c r="I497" s="16">
        <f>IFERROR(IF($E497="",0,$H497*VLOOKUP($E497,'Pazaryeri Kartları'!$B$5:$C$24,2,FALSE)+VLOOKUP($E497,'Pazaryeri Kartları'!$B$5:$D$24,3,FALSE)*$G497),0)</f>
      </c>
      <c r="J497" s="16">
        <f>IFERROR(IF($C497="",0,VLOOKUP($C497,'Ürün Kartları'!$B$5:$G$154,6,FALSE)*$G497),0)</f>
      </c>
      <c r="K497" s="11"/>
      <c r="L497" s="10"/>
      <c r="M497" s="21">
        <f>IF($C497="","",IF($K497=1,-($J497*0.5)-$L497,$H497-$I497-$J497-$L497))</f>
      </c>
      <c r="N497" s="22">
        <f>IF(OR($C497="",$H497=0),"",$M497/$H497)</f>
      </c>
    </row>
    <row r="498" spans="2:14" x14ac:dyDescent="0.25">
      <c r="B498" s="23"/>
      <c r="C498" s="12"/>
      <c r="D498" s="20">
        <f>IFERROR(IF($C498="","",VLOOKUP($C498,'Ürün Kartları'!$B$5:$C$154,2,FALSE)),"— tanımsız ürün —")</f>
      </c>
      <c r="E498" s="12"/>
      <c r="F498" s="14"/>
      <c r="G498" s="15"/>
      <c r="H498" s="16">
        <f>IF(OR($F498="",$G498=""),0,$F498*$G498)</f>
      </c>
      <c r="I498" s="16">
        <f>IFERROR(IF($E498="",0,$H498*VLOOKUP($E498,'Pazaryeri Kartları'!$B$5:$C$24,2,FALSE)+VLOOKUP($E498,'Pazaryeri Kartları'!$B$5:$D$24,3,FALSE)*$G498),0)</f>
      </c>
      <c r="J498" s="16">
        <f>IFERROR(IF($C498="",0,VLOOKUP($C498,'Ürün Kartları'!$B$5:$G$154,6,FALSE)*$G498),0)</f>
      </c>
      <c r="K498" s="15"/>
      <c r="L498" s="14"/>
      <c r="M498" s="21">
        <f>IF($C498="","",IF($K498=1,-($J498*0.5)-$L498,$H498-$I498-$J498-$L498))</f>
      </c>
      <c r="N498" s="22">
        <f>IF(OR($C498="",$H498=0),"",$M498/$H498)</f>
      </c>
    </row>
    <row r="499" spans="2:14" x14ac:dyDescent="0.25">
      <c r="B499" s="19"/>
      <c r="C499" s="8"/>
      <c r="D499" s="20">
        <f>IFERROR(IF($C499="","",VLOOKUP($C499,'Ürün Kartları'!$B$5:$C$154,2,FALSE)),"— tanımsız ürün —")</f>
      </c>
      <c r="E499" s="8"/>
      <c r="F499" s="10"/>
      <c r="G499" s="11"/>
      <c r="H499" s="16">
        <f>IF(OR($F499="",$G499=""),0,$F499*$G499)</f>
      </c>
      <c r="I499" s="16">
        <f>IFERROR(IF($E499="",0,$H499*VLOOKUP($E499,'Pazaryeri Kartları'!$B$5:$C$24,2,FALSE)+VLOOKUP($E499,'Pazaryeri Kartları'!$B$5:$D$24,3,FALSE)*$G499),0)</f>
      </c>
      <c r="J499" s="16">
        <f>IFERROR(IF($C499="",0,VLOOKUP($C499,'Ürün Kartları'!$B$5:$G$154,6,FALSE)*$G499),0)</f>
      </c>
      <c r="K499" s="11"/>
      <c r="L499" s="10"/>
      <c r="M499" s="21">
        <f>IF($C499="","",IF($K499=1,-($J499*0.5)-$L499,$H499-$I499-$J499-$L499))</f>
      </c>
      <c r="N499" s="22">
        <f>IF(OR($C499="",$H499=0),"",$M499/$H499)</f>
      </c>
    </row>
    <row r="500" spans="2:14" x14ac:dyDescent="0.25">
      <c r="B500" s="23"/>
      <c r="C500" s="12"/>
      <c r="D500" s="20">
        <f>IFERROR(IF($C500="","",VLOOKUP($C500,'Ürün Kartları'!$B$5:$C$154,2,FALSE)),"— tanımsız ürün —")</f>
      </c>
      <c r="E500" s="12"/>
      <c r="F500" s="14"/>
      <c r="G500" s="15"/>
      <c r="H500" s="16">
        <f>IF(OR($F500="",$G500=""),0,$F500*$G500)</f>
      </c>
      <c r="I500" s="16">
        <f>IFERROR(IF($E500="",0,$H500*VLOOKUP($E500,'Pazaryeri Kartları'!$B$5:$C$24,2,FALSE)+VLOOKUP($E500,'Pazaryeri Kartları'!$B$5:$D$24,3,FALSE)*$G500),0)</f>
      </c>
      <c r="J500" s="16">
        <f>IFERROR(IF($C500="",0,VLOOKUP($C500,'Ürün Kartları'!$B$5:$G$154,6,FALSE)*$G500),0)</f>
      </c>
      <c r="K500" s="15"/>
      <c r="L500" s="14"/>
      <c r="M500" s="21">
        <f>IF($C500="","",IF($K500=1,-($J500*0.5)-$L500,$H500-$I500-$J500-$L500))</f>
      </c>
      <c r="N500" s="22">
        <f>IF(OR($C500="",$H500=0),"",$M500/$H500)</f>
      </c>
    </row>
    <row r="501" spans="2:14" x14ac:dyDescent="0.25">
      <c r="B501" s="19"/>
      <c r="C501" s="8"/>
      <c r="D501" s="20">
        <f>IFERROR(IF($C501="","",VLOOKUP($C501,'Ürün Kartları'!$B$5:$C$154,2,FALSE)),"— tanımsız ürün —")</f>
      </c>
      <c r="E501" s="8"/>
      <c r="F501" s="10"/>
      <c r="G501" s="11"/>
      <c r="H501" s="16">
        <f>IF(OR($F501="",$G501=""),0,$F501*$G501)</f>
      </c>
      <c r="I501" s="16">
        <f>IFERROR(IF($E501="",0,$H501*VLOOKUP($E501,'Pazaryeri Kartları'!$B$5:$C$24,2,FALSE)+VLOOKUP($E501,'Pazaryeri Kartları'!$B$5:$D$24,3,FALSE)*$G501),0)</f>
      </c>
      <c r="J501" s="16">
        <f>IFERROR(IF($C501="",0,VLOOKUP($C501,'Ürün Kartları'!$B$5:$G$154,6,FALSE)*$G501),0)</f>
      </c>
      <c r="K501" s="11"/>
      <c r="L501" s="10"/>
      <c r="M501" s="21">
        <f>IF($C501="","",IF($K501=1,-($J501*0.5)-$L501,$H501-$I501-$J501-$L501))</f>
      </c>
      <c r="N501" s="22">
        <f>IF(OR($C501="",$H501=0),"",$M501/$H501)</f>
      </c>
    </row>
    <row r="502" spans="2:14" x14ac:dyDescent="0.25">
      <c r="B502" s="23"/>
      <c r="C502" s="12"/>
      <c r="D502" s="20">
        <f>IFERROR(IF($C502="","",VLOOKUP($C502,'Ürün Kartları'!$B$5:$C$154,2,FALSE)),"— tanımsız ürün —")</f>
      </c>
      <c r="E502" s="12"/>
      <c r="F502" s="14"/>
      <c r="G502" s="15"/>
      <c r="H502" s="16">
        <f>IF(OR($F502="",$G502=""),0,$F502*$G502)</f>
      </c>
      <c r="I502" s="16">
        <f>IFERROR(IF($E502="",0,$H502*VLOOKUP($E502,'Pazaryeri Kartları'!$B$5:$C$24,2,FALSE)+VLOOKUP($E502,'Pazaryeri Kartları'!$B$5:$D$24,3,FALSE)*$G502),0)</f>
      </c>
      <c r="J502" s="16">
        <f>IFERROR(IF($C502="",0,VLOOKUP($C502,'Ürün Kartları'!$B$5:$G$154,6,FALSE)*$G502),0)</f>
      </c>
      <c r="K502" s="15"/>
      <c r="L502" s="14"/>
      <c r="M502" s="21">
        <f>IF($C502="","",IF($K502=1,-($J502*0.5)-$L502,$H502-$I502-$J502-$L502))</f>
      </c>
      <c r="N502" s="22">
        <f>IF(OR($C502="",$H502=0),"",$M502/$H502)</f>
      </c>
    </row>
    <row r="503" spans="2:14" x14ac:dyDescent="0.25">
      <c r="B503" s="19"/>
      <c r="C503" s="8"/>
      <c r="D503" s="20">
        <f>IFERROR(IF($C503="","",VLOOKUP($C503,'Ürün Kartları'!$B$5:$C$154,2,FALSE)),"— tanımsız ürün —")</f>
      </c>
      <c r="E503" s="8"/>
      <c r="F503" s="10"/>
      <c r="G503" s="11"/>
      <c r="H503" s="16">
        <f>IF(OR($F503="",$G503=""),0,$F503*$G503)</f>
      </c>
      <c r="I503" s="16">
        <f>IFERROR(IF($E503="",0,$H503*VLOOKUP($E503,'Pazaryeri Kartları'!$B$5:$C$24,2,FALSE)+VLOOKUP($E503,'Pazaryeri Kartları'!$B$5:$D$24,3,FALSE)*$G503),0)</f>
      </c>
      <c r="J503" s="16">
        <f>IFERROR(IF($C503="",0,VLOOKUP($C503,'Ürün Kartları'!$B$5:$G$154,6,FALSE)*$G503),0)</f>
      </c>
      <c r="K503" s="11"/>
      <c r="L503" s="10"/>
      <c r="M503" s="21">
        <f>IF($C503="","",IF($K503=1,-($J503*0.5)-$L503,$H503-$I503-$J503-$L503))</f>
      </c>
      <c r="N503" s="22">
        <f>IF(OR($C503="",$H503=0),"",$M503/$H503)</f>
      </c>
    </row>
    <row r="504" spans="2:14" x14ac:dyDescent="0.25">
      <c r="B504" s="23"/>
      <c r="C504" s="12"/>
      <c r="D504" s="20">
        <f>IFERROR(IF($C504="","",VLOOKUP($C504,'Ürün Kartları'!$B$5:$C$154,2,FALSE)),"— tanımsız ürün —")</f>
      </c>
      <c r="E504" s="12"/>
      <c r="F504" s="14"/>
      <c r="G504" s="15"/>
      <c r="H504" s="16">
        <f>IF(OR($F504="",$G504=""),0,$F504*$G504)</f>
      </c>
      <c r="I504" s="16">
        <f>IFERROR(IF($E504="",0,$H504*VLOOKUP($E504,'Pazaryeri Kartları'!$B$5:$C$24,2,FALSE)+VLOOKUP($E504,'Pazaryeri Kartları'!$B$5:$D$24,3,FALSE)*$G504),0)</f>
      </c>
      <c r="J504" s="16">
        <f>IFERROR(IF($C504="",0,VLOOKUP($C504,'Ürün Kartları'!$B$5:$G$154,6,FALSE)*$G504),0)</f>
      </c>
      <c r="K504" s="15"/>
      <c r="L504" s="14"/>
      <c r="M504" s="21">
        <f>IF($C504="","",IF($K504=1,-($J504*0.5)-$L504,$H504-$I504-$J504-$L504))</f>
      </c>
      <c r="N504" s="22">
        <f>IF(OR($C504="",$H504=0),"",$M504/$H504)</f>
      </c>
    </row>
    <row r="505" spans="2:14" x14ac:dyDescent="0.25">
      <c r="B505" s="19"/>
      <c r="C505" s="8"/>
      <c r="D505" s="20">
        <f>IFERROR(IF($C505="","",VLOOKUP($C505,'Ürün Kartları'!$B$5:$C$154,2,FALSE)),"— tanımsız ürün —")</f>
      </c>
      <c r="E505" s="8"/>
      <c r="F505" s="10"/>
      <c r="G505" s="11"/>
      <c r="H505" s="16">
        <f>IF(OR($F505="",$G505=""),0,$F505*$G505)</f>
      </c>
      <c r="I505" s="16">
        <f>IFERROR(IF($E505="",0,$H505*VLOOKUP($E505,'Pazaryeri Kartları'!$B$5:$C$24,2,FALSE)+VLOOKUP($E505,'Pazaryeri Kartları'!$B$5:$D$24,3,FALSE)*$G505),0)</f>
      </c>
      <c r="J505" s="16">
        <f>IFERROR(IF($C505="",0,VLOOKUP($C505,'Ürün Kartları'!$B$5:$G$154,6,FALSE)*$G505),0)</f>
      </c>
      <c r="K505" s="11"/>
      <c r="L505" s="10"/>
      <c r="M505" s="21">
        <f>IF($C505="","",IF($K505=1,-($J505*0.5)-$L505,$H505-$I505-$J505-$L505))</f>
      </c>
      <c r="N505" s="22">
        <f>IF(OR($C505="",$H505=0),"",$M505/$H505)</f>
      </c>
    </row>
    <row r="506" spans="2:14" x14ac:dyDescent="0.25">
      <c r="B506" s="23"/>
      <c r="C506" s="12"/>
      <c r="D506" s="20">
        <f>IFERROR(IF($C506="","",VLOOKUP($C506,'Ürün Kartları'!$B$5:$C$154,2,FALSE)),"— tanımsız ürün —")</f>
      </c>
      <c r="E506" s="12"/>
      <c r="F506" s="14"/>
      <c r="G506" s="15"/>
      <c r="H506" s="16">
        <f>IF(OR($F506="",$G506=""),0,$F506*$G506)</f>
      </c>
      <c r="I506" s="16">
        <f>IFERROR(IF($E506="",0,$H506*VLOOKUP($E506,'Pazaryeri Kartları'!$B$5:$C$24,2,FALSE)+VLOOKUP($E506,'Pazaryeri Kartları'!$B$5:$D$24,3,FALSE)*$G506),0)</f>
      </c>
      <c r="J506" s="16">
        <f>IFERROR(IF($C506="",0,VLOOKUP($C506,'Ürün Kartları'!$B$5:$G$154,6,FALSE)*$G506),0)</f>
      </c>
      <c r="K506" s="15"/>
      <c r="L506" s="14"/>
      <c r="M506" s="21">
        <f>IF($C506="","",IF($K506=1,-($J506*0.5)-$L506,$H506-$I506-$J506-$L506))</f>
      </c>
      <c r="N506" s="22">
        <f>IF(OR($C506="",$H506=0),"",$M506/$H506)</f>
      </c>
    </row>
    <row r="507" spans="2:14" x14ac:dyDescent="0.25">
      <c r="B507" s="19"/>
      <c r="C507" s="8"/>
      <c r="D507" s="20">
        <f>IFERROR(IF($C507="","",VLOOKUP($C507,'Ürün Kartları'!$B$5:$C$154,2,FALSE)),"— tanımsız ürün —")</f>
      </c>
      <c r="E507" s="8"/>
      <c r="F507" s="10"/>
      <c r="G507" s="11"/>
      <c r="H507" s="16">
        <f>IF(OR($F507="",$G507=""),0,$F507*$G507)</f>
      </c>
      <c r="I507" s="16">
        <f>IFERROR(IF($E507="",0,$H507*VLOOKUP($E507,'Pazaryeri Kartları'!$B$5:$C$24,2,FALSE)+VLOOKUP($E507,'Pazaryeri Kartları'!$B$5:$D$24,3,FALSE)*$G507),0)</f>
      </c>
      <c r="J507" s="16">
        <f>IFERROR(IF($C507="",0,VLOOKUP($C507,'Ürün Kartları'!$B$5:$G$154,6,FALSE)*$G507),0)</f>
      </c>
      <c r="K507" s="11"/>
      <c r="L507" s="10"/>
      <c r="M507" s="21">
        <f>IF($C507="","",IF($K507=1,-($J507*0.5)-$L507,$H507-$I507-$J507-$L507))</f>
      </c>
      <c r="N507" s="22">
        <f>IF(OR($C507="",$H507=0),"",$M507/$H507)</f>
      </c>
    </row>
    <row r="508" spans="2:14" x14ac:dyDescent="0.25">
      <c r="B508" s="23"/>
      <c r="C508" s="12"/>
      <c r="D508" s="20">
        <f>IFERROR(IF($C508="","",VLOOKUP($C508,'Ürün Kartları'!$B$5:$C$154,2,FALSE)),"— tanımsız ürün —")</f>
      </c>
      <c r="E508" s="12"/>
      <c r="F508" s="14"/>
      <c r="G508" s="15"/>
      <c r="H508" s="16">
        <f>IF(OR($F508="",$G508=""),0,$F508*$G508)</f>
      </c>
      <c r="I508" s="16">
        <f>IFERROR(IF($E508="",0,$H508*VLOOKUP($E508,'Pazaryeri Kartları'!$B$5:$C$24,2,FALSE)+VLOOKUP($E508,'Pazaryeri Kartları'!$B$5:$D$24,3,FALSE)*$G508),0)</f>
      </c>
      <c r="J508" s="16">
        <f>IFERROR(IF($C508="",0,VLOOKUP($C508,'Ürün Kartları'!$B$5:$G$154,6,FALSE)*$G508),0)</f>
      </c>
      <c r="K508" s="15"/>
      <c r="L508" s="14"/>
      <c r="M508" s="21">
        <f>IF($C508="","",IF($K508=1,-($J508*0.5)-$L508,$H508-$I508-$J508-$L508))</f>
      </c>
      <c r="N508" s="22">
        <f>IF(OR($C508="",$H508=0),"",$M508/$H508)</f>
      </c>
    </row>
    <row r="509" spans="2:14" x14ac:dyDescent="0.25">
      <c r="B509" s="19"/>
      <c r="C509" s="8"/>
      <c r="D509" s="20">
        <f>IFERROR(IF($C509="","",VLOOKUP($C509,'Ürün Kartları'!$B$5:$C$154,2,FALSE)),"— tanımsız ürün —")</f>
      </c>
      <c r="E509" s="8"/>
      <c r="F509" s="10"/>
      <c r="G509" s="11"/>
      <c r="H509" s="16">
        <f>IF(OR($F509="",$G509=""),0,$F509*$G509)</f>
      </c>
      <c r="I509" s="16">
        <f>IFERROR(IF($E509="",0,$H509*VLOOKUP($E509,'Pazaryeri Kartları'!$B$5:$C$24,2,FALSE)+VLOOKUP($E509,'Pazaryeri Kartları'!$B$5:$D$24,3,FALSE)*$G509),0)</f>
      </c>
      <c r="J509" s="16">
        <f>IFERROR(IF($C509="",0,VLOOKUP($C509,'Ürün Kartları'!$B$5:$G$154,6,FALSE)*$G509),0)</f>
      </c>
      <c r="K509" s="11"/>
      <c r="L509" s="10"/>
      <c r="M509" s="21">
        <f>IF($C509="","",IF($K509=1,-($J509*0.5)-$L509,$H509-$I509-$J509-$L509))</f>
      </c>
      <c r="N509" s="22">
        <f>IF(OR($C509="",$H509=0),"",$M509/$H509)</f>
      </c>
    </row>
    <row r="510" spans="2:14" x14ac:dyDescent="0.25">
      <c r="B510" s="23"/>
      <c r="C510" s="12"/>
      <c r="D510" s="20">
        <f>IFERROR(IF($C510="","",VLOOKUP($C510,'Ürün Kartları'!$B$5:$C$154,2,FALSE)),"— tanımsız ürün —")</f>
      </c>
      <c r="E510" s="12"/>
      <c r="F510" s="14"/>
      <c r="G510" s="15"/>
      <c r="H510" s="16">
        <f>IF(OR($F510="",$G510=""),0,$F510*$G510)</f>
      </c>
      <c r="I510" s="16">
        <f>IFERROR(IF($E510="",0,$H510*VLOOKUP($E510,'Pazaryeri Kartları'!$B$5:$C$24,2,FALSE)+VLOOKUP($E510,'Pazaryeri Kartları'!$B$5:$D$24,3,FALSE)*$G510),0)</f>
      </c>
      <c r="J510" s="16">
        <f>IFERROR(IF($C510="",0,VLOOKUP($C510,'Ürün Kartları'!$B$5:$G$154,6,FALSE)*$G510),0)</f>
      </c>
      <c r="K510" s="15"/>
      <c r="L510" s="14"/>
      <c r="M510" s="21">
        <f>IF($C510="","",IF($K510=1,-($J510*0.5)-$L510,$H510-$I510-$J510-$L510))</f>
      </c>
      <c r="N510" s="22">
        <f>IF(OR($C510="",$H510=0),"",$M510/$H510)</f>
      </c>
    </row>
    <row r="511" spans="2:14" x14ac:dyDescent="0.25">
      <c r="B511" s="19"/>
      <c r="C511" s="8"/>
      <c r="D511" s="20">
        <f>IFERROR(IF($C511="","",VLOOKUP($C511,'Ürün Kartları'!$B$5:$C$154,2,FALSE)),"— tanımsız ürün —")</f>
      </c>
      <c r="E511" s="8"/>
      <c r="F511" s="10"/>
      <c r="G511" s="11"/>
      <c r="H511" s="16">
        <f>IF(OR($F511="",$G511=""),0,$F511*$G511)</f>
      </c>
      <c r="I511" s="16">
        <f>IFERROR(IF($E511="",0,$H511*VLOOKUP($E511,'Pazaryeri Kartları'!$B$5:$C$24,2,FALSE)+VLOOKUP($E511,'Pazaryeri Kartları'!$B$5:$D$24,3,FALSE)*$G511),0)</f>
      </c>
      <c r="J511" s="16">
        <f>IFERROR(IF($C511="",0,VLOOKUP($C511,'Ürün Kartları'!$B$5:$G$154,6,FALSE)*$G511),0)</f>
      </c>
      <c r="K511" s="11"/>
      <c r="L511" s="10"/>
      <c r="M511" s="21">
        <f>IF($C511="","",IF($K511=1,-($J511*0.5)-$L511,$H511-$I511-$J511-$L511))</f>
      </c>
      <c r="N511" s="22">
        <f>IF(OR($C511="",$H511=0),"",$M511/$H511)</f>
      </c>
    </row>
    <row r="512" spans="2:14" x14ac:dyDescent="0.25">
      <c r="B512" s="23"/>
      <c r="C512" s="12"/>
      <c r="D512" s="20">
        <f>IFERROR(IF($C512="","",VLOOKUP($C512,'Ürün Kartları'!$B$5:$C$154,2,FALSE)),"— tanımsız ürün —")</f>
      </c>
      <c r="E512" s="12"/>
      <c r="F512" s="14"/>
      <c r="G512" s="15"/>
      <c r="H512" s="16">
        <f>IF(OR($F512="",$G512=""),0,$F512*$G512)</f>
      </c>
      <c r="I512" s="16">
        <f>IFERROR(IF($E512="",0,$H512*VLOOKUP($E512,'Pazaryeri Kartları'!$B$5:$C$24,2,FALSE)+VLOOKUP($E512,'Pazaryeri Kartları'!$B$5:$D$24,3,FALSE)*$G512),0)</f>
      </c>
      <c r="J512" s="16">
        <f>IFERROR(IF($C512="",0,VLOOKUP($C512,'Ürün Kartları'!$B$5:$G$154,6,FALSE)*$G512),0)</f>
      </c>
      <c r="K512" s="15"/>
      <c r="L512" s="14"/>
      <c r="M512" s="21">
        <f>IF($C512="","",IF($K512=1,-($J512*0.5)-$L512,$H512-$I512-$J512-$L512))</f>
      </c>
      <c r="N512" s="22">
        <f>IF(OR($C512="",$H512=0),"",$M512/$H512)</f>
      </c>
    </row>
    <row r="513" spans="2:14" x14ac:dyDescent="0.25">
      <c r="B513" s="19"/>
      <c r="C513" s="8"/>
      <c r="D513" s="20">
        <f>IFERROR(IF($C513="","",VLOOKUP($C513,'Ürün Kartları'!$B$5:$C$154,2,FALSE)),"— tanımsız ürün —")</f>
      </c>
      <c r="E513" s="8"/>
      <c r="F513" s="10"/>
      <c r="G513" s="11"/>
      <c r="H513" s="16">
        <f>IF(OR($F513="",$G513=""),0,$F513*$G513)</f>
      </c>
      <c r="I513" s="16">
        <f>IFERROR(IF($E513="",0,$H513*VLOOKUP($E513,'Pazaryeri Kartları'!$B$5:$C$24,2,FALSE)+VLOOKUP($E513,'Pazaryeri Kartları'!$B$5:$D$24,3,FALSE)*$G513),0)</f>
      </c>
      <c r="J513" s="16">
        <f>IFERROR(IF($C513="",0,VLOOKUP($C513,'Ürün Kartları'!$B$5:$G$154,6,FALSE)*$G513),0)</f>
      </c>
      <c r="K513" s="11"/>
      <c r="L513" s="10"/>
      <c r="M513" s="21">
        <f>IF($C513="","",IF($K513=1,-($J513*0.5)-$L513,$H513-$I513-$J513-$L513))</f>
      </c>
      <c r="N513" s="22">
        <f>IF(OR($C513="",$H513=0),"",$M513/$H513)</f>
      </c>
    </row>
    <row r="514" spans="2:14" x14ac:dyDescent="0.25">
      <c r="B514" s="23"/>
      <c r="C514" s="12"/>
      <c r="D514" s="20">
        <f>IFERROR(IF($C514="","",VLOOKUP($C514,'Ürün Kartları'!$B$5:$C$154,2,FALSE)),"— tanımsız ürün —")</f>
      </c>
      <c r="E514" s="12"/>
      <c r="F514" s="14"/>
      <c r="G514" s="15"/>
      <c r="H514" s="16">
        <f>IF(OR($F514="",$G514=""),0,$F514*$G514)</f>
      </c>
      <c r="I514" s="16">
        <f>IFERROR(IF($E514="",0,$H514*VLOOKUP($E514,'Pazaryeri Kartları'!$B$5:$C$24,2,FALSE)+VLOOKUP($E514,'Pazaryeri Kartları'!$B$5:$D$24,3,FALSE)*$G514),0)</f>
      </c>
      <c r="J514" s="16">
        <f>IFERROR(IF($C514="",0,VLOOKUP($C514,'Ürün Kartları'!$B$5:$G$154,6,FALSE)*$G514),0)</f>
      </c>
      <c r="K514" s="15"/>
      <c r="L514" s="14"/>
      <c r="M514" s="21">
        <f>IF($C514="","",IF($K514=1,-($J514*0.5)-$L514,$H514-$I514-$J514-$L514))</f>
      </c>
      <c r="N514" s="22">
        <f>IF(OR($C514="",$H514=0),"",$M514/$H514)</f>
      </c>
    </row>
    <row r="515" spans="2:14" x14ac:dyDescent="0.25">
      <c r="B515" s="19"/>
      <c r="C515" s="8"/>
      <c r="D515" s="20">
        <f>IFERROR(IF($C515="","",VLOOKUP($C515,'Ürün Kartları'!$B$5:$C$154,2,FALSE)),"— tanımsız ürün —")</f>
      </c>
      <c r="E515" s="8"/>
      <c r="F515" s="10"/>
      <c r="G515" s="11"/>
      <c r="H515" s="16">
        <f>IF(OR($F515="",$G515=""),0,$F515*$G515)</f>
      </c>
      <c r="I515" s="16">
        <f>IFERROR(IF($E515="",0,$H515*VLOOKUP($E515,'Pazaryeri Kartları'!$B$5:$C$24,2,FALSE)+VLOOKUP($E515,'Pazaryeri Kartları'!$B$5:$D$24,3,FALSE)*$G515),0)</f>
      </c>
      <c r="J515" s="16">
        <f>IFERROR(IF($C515="",0,VLOOKUP($C515,'Ürün Kartları'!$B$5:$G$154,6,FALSE)*$G515),0)</f>
      </c>
      <c r="K515" s="11"/>
      <c r="L515" s="10"/>
      <c r="M515" s="21">
        <f>IF($C515="","",IF($K515=1,-($J515*0.5)-$L515,$H515-$I515-$J515-$L515))</f>
      </c>
      <c r="N515" s="22">
        <f>IF(OR($C515="",$H515=0),"",$M515/$H515)</f>
      </c>
    </row>
    <row r="516" spans="2:14" x14ac:dyDescent="0.25">
      <c r="B516" s="23"/>
      <c r="C516" s="12"/>
      <c r="D516" s="20">
        <f>IFERROR(IF($C516="","",VLOOKUP($C516,'Ürün Kartları'!$B$5:$C$154,2,FALSE)),"— tanımsız ürün —")</f>
      </c>
      <c r="E516" s="12"/>
      <c r="F516" s="14"/>
      <c r="G516" s="15"/>
      <c r="H516" s="16">
        <f>IF(OR($F516="",$G516=""),0,$F516*$G516)</f>
      </c>
      <c r="I516" s="16">
        <f>IFERROR(IF($E516="",0,$H516*VLOOKUP($E516,'Pazaryeri Kartları'!$B$5:$C$24,2,FALSE)+VLOOKUP($E516,'Pazaryeri Kartları'!$B$5:$D$24,3,FALSE)*$G516),0)</f>
      </c>
      <c r="J516" s="16">
        <f>IFERROR(IF($C516="",0,VLOOKUP($C516,'Ürün Kartları'!$B$5:$G$154,6,FALSE)*$G516),0)</f>
      </c>
      <c r="K516" s="15"/>
      <c r="L516" s="14"/>
      <c r="M516" s="21">
        <f>IF($C516="","",IF($K516=1,-($J516*0.5)-$L516,$H516-$I516-$J516-$L516))</f>
      </c>
      <c r="N516" s="22">
        <f>IF(OR($C516="",$H516=0),"",$M516/$H516)</f>
      </c>
    </row>
    <row r="517" spans="2:14" x14ac:dyDescent="0.25">
      <c r="B517" s="19"/>
      <c r="C517" s="8"/>
      <c r="D517" s="20">
        <f>IFERROR(IF($C517="","",VLOOKUP($C517,'Ürün Kartları'!$B$5:$C$154,2,FALSE)),"— tanımsız ürün —")</f>
      </c>
      <c r="E517" s="8"/>
      <c r="F517" s="10"/>
      <c r="G517" s="11"/>
      <c r="H517" s="16">
        <f>IF(OR($F517="",$G517=""),0,$F517*$G517)</f>
      </c>
      <c r="I517" s="16">
        <f>IFERROR(IF($E517="",0,$H517*VLOOKUP($E517,'Pazaryeri Kartları'!$B$5:$C$24,2,FALSE)+VLOOKUP($E517,'Pazaryeri Kartları'!$B$5:$D$24,3,FALSE)*$G517),0)</f>
      </c>
      <c r="J517" s="16">
        <f>IFERROR(IF($C517="",0,VLOOKUP($C517,'Ürün Kartları'!$B$5:$G$154,6,FALSE)*$G517),0)</f>
      </c>
      <c r="K517" s="11"/>
      <c r="L517" s="10"/>
      <c r="M517" s="21">
        <f>IF($C517="","",IF($K517=1,-($J517*0.5)-$L517,$H517-$I517-$J517-$L517))</f>
      </c>
      <c r="N517" s="22">
        <f>IF(OR($C517="",$H517=0),"",$M517/$H517)</f>
      </c>
    </row>
    <row r="518" spans="2:14" x14ac:dyDescent="0.25">
      <c r="B518" s="23"/>
      <c r="C518" s="12"/>
      <c r="D518" s="20">
        <f>IFERROR(IF($C518="","",VLOOKUP($C518,'Ürün Kartları'!$B$5:$C$154,2,FALSE)),"— tanımsız ürün —")</f>
      </c>
      <c r="E518" s="12"/>
      <c r="F518" s="14"/>
      <c r="G518" s="15"/>
      <c r="H518" s="16">
        <f>IF(OR($F518="",$G518=""),0,$F518*$G518)</f>
      </c>
      <c r="I518" s="16">
        <f>IFERROR(IF($E518="",0,$H518*VLOOKUP($E518,'Pazaryeri Kartları'!$B$5:$C$24,2,FALSE)+VLOOKUP($E518,'Pazaryeri Kartları'!$B$5:$D$24,3,FALSE)*$G518),0)</f>
      </c>
      <c r="J518" s="16">
        <f>IFERROR(IF($C518="",0,VLOOKUP($C518,'Ürün Kartları'!$B$5:$G$154,6,FALSE)*$G518),0)</f>
      </c>
      <c r="K518" s="15"/>
      <c r="L518" s="14"/>
      <c r="M518" s="21">
        <f>IF($C518="","",IF($K518=1,-($J518*0.5)-$L518,$H518-$I518-$J518-$L518))</f>
      </c>
      <c r="N518" s="22">
        <f>IF(OR($C518="",$H518=0),"",$M518/$H518)</f>
      </c>
    </row>
    <row r="519" spans="2:14" x14ac:dyDescent="0.25">
      <c r="B519" s="19"/>
      <c r="C519" s="8"/>
      <c r="D519" s="20">
        <f>IFERROR(IF($C519="","",VLOOKUP($C519,'Ürün Kartları'!$B$5:$C$154,2,FALSE)),"— tanımsız ürün —")</f>
      </c>
      <c r="E519" s="8"/>
      <c r="F519" s="10"/>
      <c r="G519" s="11"/>
      <c r="H519" s="16">
        <f>IF(OR($F519="",$G519=""),0,$F519*$G519)</f>
      </c>
      <c r="I519" s="16">
        <f>IFERROR(IF($E519="",0,$H519*VLOOKUP($E519,'Pazaryeri Kartları'!$B$5:$C$24,2,FALSE)+VLOOKUP($E519,'Pazaryeri Kartları'!$B$5:$D$24,3,FALSE)*$G519),0)</f>
      </c>
      <c r="J519" s="16">
        <f>IFERROR(IF($C519="",0,VLOOKUP($C519,'Ürün Kartları'!$B$5:$G$154,6,FALSE)*$G519),0)</f>
      </c>
      <c r="K519" s="11"/>
      <c r="L519" s="10"/>
      <c r="M519" s="21">
        <f>IF($C519="","",IF($K519=1,-($J519*0.5)-$L519,$H519-$I519-$J519-$L519))</f>
      </c>
      <c r="N519" s="22">
        <f>IF(OR($C519="",$H519=0),"",$M519/$H519)</f>
      </c>
    </row>
    <row r="520" spans="2:14" x14ac:dyDescent="0.25">
      <c r="B520" s="23"/>
      <c r="C520" s="12"/>
      <c r="D520" s="20">
        <f>IFERROR(IF($C520="","",VLOOKUP($C520,'Ürün Kartları'!$B$5:$C$154,2,FALSE)),"— tanımsız ürün —")</f>
      </c>
      <c r="E520" s="12"/>
      <c r="F520" s="14"/>
      <c r="G520" s="15"/>
      <c r="H520" s="16">
        <f>IF(OR($F520="",$G520=""),0,$F520*$G520)</f>
      </c>
      <c r="I520" s="16">
        <f>IFERROR(IF($E520="",0,$H520*VLOOKUP($E520,'Pazaryeri Kartları'!$B$5:$C$24,2,FALSE)+VLOOKUP($E520,'Pazaryeri Kartları'!$B$5:$D$24,3,FALSE)*$G520),0)</f>
      </c>
      <c r="J520" s="16">
        <f>IFERROR(IF($C520="",0,VLOOKUP($C520,'Ürün Kartları'!$B$5:$G$154,6,FALSE)*$G520),0)</f>
      </c>
      <c r="K520" s="15"/>
      <c r="L520" s="14"/>
      <c r="M520" s="21">
        <f>IF($C520="","",IF($K520=1,-($J520*0.5)-$L520,$H520-$I520-$J520-$L520))</f>
      </c>
      <c r="N520" s="22">
        <f>IF(OR($C520="",$H520=0),"",$M520/$H520)</f>
      </c>
    </row>
    <row r="521" spans="2:14" x14ac:dyDescent="0.25">
      <c r="B521" s="19"/>
      <c r="C521" s="8"/>
      <c r="D521" s="20">
        <f>IFERROR(IF($C521="","",VLOOKUP($C521,'Ürün Kartları'!$B$5:$C$154,2,FALSE)),"— tanımsız ürün —")</f>
      </c>
      <c r="E521" s="8"/>
      <c r="F521" s="10"/>
      <c r="G521" s="11"/>
      <c r="H521" s="16">
        <f>IF(OR($F521="",$G521=""),0,$F521*$G521)</f>
      </c>
      <c r="I521" s="16">
        <f>IFERROR(IF($E521="",0,$H521*VLOOKUP($E521,'Pazaryeri Kartları'!$B$5:$C$24,2,FALSE)+VLOOKUP($E521,'Pazaryeri Kartları'!$B$5:$D$24,3,FALSE)*$G521),0)</f>
      </c>
      <c r="J521" s="16">
        <f>IFERROR(IF($C521="",0,VLOOKUP($C521,'Ürün Kartları'!$B$5:$G$154,6,FALSE)*$G521),0)</f>
      </c>
      <c r="K521" s="11"/>
      <c r="L521" s="10"/>
      <c r="M521" s="21">
        <f>IF($C521="","",IF($K521=1,-($J521*0.5)-$L521,$H521-$I521-$J521-$L521))</f>
      </c>
      <c r="N521" s="22">
        <f>IF(OR($C521="",$H521=0),"",$M521/$H521)</f>
      </c>
    </row>
    <row r="522" spans="2:14" x14ac:dyDescent="0.25">
      <c r="B522" s="23"/>
      <c r="C522" s="12"/>
      <c r="D522" s="20">
        <f>IFERROR(IF($C522="","",VLOOKUP($C522,'Ürün Kartları'!$B$5:$C$154,2,FALSE)),"— tanımsız ürün —")</f>
      </c>
      <c r="E522" s="12"/>
      <c r="F522" s="14"/>
      <c r="G522" s="15"/>
      <c r="H522" s="16">
        <f>IF(OR($F522="",$G522=""),0,$F522*$G522)</f>
      </c>
      <c r="I522" s="16">
        <f>IFERROR(IF($E522="",0,$H522*VLOOKUP($E522,'Pazaryeri Kartları'!$B$5:$C$24,2,FALSE)+VLOOKUP($E522,'Pazaryeri Kartları'!$B$5:$D$24,3,FALSE)*$G522),0)</f>
      </c>
      <c r="J522" s="16">
        <f>IFERROR(IF($C522="",0,VLOOKUP($C522,'Ürün Kartları'!$B$5:$G$154,6,FALSE)*$G522),0)</f>
      </c>
      <c r="K522" s="15"/>
      <c r="L522" s="14"/>
      <c r="M522" s="21">
        <f>IF($C522="","",IF($K522=1,-($J522*0.5)-$L522,$H522-$I522-$J522-$L522))</f>
      </c>
      <c r="N522" s="22">
        <f>IF(OR($C522="",$H522=0),"",$M522/$H522)</f>
      </c>
    </row>
    <row r="523" spans="2:14" x14ac:dyDescent="0.25">
      <c r="B523" s="19"/>
      <c r="C523" s="8"/>
      <c r="D523" s="20">
        <f>IFERROR(IF($C523="","",VLOOKUP($C523,'Ürün Kartları'!$B$5:$C$154,2,FALSE)),"— tanımsız ürün —")</f>
      </c>
      <c r="E523" s="8"/>
      <c r="F523" s="10"/>
      <c r="G523" s="11"/>
      <c r="H523" s="16">
        <f>IF(OR($F523="",$G523=""),0,$F523*$G523)</f>
      </c>
      <c r="I523" s="16">
        <f>IFERROR(IF($E523="",0,$H523*VLOOKUP($E523,'Pazaryeri Kartları'!$B$5:$C$24,2,FALSE)+VLOOKUP($E523,'Pazaryeri Kartları'!$B$5:$D$24,3,FALSE)*$G523),0)</f>
      </c>
      <c r="J523" s="16">
        <f>IFERROR(IF($C523="",0,VLOOKUP($C523,'Ürün Kartları'!$B$5:$G$154,6,FALSE)*$G523),0)</f>
      </c>
      <c r="K523" s="11"/>
      <c r="L523" s="10"/>
      <c r="M523" s="21">
        <f>IF($C523="","",IF($K523=1,-($J523*0.5)-$L523,$H523-$I523-$J523-$L523))</f>
      </c>
      <c r="N523" s="22">
        <f>IF(OR($C523="",$H523=0),"",$M523/$H523)</f>
      </c>
    </row>
    <row r="524" spans="2:14" x14ac:dyDescent="0.25">
      <c r="B524" s="23"/>
      <c r="C524" s="12"/>
      <c r="D524" s="20">
        <f>IFERROR(IF($C524="","",VLOOKUP($C524,'Ürün Kartları'!$B$5:$C$154,2,FALSE)),"— tanımsız ürün —")</f>
      </c>
      <c r="E524" s="12"/>
      <c r="F524" s="14"/>
      <c r="G524" s="15"/>
      <c r="H524" s="16">
        <f>IF(OR($F524="",$G524=""),0,$F524*$G524)</f>
      </c>
      <c r="I524" s="16">
        <f>IFERROR(IF($E524="",0,$H524*VLOOKUP($E524,'Pazaryeri Kartları'!$B$5:$C$24,2,FALSE)+VLOOKUP($E524,'Pazaryeri Kartları'!$B$5:$D$24,3,FALSE)*$G524),0)</f>
      </c>
      <c r="J524" s="16">
        <f>IFERROR(IF($C524="",0,VLOOKUP($C524,'Ürün Kartları'!$B$5:$G$154,6,FALSE)*$G524),0)</f>
      </c>
      <c r="K524" s="15"/>
      <c r="L524" s="14"/>
      <c r="M524" s="21">
        <f>IF($C524="","",IF($K524=1,-($J524*0.5)-$L524,$H524-$I524-$J524-$L524))</f>
      </c>
      <c r="N524" s="22">
        <f>IF(OR($C524="",$H524=0),"",$M524/$H524)</f>
      </c>
    </row>
    <row r="525" spans="2:14" x14ac:dyDescent="0.25">
      <c r="B525" s="19"/>
      <c r="C525" s="8"/>
      <c r="D525" s="20">
        <f>IFERROR(IF($C525="","",VLOOKUP($C525,'Ürün Kartları'!$B$5:$C$154,2,FALSE)),"— tanımsız ürün —")</f>
      </c>
      <c r="E525" s="8"/>
      <c r="F525" s="10"/>
      <c r="G525" s="11"/>
      <c r="H525" s="16">
        <f>IF(OR($F525="",$G525=""),0,$F525*$G525)</f>
      </c>
      <c r="I525" s="16">
        <f>IFERROR(IF($E525="",0,$H525*VLOOKUP($E525,'Pazaryeri Kartları'!$B$5:$C$24,2,FALSE)+VLOOKUP($E525,'Pazaryeri Kartları'!$B$5:$D$24,3,FALSE)*$G525),0)</f>
      </c>
      <c r="J525" s="16">
        <f>IFERROR(IF($C525="",0,VLOOKUP($C525,'Ürün Kartları'!$B$5:$G$154,6,FALSE)*$G525),0)</f>
      </c>
      <c r="K525" s="11"/>
      <c r="L525" s="10"/>
      <c r="M525" s="21">
        <f>IF($C525="","",IF($K525=1,-($J525*0.5)-$L525,$H525-$I525-$J525-$L525))</f>
      </c>
      <c r="N525" s="22">
        <f>IF(OR($C525="",$H525=0),"",$M525/$H525)</f>
      </c>
    </row>
    <row r="526" spans="2:14" x14ac:dyDescent="0.25">
      <c r="B526" s="23"/>
      <c r="C526" s="12"/>
      <c r="D526" s="20">
        <f>IFERROR(IF($C526="","",VLOOKUP($C526,'Ürün Kartları'!$B$5:$C$154,2,FALSE)),"— tanımsız ürün —")</f>
      </c>
      <c r="E526" s="12"/>
      <c r="F526" s="14"/>
      <c r="G526" s="15"/>
      <c r="H526" s="16">
        <f>IF(OR($F526="",$G526=""),0,$F526*$G526)</f>
      </c>
      <c r="I526" s="16">
        <f>IFERROR(IF($E526="",0,$H526*VLOOKUP($E526,'Pazaryeri Kartları'!$B$5:$C$24,2,FALSE)+VLOOKUP($E526,'Pazaryeri Kartları'!$B$5:$D$24,3,FALSE)*$G526),0)</f>
      </c>
      <c r="J526" s="16">
        <f>IFERROR(IF($C526="",0,VLOOKUP($C526,'Ürün Kartları'!$B$5:$G$154,6,FALSE)*$G526),0)</f>
      </c>
      <c r="K526" s="15"/>
      <c r="L526" s="14"/>
      <c r="M526" s="21">
        <f>IF($C526="","",IF($K526=1,-($J526*0.5)-$L526,$H526-$I526-$J526-$L526))</f>
      </c>
      <c r="N526" s="22">
        <f>IF(OR($C526="",$H526=0),"",$M526/$H526)</f>
      </c>
    </row>
    <row r="527" spans="2:14" x14ac:dyDescent="0.25">
      <c r="B527" s="19"/>
      <c r="C527" s="8"/>
      <c r="D527" s="20">
        <f>IFERROR(IF($C527="","",VLOOKUP($C527,'Ürün Kartları'!$B$5:$C$154,2,FALSE)),"— tanımsız ürün —")</f>
      </c>
      <c r="E527" s="8"/>
      <c r="F527" s="10"/>
      <c r="G527" s="11"/>
      <c r="H527" s="16">
        <f>IF(OR($F527="",$G527=""),0,$F527*$G527)</f>
      </c>
      <c r="I527" s="16">
        <f>IFERROR(IF($E527="",0,$H527*VLOOKUP($E527,'Pazaryeri Kartları'!$B$5:$C$24,2,FALSE)+VLOOKUP($E527,'Pazaryeri Kartları'!$B$5:$D$24,3,FALSE)*$G527),0)</f>
      </c>
      <c r="J527" s="16">
        <f>IFERROR(IF($C527="",0,VLOOKUP($C527,'Ürün Kartları'!$B$5:$G$154,6,FALSE)*$G527),0)</f>
      </c>
      <c r="K527" s="11"/>
      <c r="L527" s="10"/>
      <c r="M527" s="21">
        <f>IF($C527="","",IF($K527=1,-($J527*0.5)-$L527,$H527-$I527-$J527-$L527))</f>
      </c>
      <c r="N527" s="22">
        <f>IF(OR($C527="",$H527=0),"",$M527/$H527)</f>
      </c>
    </row>
    <row r="528" spans="2:14" x14ac:dyDescent="0.25">
      <c r="B528" s="23"/>
      <c r="C528" s="12"/>
      <c r="D528" s="20">
        <f>IFERROR(IF($C528="","",VLOOKUP($C528,'Ürün Kartları'!$B$5:$C$154,2,FALSE)),"— tanımsız ürün —")</f>
      </c>
      <c r="E528" s="12"/>
      <c r="F528" s="14"/>
      <c r="G528" s="15"/>
      <c r="H528" s="16">
        <f>IF(OR($F528="",$G528=""),0,$F528*$G528)</f>
      </c>
      <c r="I528" s="16">
        <f>IFERROR(IF($E528="",0,$H528*VLOOKUP($E528,'Pazaryeri Kartları'!$B$5:$C$24,2,FALSE)+VLOOKUP($E528,'Pazaryeri Kartları'!$B$5:$D$24,3,FALSE)*$G528),0)</f>
      </c>
      <c r="J528" s="16">
        <f>IFERROR(IF($C528="",0,VLOOKUP($C528,'Ürün Kartları'!$B$5:$G$154,6,FALSE)*$G528),0)</f>
      </c>
      <c r="K528" s="15"/>
      <c r="L528" s="14"/>
      <c r="M528" s="21">
        <f>IF($C528="","",IF($K528=1,-($J528*0.5)-$L528,$H528-$I528-$J528-$L528))</f>
      </c>
      <c r="N528" s="22">
        <f>IF(OR($C528="",$H528=0),"",$M528/$H528)</f>
      </c>
    </row>
    <row r="529" spans="2:14" x14ac:dyDescent="0.25">
      <c r="B529" s="19"/>
      <c r="C529" s="8"/>
      <c r="D529" s="20">
        <f>IFERROR(IF($C529="","",VLOOKUP($C529,'Ürün Kartları'!$B$5:$C$154,2,FALSE)),"— tanımsız ürün —")</f>
      </c>
      <c r="E529" s="8"/>
      <c r="F529" s="10"/>
      <c r="G529" s="11"/>
      <c r="H529" s="16">
        <f>IF(OR($F529="",$G529=""),0,$F529*$G529)</f>
      </c>
      <c r="I529" s="16">
        <f>IFERROR(IF($E529="",0,$H529*VLOOKUP($E529,'Pazaryeri Kartları'!$B$5:$C$24,2,FALSE)+VLOOKUP($E529,'Pazaryeri Kartları'!$B$5:$D$24,3,FALSE)*$G529),0)</f>
      </c>
      <c r="J529" s="16">
        <f>IFERROR(IF($C529="",0,VLOOKUP($C529,'Ürün Kartları'!$B$5:$G$154,6,FALSE)*$G529),0)</f>
      </c>
      <c r="K529" s="11"/>
      <c r="L529" s="10"/>
      <c r="M529" s="21">
        <f>IF($C529="","",IF($K529=1,-($J529*0.5)-$L529,$H529-$I529-$J529-$L529))</f>
      </c>
      <c r="N529" s="22">
        <f>IF(OR($C529="",$H529=0),"",$M529/$H529)</f>
      </c>
    </row>
    <row r="530" spans="2:14" x14ac:dyDescent="0.25">
      <c r="B530" s="23"/>
      <c r="C530" s="12"/>
      <c r="D530" s="20">
        <f>IFERROR(IF($C530="","",VLOOKUP($C530,'Ürün Kartları'!$B$5:$C$154,2,FALSE)),"— tanımsız ürün —")</f>
      </c>
      <c r="E530" s="12"/>
      <c r="F530" s="14"/>
      <c r="G530" s="15"/>
      <c r="H530" s="16">
        <f>IF(OR($F530="",$G530=""),0,$F530*$G530)</f>
      </c>
      <c r="I530" s="16">
        <f>IFERROR(IF($E530="",0,$H530*VLOOKUP($E530,'Pazaryeri Kartları'!$B$5:$C$24,2,FALSE)+VLOOKUP($E530,'Pazaryeri Kartları'!$B$5:$D$24,3,FALSE)*$G530),0)</f>
      </c>
      <c r="J530" s="16">
        <f>IFERROR(IF($C530="",0,VLOOKUP($C530,'Ürün Kartları'!$B$5:$G$154,6,FALSE)*$G530),0)</f>
      </c>
      <c r="K530" s="15"/>
      <c r="L530" s="14"/>
      <c r="M530" s="21">
        <f>IF($C530="","",IF($K530=1,-($J530*0.5)-$L530,$H530-$I530-$J530-$L530))</f>
      </c>
      <c r="N530" s="22">
        <f>IF(OR($C530="",$H530=0),"",$M530/$H530)</f>
      </c>
    </row>
    <row r="531" spans="2:14" x14ac:dyDescent="0.25">
      <c r="B531" s="19"/>
      <c r="C531" s="8"/>
      <c r="D531" s="20">
        <f>IFERROR(IF($C531="","",VLOOKUP($C531,'Ürün Kartları'!$B$5:$C$154,2,FALSE)),"— tanımsız ürün —")</f>
      </c>
      <c r="E531" s="8"/>
      <c r="F531" s="10"/>
      <c r="G531" s="11"/>
      <c r="H531" s="16">
        <f>IF(OR($F531="",$G531=""),0,$F531*$G531)</f>
      </c>
      <c r="I531" s="16">
        <f>IFERROR(IF($E531="",0,$H531*VLOOKUP($E531,'Pazaryeri Kartları'!$B$5:$C$24,2,FALSE)+VLOOKUP($E531,'Pazaryeri Kartları'!$B$5:$D$24,3,FALSE)*$G531),0)</f>
      </c>
      <c r="J531" s="16">
        <f>IFERROR(IF($C531="",0,VLOOKUP($C531,'Ürün Kartları'!$B$5:$G$154,6,FALSE)*$G531),0)</f>
      </c>
      <c r="K531" s="11"/>
      <c r="L531" s="10"/>
      <c r="M531" s="21">
        <f>IF($C531="","",IF($K531=1,-($J531*0.5)-$L531,$H531-$I531-$J531-$L531))</f>
      </c>
      <c r="N531" s="22">
        <f>IF(OR($C531="",$H531=0),"",$M531/$H531)</f>
      </c>
    </row>
    <row r="532" spans="2:14" x14ac:dyDescent="0.25">
      <c r="B532" s="23"/>
      <c r="C532" s="12"/>
      <c r="D532" s="20">
        <f>IFERROR(IF($C532="","",VLOOKUP($C532,'Ürün Kartları'!$B$5:$C$154,2,FALSE)),"— tanımsız ürün —")</f>
      </c>
      <c r="E532" s="12"/>
      <c r="F532" s="14"/>
      <c r="G532" s="15"/>
      <c r="H532" s="16">
        <f>IF(OR($F532="",$G532=""),0,$F532*$G532)</f>
      </c>
      <c r="I532" s="16">
        <f>IFERROR(IF($E532="",0,$H532*VLOOKUP($E532,'Pazaryeri Kartları'!$B$5:$C$24,2,FALSE)+VLOOKUP($E532,'Pazaryeri Kartları'!$B$5:$D$24,3,FALSE)*$G532),0)</f>
      </c>
      <c r="J532" s="16">
        <f>IFERROR(IF($C532="",0,VLOOKUP($C532,'Ürün Kartları'!$B$5:$G$154,6,FALSE)*$G532),0)</f>
      </c>
      <c r="K532" s="15"/>
      <c r="L532" s="14"/>
      <c r="M532" s="21">
        <f>IF($C532="","",IF($K532=1,-($J532*0.5)-$L532,$H532-$I532-$J532-$L532))</f>
      </c>
      <c r="N532" s="22">
        <f>IF(OR($C532="",$H532=0),"",$M532/$H532)</f>
      </c>
    </row>
    <row r="533" spans="2:14" x14ac:dyDescent="0.25">
      <c r="B533" s="19"/>
      <c r="C533" s="8"/>
      <c r="D533" s="20">
        <f>IFERROR(IF($C533="","",VLOOKUP($C533,'Ürün Kartları'!$B$5:$C$154,2,FALSE)),"— tanımsız ürün —")</f>
      </c>
      <c r="E533" s="8"/>
      <c r="F533" s="10"/>
      <c r="G533" s="11"/>
      <c r="H533" s="16">
        <f>IF(OR($F533="",$G533=""),0,$F533*$G533)</f>
      </c>
      <c r="I533" s="16">
        <f>IFERROR(IF($E533="",0,$H533*VLOOKUP($E533,'Pazaryeri Kartları'!$B$5:$C$24,2,FALSE)+VLOOKUP($E533,'Pazaryeri Kartları'!$B$5:$D$24,3,FALSE)*$G533),0)</f>
      </c>
      <c r="J533" s="16">
        <f>IFERROR(IF($C533="",0,VLOOKUP($C533,'Ürün Kartları'!$B$5:$G$154,6,FALSE)*$G533),0)</f>
      </c>
      <c r="K533" s="11"/>
      <c r="L533" s="10"/>
      <c r="M533" s="21">
        <f>IF($C533="","",IF($K533=1,-($J533*0.5)-$L533,$H533-$I533-$J533-$L533))</f>
      </c>
      <c r="N533" s="22">
        <f>IF(OR($C533="",$H533=0),"",$M533/$H533)</f>
      </c>
    </row>
    <row r="534" spans="2:14" x14ac:dyDescent="0.25">
      <c r="B534" s="23"/>
      <c r="C534" s="12"/>
      <c r="D534" s="20">
        <f>IFERROR(IF($C534="","",VLOOKUP($C534,'Ürün Kartları'!$B$5:$C$154,2,FALSE)),"— tanımsız ürün —")</f>
      </c>
      <c r="E534" s="12"/>
      <c r="F534" s="14"/>
      <c r="G534" s="15"/>
      <c r="H534" s="16">
        <f>IF(OR($F534="",$G534=""),0,$F534*$G534)</f>
      </c>
      <c r="I534" s="16">
        <f>IFERROR(IF($E534="",0,$H534*VLOOKUP($E534,'Pazaryeri Kartları'!$B$5:$C$24,2,FALSE)+VLOOKUP($E534,'Pazaryeri Kartları'!$B$5:$D$24,3,FALSE)*$G534),0)</f>
      </c>
      <c r="J534" s="16">
        <f>IFERROR(IF($C534="",0,VLOOKUP($C534,'Ürün Kartları'!$B$5:$G$154,6,FALSE)*$G534),0)</f>
      </c>
      <c r="K534" s="15"/>
      <c r="L534" s="14"/>
      <c r="M534" s="21">
        <f>IF($C534="","",IF($K534=1,-($J534*0.5)-$L534,$H534-$I534-$J534-$L534))</f>
      </c>
      <c r="N534" s="22">
        <f>IF(OR($C534="",$H534=0),"",$M534/$H534)</f>
      </c>
    </row>
    <row r="535" spans="2:14" x14ac:dyDescent="0.25">
      <c r="B535" s="19"/>
      <c r="C535" s="8"/>
      <c r="D535" s="20">
        <f>IFERROR(IF($C535="","",VLOOKUP($C535,'Ürün Kartları'!$B$5:$C$154,2,FALSE)),"— tanımsız ürün —")</f>
      </c>
      <c r="E535" s="8"/>
      <c r="F535" s="10"/>
      <c r="G535" s="11"/>
      <c r="H535" s="16">
        <f>IF(OR($F535="",$G535=""),0,$F535*$G535)</f>
      </c>
      <c r="I535" s="16">
        <f>IFERROR(IF($E535="",0,$H535*VLOOKUP($E535,'Pazaryeri Kartları'!$B$5:$C$24,2,FALSE)+VLOOKUP($E535,'Pazaryeri Kartları'!$B$5:$D$24,3,FALSE)*$G535),0)</f>
      </c>
      <c r="J535" s="16">
        <f>IFERROR(IF($C535="",0,VLOOKUP($C535,'Ürün Kartları'!$B$5:$G$154,6,FALSE)*$G535),0)</f>
      </c>
      <c r="K535" s="11"/>
      <c r="L535" s="10"/>
      <c r="M535" s="21">
        <f>IF($C535="","",IF($K535=1,-($J535*0.5)-$L535,$H535-$I535-$J535-$L535))</f>
      </c>
      <c r="N535" s="22">
        <f>IF(OR($C535="",$H535=0),"",$M535/$H535)</f>
      </c>
    </row>
    <row r="536" spans="2:14" x14ac:dyDescent="0.25">
      <c r="B536" s="23"/>
      <c r="C536" s="12"/>
      <c r="D536" s="20">
        <f>IFERROR(IF($C536="","",VLOOKUP($C536,'Ürün Kartları'!$B$5:$C$154,2,FALSE)),"— tanımsız ürün —")</f>
      </c>
      <c r="E536" s="12"/>
      <c r="F536" s="14"/>
      <c r="G536" s="15"/>
      <c r="H536" s="16">
        <f>IF(OR($F536="",$G536=""),0,$F536*$G536)</f>
      </c>
      <c r="I536" s="16">
        <f>IFERROR(IF($E536="",0,$H536*VLOOKUP($E536,'Pazaryeri Kartları'!$B$5:$C$24,2,FALSE)+VLOOKUP($E536,'Pazaryeri Kartları'!$B$5:$D$24,3,FALSE)*$G536),0)</f>
      </c>
      <c r="J536" s="16">
        <f>IFERROR(IF($C536="",0,VLOOKUP($C536,'Ürün Kartları'!$B$5:$G$154,6,FALSE)*$G536),0)</f>
      </c>
      <c r="K536" s="15"/>
      <c r="L536" s="14"/>
      <c r="M536" s="21">
        <f>IF($C536="","",IF($K536=1,-($J536*0.5)-$L536,$H536-$I536-$J536-$L536))</f>
      </c>
      <c r="N536" s="22">
        <f>IF(OR($C536="",$H536=0),"",$M536/$H536)</f>
      </c>
    </row>
    <row r="537" spans="2:14" x14ac:dyDescent="0.25">
      <c r="B537" s="19"/>
      <c r="C537" s="8"/>
      <c r="D537" s="20">
        <f>IFERROR(IF($C537="","",VLOOKUP($C537,'Ürün Kartları'!$B$5:$C$154,2,FALSE)),"— tanımsız ürün —")</f>
      </c>
      <c r="E537" s="8"/>
      <c r="F537" s="10"/>
      <c r="G537" s="11"/>
      <c r="H537" s="16">
        <f>IF(OR($F537="",$G537=""),0,$F537*$G537)</f>
      </c>
      <c r="I537" s="16">
        <f>IFERROR(IF($E537="",0,$H537*VLOOKUP($E537,'Pazaryeri Kartları'!$B$5:$C$24,2,FALSE)+VLOOKUP($E537,'Pazaryeri Kartları'!$B$5:$D$24,3,FALSE)*$G537),0)</f>
      </c>
      <c r="J537" s="16">
        <f>IFERROR(IF($C537="",0,VLOOKUP($C537,'Ürün Kartları'!$B$5:$G$154,6,FALSE)*$G537),0)</f>
      </c>
      <c r="K537" s="11"/>
      <c r="L537" s="10"/>
      <c r="M537" s="21">
        <f>IF($C537="","",IF($K537=1,-($J537*0.5)-$L537,$H537-$I537-$J537-$L537))</f>
      </c>
      <c r="N537" s="22">
        <f>IF(OR($C537="",$H537=0),"",$M537/$H537)</f>
      </c>
    </row>
    <row r="538" spans="2:14" x14ac:dyDescent="0.25">
      <c r="B538" s="23"/>
      <c r="C538" s="12"/>
      <c r="D538" s="20">
        <f>IFERROR(IF($C538="","",VLOOKUP($C538,'Ürün Kartları'!$B$5:$C$154,2,FALSE)),"— tanımsız ürün —")</f>
      </c>
      <c r="E538" s="12"/>
      <c r="F538" s="14"/>
      <c r="G538" s="15"/>
      <c r="H538" s="16">
        <f>IF(OR($F538="",$G538=""),0,$F538*$G538)</f>
      </c>
      <c r="I538" s="16">
        <f>IFERROR(IF($E538="",0,$H538*VLOOKUP($E538,'Pazaryeri Kartları'!$B$5:$C$24,2,FALSE)+VLOOKUP($E538,'Pazaryeri Kartları'!$B$5:$D$24,3,FALSE)*$G538),0)</f>
      </c>
      <c r="J538" s="16">
        <f>IFERROR(IF($C538="",0,VLOOKUP($C538,'Ürün Kartları'!$B$5:$G$154,6,FALSE)*$G538),0)</f>
      </c>
      <c r="K538" s="15"/>
      <c r="L538" s="14"/>
      <c r="M538" s="21">
        <f>IF($C538="","",IF($K538=1,-($J538*0.5)-$L538,$H538-$I538-$J538-$L538))</f>
      </c>
      <c r="N538" s="22">
        <f>IF(OR($C538="",$H538=0),"",$M538/$H538)</f>
      </c>
    </row>
    <row r="539" spans="2:14" x14ac:dyDescent="0.25">
      <c r="B539" s="19"/>
      <c r="C539" s="8"/>
      <c r="D539" s="20">
        <f>IFERROR(IF($C539="","",VLOOKUP($C539,'Ürün Kartları'!$B$5:$C$154,2,FALSE)),"— tanımsız ürün —")</f>
      </c>
      <c r="E539" s="8"/>
      <c r="F539" s="10"/>
      <c r="G539" s="11"/>
      <c r="H539" s="16">
        <f>IF(OR($F539="",$G539=""),0,$F539*$G539)</f>
      </c>
      <c r="I539" s="16">
        <f>IFERROR(IF($E539="",0,$H539*VLOOKUP($E539,'Pazaryeri Kartları'!$B$5:$C$24,2,FALSE)+VLOOKUP($E539,'Pazaryeri Kartları'!$B$5:$D$24,3,FALSE)*$G539),0)</f>
      </c>
      <c r="J539" s="16">
        <f>IFERROR(IF($C539="",0,VLOOKUP($C539,'Ürün Kartları'!$B$5:$G$154,6,FALSE)*$G539),0)</f>
      </c>
      <c r="K539" s="11"/>
      <c r="L539" s="10"/>
      <c r="M539" s="21">
        <f>IF($C539="","",IF($K539=1,-($J539*0.5)-$L539,$H539-$I539-$J539-$L539))</f>
      </c>
      <c r="N539" s="22">
        <f>IF(OR($C539="",$H539=0),"",$M539/$H539)</f>
      </c>
    </row>
    <row r="540" spans="2:14" x14ac:dyDescent="0.25">
      <c r="B540" s="23"/>
      <c r="C540" s="12"/>
      <c r="D540" s="20">
        <f>IFERROR(IF($C540="","",VLOOKUP($C540,'Ürün Kartları'!$B$5:$C$154,2,FALSE)),"— tanımsız ürün —")</f>
      </c>
      <c r="E540" s="12"/>
      <c r="F540" s="14"/>
      <c r="G540" s="15"/>
      <c r="H540" s="16">
        <f>IF(OR($F540="",$G540=""),0,$F540*$G540)</f>
      </c>
      <c r="I540" s="16">
        <f>IFERROR(IF($E540="",0,$H540*VLOOKUP($E540,'Pazaryeri Kartları'!$B$5:$C$24,2,FALSE)+VLOOKUP($E540,'Pazaryeri Kartları'!$B$5:$D$24,3,FALSE)*$G540),0)</f>
      </c>
      <c r="J540" s="16">
        <f>IFERROR(IF($C540="",0,VLOOKUP($C540,'Ürün Kartları'!$B$5:$G$154,6,FALSE)*$G540),0)</f>
      </c>
      <c r="K540" s="15"/>
      <c r="L540" s="14"/>
      <c r="M540" s="21">
        <f>IF($C540="","",IF($K540=1,-($J540*0.5)-$L540,$H540-$I540-$J540-$L540))</f>
      </c>
      <c r="N540" s="22">
        <f>IF(OR($C540="",$H540=0),"",$M540/$H540)</f>
      </c>
    </row>
    <row r="541" spans="2:14" x14ac:dyDescent="0.25">
      <c r="B541" s="19"/>
      <c r="C541" s="8"/>
      <c r="D541" s="20">
        <f>IFERROR(IF($C541="","",VLOOKUP($C541,'Ürün Kartları'!$B$5:$C$154,2,FALSE)),"— tanımsız ürün —")</f>
      </c>
      <c r="E541" s="8"/>
      <c r="F541" s="10"/>
      <c r="G541" s="11"/>
      <c r="H541" s="16">
        <f>IF(OR($F541="",$G541=""),0,$F541*$G541)</f>
      </c>
      <c r="I541" s="16">
        <f>IFERROR(IF($E541="",0,$H541*VLOOKUP($E541,'Pazaryeri Kartları'!$B$5:$C$24,2,FALSE)+VLOOKUP($E541,'Pazaryeri Kartları'!$B$5:$D$24,3,FALSE)*$G541),0)</f>
      </c>
      <c r="J541" s="16">
        <f>IFERROR(IF($C541="",0,VLOOKUP($C541,'Ürün Kartları'!$B$5:$G$154,6,FALSE)*$G541),0)</f>
      </c>
      <c r="K541" s="11"/>
      <c r="L541" s="10"/>
      <c r="M541" s="21">
        <f>IF($C541="","",IF($K541=1,-($J541*0.5)-$L541,$H541-$I541-$J541-$L541))</f>
      </c>
      <c r="N541" s="22">
        <f>IF(OR($C541="",$H541=0),"",$M541/$H541)</f>
      </c>
    </row>
    <row r="542" spans="2:14" x14ac:dyDescent="0.25">
      <c r="B542" s="23"/>
      <c r="C542" s="12"/>
      <c r="D542" s="20">
        <f>IFERROR(IF($C542="","",VLOOKUP($C542,'Ürün Kartları'!$B$5:$C$154,2,FALSE)),"— tanımsız ürün —")</f>
      </c>
      <c r="E542" s="12"/>
      <c r="F542" s="14"/>
      <c r="G542" s="15"/>
      <c r="H542" s="16">
        <f>IF(OR($F542="",$G542=""),0,$F542*$G542)</f>
      </c>
      <c r="I542" s="16">
        <f>IFERROR(IF($E542="",0,$H542*VLOOKUP($E542,'Pazaryeri Kartları'!$B$5:$C$24,2,FALSE)+VLOOKUP($E542,'Pazaryeri Kartları'!$B$5:$D$24,3,FALSE)*$G542),0)</f>
      </c>
      <c r="J542" s="16">
        <f>IFERROR(IF($C542="",0,VLOOKUP($C542,'Ürün Kartları'!$B$5:$G$154,6,FALSE)*$G542),0)</f>
      </c>
      <c r="K542" s="15"/>
      <c r="L542" s="14"/>
      <c r="M542" s="21">
        <f>IF($C542="","",IF($K542=1,-($J542*0.5)-$L542,$H542-$I542-$J542-$L542))</f>
      </c>
      <c r="N542" s="22">
        <f>IF(OR($C542="",$H542=0),"",$M542/$H542)</f>
      </c>
    </row>
    <row r="543" spans="2:14" x14ac:dyDescent="0.25">
      <c r="B543" s="19"/>
      <c r="C543" s="8"/>
      <c r="D543" s="20">
        <f>IFERROR(IF($C543="","",VLOOKUP($C543,'Ürün Kartları'!$B$5:$C$154,2,FALSE)),"— tanımsız ürün —")</f>
      </c>
      <c r="E543" s="8"/>
      <c r="F543" s="10"/>
      <c r="G543" s="11"/>
      <c r="H543" s="16">
        <f>IF(OR($F543="",$G543=""),0,$F543*$G543)</f>
      </c>
      <c r="I543" s="16">
        <f>IFERROR(IF($E543="",0,$H543*VLOOKUP($E543,'Pazaryeri Kartları'!$B$5:$C$24,2,FALSE)+VLOOKUP($E543,'Pazaryeri Kartları'!$B$5:$D$24,3,FALSE)*$G543),0)</f>
      </c>
      <c r="J543" s="16">
        <f>IFERROR(IF($C543="",0,VLOOKUP($C543,'Ürün Kartları'!$B$5:$G$154,6,FALSE)*$G543),0)</f>
      </c>
      <c r="K543" s="11"/>
      <c r="L543" s="10"/>
      <c r="M543" s="21">
        <f>IF($C543="","",IF($K543=1,-($J543*0.5)-$L543,$H543-$I543-$J543-$L543))</f>
      </c>
      <c r="N543" s="22">
        <f>IF(OR($C543="",$H543=0),"",$M543/$H543)</f>
      </c>
    </row>
    <row r="544" spans="2:14" x14ac:dyDescent="0.25">
      <c r="B544" s="23"/>
      <c r="C544" s="12"/>
      <c r="D544" s="20">
        <f>IFERROR(IF($C544="","",VLOOKUP($C544,'Ürün Kartları'!$B$5:$C$154,2,FALSE)),"— tanımsız ürün —")</f>
      </c>
      <c r="E544" s="12"/>
      <c r="F544" s="14"/>
      <c r="G544" s="15"/>
      <c r="H544" s="16">
        <f>IF(OR($F544="",$G544=""),0,$F544*$G544)</f>
      </c>
      <c r="I544" s="16">
        <f>IFERROR(IF($E544="",0,$H544*VLOOKUP($E544,'Pazaryeri Kartları'!$B$5:$C$24,2,FALSE)+VLOOKUP($E544,'Pazaryeri Kartları'!$B$5:$D$24,3,FALSE)*$G544),0)</f>
      </c>
      <c r="J544" s="16">
        <f>IFERROR(IF($C544="",0,VLOOKUP($C544,'Ürün Kartları'!$B$5:$G$154,6,FALSE)*$G544),0)</f>
      </c>
      <c r="K544" s="15"/>
      <c r="L544" s="14"/>
      <c r="M544" s="21">
        <f>IF($C544="","",IF($K544=1,-($J544*0.5)-$L544,$H544-$I544-$J544-$L544))</f>
      </c>
      <c r="N544" s="22">
        <f>IF(OR($C544="",$H544=0),"",$M544/$H544)</f>
      </c>
    </row>
    <row r="545" spans="2:14" x14ac:dyDescent="0.25">
      <c r="B545" s="19"/>
      <c r="C545" s="8"/>
      <c r="D545" s="20">
        <f>IFERROR(IF($C545="","",VLOOKUP($C545,'Ürün Kartları'!$B$5:$C$154,2,FALSE)),"— tanımsız ürün —")</f>
      </c>
      <c r="E545" s="8"/>
      <c r="F545" s="10"/>
      <c r="G545" s="11"/>
      <c r="H545" s="16">
        <f>IF(OR($F545="",$G545=""),0,$F545*$G545)</f>
      </c>
      <c r="I545" s="16">
        <f>IFERROR(IF($E545="",0,$H545*VLOOKUP($E545,'Pazaryeri Kartları'!$B$5:$C$24,2,FALSE)+VLOOKUP($E545,'Pazaryeri Kartları'!$B$5:$D$24,3,FALSE)*$G545),0)</f>
      </c>
      <c r="J545" s="16">
        <f>IFERROR(IF($C545="",0,VLOOKUP($C545,'Ürün Kartları'!$B$5:$G$154,6,FALSE)*$G545),0)</f>
      </c>
      <c r="K545" s="11"/>
      <c r="L545" s="10"/>
      <c r="M545" s="21">
        <f>IF($C545="","",IF($K545=1,-($J545*0.5)-$L545,$H545-$I545-$J545-$L545))</f>
      </c>
      <c r="N545" s="22">
        <f>IF(OR($C545="",$H545=0),"",$M545/$H545)</f>
      </c>
    </row>
    <row r="546" spans="2:14" x14ac:dyDescent="0.25">
      <c r="B546" s="23"/>
      <c r="C546" s="12"/>
      <c r="D546" s="20">
        <f>IFERROR(IF($C546="","",VLOOKUP($C546,'Ürün Kartları'!$B$5:$C$154,2,FALSE)),"— tanımsız ürün —")</f>
      </c>
      <c r="E546" s="12"/>
      <c r="F546" s="14"/>
      <c r="G546" s="15"/>
      <c r="H546" s="16">
        <f>IF(OR($F546="",$G546=""),0,$F546*$G546)</f>
      </c>
      <c r="I546" s="16">
        <f>IFERROR(IF($E546="",0,$H546*VLOOKUP($E546,'Pazaryeri Kartları'!$B$5:$C$24,2,FALSE)+VLOOKUP($E546,'Pazaryeri Kartları'!$B$5:$D$24,3,FALSE)*$G546),0)</f>
      </c>
      <c r="J546" s="16">
        <f>IFERROR(IF($C546="",0,VLOOKUP($C546,'Ürün Kartları'!$B$5:$G$154,6,FALSE)*$G546),0)</f>
      </c>
      <c r="K546" s="15"/>
      <c r="L546" s="14"/>
      <c r="M546" s="21">
        <f>IF($C546="","",IF($K546=1,-($J546*0.5)-$L546,$H546-$I546-$J546-$L546))</f>
      </c>
      <c r="N546" s="22">
        <f>IF(OR($C546="",$H546=0),"",$M546/$H546)</f>
      </c>
    </row>
    <row r="547" spans="2:14" x14ac:dyDescent="0.25">
      <c r="B547" s="19"/>
      <c r="C547" s="8"/>
      <c r="D547" s="20">
        <f>IFERROR(IF($C547="","",VLOOKUP($C547,'Ürün Kartları'!$B$5:$C$154,2,FALSE)),"— tanımsız ürün —")</f>
      </c>
      <c r="E547" s="8"/>
      <c r="F547" s="10"/>
      <c r="G547" s="11"/>
      <c r="H547" s="16">
        <f>IF(OR($F547="",$G547=""),0,$F547*$G547)</f>
      </c>
      <c r="I547" s="16">
        <f>IFERROR(IF($E547="",0,$H547*VLOOKUP($E547,'Pazaryeri Kartları'!$B$5:$C$24,2,FALSE)+VLOOKUP($E547,'Pazaryeri Kartları'!$B$5:$D$24,3,FALSE)*$G547),0)</f>
      </c>
      <c r="J547" s="16">
        <f>IFERROR(IF($C547="",0,VLOOKUP($C547,'Ürün Kartları'!$B$5:$G$154,6,FALSE)*$G547),0)</f>
      </c>
      <c r="K547" s="11"/>
      <c r="L547" s="10"/>
      <c r="M547" s="21">
        <f>IF($C547="","",IF($K547=1,-($J547*0.5)-$L547,$H547-$I547-$J547-$L547))</f>
      </c>
      <c r="N547" s="22">
        <f>IF(OR($C547="",$H547=0),"",$M547/$H547)</f>
      </c>
    </row>
    <row r="548" spans="2:14" x14ac:dyDescent="0.25">
      <c r="B548" s="23"/>
      <c r="C548" s="12"/>
      <c r="D548" s="20">
        <f>IFERROR(IF($C548="","",VLOOKUP($C548,'Ürün Kartları'!$B$5:$C$154,2,FALSE)),"— tanımsız ürün —")</f>
      </c>
      <c r="E548" s="12"/>
      <c r="F548" s="14"/>
      <c r="G548" s="15"/>
      <c r="H548" s="16">
        <f>IF(OR($F548="",$G548=""),0,$F548*$G548)</f>
      </c>
      <c r="I548" s="16">
        <f>IFERROR(IF($E548="",0,$H548*VLOOKUP($E548,'Pazaryeri Kartları'!$B$5:$C$24,2,FALSE)+VLOOKUP($E548,'Pazaryeri Kartları'!$B$5:$D$24,3,FALSE)*$G548),0)</f>
      </c>
      <c r="J548" s="16">
        <f>IFERROR(IF($C548="",0,VLOOKUP($C548,'Ürün Kartları'!$B$5:$G$154,6,FALSE)*$G548),0)</f>
      </c>
      <c r="K548" s="15"/>
      <c r="L548" s="14"/>
      <c r="M548" s="21">
        <f>IF($C548="","",IF($K548=1,-($J548*0.5)-$L548,$H548-$I548-$J548-$L548))</f>
      </c>
      <c r="N548" s="22">
        <f>IF(OR($C548="",$H548=0),"",$M548/$H548)</f>
      </c>
    </row>
    <row r="549" spans="2:14" x14ac:dyDescent="0.25">
      <c r="B549" s="19"/>
      <c r="C549" s="8"/>
      <c r="D549" s="20">
        <f>IFERROR(IF($C549="","",VLOOKUP($C549,'Ürün Kartları'!$B$5:$C$154,2,FALSE)),"— tanımsız ürün —")</f>
      </c>
      <c r="E549" s="8"/>
      <c r="F549" s="10"/>
      <c r="G549" s="11"/>
      <c r="H549" s="16">
        <f>IF(OR($F549="",$G549=""),0,$F549*$G549)</f>
      </c>
      <c r="I549" s="16">
        <f>IFERROR(IF($E549="",0,$H549*VLOOKUP($E549,'Pazaryeri Kartları'!$B$5:$C$24,2,FALSE)+VLOOKUP($E549,'Pazaryeri Kartları'!$B$5:$D$24,3,FALSE)*$G549),0)</f>
      </c>
      <c r="J549" s="16">
        <f>IFERROR(IF($C549="",0,VLOOKUP($C549,'Ürün Kartları'!$B$5:$G$154,6,FALSE)*$G549),0)</f>
      </c>
      <c r="K549" s="11"/>
      <c r="L549" s="10"/>
      <c r="M549" s="21">
        <f>IF($C549="","",IF($K549=1,-($J549*0.5)-$L549,$H549-$I549-$J549-$L549))</f>
      </c>
      <c r="N549" s="22">
        <f>IF(OR($C549="",$H549=0),"",$M549/$H549)</f>
      </c>
    </row>
    <row r="550" spans="2:14" x14ac:dyDescent="0.25">
      <c r="B550" s="23"/>
      <c r="C550" s="12"/>
      <c r="D550" s="20">
        <f>IFERROR(IF($C550="","",VLOOKUP($C550,'Ürün Kartları'!$B$5:$C$154,2,FALSE)),"— tanımsız ürün —")</f>
      </c>
      <c r="E550" s="12"/>
      <c r="F550" s="14"/>
      <c r="G550" s="15"/>
      <c r="H550" s="16">
        <f>IF(OR($F550="",$G550=""),0,$F550*$G550)</f>
      </c>
      <c r="I550" s="16">
        <f>IFERROR(IF($E550="",0,$H550*VLOOKUP($E550,'Pazaryeri Kartları'!$B$5:$C$24,2,FALSE)+VLOOKUP($E550,'Pazaryeri Kartları'!$B$5:$D$24,3,FALSE)*$G550),0)</f>
      </c>
      <c r="J550" s="16">
        <f>IFERROR(IF($C550="",0,VLOOKUP($C550,'Ürün Kartları'!$B$5:$G$154,6,FALSE)*$G550),0)</f>
      </c>
      <c r="K550" s="15"/>
      <c r="L550" s="14"/>
      <c r="M550" s="21">
        <f>IF($C550="","",IF($K550=1,-($J550*0.5)-$L550,$H550-$I550-$J550-$L550))</f>
      </c>
      <c r="N550" s="22">
        <f>IF(OR($C550="",$H550=0),"",$M550/$H550)</f>
      </c>
    </row>
    <row r="551" spans="2:14" x14ac:dyDescent="0.25">
      <c r="B551" s="19"/>
      <c r="C551" s="8"/>
      <c r="D551" s="20">
        <f>IFERROR(IF($C551="","",VLOOKUP($C551,'Ürün Kartları'!$B$5:$C$154,2,FALSE)),"— tanımsız ürün —")</f>
      </c>
      <c r="E551" s="8"/>
      <c r="F551" s="10"/>
      <c r="G551" s="11"/>
      <c r="H551" s="16">
        <f>IF(OR($F551="",$G551=""),0,$F551*$G551)</f>
      </c>
      <c r="I551" s="16">
        <f>IFERROR(IF($E551="",0,$H551*VLOOKUP($E551,'Pazaryeri Kartları'!$B$5:$C$24,2,FALSE)+VLOOKUP($E551,'Pazaryeri Kartları'!$B$5:$D$24,3,FALSE)*$G551),0)</f>
      </c>
      <c r="J551" s="16">
        <f>IFERROR(IF($C551="",0,VLOOKUP($C551,'Ürün Kartları'!$B$5:$G$154,6,FALSE)*$G551),0)</f>
      </c>
      <c r="K551" s="11"/>
      <c r="L551" s="10"/>
      <c r="M551" s="21">
        <f>IF($C551="","",IF($K551=1,-($J551*0.5)-$L551,$H551-$I551-$J551-$L551))</f>
      </c>
      <c r="N551" s="22">
        <f>IF(OR($C551="",$H551=0),"",$M551/$H551)</f>
      </c>
    </row>
    <row r="552" spans="2:14" x14ac:dyDescent="0.25">
      <c r="B552" s="23"/>
      <c r="C552" s="12"/>
      <c r="D552" s="20">
        <f>IFERROR(IF($C552="","",VLOOKUP($C552,'Ürün Kartları'!$B$5:$C$154,2,FALSE)),"— tanımsız ürün —")</f>
      </c>
      <c r="E552" s="12"/>
      <c r="F552" s="14"/>
      <c r="G552" s="15"/>
      <c r="H552" s="16">
        <f>IF(OR($F552="",$G552=""),0,$F552*$G552)</f>
      </c>
      <c r="I552" s="16">
        <f>IFERROR(IF($E552="",0,$H552*VLOOKUP($E552,'Pazaryeri Kartları'!$B$5:$C$24,2,FALSE)+VLOOKUP($E552,'Pazaryeri Kartları'!$B$5:$D$24,3,FALSE)*$G552),0)</f>
      </c>
      <c r="J552" s="16">
        <f>IFERROR(IF($C552="",0,VLOOKUP($C552,'Ürün Kartları'!$B$5:$G$154,6,FALSE)*$G552),0)</f>
      </c>
      <c r="K552" s="15"/>
      <c r="L552" s="14"/>
      <c r="M552" s="21">
        <f>IF($C552="","",IF($K552=1,-($J552*0.5)-$L552,$H552-$I552-$J552-$L552))</f>
      </c>
      <c r="N552" s="22">
        <f>IF(OR($C552="",$H552=0),"",$M552/$H552)</f>
      </c>
    </row>
    <row r="553" spans="2:14" x14ac:dyDescent="0.25">
      <c r="B553" s="19"/>
      <c r="C553" s="8"/>
      <c r="D553" s="20">
        <f>IFERROR(IF($C553="","",VLOOKUP($C553,'Ürün Kartları'!$B$5:$C$154,2,FALSE)),"— tanımsız ürün —")</f>
      </c>
      <c r="E553" s="8"/>
      <c r="F553" s="10"/>
      <c r="G553" s="11"/>
      <c r="H553" s="16">
        <f>IF(OR($F553="",$G553=""),0,$F553*$G553)</f>
      </c>
      <c r="I553" s="16">
        <f>IFERROR(IF($E553="",0,$H553*VLOOKUP($E553,'Pazaryeri Kartları'!$B$5:$C$24,2,FALSE)+VLOOKUP($E553,'Pazaryeri Kartları'!$B$5:$D$24,3,FALSE)*$G553),0)</f>
      </c>
      <c r="J553" s="16">
        <f>IFERROR(IF($C553="",0,VLOOKUP($C553,'Ürün Kartları'!$B$5:$G$154,6,FALSE)*$G553),0)</f>
      </c>
      <c r="K553" s="11"/>
      <c r="L553" s="10"/>
      <c r="M553" s="21">
        <f>IF($C553="","",IF($K553=1,-($J553*0.5)-$L553,$H553-$I553-$J553-$L553))</f>
      </c>
      <c r="N553" s="22">
        <f>IF(OR($C553="",$H553=0),"",$M553/$H553)</f>
      </c>
    </row>
    <row r="554" spans="2:14" x14ac:dyDescent="0.25">
      <c r="B554" s="23"/>
      <c r="C554" s="12"/>
      <c r="D554" s="20">
        <f>IFERROR(IF($C554="","",VLOOKUP($C554,'Ürün Kartları'!$B$5:$C$154,2,FALSE)),"— tanımsız ürün —")</f>
      </c>
      <c r="E554" s="12"/>
      <c r="F554" s="14"/>
      <c r="G554" s="15"/>
      <c r="H554" s="16">
        <f>IF(OR($F554="",$G554=""),0,$F554*$G554)</f>
      </c>
      <c r="I554" s="16">
        <f>IFERROR(IF($E554="",0,$H554*VLOOKUP($E554,'Pazaryeri Kartları'!$B$5:$C$24,2,FALSE)+VLOOKUP($E554,'Pazaryeri Kartları'!$B$5:$D$24,3,FALSE)*$G554),0)</f>
      </c>
      <c r="J554" s="16">
        <f>IFERROR(IF($C554="",0,VLOOKUP($C554,'Ürün Kartları'!$B$5:$G$154,6,FALSE)*$G554),0)</f>
      </c>
      <c r="K554" s="15"/>
      <c r="L554" s="14"/>
      <c r="M554" s="21">
        <f>IF($C554="","",IF($K554=1,-($J554*0.5)-$L554,$H554-$I554-$J554-$L554))</f>
      </c>
      <c r="N554" s="22">
        <f>IF(OR($C554="",$H554=0),"",$M554/$H554)</f>
      </c>
    </row>
    <row r="555" spans="2:14" x14ac:dyDescent="0.25">
      <c r="B555" s="19"/>
      <c r="C555" s="8"/>
      <c r="D555" s="20">
        <f>IFERROR(IF($C555="","",VLOOKUP($C555,'Ürün Kartları'!$B$5:$C$154,2,FALSE)),"— tanımsız ürün —")</f>
      </c>
      <c r="E555" s="8"/>
      <c r="F555" s="10"/>
      <c r="G555" s="11"/>
      <c r="H555" s="16">
        <f>IF(OR($F555="",$G555=""),0,$F555*$G555)</f>
      </c>
      <c r="I555" s="16">
        <f>IFERROR(IF($E555="",0,$H555*VLOOKUP($E555,'Pazaryeri Kartları'!$B$5:$C$24,2,FALSE)+VLOOKUP($E555,'Pazaryeri Kartları'!$B$5:$D$24,3,FALSE)*$G555),0)</f>
      </c>
      <c r="J555" s="16">
        <f>IFERROR(IF($C555="",0,VLOOKUP($C555,'Ürün Kartları'!$B$5:$G$154,6,FALSE)*$G555),0)</f>
      </c>
      <c r="K555" s="11"/>
      <c r="L555" s="10"/>
      <c r="M555" s="21">
        <f>IF($C555="","",IF($K555=1,-($J555*0.5)-$L555,$H555-$I555-$J555-$L555))</f>
      </c>
      <c r="N555" s="22">
        <f>IF(OR($C555="",$H555=0),"",$M555/$H555)</f>
      </c>
    </row>
    <row r="556" spans="2:14" x14ac:dyDescent="0.25">
      <c r="B556" s="23"/>
      <c r="C556" s="12"/>
      <c r="D556" s="20">
        <f>IFERROR(IF($C556="","",VLOOKUP($C556,'Ürün Kartları'!$B$5:$C$154,2,FALSE)),"— tanımsız ürün —")</f>
      </c>
      <c r="E556" s="12"/>
      <c r="F556" s="14"/>
      <c r="G556" s="15"/>
      <c r="H556" s="16">
        <f>IF(OR($F556="",$G556=""),0,$F556*$G556)</f>
      </c>
      <c r="I556" s="16">
        <f>IFERROR(IF($E556="",0,$H556*VLOOKUP($E556,'Pazaryeri Kartları'!$B$5:$C$24,2,FALSE)+VLOOKUP($E556,'Pazaryeri Kartları'!$B$5:$D$24,3,FALSE)*$G556),0)</f>
      </c>
      <c r="J556" s="16">
        <f>IFERROR(IF($C556="",0,VLOOKUP($C556,'Ürün Kartları'!$B$5:$G$154,6,FALSE)*$G556),0)</f>
      </c>
      <c r="K556" s="15"/>
      <c r="L556" s="14"/>
      <c r="M556" s="21">
        <f>IF($C556="","",IF($K556=1,-($J556*0.5)-$L556,$H556-$I556-$J556-$L556))</f>
      </c>
      <c r="N556" s="22">
        <f>IF(OR($C556="",$H556=0),"",$M556/$H556)</f>
      </c>
    </row>
    <row r="557" spans="2:14" x14ac:dyDescent="0.25">
      <c r="B557" s="19"/>
      <c r="C557" s="8"/>
      <c r="D557" s="20">
        <f>IFERROR(IF($C557="","",VLOOKUP($C557,'Ürün Kartları'!$B$5:$C$154,2,FALSE)),"— tanımsız ürün —")</f>
      </c>
      <c r="E557" s="8"/>
      <c r="F557" s="10"/>
      <c r="G557" s="11"/>
      <c r="H557" s="16">
        <f>IF(OR($F557="",$G557=""),0,$F557*$G557)</f>
      </c>
      <c r="I557" s="16">
        <f>IFERROR(IF($E557="",0,$H557*VLOOKUP($E557,'Pazaryeri Kartları'!$B$5:$C$24,2,FALSE)+VLOOKUP($E557,'Pazaryeri Kartları'!$B$5:$D$24,3,FALSE)*$G557),0)</f>
      </c>
      <c r="J557" s="16">
        <f>IFERROR(IF($C557="",0,VLOOKUP($C557,'Ürün Kartları'!$B$5:$G$154,6,FALSE)*$G557),0)</f>
      </c>
      <c r="K557" s="11"/>
      <c r="L557" s="10"/>
      <c r="M557" s="21">
        <f>IF($C557="","",IF($K557=1,-($J557*0.5)-$L557,$H557-$I557-$J557-$L557))</f>
      </c>
      <c r="N557" s="22">
        <f>IF(OR($C557="",$H557=0),"",$M557/$H557)</f>
      </c>
    </row>
    <row r="558" spans="2:14" x14ac:dyDescent="0.25">
      <c r="B558" s="23"/>
      <c r="C558" s="12"/>
      <c r="D558" s="20">
        <f>IFERROR(IF($C558="","",VLOOKUP($C558,'Ürün Kartları'!$B$5:$C$154,2,FALSE)),"— tanımsız ürün —")</f>
      </c>
      <c r="E558" s="12"/>
      <c r="F558" s="14"/>
      <c r="G558" s="15"/>
      <c r="H558" s="16">
        <f>IF(OR($F558="",$G558=""),0,$F558*$G558)</f>
      </c>
      <c r="I558" s="16">
        <f>IFERROR(IF($E558="",0,$H558*VLOOKUP($E558,'Pazaryeri Kartları'!$B$5:$C$24,2,FALSE)+VLOOKUP($E558,'Pazaryeri Kartları'!$B$5:$D$24,3,FALSE)*$G558),0)</f>
      </c>
      <c r="J558" s="16">
        <f>IFERROR(IF($C558="",0,VLOOKUP($C558,'Ürün Kartları'!$B$5:$G$154,6,FALSE)*$G558),0)</f>
      </c>
      <c r="K558" s="15"/>
      <c r="L558" s="14"/>
      <c r="M558" s="21">
        <f>IF($C558="","",IF($K558=1,-($J558*0.5)-$L558,$H558-$I558-$J558-$L558))</f>
      </c>
      <c r="N558" s="22">
        <f>IF(OR($C558="",$H558=0),"",$M558/$H558)</f>
      </c>
    </row>
    <row r="559" spans="2:14" x14ac:dyDescent="0.25">
      <c r="B559" s="19"/>
      <c r="C559" s="8"/>
      <c r="D559" s="20">
        <f>IFERROR(IF($C559="","",VLOOKUP($C559,'Ürün Kartları'!$B$5:$C$154,2,FALSE)),"— tanımsız ürün —")</f>
      </c>
      <c r="E559" s="8"/>
      <c r="F559" s="10"/>
      <c r="G559" s="11"/>
      <c r="H559" s="16">
        <f>IF(OR($F559="",$G559=""),0,$F559*$G559)</f>
      </c>
      <c r="I559" s="16">
        <f>IFERROR(IF($E559="",0,$H559*VLOOKUP($E559,'Pazaryeri Kartları'!$B$5:$C$24,2,FALSE)+VLOOKUP($E559,'Pazaryeri Kartları'!$B$5:$D$24,3,FALSE)*$G559),0)</f>
      </c>
      <c r="J559" s="16">
        <f>IFERROR(IF($C559="",0,VLOOKUP($C559,'Ürün Kartları'!$B$5:$G$154,6,FALSE)*$G559),0)</f>
      </c>
      <c r="K559" s="11"/>
      <c r="L559" s="10"/>
      <c r="M559" s="21">
        <f>IF($C559="","",IF($K559=1,-($J559*0.5)-$L559,$H559-$I559-$J559-$L559))</f>
      </c>
      <c r="N559" s="22">
        <f>IF(OR($C559="",$H559=0),"",$M559/$H559)</f>
      </c>
    </row>
    <row r="560" spans="2:14" x14ac:dyDescent="0.25">
      <c r="B560" s="23"/>
      <c r="C560" s="12"/>
      <c r="D560" s="20">
        <f>IFERROR(IF($C560="","",VLOOKUP($C560,'Ürün Kartları'!$B$5:$C$154,2,FALSE)),"— tanımsız ürün —")</f>
      </c>
      <c r="E560" s="12"/>
      <c r="F560" s="14"/>
      <c r="G560" s="15"/>
      <c r="H560" s="16">
        <f>IF(OR($F560="",$G560=""),0,$F560*$G560)</f>
      </c>
      <c r="I560" s="16">
        <f>IFERROR(IF($E560="",0,$H560*VLOOKUP($E560,'Pazaryeri Kartları'!$B$5:$C$24,2,FALSE)+VLOOKUP($E560,'Pazaryeri Kartları'!$B$5:$D$24,3,FALSE)*$G560),0)</f>
      </c>
      <c r="J560" s="16">
        <f>IFERROR(IF($C560="",0,VLOOKUP($C560,'Ürün Kartları'!$B$5:$G$154,6,FALSE)*$G560),0)</f>
      </c>
      <c r="K560" s="15"/>
      <c r="L560" s="14"/>
      <c r="M560" s="21">
        <f>IF($C560="","",IF($K560=1,-($J560*0.5)-$L560,$H560-$I560-$J560-$L560))</f>
      </c>
      <c r="N560" s="22">
        <f>IF(OR($C560="",$H560=0),"",$M560/$H560)</f>
      </c>
    </row>
    <row r="561" spans="2:14" x14ac:dyDescent="0.25">
      <c r="B561" s="19"/>
      <c r="C561" s="8"/>
      <c r="D561" s="20">
        <f>IFERROR(IF($C561="","",VLOOKUP($C561,'Ürün Kartları'!$B$5:$C$154,2,FALSE)),"— tanımsız ürün —")</f>
      </c>
      <c r="E561" s="8"/>
      <c r="F561" s="10"/>
      <c r="G561" s="11"/>
      <c r="H561" s="16">
        <f>IF(OR($F561="",$G561=""),0,$F561*$G561)</f>
      </c>
      <c r="I561" s="16">
        <f>IFERROR(IF($E561="",0,$H561*VLOOKUP($E561,'Pazaryeri Kartları'!$B$5:$C$24,2,FALSE)+VLOOKUP($E561,'Pazaryeri Kartları'!$B$5:$D$24,3,FALSE)*$G561),0)</f>
      </c>
      <c r="J561" s="16">
        <f>IFERROR(IF($C561="",0,VLOOKUP($C561,'Ürün Kartları'!$B$5:$G$154,6,FALSE)*$G561),0)</f>
      </c>
      <c r="K561" s="11"/>
      <c r="L561" s="10"/>
      <c r="M561" s="21">
        <f>IF($C561="","",IF($K561=1,-($J561*0.5)-$L561,$H561-$I561-$J561-$L561))</f>
      </c>
      <c r="N561" s="22">
        <f>IF(OR($C561="",$H561=0),"",$M561/$H561)</f>
      </c>
    </row>
    <row r="562" spans="2:14" x14ac:dyDescent="0.25">
      <c r="B562" s="23"/>
      <c r="C562" s="12"/>
      <c r="D562" s="20">
        <f>IFERROR(IF($C562="","",VLOOKUP($C562,'Ürün Kartları'!$B$5:$C$154,2,FALSE)),"— tanımsız ürün —")</f>
      </c>
      <c r="E562" s="12"/>
      <c r="F562" s="14"/>
      <c r="G562" s="15"/>
      <c r="H562" s="16">
        <f>IF(OR($F562="",$G562=""),0,$F562*$G562)</f>
      </c>
      <c r="I562" s="16">
        <f>IFERROR(IF($E562="",0,$H562*VLOOKUP($E562,'Pazaryeri Kartları'!$B$5:$C$24,2,FALSE)+VLOOKUP($E562,'Pazaryeri Kartları'!$B$5:$D$24,3,FALSE)*$G562),0)</f>
      </c>
      <c r="J562" s="16">
        <f>IFERROR(IF($C562="",0,VLOOKUP($C562,'Ürün Kartları'!$B$5:$G$154,6,FALSE)*$G562),0)</f>
      </c>
      <c r="K562" s="15"/>
      <c r="L562" s="14"/>
      <c r="M562" s="21">
        <f>IF($C562="","",IF($K562=1,-($J562*0.5)-$L562,$H562-$I562-$J562-$L562))</f>
      </c>
      <c r="N562" s="22">
        <f>IF(OR($C562="",$H562=0),"",$M562/$H562)</f>
      </c>
    </row>
    <row r="563" spans="2:14" x14ac:dyDescent="0.25">
      <c r="B563" s="19"/>
      <c r="C563" s="8"/>
      <c r="D563" s="20">
        <f>IFERROR(IF($C563="","",VLOOKUP($C563,'Ürün Kartları'!$B$5:$C$154,2,FALSE)),"— tanımsız ürün —")</f>
      </c>
      <c r="E563" s="8"/>
      <c r="F563" s="10"/>
      <c r="G563" s="11"/>
      <c r="H563" s="16">
        <f>IF(OR($F563="",$G563=""),0,$F563*$G563)</f>
      </c>
      <c r="I563" s="16">
        <f>IFERROR(IF($E563="",0,$H563*VLOOKUP($E563,'Pazaryeri Kartları'!$B$5:$C$24,2,FALSE)+VLOOKUP($E563,'Pazaryeri Kartları'!$B$5:$D$24,3,FALSE)*$G563),0)</f>
      </c>
      <c r="J563" s="16">
        <f>IFERROR(IF($C563="",0,VLOOKUP($C563,'Ürün Kartları'!$B$5:$G$154,6,FALSE)*$G563),0)</f>
      </c>
      <c r="K563" s="11"/>
      <c r="L563" s="10"/>
      <c r="M563" s="21">
        <f>IF($C563="","",IF($K563=1,-($J563*0.5)-$L563,$H563-$I563-$J563-$L563))</f>
      </c>
      <c r="N563" s="22">
        <f>IF(OR($C563="",$H563=0),"",$M563/$H563)</f>
      </c>
    </row>
    <row r="564" spans="2:14" x14ac:dyDescent="0.25">
      <c r="B564" s="23"/>
      <c r="C564" s="12"/>
      <c r="D564" s="20">
        <f>IFERROR(IF($C564="","",VLOOKUP($C564,'Ürün Kartları'!$B$5:$C$154,2,FALSE)),"— tanımsız ürün —")</f>
      </c>
      <c r="E564" s="12"/>
      <c r="F564" s="14"/>
      <c r="G564" s="15"/>
      <c r="H564" s="16">
        <f>IF(OR($F564="",$G564=""),0,$F564*$G564)</f>
      </c>
      <c r="I564" s="16">
        <f>IFERROR(IF($E564="",0,$H564*VLOOKUP($E564,'Pazaryeri Kartları'!$B$5:$C$24,2,FALSE)+VLOOKUP($E564,'Pazaryeri Kartları'!$B$5:$D$24,3,FALSE)*$G564),0)</f>
      </c>
      <c r="J564" s="16">
        <f>IFERROR(IF($C564="",0,VLOOKUP($C564,'Ürün Kartları'!$B$5:$G$154,6,FALSE)*$G564),0)</f>
      </c>
      <c r="K564" s="15"/>
      <c r="L564" s="14"/>
      <c r="M564" s="21">
        <f>IF($C564="","",IF($K564=1,-($J564*0.5)-$L564,$H564-$I564-$J564-$L564))</f>
      </c>
      <c r="N564" s="22">
        <f>IF(OR($C564="",$H564=0),"",$M564/$H564)</f>
      </c>
    </row>
    <row r="565" spans="2:14" x14ac:dyDescent="0.25">
      <c r="B565" s="19"/>
      <c r="C565" s="8"/>
      <c r="D565" s="20">
        <f>IFERROR(IF($C565="","",VLOOKUP($C565,'Ürün Kartları'!$B$5:$C$154,2,FALSE)),"— tanımsız ürün —")</f>
      </c>
      <c r="E565" s="8"/>
      <c r="F565" s="10"/>
      <c r="G565" s="11"/>
      <c r="H565" s="16">
        <f>IF(OR($F565="",$G565=""),0,$F565*$G565)</f>
      </c>
      <c r="I565" s="16">
        <f>IFERROR(IF($E565="",0,$H565*VLOOKUP($E565,'Pazaryeri Kartları'!$B$5:$C$24,2,FALSE)+VLOOKUP($E565,'Pazaryeri Kartları'!$B$5:$D$24,3,FALSE)*$G565),0)</f>
      </c>
      <c r="J565" s="16">
        <f>IFERROR(IF($C565="",0,VLOOKUP($C565,'Ürün Kartları'!$B$5:$G$154,6,FALSE)*$G565),0)</f>
      </c>
      <c r="K565" s="11"/>
      <c r="L565" s="10"/>
      <c r="M565" s="21">
        <f>IF($C565="","",IF($K565=1,-($J565*0.5)-$L565,$H565-$I565-$J565-$L565))</f>
      </c>
      <c r="N565" s="22">
        <f>IF(OR($C565="",$H565=0),"",$M565/$H565)</f>
      </c>
    </row>
    <row r="566" spans="2:14" x14ac:dyDescent="0.25">
      <c r="B566" s="23"/>
      <c r="C566" s="12"/>
      <c r="D566" s="20">
        <f>IFERROR(IF($C566="","",VLOOKUP($C566,'Ürün Kartları'!$B$5:$C$154,2,FALSE)),"— tanımsız ürün —")</f>
      </c>
      <c r="E566" s="12"/>
      <c r="F566" s="14"/>
      <c r="G566" s="15"/>
      <c r="H566" s="16">
        <f>IF(OR($F566="",$G566=""),0,$F566*$G566)</f>
      </c>
      <c r="I566" s="16">
        <f>IFERROR(IF($E566="",0,$H566*VLOOKUP($E566,'Pazaryeri Kartları'!$B$5:$C$24,2,FALSE)+VLOOKUP($E566,'Pazaryeri Kartları'!$B$5:$D$24,3,FALSE)*$G566),0)</f>
      </c>
      <c r="J566" s="16">
        <f>IFERROR(IF($C566="",0,VLOOKUP($C566,'Ürün Kartları'!$B$5:$G$154,6,FALSE)*$G566),0)</f>
      </c>
      <c r="K566" s="15"/>
      <c r="L566" s="14"/>
      <c r="M566" s="21">
        <f>IF($C566="","",IF($K566=1,-($J566*0.5)-$L566,$H566-$I566-$J566-$L566))</f>
      </c>
      <c r="N566" s="22">
        <f>IF(OR($C566="",$H566=0),"",$M566/$H566)</f>
      </c>
    </row>
    <row r="567" spans="2:14" x14ac:dyDescent="0.25">
      <c r="B567" s="19"/>
      <c r="C567" s="8"/>
      <c r="D567" s="20">
        <f>IFERROR(IF($C567="","",VLOOKUP($C567,'Ürün Kartları'!$B$5:$C$154,2,FALSE)),"— tanımsız ürün —")</f>
      </c>
      <c r="E567" s="8"/>
      <c r="F567" s="10"/>
      <c r="G567" s="11"/>
      <c r="H567" s="16">
        <f>IF(OR($F567="",$G567=""),0,$F567*$G567)</f>
      </c>
      <c r="I567" s="16">
        <f>IFERROR(IF($E567="",0,$H567*VLOOKUP($E567,'Pazaryeri Kartları'!$B$5:$C$24,2,FALSE)+VLOOKUP($E567,'Pazaryeri Kartları'!$B$5:$D$24,3,FALSE)*$G567),0)</f>
      </c>
      <c r="J567" s="16">
        <f>IFERROR(IF($C567="",0,VLOOKUP($C567,'Ürün Kartları'!$B$5:$G$154,6,FALSE)*$G567),0)</f>
      </c>
      <c r="K567" s="11"/>
      <c r="L567" s="10"/>
      <c r="M567" s="21">
        <f>IF($C567="","",IF($K567=1,-($J567*0.5)-$L567,$H567-$I567-$J567-$L567))</f>
      </c>
      <c r="N567" s="22">
        <f>IF(OR($C567="",$H567=0),"",$M567/$H567)</f>
      </c>
    </row>
    <row r="568" spans="2:14" x14ac:dyDescent="0.25">
      <c r="B568" s="23"/>
      <c r="C568" s="12"/>
      <c r="D568" s="20">
        <f>IFERROR(IF($C568="","",VLOOKUP($C568,'Ürün Kartları'!$B$5:$C$154,2,FALSE)),"— tanımsız ürün —")</f>
      </c>
      <c r="E568" s="12"/>
      <c r="F568" s="14"/>
      <c r="G568" s="15"/>
      <c r="H568" s="16">
        <f>IF(OR($F568="",$G568=""),0,$F568*$G568)</f>
      </c>
      <c r="I568" s="16">
        <f>IFERROR(IF($E568="",0,$H568*VLOOKUP($E568,'Pazaryeri Kartları'!$B$5:$C$24,2,FALSE)+VLOOKUP($E568,'Pazaryeri Kartları'!$B$5:$D$24,3,FALSE)*$G568),0)</f>
      </c>
      <c r="J568" s="16">
        <f>IFERROR(IF($C568="",0,VLOOKUP($C568,'Ürün Kartları'!$B$5:$G$154,6,FALSE)*$G568),0)</f>
      </c>
      <c r="K568" s="15"/>
      <c r="L568" s="14"/>
      <c r="M568" s="21">
        <f>IF($C568="","",IF($K568=1,-($J568*0.5)-$L568,$H568-$I568-$J568-$L568))</f>
      </c>
      <c r="N568" s="22">
        <f>IF(OR($C568="",$H568=0),"",$M568/$H568)</f>
      </c>
    </row>
    <row r="569" spans="2:14" x14ac:dyDescent="0.25">
      <c r="B569" s="19"/>
      <c r="C569" s="8"/>
      <c r="D569" s="20">
        <f>IFERROR(IF($C569="","",VLOOKUP($C569,'Ürün Kartları'!$B$5:$C$154,2,FALSE)),"— tanımsız ürün —")</f>
      </c>
      <c r="E569" s="8"/>
      <c r="F569" s="10"/>
      <c r="G569" s="11"/>
      <c r="H569" s="16">
        <f>IF(OR($F569="",$G569=""),0,$F569*$G569)</f>
      </c>
      <c r="I569" s="16">
        <f>IFERROR(IF($E569="",0,$H569*VLOOKUP($E569,'Pazaryeri Kartları'!$B$5:$C$24,2,FALSE)+VLOOKUP($E569,'Pazaryeri Kartları'!$B$5:$D$24,3,FALSE)*$G569),0)</f>
      </c>
      <c r="J569" s="16">
        <f>IFERROR(IF($C569="",0,VLOOKUP($C569,'Ürün Kartları'!$B$5:$G$154,6,FALSE)*$G569),0)</f>
      </c>
      <c r="K569" s="11"/>
      <c r="L569" s="10"/>
      <c r="M569" s="21">
        <f>IF($C569="","",IF($K569=1,-($J569*0.5)-$L569,$H569-$I569-$J569-$L569))</f>
      </c>
      <c r="N569" s="22">
        <f>IF(OR($C569="",$H569=0),"",$M569/$H569)</f>
      </c>
    </row>
    <row r="570" spans="2:14" x14ac:dyDescent="0.25">
      <c r="B570" s="23"/>
      <c r="C570" s="12"/>
      <c r="D570" s="20">
        <f>IFERROR(IF($C570="","",VLOOKUP($C570,'Ürün Kartları'!$B$5:$C$154,2,FALSE)),"— tanımsız ürün —")</f>
      </c>
      <c r="E570" s="12"/>
      <c r="F570" s="14"/>
      <c r="G570" s="15"/>
      <c r="H570" s="16">
        <f>IF(OR($F570="",$G570=""),0,$F570*$G570)</f>
      </c>
      <c r="I570" s="16">
        <f>IFERROR(IF($E570="",0,$H570*VLOOKUP($E570,'Pazaryeri Kartları'!$B$5:$C$24,2,FALSE)+VLOOKUP($E570,'Pazaryeri Kartları'!$B$5:$D$24,3,FALSE)*$G570),0)</f>
      </c>
      <c r="J570" s="16">
        <f>IFERROR(IF($C570="",0,VLOOKUP($C570,'Ürün Kartları'!$B$5:$G$154,6,FALSE)*$G570),0)</f>
      </c>
      <c r="K570" s="15"/>
      <c r="L570" s="14"/>
      <c r="M570" s="21">
        <f>IF($C570="","",IF($K570=1,-($J570*0.5)-$L570,$H570-$I570-$J570-$L570))</f>
      </c>
      <c r="N570" s="22">
        <f>IF(OR($C570="",$H570=0),"",$M570/$H570)</f>
      </c>
    </row>
    <row r="571" spans="2:14" x14ac:dyDescent="0.25">
      <c r="B571" s="19"/>
      <c r="C571" s="8"/>
      <c r="D571" s="20">
        <f>IFERROR(IF($C571="","",VLOOKUP($C571,'Ürün Kartları'!$B$5:$C$154,2,FALSE)),"— tanımsız ürün —")</f>
      </c>
      <c r="E571" s="8"/>
      <c r="F571" s="10"/>
      <c r="G571" s="11"/>
      <c r="H571" s="16">
        <f>IF(OR($F571="",$G571=""),0,$F571*$G571)</f>
      </c>
      <c r="I571" s="16">
        <f>IFERROR(IF($E571="",0,$H571*VLOOKUP($E571,'Pazaryeri Kartları'!$B$5:$C$24,2,FALSE)+VLOOKUP($E571,'Pazaryeri Kartları'!$B$5:$D$24,3,FALSE)*$G571),0)</f>
      </c>
      <c r="J571" s="16">
        <f>IFERROR(IF($C571="",0,VLOOKUP($C571,'Ürün Kartları'!$B$5:$G$154,6,FALSE)*$G571),0)</f>
      </c>
      <c r="K571" s="11"/>
      <c r="L571" s="10"/>
      <c r="M571" s="21">
        <f>IF($C571="","",IF($K571=1,-($J571*0.5)-$L571,$H571-$I571-$J571-$L571))</f>
      </c>
      <c r="N571" s="22">
        <f>IF(OR($C571="",$H571=0),"",$M571/$H571)</f>
      </c>
    </row>
    <row r="572" spans="2:14" x14ac:dyDescent="0.25">
      <c r="B572" s="23"/>
      <c r="C572" s="12"/>
      <c r="D572" s="20">
        <f>IFERROR(IF($C572="","",VLOOKUP($C572,'Ürün Kartları'!$B$5:$C$154,2,FALSE)),"— tanımsız ürün —")</f>
      </c>
      <c r="E572" s="12"/>
      <c r="F572" s="14"/>
      <c r="G572" s="15"/>
      <c r="H572" s="16">
        <f>IF(OR($F572="",$G572=""),0,$F572*$G572)</f>
      </c>
      <c r="I572" s="16">
        <f>IFERROR(IF($E572="",0,$H572*VLOOKUP($E572,'Pazaryeri Kartları'!$B$5:$C$24,2,FALSE)+VLOOKUP($E572,'Pazaryeri Kartları'!$B$5:$D$24,3,FALSE)*$G572),0)</f>
      </c>
      <c r="J572" s="16">
        <f>IFERROR(IF($C572="",0,VLOOKUP($C572,'Ürün Kartları'!$B$5:$G$154,6,FALSE)*$G572),0)</f>
      </c>
      <c r="K572" s="15"/>
      <c r="L572" s="14"/>
      <c r="M572" s="21">
        <f>IF($C572="","",IF($K572=1,-($J572*0.5)-$L572,$H572-$I572-$J572-$L572))</f>
      </c>
      <c r="N572" s="22">
        <f>IF(OR($C572="",$H572=0),"",$M572/$H572)</f>
      </c>
    </row>
    <row r="573" spans="2:14" x14ac:dyDescent="0.25">
      <c r="B573" s="19"/>
      <c r="C573" s="8"/>
      <c r="D573" s="20">
        <f>IFERROR(IF($C573="","",VLOOKUP($C573,'Ürün Kartları'!$B$5:$C$154,2,FALSE)),"— tanımsız ürün —")</f>
      </c>
      <c r="E573" s="8"/>
      <c r="F573" s="10"/>
      <c r="G573" s="11"/>
      <c r="H573" s="16">
        <f>IF(OR($F573="",$G573=""),0,$F573*$G573)</f>
      </c>
      <c r="I573" s="16">
        <f>IFERROR(IF($E573="",0,$H573*VLOOKUP($E573,'Pazaryeri Kartları'!$B$5:$C$24,2,FALSE)+VLOOKUP($E573,'Pazaryeri Kartları'!$B$5:$D$24,3,FALSE)*$G573),0)</f>
      </c>
      <c r="J573" s="16">
        <f>IFERROR(IF($C573="",0,VLOOKUP($C573,'Ürün Kartları'!$B$5:$G$154,6,FALSE)*$G573),0)</f>
      </c>
      <c r="K573" s="11"/>
      <c r="L573" s="10"/>
      <c r="M573" s="21">
        <f>IF($C573="","",IF($K573=1,-($J573*0.5)-$L573,$H573-$I573-$J573-$L573))</f>
      </c>
      <c r="N573" s="22">
        <f>IF(OR($C573="",$H573=0),"",$M573/$H573)</f>
      </c>
    </row>
    <row r="574" spans="2:14" x14ac:dyDescent="0.25">
      <c r="B574" s="23"/>
      <c r="C574" s="12"/>
      <c r="D574" s="20">
        <f>IFERROR(IF($C574="","",VLOOKUP($C574,'Ürün Kartları'!$B$5:$C$154,2,FALSE)),"— tanımsız ürün —")</f>
      </c>
      <c r="E574" s="12"/>
      <c r="F574" s="14"/>
      <c r="G574" s="15"/>
      <c r="H574" s="16">
        <f>IF(OR($F574="",$G574=""),0,$F574*$G574)</f>
      </c>
      <c r="I574" s="16">
        <f>IFERROR(IF($E574="",0,$H574*VLOOKUP($E574,'Pazaryeri Kartları'!$B$5:$C$24,2,FALSE)+VLOOKUP($E574,'Pazaryeri Kartları'!$B$5:$D$24,3,FALSE)*$G574),0)</f>
      </c>
      <c r="J574" s="16">
        <f>IFERROR(IF($C574="",0,VLOOKUP($C574,'Ürün Kartları'!$B$5:$G$154,6,FALSE)*$G574),0)</f>
      </c>
      <c r="K574" s="15"/>
      <c r="L574" s="14"/>
      <c r="M574" s="21">
        <f>IF($C574="","",IF($K574=1,-($J574*0.5)-$L574,$H574-$I574-$J574-$L574))</f>
      </c>
      <c r="N574" s="22">
        <f>IF(OR($C574="",$H574=0),"",$M574/$H574)</f>
      </c>
    </row>
    <row r="575" spans="2:14" x14ac:dyDescent="0.25">
      <c r="B575" s="19"/>
      <c r="C575" s="8"/>
      <c r="D575" s="20">
        <f>IFERROR(IF($C575="","",VLOOKUP($C575,'Ürün Kartları'!$B$5:$C$154,2,FALSE)),"— tanımsız ürün —")</f>
      </c>
      <c r="E575" s="8"/>
      <c r="F575" s="10"/>
      <c r="G575" s="11"/>
      <c r="H575" s="16">
        <f>IF(OR($F575="",$G575=""),0,$F575*$G575)</f>
      </c>
      <c r="I575" s="16">
        <f>IFERROR(IF($E575="",0,$H575*VLOOKUP($E575,'Pazaryeri Kartları'!$B$5:$C$24,2,FALSE)+VLOOKUP($E575,'Pazaryeri Kartları'!$B$5:$D$24,3,FALSE)*$G575),0)</f>
      </c>
      <c r="J575" s="16">
        <f>IFERROR(IF($C575="",0,VLOOKUP($C575,'Ürün Kartları'!$B$5:$G$154,6,FALSE)*$G575),0)</f>
      </c>
      <c r="K575" s="11"/>
      <c r="L575" s="10"/>
      <c r="M575" s="21">
        <f>IF($C575="","",IF($K575=1,-($J575*0.5)-$L575,$H575-$I575-$J575-$L575))</f>
      </c>
      <c r="N575" s="22">
        <f>IF(OR($C575="",$H575=0),"",$M575/$H575)</f>
      </c>
    </row>
    <row r="576" spans="2:14" x14ac:dyDescent="0.25">
      <c r="B576" s="23"/>
      <c r="C576" s="12"/>
      <c r="D576" s="20">
        <f>IFERROR(IF($C576="","",VLOOKUP($C576,'Ürün Kartları'!$B$5:$C$154,2,FALSE)),"— tanımsız ürün —")</f>
      </c>
      <c r="E576" s="12"/>
      <c r="F576" s="14"/>
      <c r="G576" s="15"/>
      <c r="H576" s="16">
        <f>IF(OR($F576="",$G576=""),0,$F576*$G576)</f>
      </c>
      <c r="I576" s="16">
        <f>IFERROR(IF($E576="",0,$H576*VLOOKUP($E576,'Pazaryeri Kartları'!$B$5:$C$24,2,FALSE)+VLOOKUP($E576,'Pazaryeri Kartları'!$B$5:$D$24,3,FALSE)*$G576),0)</f>
      </c>
      <c r="J576" s="16">
        <f>IFERROR(IF($C576="",0,VLOOKUP($C576,'Ürün Kartları'!$B$5:$G$154,6,FALSE)*$G576),0)</f>
      </c>
      <c r="K576" s="15"/>
      <c r="L576" s="14"/>
      <c r="M576" s="21">
        <f>IF($C576="","",IF($K576=1,-($J576*0.5)-$L576,$H576-$I576-$J576-$L576))</f>
      </c>
      <c r="N576" s="22">
        <f>IF(OR($C576="",$H576=0),"",$M576/$H576)</f>
      </c>
    </row>
    <row r="577" spans="2:14" x14ac:dyDescent="0.25">
      <c r="B577" s="19"/>
      <c r="C577" s="8"/>
      <c r="D577" s="20">
        <f>IFERROR(IF($C577="","",VLOOKUP($C577,'Ürün Kartları'!$B$5:$C$154,2,FALSE)),"— tanımsız ürün —")</f>
      </c>
      <c r="E577" s="8"/>
      <c r="F577" s="10"/>
      <c r="G577" s="11"/>
      <c r="H577" s="16">
        <f>IF(OR($F577="",$G577=""),0,$F577*$G577)</f>
      </c>
      <c r="I577" s="16">
        <f>IFERROR(IF($E577="",0,$H577*VLOOKUP($E577,'Pazaryeri Kartları'!$B$5:$C$24,2,FALSE)+VLOOKUP($E577,'Pazaryeri Kartları'!$B$5:$D$24,3,FALSE)*$G577),0)</f>
      </c>
      <c r="J577" s="16">
        <f>IFERROR(IF($C577="",0,VLOOKUP($C577,'Ürün Kartları'!$B$5:$G$154,6,FALSE)*$G577),0)</f>
      </c>
      <c r="K577" s="11"/>
      <c r="L577" s="10"/>
      <c r="M577" s="21">
        <f>IF($C577="","",IF($K577=1,-($J577*0.5)-$L577,$H577-$I577-$J577-$L577))</f>
      </c>
      <c r="N577" s="22">
        <f>IF(OR($C577="",$H577=0),"",$M577/$H577)</f>
      </c>
    </row>
    <row r="578" spans="2:14" x14ac:dyDescent="0.25">
      <c r="B578" s="23"/>
      <c r="C578" s="12"/>
      <c r="D578" s="20">
        <f>IFERROR(IF($C578="","",VLOOKUP($C578,'Ürün Kartları'!$B$5:$C$154,2,FALSE)),"— tanımsız ürün —")</f>
      </c>
      <c r="E578" s="12"/>
      <c r="F578" s="14"/>
      <c r="G578" s="15"/>
      <c r="H578" s="16">
        <f>IF(OR($F578="",$G578=""),0,$F578*$G578)</f>
      </c>
      <c r="I578" s="16">
        <f>IFERROR(IF($E578="",0,$H578*VLOOKUP($E578,'Pazaryeri Kartları'!$B$5:$C$24,2,FALSE)+VLOOKUP($E578,'Pazaryeri Kartları'!$B$5:$D$24,3,FALSE)*$G578),0)</f>
      </c>
      <c r="J578" s="16">
        <f>IFERROR(IF($C578="",0,VLOOKUP($C578,'Ürün Kartları'!$B$5:$G$154,6,FALSE)*$G578),0)</f>
      </c>
      <c r="K578" s="15"/>
      <c r="L578" s="14"/>
      <c r="M578" s="21">
        <f>IF($C578="","",IF($K578=1,-($J578*0.5)-$L578,$H578-$I578-$J578-$L578))</f>
      </c>
      <c r="N578" s="22">
        <f>IF(OR($C578="",$H578=0),"",$M578/$H578)</f>
      </c>
    </row>
    <row r="579" spans="2:14" x14ac:dyDescent="0.25">
      <c r="B579" s="19"/>
      <c r="C579" s="8"/>
      <c r="D579" s="20">
        <f>IFERROR(IF($C579="","",VLOOKUP($C579,'Ürün Kartları'!$B$5:$C$154,2,FALSE)),"— tanımsız ürün —")</f>
      </c>
      <c r="E579" s="8"/>
      <c r="F579" s="10"/>
      <c r="G579" s="11"/>
      <c r="H579" s="16">
        <f>IF(OR($F579="",$G579=""),0,$F579*$G579)</f>
      </c>
      <c r="I579" s="16">
        <f>IFERROR(IF($E579="",0,$H579*VLOOKUP($E579,'Pazaryeri Kartları'!$B$5:$C$24,2,FALSE)+VLOOKUP($E579,'Pazaryeri Kartları'!$B$5:$D$24,3,FALSE)*$G579),0)</f>
      </c>
      <c r="J579" s="16">
        <f>IFERROR(IF($C579="",0,VLOOKUP($C579,'Ürün Kartları'!$B$5:$G$154,6,FALSE)*$G579),0)</f>
      </c>
      <c r="K579" s="11"/>
      <c r="L579" s="10"/>
      <c r="M579" s="21">
        <f>IF($C579="","",IF($K579=1,-($J579*0.5)-$L579,$H579-$I579-$J579-$L579))</f>
      </c>
      <c r="N579" s="22">
        <f>IF(OR($C579="",$H579=0),"",$M579/$H579)</f>
      </c>
    </row>
    <row r="580" spans="2:14" x14ac:dyDescent="0.25">
      <c r="B580" s="23"/>
      <c r="C580" s="12"/>
      <c r="D580" s="20">
        <f>IFERROR(IF($C580="","",VLOOKUP($C580,'Ürün Kartları'!$B$5:$C$154,2,FALSE)),"— tanımsız ürün —")</f>
      </c>
      <c r="E580" s="12"/>
      <c r="F580" s="14"/>
      <c r="G580" s="15"/>
      <c r="H580" s="16">
        <f>IF(OR($F580="",$G580=""),0,$F580*$G580)</f>
      </c>
      <c r="I580" s="16">
        <f>IFERROR(IF($E580="",0,$H580*VLOOKUP($E580,'Pazaryeri Kartları'!$B$5:$C$24,2,FALSE)+VLOOKUP($E580,'Pazaryeri Kartları'!$B$5:$D$24,3,FALSE)*$G580),0)</f>
      </c>
      <c r="J580" s="16">
        <f>IFERROR(IF($C580="",0,VLOOKUP($C580,'Ürün Kartları'!$B$5:$G$154,6,FALSE)*$G580),0)</f>
      </c>
      <c r="K580" s="15"/>
      <c r="L580" s="14"/>
      <c r="M580" s="21">
        <f>IF($C580="","",IF($K580=1,-($J580*0.5)-$L580,$H580-$I580-$J580-$L580))</f>
      </c>
      <c r="N580" s="22">
        <f>IF(OR($C580="",$H580=0),"",$M580/$H580)</f>
      </c>
    </row>
    <row r="581" spans="2:14" x14ac:dyDescent="0.25">
      <c r="B581" s="19"/>
      <c r="C581" s="8"/>
      <c r="D581" s="20">
        <f>IFERROR(IF($C581="","",VLOOKUP($C581,'Ürün Kartları'!$B$5:$C$154,2,FALSE)),"— tanımsız ürün —")</f>
      </c>
      <c r="E581" s="8"/>
      <c r="F581" s="10"/>
      <c r="G581" s="11"/>
      <c r="H581" s="16">
        <f>IF(OR($F581="",$G581=""),0,$F581*$G581)</f>
      </c>
      <c r="I581" s="16">
        <f>IFERROR(IF($E581="",0,$H581*VLOOKUP($E581,'Pazaryeri Kartları'!$B$5:$C$24,2,FALSE)+VLOOKUP($E581,'Pazaryeri Kartları'!$B$5:$D$24,3,FALSE)*$G581),0)</f>
      </c>
      <c r="J581" s="16">
        <f>IFERROR(IF($C581="",0,VLOOKUP($C581,'Ürün Kartları'!$B$5:$G$154,6,FALSE)*$G581),0)</f>
      </c>
      <c r="K581" s="11"/>
      <c r="L581" s="10"/>
      <c r="M581" s="21">
        <f>IF($C581="","",IF($K581=1,-($J581*0.5)-$L581,$H581-$I581-$J581-$L581))</f>
      </c>
      <c r="N581" s="22">
        <f>IF(OR($C581="",$H581=0),"",$M581/$H581)</f>
      </c>
    </row>
    <row r="582" spans="2:14" x14ac:dyDescent="0.25">
      <c r="B582" s="23"/>
      <c r="C582" s="12"/>
      <c r="D582" s="20">
        <f>IFERROR(IF($C582="","",VLOOKUP($C582,'Ürün Kartları'!$B$5:$C$154,2,FALSE)),"— tanımsız ürün —")</f>
      </c>
      <c r="E582" s="12"/>
      <c r="F582" s="14"/>
      <c r="G582" s="15"/>
      <c r="H582" s="16">
        <f>IF(OR($F582="",$G582=""),0,$F582*$G582)</f>
      </c>
      <c r="I582" s="16">
        <f>IFERROR(IF($E582="",0,$H582*VLOOKUP($E582,'Pazaryeri Kartları'!$B$5:$C$24,2,FALSE)+VLOOKUP($E582,'Pazaryeri Kartları'!$B$5:$D$24,3,FALSE)*$G582),0)</f>
      </c>
      <c r="J582" s="16">
        <f>IFERROR(IF($C582="",0,VLOOKUP($C582,'Ürün Kartları'!$B$5:$G$154,6,FALSE)*$G582),0)</f>
      </c>
      <c r="K582" s="15"/>
      <c r="L582" s="14"/>
      <c r="M582" s="21">
        <f>IF($C582="","",IF($K582=1,-($J582*0.5)-$L582,$H582-$I582-$J582-$L582))</f>
      </c>
      <c r="N582" s="22">
        <f>IF(OR($C582="",$H582=0),"",$M582/$H582)</f>
      </c>
    </row>
    <row r="583" spans="2:14" x14ac:dyDescent="0.25">
      <c r="B583" s="19"/>
      <c r="C583" s="8"/>
      <c r="D583" s="20">
        <f>IFERROR(IF($C583="","",VLOOKUP($C583,'Ürün Kartları'!$B$5:$C$154,2,FALSE)),"— tanımsız ürün —")</f>
      </c>
      <c r="E583" s="8"/>
      <c r="F583" s="10"/>
      <c r="G583" s="11"/>
      <c r="H583" s="16">
        <f>IF(OR($F583="",$G583=""),0,$F583*$G583)</f>
      </c>
      <c r="I583" s="16">
        <f>IFERROR(IF($E583="",0,$H583*VLOOKUP($E583,'Pazaryeri Kartları'!$B$5:$C$24,2,FALSE)+VLOOKUP($E583,'Pazaryeri Kartları'!$B$5:$D$24,3,FALSE)*$G583),0)</f>
      </c>
      <c r="J583" s="16">
        <f>IFERROR(IF($C583="",0,VLOOKUP($C583,'Ürün Kartları'!$B$5:$G$154,6,FALSE)*$G583),0)</f>
      </c>
      <c r="K583" s="11"/>
      <c r="L583" s="10"/>
      <c r="M583" s="21">
        <f>IF($C583="","",IF($K583=1,-($J583*0.5)-$L583,$H583-$I583-$J583-$L583))</f>
      </c>
      <c r="N583" s="22">
        <f>IF(OR($C583="",$H583=0),"",$M583/$H583)</f>
      </c>
    </row>
    <row r="584" spans="2:14" x14ac:dyDescent="0.25">
      <c r="B584" s="23"/>
      <c r="C584" s="12"/>
      <c r="D584" s="20">
        <f>IFERROR(IF($C584="","",VLOOKUP($C584,'Ürün Kartları'!$B$5:$C$154,2,FALSE)),"— tanımsız ürün —")</f>
      </c>
      <c r="E584" s="12"/>
      <c r="F584" s="14"/>
      <c r="G584" s="15"/>
      <c r="H584" s="16">
        <f>IF(OR($F584="",$G584=""),0,$F584*$G584)</f>
      </c>
      <c r="I584" s="16">
        <f>IFERROR(IF($E584="",0,$H584*VLOOKUP($E584,'Pazaryeri Kartları'!$B$5:$C$24,2,FALSE)+VLOOKUP($E584,'Pazaryeri Kartları'!$B$5:$D$24,3,FALSE)*$G584),0)</f>
      </c>
      <c r="J584" s="16">
        <f>IFERROR(IF($C584="",0,VLOOKUP($C584,'Ürün Kartları'!$B$5:$G$154,6,FALSE)*$G584),0)</f>
      </c>
      <c r="K584" s="15"/>
      <c r="L584" s="14"/>
      <c r="M584" s="21">
        <f>IF($C584="","",IF($K584=1,-($J584*0.5)-$L584,$H584-$I584-$J584-$L584))</f>
      </c>
      <c r="N584" s="22">
        <f>IF(OR($C584="",$H584=0),"",$M584/$H584)</f>
      </c>
    </row>
    <row r="585" spans="2:14" x14ac:dyDescent="0.25">
      <c r="B585" s="19"/>
      <c r="C585" s="8"/>
      <c r="D585" s="20">
        <f>IFERROR(IF($C585="","",VLOOKUP($C585,'Ürün Kartları'!$B$5:$C$154,2,FALSE)),"— tanımsız ürün —")</f>
      </c>
      <c r="E585" s="8"/>
      <c r="F585" s="10"/>
      <c r="G585" s="11"/>
      <c r="H585" s="16">
        <f>IF(OR($F585="",$G585=""),0,$F585*$G585)</f>
      </c>
      <c r="I585" s="16">
        <f>IFERROR(IF($E585="",0,$H585*VLOOKUP($E585,'Pazaryeri Kartları'!$B$5:$C$24,2,FALSE)+VLOOKUP($E585,'Pazaryeri Kartları'!$B$5:$D$24,3,FALSE)*$G585),0)</f>
      </c>
      <c r="J585" s="16">
        <f>IFERROR(IF($C585="",0,VLOOKUP($C585,'Ürün Kartları'!$B$5:$G$154,6,FALSE)*$G585),0)</f>
      </c>
      <c r="K585" s="11"/>
      <c r="L585" s="10"/>
      <c r="M585" s="21">
        <f>IF($C585="","",IF($K585=1,-($J585*0.5)-$L585,$H585-$I585-$J585-$L585))</f>
      </c>
      <c r="N585" s="22">
        <f>IF(OR($C585="",$H585=0),"",$M585/$H585)</f>
      </c>
    </row>
    <row r="586" spans="2:14" x14ac:dyDescent="0.25">
      <c r="B586" s="23"/>
      <c r="C586" s="12"/>
      <c r="D586" s="20">
        <f>IFERROR(IF($C586="","",VLOOKUP($C586,'Ürün Kartları'!$B$5:$C$154,2,FALSE)),"— tanımsız ürün —")</f>
      </c>
      <c r="E586" s="12"/>
      <c r="F586" s="14"/>
      <c r="G586" s="15"/>
      <c r="H586" s="16">
        <f>IF(OR($F586="",$G586=""),0,$F586*$G586)</f>
      </c>
      <c r="I586" s="16">
        <f>IFERROR(IF($E586="",0,$H586*VLOOKUP($E586,'Pazaryeri Kartları'!$B$5:$C$24,2,FALSE)+VLOOKUP($E586,'Pazaryeri Kartları'!$B$5:$D$24,3,FALSE)*$G586),0)</f>
      </c>
      <c r="J586" s="16">
        <f>IFERROR(IF($C586="",0,VLOOKUP($C586,'Ürün Kartları'!$B$5:$G$154,6,FALSE)*$G586),0)</f>
      </c>
      <c r="K586" s="15"/>
      <c r="L586" s="14"/>
      <c r="M586" s="21">
        <f>IF($C586="","",IF($K586=1,-($J586*0.5)-$L586,$H586-$I586-$J586-$L586))</f>
      </c>
      <c r="N586" s="22">
        <f>IF(OR($C586="",$H586=0),"",$M586/$H586)</f>
      </c>
    </row>
    <row r="587" spans="2:14" x14ac:dyDescent="0.25">
      <c r="B587" s="19"/>
      <c r="C587" s="8"/>
      <c r="D587" s="20">
        <f>IFERROR(IF($C587="","",VLOOKUP($C587,'Ürün Kartları'!$B$5:$C$154,2,FALSE)),"— tanımsız ürün —")</f>
      </c>
      <c r="E587" s="8"/>
      <c r="F587" s="10"/>
      <c r="G587" s="11"/>
      <c r="H587" s="16">
        <f>IF(OR($F587="",$G587=""),0,$F587*$G587)</f>
      </c>
      <c r="I587" s="16">
        <f>IFERROR(IF($E587="",0,$H587*VLOOKUP($E587,'Pazaryeri Kartları'!$B$5:$C$24,2,FALSE)+VLOOKUP($E587,'Pazaryeri Kartları'!$B$5:$D$24,3,FALSE)*$G587),0)</f>
      </c>
      <c r="J587" s="16">
        <f>IFERROR(IF($C587="",0,VLOOKUP($C587,'Ürün Kartları'!$B$5:$G$154,6,FALSE)*$G587),0)</f>
      </c>
      <c r="K587" s="11"/>
      <c r="L587" s="10"/>
      <c r="M587" s="21">
        <f>IF($C587="","",IF($K587=1,-($J587*0.5)-$L587,$H587-$I587-$J587-$L587))</f>
      </c>
      <c r="N587" s="22">
        <f>IF(OR($C587="",$H587=0),"",$M587/$H587)</f>
      </c>
    </row>
    <row r="588" spans="2:14" x14ac:dyDescent="0.25">
      <c r="B588" s="23"/>
      <c r="C588" s="12"/>
      <c r="D588" s="20">
        <f>IFERROR(IF($C588="","",VLOOKUP($C588,'Ürün Kartları'!$B$5:$C$154,2,FALSE)),"— tanımsız ürün —")</f>
      </c>
      <c r="E588" s="12"/>
      <c r="F588" s="14"/>
      <c r="G588" s="15"/>
      <c r="H588" s="16">
        <f>IF(OR($F588="",$G588=""),0,$F588*$G588)</f>
      </c>
      <c r="I588" s="16">
        <f>IFERROR(IF($E588="",0,$H588*VLOOKUP($E588,'Pazaryeri Kartları'!$B$5:$C$24,2,FALSE)+VLOOKUP($E588,'Pazaryeri Kartları'!$B$5:$D$24,3,FALSE)*$G588),0)</f>
      </c>
      <c r="J588" s="16">
        <f>IFERROR(IF($C588="",0,VLOOKUP($C588,'Ürün Kartları'!$B$5:$G$154,6,FALSE)*$G588),0)</f>
      </c>
      <c r="K588" s="15"/>
      <c r="L588" s="14"/>
      <c r="M588" s="21">
        <f>IF($C588="","",IF($K588=1,-($J588*0.5)-$L588,$H588-$I588-$J588-$L588))</f>
      </c>
      <c r="N588" s="22">
        <f>IF(OR($C588="",$H588=0),"",$M588/$H588)</f>
      </c>
    </row>
    <row r="589" spans="2:14" x14ac:dyDescent="0.25">
      <c r="B589" s="19"/>
      <c r="C589" s="8"/>
      <c r="D589" s="20">
        <f>IFERROR(IF($C589="","",VLOOKUP($C589,'Ürün Kartları'!$B$5:$C$154,2,FALSE)),"— tanımsız ürün —")</f>
      </c>
      <c r="E589" s="8"/>
      <c r="F589" s="10"/>
      <c r="G589" s="11"/>
      <c r="H589" s="16">
        <f>IF(OR($F589="",$G589=""),0,$F589*$G589)</f>
      </c>
      <c r="I589" s="16">
        <f>IFERROR(IF($E589="",0,$H589*VLOOKUP($E589,'Pazaryeri Kartları'!$B$5:$C$24,2,FALSE)+VLOOKUP($E589,'Pazaryeri Kartları'!$B$5:$D$24,3,FALSE)*$G589),0)</f>
      </c>
      <c r="J589" s="16">
        <f>IFERROR(IF($C589="",0,VLOOKUP($C589,'Ürün Kartları'!$B$5:$G$154,6,FALSE)*$G589),0)</f>
      </c>
      <c r="K589" s="11"/>
      <c r="L589" s="10"/>
      <c r="M589" s="21">
        <f>IF($C589="","",IF($K589=1,-($J589*0.5)-$L589,$H589-$I589-$J589-$L589))</f>
      </c>
      <c r="N589" s="22">
        <f>IF(OR($C589="",$H589=0),"",$M589/$H589)</f>
      </c>
    </row>
    <row r="590" spans="2:14" x14ac:dyDescent="0.25">
      <c r="B590" s="23"/>
      <c r="C590" s="12"/>
      <c r="D590" s="20">
        <f>IFERROR(IF($C590="","",VLOOKUP($C590,'Ürün Kartları'!$B$5:$C$154,2,FALSE)),"— tanımsız ürün —")</f>
      </c>
      <c r="E590" s="12"/>
      <c r="F590" s="14"/>
      <c r="G590" s="15"/>
      <c r="H590" s="16">
        <f>IF(OR($F590="",$G590=""),0,$F590*$G590)</f>
      </c>
      <c r="I590" s="16">
        <f>IFERROR(IF($E590="",0,$H590*VLOOKUP($E590,'Pazaryeri Kartları'!$B$5:$C$24,2,FALSE)+VLOOKUP($E590,'Pazaryeri Kartları'!$B$5:$D$24,3,FALSE)*$G590),0)</f>
      </c>
      <c r="J590" s="16">
        <f>IFERROR(IF($C590="",0,VLOOKUP($C590,'Ürün Kartları'!$B$5:$G$154,6,FALSE)*$G590),0)</f>
      </c>
      <c r="K590" s="15"/>
      <c r="L590" s="14"/>
      <c r="M590" s="21">
        <f>IF($C590="","",IF($K590=1,-($J590*0.5)-$L590,$H590-$I590-$J590-$L590))</f>
      </c>
      <c r="N590" s="22">
        <f>IF(OR($C590="",$H590=0),"",$M590/$H590)</f>
      </c>
    </row>
    <row r="591" spans="2:14" x14ac:dyDescent="0.25">
      <c r="B591" s="19"/>
      <c r="C591" s="8"/>
      <c r="D591" s="20">
        <f>IFERROR(IF($C591="","",VLOOKUP($C591,'Ürün Kartları'!$B$5:$C$154,2,FALSE)),"— tanımsız ürün —")</f>
      </c>
      <c r="E591" s="8"/>
      <c r="F591" s="10"/>
      <c r="G591" s="11"/>
      <c r="H591" s="16">
        <f>IF(OR($F591="",$G591=""),0,$F591*$G591)</f>
      </c>
      <c r="I591" s="16">
        <f>IFERROR(IF($E591="",0,$H591*VLOOKUP($E591,'Pazaryeri Kartları'!$B$5:$C$24,2,FALSE)+VLOOKUP($E591,'Pazaryeri Kartları'!$B$5:$D$24,3,FALSE)*$G591),0)</f>
      </c>
      <c r="J591" s="16">
        <f>IFERROR(IF($C591="",0,VLOOKUP($C591,'Ürün Kartları'!$B$5:$G$154,6,FALSE)*$G591),0)</f>
      </c>
      <c r="K591" s="11"/>
      <c r="L591" s="10"/>
      <c r="M591" s="21">
        <f>IF($C591="","",IF($K591=1,-($J591*0.5)-$L591,$H591-$I591-$J591-$L591))</f>
      </c>
      <c r="N591" s="22">
        <f>IF(OR($C591="",$H591=0),"",$M591/$H591)</f>
      </c>
    </row>
    <row r="592" spans="2:14" x14ac:dyDescent="0.25">
      <c r="B592" s="23"/>
      <c r="C592" s="12"/>
      <c r="D592" s="20">
        <f>IFERROR(IF($C592="","",VLOOKUP($C592,'Ürün Kartları'!$B$5:$C$154,2,FALSE)),"— tanımsız ürün —")</f>
      </c>
      <c r="E592" s="12"/>
      <c r="F592" s="14"/>
      <c r="G592" s="15"/>
      <c r="H592" s="16">
        <f>IF(OR($F592="",$G592=""),0,$F592*$G592)</f>
      </c>
      <c r="I592" s="16">
        <f>IFERROR(IF($E592="",0,$H592*VLOOKUP($E592,'Pazaryeri Kartları'!$B$5:$C$24,2,FALSE)+VLOOKUP($E592,'Pazaryeri Kartları'!$B$5:$D$24,3,FALSE)*$G592),0)</f>
      </c>
      <c r="J592" s="16">
        <f>IFERROR(IF($C592="",0,VLOOKUP($C592,'Ürün Kartları'!$B$5:$G$154,6,FALSE)*$G592),0)</f>
      </c>
      <c r="K592" s="15"/>
      <c r="L592" s="14"/>
      <c r="M592" s="21">
        <f>IF($C592="","",IF($K592=1,-($J592*0.5)-$L592,$H592-$I592-$J592-$L592))</f>
      </c>
      <c r="N592" s="22">
        <f>IF(OR($C592="",$H592=0),"",$M592/$H592)</f>
      </c>
    </row>
    <row r="593" spans="2:14" x14ac:dyDescent="0.25">
      <c r="B593" s="19"/>
      <c r="C593" s="8"/>
      <c r="D593" s="20">
        <f>IFERROR(IF($C593="","",VLOOKUP($C593,'Ürün Kartları'!$B$5:$C$154,2,FALSE)),"— tanımsız ürün —")</f>
      </c>
      <c r="E593" s="8"/>
      <c r="F593" s="10"/>
      <c r="G593" s="11"/>
      <c r="H593" s="16">
        <f>IF(OR($F593="",$G593=""),0,$F593*$G593)</f>
      </c>
      <c r="I593" s="16">
        <f>IFERROR(IF($E593="",0,$H593*VLOOKUP($E593,'Pazaryeri Kartları'!$B$5:$C$24,2,FALSE)+VLOOKUP($E593,'Pazaryeri Kartları'!$B$5:$D$24,3,FALSE)*$G593),0)</f>
      </c>
      <c r="J593" s="16">
        <f>IFERROR(IF($C593="",0,VLOOKUP($C593,'Ürün Kartları'!$B$5:$G$154,6,FALSE)*$G593),0)</f>
      </c>
      <c r="K593" s="11"/>
      <c r="L593" s="10"/>
      <c r="M593" s="21">
        <f>IF($C593="","",IF($K593=1,-($J593*0.5)-$L593,$H593-$I593-$J593-$L593))</f>
      </c>
      <c r="N593" s="22">
        <f>IF(OR($C593="",$H593=0),"",$M593/$H593)</f>
      </c>
    </row>
    <row r="594" spans="2:14" x14ac:dyDescent="0.25">
      <c r="B594" s="23"/>
      <c r="C594" s="12"/>
      <c r="D594" s="20">
        <f>IFERROR(IF($C594="","",VLOOKUP($C594,'Ürün Kartları'!$B$5:$C$154,2,FALSE)),"— tanımsız ürün —")</f>
      </c>
      <c r="E594" s="12"/>
      <c r="F594" s="14"/>
      <c r="G594" s="15"/>
      <c r="H594" s="16">
        <f>IF(OR($F594="",$G594=""),0,$F594*$G594)</f>
      </c>
      <c r="I594" s="16">
        <f>IFERROR(IF($E594="",0,$H594*VLOOKUP($E594,'Pazaryeri Kartları'!$B$5:$C$24,2,FALSE)+VLOOKUP($E594,'Pazaryeri Kartları'!$B$5:$D$24,3,FALSE)*$G594),0)</f>
      </c>
      <c r="J594" s="16">
        <f>IFERROR(IF($C594="",0,VLOOKUP($C594,'Ürün Kartları'!$B$5:$G$154,6,FALSE)*$G594),0)</f>
      </c>
      <c r="K594" s="15"/>
      <c r="L594" s="14"/>
      <c r="M594" s="21">
        <f>IF($C594="","",IF($K594=1,-($J594*0.5)-$L594,$H594-$I594-$J594-$L594))</f>
      </c>
      <c r="N594" s="22">
        <f>IF(OR($C594="",$H594=0),"",$M594/$H594)</f>
      </c>
    </row>
    <row r="595" spans="2:14" x14ac:dyDescent="0.25">
      <c r="B595" s="19"/>
      <c r="C595" s="8"/>
      <c r="D595" s="20">
        <f>IFERROR(IF($C595="","",VLOOKUP($C595,'Ürün Kartları'!$B$5:$C$154,2,FALSE)),"— tanımsız ürün —")</f>
      </c>
      <c r="E595" s="8"/>
      <c r="F595" s="10"/>
      <c r="G595" s="11"/>
      <c r="H595" s="16">
        <f>IF(OR($F595="",$G595=""),0,$F595*$G595)</f>
      </c>
      <c r="I595" s="16">
        <f>IFERROR(IF($E595="",0,$H595*VLOOKUP($E595,'Pazaryeri Kartları'!$B$5:$C$24,2,FALSE)+VLOOKUP($E595,'Pazaryeri Kartları'!$B$5:$D$24,3,FALSE)*$G595),0)</f>
      </c>
      <c r="J595" s="16">
        <f>IFERROR(IF($C595="",0,VLOOKUP($C595,'Ürün Kartları'!$B$5:$G$154,6,FALSE)*$G595),0)</f>
      </c>
      <c r="K595" s="11"/>
      <c r="L595" s="10"/>
      <c r="M595" s="21">
        <f>IF($C595="","",IF($K595=1,-($J595*0.5)-$L595,$H595-$I595-$J595-$L595))</f>
      </c>
      <c r="N595" s="22">
        <f>IF(OR($C595="",$H595=0),"",$M595/$H595)</f>
      </c>
    </row>
    <row r="596" spans="2:14" x14ac:dyDescent="0.25">
      <c r="B596" s="23"/>
      <c r="C596" s="12"/>
      <c r="D596" s="20">
        <f>IFERROR(IF($C596="","",VLOOKUP($C596,'Ürün Kartları'!$B$5:$C$154,2,FALSE)),"— tanımsız ürün —")</f>
      </c>
      <c r="E596" s="12"/>
      <c r="F596" s="14"/>
      <c r="G596" s="15"/>
      <c r="H596" s="16">
        <f>IF(OR($F596="",$G596=""),0,$F596*$G596)</f>
      </c>
      <c r="I596" s="16">
        <f>IFERROR(IF($E596="",0,$H596*VLOOKUP($E596,'Pazaryeri Kartları'!$B$5:$C$24,2,FALSE)+VLOOKUP($E596,'Pazaryeri Kartları'!$B$5:$D$24,3,FALSE)*$G596),0)</f>
      </c>
      <c r="J596" s="16">
        <f>IFERROR(IF($C596="",0,VLOOKUP($C596,'Ürün Kartları'!$B$5:$G$154,6,FALSE)*$G596),0)</f>
      </c>
      <c r="K596" s="15"/>
      <c r="L596" s="14"/>
      <c r="M596" s="21">
        <f>IF($C596="","",IF($K596=1,-($J596*0.5)-$L596,$H596-$I596-$J596-$L596))</f>
      </c>
      <c r="N596" s="22">
        <f>IF(OR($C596="",$H596=0),"",$M596/$H596)</f>
      </c>
    </row>
    <row r="597" spans="2:14" x14ac:dyDescent="0.25">
      <c r="B597" s="19"/>
      <c r="C597" s="8"/>
      <c r="D597" s="20">
        <f>IFERROR(IF($C597="","",VLOOKUP($C597,'Ürün Kartları'!$B$5:$C$154,2,FALSE)),"— tanımsız ürün —")</f>
      </c>
      <c r="E597" s="8"/>
      <c r="F597" s="10"/>
      <c r="G597" s="11"/>
      <c r="H597" s="16">
        <f>IF(OR($F597="",$G597=""),0,$F597*$G597)</f>
      </c>
      <c r="I597" s="16">
        <f>IFERROR(IF($E597="",0,$H597*VLOOKUP($E597,'Pazaryeri Kartları'!$B$5:$C$24,2,FALSE)+VLOOKUP($E597,'Pazaryeri Kartları'!$B$5:$D$24,3,FALSE)*$G597),0)</f>
      </c>
      <c r="J597" s="16">
        <f>IFERROR(IF($C597="",0,VLOOKUP($C597,'Ürün Kartları'!$B$5:$G$154,6,FALSE)*$G597),0)</f>
      </c>
      <c r="K597" s="11"/>
      <c r="L597" s="10"/>
      <c r="M597" s="21">
        <f>IF($C597="","",IF($K597=1,-($J597*0.5)-$L597,$H597-$I597-$J597-$L597))</f>
      </c>
      <c r="N597" s="22">
        <f>IF(OR($C597="",$H597=0),"",$M597/$H597)</f>
      </c>
    </row>
    <row r="598" spans="2:14" x14ac:dyDescent="0.25">
      <c r="B598" s="23"/>
      <c r="C598" s="12"/>
      <c r="D598" s="20">
        <f>IFERROR(IF($C598="","",VLOOKUP($C598,'Ürün Kartları'!$B$5:$C$154,2,FALSE)),"— tanımsız ürün —")</f>
      </c>
      <c r="E598" s="12"/>
      <c r="F598" s="14"/>
      <c r="G598" s="15"/>
      <c r="H598" s="16">
        <f>IF(OR($F598="",$G598=""),0,$F598*$G598)</f>
      </c>
      <c r="I598" s="16">
        <f>IFERROR(IF($E598="",0,$H598*VLOOKUP($E598,'Pazaryeri Kartları'!$B$5:$C$24,2,FALSE)+VLOOKUP($E598,'Pazaryeri Kartları'!$B$5:$D$24,3,FALSE)*$G598),0)</f>
      </c>
      <c r="J598" s="16">
        <f>IFERROR(IF($C598="",0,VLOOKUP($C598,'Ürün Kartları'!$B$5:$G$154,6,FALSE)*$G598),0)</f>
      </c>
      <c r="K598" s="15"/>
      <c r="L598" s="14"/>
      <c r="M598" s="21">
        <f>IF($C598="","",IF($K598=1,-($J598*0.5)-$L598,$H598-$I598-$J598-$L598))</f>
      </c>
      <c r="N598" s="22">
        <f>IF(OR($C598="",$H598=0),"",$M598/$H598)</f>
      </c>
    </row>
    <row r="599" spans="2:14" x14ac:dyDescent="0.25">
      <c r="B599" s="19"/>
      <c r="C599" s="8"/>
      <c r="D599" s="20">
        <f>IFERROR(IF($C599="","",VLOOKUP($C599,'Ürün Kartları'!$B$5:$C$154,2,FALSE)),"— tanımsız ürün —")</f>
      </c>
      <c r="E599" s="8"/>
      <c r="F599" s="10"/>
      <c r="G599" s="11"/>
      <c r="H599" s="16">
        <f>IF(OR($F599="",$G599=""),0,$F599*$G599)</f>
      </c>
      <c r="I599" s="16">
        <f>IFERROR(IF($E599="",0,$H599*VLOOKUP($E599,'Pazaryeri Kartları'!$B$5:$C$24,2,FALSE)+VLOOKUP($E599,'Pazaryeri Kartları'!$B$5:$D$24,3,FALSE)*$G599),0)</f>
      </c>
      <c r="J599" s="16">
        <f>IFERROR(IF($C599="",0,VLOOKUP($C599,'Ürün Kartları'!$B$5:$G$154,6,FALSE)*$G599),0)</f>
      </c>
      <c r="K599" s="11"/>
      <c r="L599" s="10"/>
      <c r="M599" s="21">
        <f>IF($C599="","",IF($K599=1,-($J599*0.5)-$L599,$H599-$I599-$J599-$L599))</f>
      </c>
      <c r="N599" s="22">
        <f>IF(OR($C599="",$H599=0),"",$M599/$H599)</f>
      </c>
    </row>
    <row r="600" spans="2:14" x14ac:dyDescent="0.25">
      <c r="B600" s="23"/>
      <c r="C600" s="12"/>
      <c r="D600" s="20">
        <f>IFERROR(IF($C600="","",VLOOKUP($C600,'Ürün Kartları'!$B$5:$C$154,2,FALSE)),"— tanımsız ürün —")</f>
      </c>
      <c r="E600" s="12"/>
      <c r="F600" s="14"/>
      <c r="G600" s="15"/>
      <c r="H600" s="16">
        <f>IF(OR($F600="",$G600=""),0,$F600*$G600)</f>
      </c>
      <c r="I600" s="16">
        <f>IFERROR(IF($E600="",0,$H600*VLOOKUP($E600,'Pazaryeri Kartları'!$B$5:$C$24,2,FALSE)+VLOOKUP($E600,'Pazaryeri Kartları'!$B$5:$D$24,3,FALSE)*$G600),0)</f>
      </c>
      <c r="J600" s="16">
        <f>IFERROR(IF($C600="",0,VLOOKUP($C600,'Ürün Kartları'!$B$5:$G$154,6,FALSE)*$G600),0)</f>
      </c>
      <c r="K600" s="15"/>
      <c r="L600" s="14"/>
      <c r="M600" s="21">
        <f>IF($C600="","",IF($K600=1,-($J600*0.5)-$L600,$H600-$I600-$J600-$L600))</f>
      </c>
      <c r="N600" s="22">
        <f>IF(OR($C600="",$H600=0),"",$M600/$H600)</f>
      </c>
    </row>
    <row r="601" spans="2:14" x14ac:dyDescent="0.25">
      <c r="B601" s="19"/>
      <c r="C601" s="8"/>
      <c r="D601" s="20">
        <f>IFERROR(IF($C601="","",VLOOKUP($C601,'Ürün Kartları'!$B$5:$C$154,2,FALSE)),"— tanımsız ürün —")</f>
      </c>
      <c r="E601" s="8"/>
      <c r="F601" s="10"/>
      <c r="G601" s="11"/>
      <c r="H601" s="16">
        <f>IF(OR($F601="",$G601=""),0,$F601*$G601)</f>
      </c>
      <c r="I601" s="16">
        <f>IFERROR(IF($E601="",0,$H601*VLOOKUP($E601,'Pazaryeri Kartları'!$B$5:$C$24,2,FALSE)+VLOOKUP($E601,'Pazaryeri Kartları'!$B$5:$D$24,3,FALSE)*$G601),0)</f>
      </c>
      <c r="J601" s="16">
        <f>IFERROR(IF($C601="",0,VLOOKUP($C601,'Ürün Kartları'!$B$5:$G$154,6,FALSE)*$G601),0)</f>
      </c>
      <c r="K601" s="11"/>
      <c r="L601" s="10"/>
      <c r="M601" s="21">
        <f>IF($C601="","",IF($K601=1,-($J601*0.5)-$L601,$H601-$I601-$J601-$L601))</f>
      </c>
      <c r="N601" s="22">
        <f>IF(OR($C601="",$H601=0),"",$M601/$H601)</f>
      </c>
    </row>
    <row r="602" spans="2:14" x14ac:dyDescent="0.25">
      <c r="B602" s="23"/>
      <c r="C602" s="12"/>
      <c r="D602" s="20">
        <f>IFERROR(IF($C602="","",VLOOKUP($C602,'Ürün Kartları'!$B$5:$C$154,2,FALSE)),"— tanımsız ürün —")</f>
      </c>
      <c r="E602" s="12"/>
      <c r="F602" s="14"/>
      <c r="G602" s="15"/>
      <c r="H602" s="16">
        <f>IF(OR($F602="",$G602=""),0,$F602*$G602)</f>
      </c>
      <c r="I602" s="16">
        <f>IFERROR(IF($E602="",0,$H602*VLOOKUP($E602,'Pazaryeri Kartları'!$B$5:$C$24,2,FALSE)+VLOOKUP($E602,'Pazaryeri Kartları'!$B$5:$D$24,3,FALSE)*$G602),0)</f>
      </c>
      <c r="J602" s="16">
        <f>IFERROR(IF($C602="",0,VLOOKUP($C602,'Ürün Kartları'!$B$5:$G$154,6,FALSE)*$G602),0)</f>
      </c>
      <c r="K602" s="15"/>
      <c r="L602" s="14"/>
      <c r="M602" s="21">
        <f>IF($C602="","",IF($K602=1,-($J602*0.5)-$L602,$H602-$I602-$J602-$L602))</f>
      </c>
      <c r="N602" s="22">
        <f>IF(OR($C602="",$H602=0),"",$M602/$H602)</f>
      </c>
    </row>
    <row r="603" spans="2:14" x14ac:dyDescent="0.25">
      <c r="B603" s="19"/>
      <c r="C603" s="8"/>
      <c r="D603" s="20">
        <f>IFERROR(IF($C603="","",VLOOKUP($C603,'Ürün Kartları'!$B$5:$C$154,2,FALSE)),"— tanımsız ürün —")</f>
      </c>
      <c r="E603" s="8"/>
      <c r="F603" s="10"/>
      <c r="G603" s="11"/>
      <c r="H603" s="16">
        <f>IF(OR($F603="",$G603=""),0,$F603*$G603)</f>
      </c>
      <c r="I603" s="16">
        <f>IFERROR(IF($E603="",0,$H603*VLOOKUP($E603,'Pazaryeri Kartları'!$B$5:$C$24,2,FALSE)+VLOOKUP($E603,'Pazaryeri Kartları'!$B$5:$D$24,3,FALSE)*$G603),0)</f>
      </c>
      <c r="J603" s="16">
        <f>IFERROR(IF($C603="",0,VLOOKUP($C603,'Ürün Kartları'!$B$5:$G$154,6,FALSE)*$G603),0)</f>
      </c>
      <c r="K603" s="11"/>
      <c r="L603" s="10"/>
      <c r="M603" s="21">
        <f>IF($C603="","",IF($K603=1,-($J603*0.5)-$L603,$H603-$I603-$J603-$L603))</f>
      </c>
      <c r="N603" s="22">
        <f>IF(OR($C603="",$H603=0),"",$M603/$H603)</f>
      </c>
    </row>
    <row r="604" spans="2:14" x14ac:dyDescent="0.25">
      <c r="B604" s="23"/>
      <c r="C604" s="12"/>
      <c r="D604" s="20">
        <f>IFERROR(IF($C604="","",VLOOKUP($C604,'Ürün Kartları'!$B$5:$C$154,2,FALSE)),"— tanımsız ürün —")</f>
      </c>
      <c r="E604" s="12"/>
      <c r="F604" s="14"/>
      <c r="G604" s="15"/>
      <c r="H604" s="16">
        <f>IF(OR($F604="",$G604=""),0,$F604*$G604)</f>
      </c>
      <c r="I604" s="16">
        <f>IFERROR(IF($E604="",0,$H604*VLOOKUP($E604,'Pazaryeri Kartları'!$B$5:$C$24,2,FALSE)+VLOOKUP($E604,'Pazaryeri Kartları'!$B$5:$D$24,3,FALSE)*$G604),0)</f>
      </c>
      <c r="J604" s="16">
        <f>IFERROR(IF($C604="",0,VLOOKUP($C604,'Ürün Kartları'!$B$5:$G$154,6,FALSE)*$G604),0)</f>
      </c>
      <c r="K604" s="15"/>
      <c r="L604" s="14"/>
      <c r="M604" s="21">
        <f>IF($C604="","",IF($K604=1,-($J604*0.5)-$L604,$H604-$I604-$J604-$L604))</f>
      </c>
      <c r="N604" s="22">
        <f>IF(OR($C604="",$H604=0),"",$M604/$H604)</f>
      </c>
    </row>
    <row r="605" spans="2:14" x14ac:dyDescent="0.25">
      <c r="B605" s="19"/>
      <c r="C605" s="8"/>
      <c r="D605" s="20">
        <f>IFERROR(IF($C605="","",VLOOKUP($C605,'Ürün Kartları'!$B$5:$C$154,2,FALSE)),"— tanımsız ürün —")</f>
      </c>
      <c r="E605" s="8"/>
      <c r="F605" s="10"/>
      <c r="G605" s="11"/>
      <c r="H605" s="16">
        <f>IF(OR($F605="",$G605=""),0,$F605*$G605)</f>
      </c>
      <c r="I605" s="16">
        <f>IFERROR(IF($E605="",0,$H605*VLOOKUP($E605,'Pazaryeri Kartları'!$B$5:$C$24,2,FALSE)+VLOOKUP($E605,'Pazaryeri Kartları'!$B$5:$D$24,3,FALSE)*$G605),0)</f>
      </c>
      <c r="J605" s="16">
        <f>IFERROR(IF($C605="",0,VLOOKUP($C605,'Ürün Kartları'!$B$5:$G$154,6,FALSE)*$G605),0)</f>
      </c>
      <c r="K605" s="11"/>
      <c r="L605" s="10"/>
      <c r="M605" s="21">
        <f>IF($C605="","",IF($K605=1,-($J605*0.5)-$L605,$H605-$I605-$J605-$L605))</f>
      </c>
      <c r="N605" s="22">
        <f>IF(OR($C605="",$H605=0),"",$M605/$H605)</f>
      </c>
    </row>
    <row r="606" spans="2:14" x14ac:dyDescent="0.25">
      <c r="B606" s="23"/>
      <c r="C606" s="12"/>
      <c r="D606" s="20">
        <f>IFERROR(IF($C606="","",VLOOKUP($C606,'Ürün Kartları'!$B$5:$C$154,2,FALSE)),"— tanımsız ürün —")</f>
      </c>
      <c r="E606" s="12"/>
      <c r="F606" s="14"/>
      <c r="G606" s="15"/>
      <c r="H606" s="16">
        <f>IF(OR($F606="",$G606=""),0,$F606*$G606)</f>
      </c>
      <c r="I606" s="16">
        <f>IFERROR(IF($E606="",0,$H606*VLOOKUP($E606,'Pazaryeri Kartları'!$B$5:$C$24,2,FALSE)+VLOOKUP($E606,'Pazaryeri Kartları'!$B$5:$D$24,3,FALSE)*$G606),0)</f>
      </c>
      <c r="J606" s="16">
        <f>IFERROR(IF($C606="",0,VLOOKUP($C606,'Ürün Kartları'!$B$5:$G$154,6,FALSE)*$G606),0)</f>
      </c>
      <c r="K606" s="15"/>
      <c r="L606" s="14"/>
      <c r="M606" s="21">
        <f>IF($C606="","",IF($K606=1,-($J606*0.5)-$L606,$H606-$I606-$J606-$L606))</f>
      </c>
      <c r="N606" s="22">
        <f>IF(OR($C606="",$H606=0),"",$M606/$H606)</f>
      </c>
    </row>
    <row r="607" spans="2:14" x14ac:dyDescent="0.25">
      <c r="B607" s="19"/>
      <c r="C607" s="8"/>
      <c r="D607" s="20">
        <f>IFERROR(IF($C607="","",VLOOKUP($C607,'Ürün Kartları'!$B$5:$C$154,2,FALSE)),"— tanımsız ürün —")</f>
      </c>
      <c r="E607" s="8"/>
      <c r="F607" s="10"/>
      <c r="G607" s="11"/>
      <c r="H607" s="16">
        <f>IF(OR($F607="",$G607=""),0,$F607*$G607)</f>
      </c>
      <c r="I607" s="16">
        <f>IFERROR(IF($E607="",0,$H607*VLOOKUP($E607,'Pazaryeri Kartları'!$B$5:$C$24,2,FALSE)+VLOOKUP($E607,'Pazaryeri Kartları'!$B$5:$D$24,3,FALSE)*$G607),0)</f>
      </c>
      <c r="J607" s="16">
        <f>IFERROR(IF($C607="",0,VLOOKUP($C607,'Ürün Kartları'!$B$5:$G$154,6,FALSE)*$G607),0)</f>
      </c>
      <c r="K607" s="11"/>
      <c r="L607" s="10"/>
      <c r="M607" s="21">
        <f>IF($C607="","",IF($K607=1,-($J607*0.5)-$L607,$H607-$I607-$J607-$L607))</f>
      </c>
      <c r="N607" s="22">
        <f>IF(OR($C607="",$H607=0),"",$M607/$H607)</f>
      </c>
    </row>
    <row r="608" spans="2:14" x14ac:dyDescent="0.25">
      <c r="B608" s="23"/>
      <c r="C608" s="12"/>
      <c r="D608" s="20">
        <f>IFERROR(IF($C608="","",VLOOKUP($C608,'Ürün Kartları'!$B$5:$C$154,2,FALSE)),"— tanımsız ürün —")</f>
      </c>
      <c r="E608" s="12"/>
      <c r="F608" s="14"/>
      <c r="G608" s="15"/>
      <c r="H608" s="16">
        <f>IF(OR($F608="",$G608=""),0,$F608*$G608)</f>
      </c>
      <c r="I608" s="16">
        <f>IFERROR(IF($E608="",0,$H608*VLOOKUP($E608,'Pazaryeri Kartları'!$B$5:$C$24,2,FALSE)+VLOOKUP($E608,'Pazaryeri Kartları'!$B$5:$D$24,3,FALSE)*$G608),0)</f>
      </c>
      <c r="J608" s="16">
        <f>IFERROR(IF($C608="",0,VLOOKUP($C608,'Ürün Kartları'!$B$5:$G$154,6,FALSE)*$G608),0)</f>
      </c>
      <c r="K608" s="15"/>
      <c r="L608" s="14"/>
      <c r="M608" s="21">
        <f>IF($C608="","",IF($K608=1,-($J608*0.5)-$L608,$H608-$I608-$J608-$L608))</f>
      </c>
      <c r="N608" s="22">
        <f>IF(OR($C608="",$H608=0),"",$M608/$H608)</f>
      </c>
    </row>
    <row r="609" spans="2:14" x14ac:dyDescent="0.25">
      <c r="B609" s="19"/>
      <c r="C609" s="8"/>
      <c r="D609" s="20">
        <f>IFERROR(IF($C609="","",VLOOKUP($C609,'Ürün Kartları'!$B$5:$C$154,2,FALSE)),"— tanımsız ürün —")</f>
      </c>
      <c r="E609" s="8"/>
      <c r="F609" s="10"/>
      <c r="G609" s="11"/>
      <c r="H609" s="16">
        <f>IF(OR($F609="",$G609=""),0,$F609*$G609)</f>
      </c>
      <c r="I609" s="16">
        <f>IFERROR(IF($E609="",0,$H609*VLOOKUP($E609,'Pazaryeri Kartları'!$B$5:$C$24,2,FALSE)+VLOOKUP($E609,'Pazaryeri Kartları'!$B$5:$D$24,3,FALSE)*$G609),0)</f>
      </c>
      <c r="J609" s="16">
        <f>IFERROR(IF($C609="",0,VLOOKUP($C609,'Ürün Kartları'!$B$5:$G$154,6,FALSE)*$G609),0)</f>
      </c>
      <c r="K609" s="11"/>
      <c r="L609" s="10"/>
      <c r="M609" s="21">
        <f>IF($C609="","",IF($K609=1,-($J609*0.5)-$L609,$H609-$I609-$J609-$L609))</f>
      </c>
      <c r="N609" s="22">
        <f>IF(OR($C609="",$H609=0),"",$M609/$H609)</f>
      </c>
    </row>
    <row r="610" spans="2:14" x14ac:dyDescent="0.25">
      <c r="B610" s="23"/>
      <c r="C610" s="12"/>
      <c r="D610" s="20">
        <f>IFERROR(IF($C610="","",VLOOKUP($C610,'Ürün Kartları'!$B$5:$C$154,2,FALSE)),"— tanımsız ürün —")</f>
      </c>
      <c r="E610" s="12"/>
      <c r="F610" s="14"/>
      <c r="G610" s="15"/>
      <c r="H610" s="16">
        <f>IF(OR($F610="",$G610=""),0,$F610*$G610)</f>
      </c>
      <c r="I610" s="16">
        <f>IFERROR(IF($E610="",0,$H610*VLOOKUP($E610,'Pazaryeri Kartları'!$B$5:$C$24,2,FALSE)+VLOOKUP($E610,'Pazaryeri Kartları'!$B$5:$D$24,3,FALSE)*$G610),0)</f>
      </c>
      <c r="J610" s="16">
        <f>IFERROR(IF($C610="",0,VLOOKUP($C610,'Ürün Kartları'!$B$5:$G$154,6,FALSE)*$G610),0)</f>
      </c>
      <c r="K610" s="15"/>
      <c r="L610" s="14"/>
      <c r="M610" s="21">
        <f>IF($C610="","",IF($K610=1,-($J610*0.5)-$L610,$H610-$I610-$J610-$L610))</f>
      </c>
      <c r="N610" s="22">
        <f>IF(OR($C610="",$H610=0),"",$M610/$H610)</f>
      </c>
    </row>
    <row r="611" spans="2:14" x14ac:dyDescent="0.25">
      <c r="B611" s="19"/>
      <c r="C611" s="8"/>
      <c r="D611" s="20">
        <f>IFERROR(IF($C611="","",VLOOKUP($C611,'Ürün Kartları'!$B$5:$C$154,2,FALSE)),"— tanımsız ürün —")</f>
      </c>
      <c r="E611" s="8"/>
      <c r="F611" s="10"/>
      <c r="G611" s="11"/>
      <c r="H611" s="16">
        <f>IF(OR($F611="",$G611=""),0,$F611*$G611)</f>
      </c>
      <c r="I611" s="16">
        <f>IFERROR(IF($E611="",0,$H611*VLOOKUP($E611,'Pazaryeri Kartları'!$B$5:$C$24,2,FALSE)+VLOOKUP($E611,'Pazaryeri Kartları'!$B$5:$D$24,3,FALSE)*$G611),0)</f>
      </c>
      <c r="J611" s="16">
        <f>IFERROR(IF($C611="",0,VLOOKUP($C611,'Ürün Kartları'!$B$5:$G$154,6,FALSE)*$G611),0)</f>
      </c>
      <c r="K611" s="11"/>
      <c r="L611" s="10"/>
      <c r="M611" s="21">
        <f>IF($C611="","",IF($K611=1,-($J611*0.5)-$L611,$H611-$I611-$J611-$L611))</f>
      </c>
      <c r="N611" s="22">
        <f>IF(OR($C611="",$H611=0),"",$M611/$H611)</f>
      </c>
    </row>
    <row r="612" spans="2:14" x14ac:dyDescent="0.25">
      <c r="B612" s="23"/>
      <c r="C612" s="12"/>
      <c r="D612" s="20">
        <f>IFERROR(IF($C612="","",VLOOKUP($C612,'Ürün Kartları'!$B$5:$C$154,2,FALSE)),"— tanımsız ürün —")</f>
      </c>
      <c r="E612" s="12"/>
      <c r="F612" s="14"/>
      <c r="G612" s="15"/>
      <c r="H612" s="16">
        <f>IF(OR($F612="",$G612=""),0,$F612*$G612)</f>
      </c>
      <c r="I612" s="16">
        <f>IFERROR(IF($E612="",0,$H612*VLOOKUP($E612,'Pazaryeri Kartları'!$B$5:$C$24,2,FALSE)+VLOOKUP($E612,'Pazaryeri Kartları'!$B$5:$D$24,3,FALSE)*$G612),0)</f>
      </c>
      <c r="J612" s="16">
        <f>IFERROR(IF($C612="",0,VLOOKUP($C612,'Ürün Kartları'!$B$5:$G$154,6,FALSE)*$G612),0)</f>
      </c>
      <c r="K612" s="15"/>
      <c r="L612" s="14"/>
      <c r="M612" s="21">
        <f>IF($C612="","",IF($K612=1,-($J612*0.5)-$L612,$H612-$I612-$J612-$L612))</f>
      </c>
      <c r="N612" s="22">
        <f>IF(OR($C612="",$H612=0),"",$M612/$H612)</f>
      </c>
    </row>
    <row r="613" spans="2:14" x14ac:dyDescent="0.25">
      <c r="B613" s="19"/>
      <c r="C613" s="8"/>
      <c r="D613" s="20">
        <f>IFERROR(IF($C613="","",VLOOKUP($C613,'Ürün Kartları'!$B$5:$C$154,2,FALSE)),"— tanımsız ürün —")</f>
      </c>
      <c r="E613" s="8"/>
      <c r="F613" s="10"/>
      <c r="G613" s="11"/>
      <c r="H613" s="16">
        <f>IF(OR($F613="",$G613=""),0,$F613*$G613)</f>
      </c>
      <c r="I613" s="16">
        <f>IFERROR(IF($E613="",0,$H613*VLOOKUP($E613,'Pazaryeri Kartları'!$B$5:$C$24,2,FALSE)+VLOOKUP($E613,'Pazaryeri Kartları'!$B$5:$D$24,3,FALSE)*$G613),0)</f>
      </c>
      <c r="J613" s="16">
        <f>IFERROR(IF($C613="",0,VLOOKUP($C613,'Ürün Kartları'!$B$5:$G$154,6,FALSE)*$G613),0)</f>
      </c>
      <c r="K613" s="11"/>
      <c r="L613" s="10"/>
      <c r="M613" s="21">
        <f>IF($C613="","",IF($K613=1,-($J613*0.5)-$L613,$H613-$I613-$J613-$L613))</f>
      </c>
      <c r="N613" s="22">
        <f>IF(OR($C613="",$H613=0),"",$M613/$H613)</f>
      </c>
    </row>
    <row r="614" spans="2:14" x14ac:dyDescent="0.25">
      <c r="B614" s="23"/>
      <c r="C614" s="12"/>
      <c r="D614" s="20">
        <f>IFERROR(IF($C614="","",VLOOKUP($C614,'Ürün Kartları'!$B$5:$C$154,2,FALSE)),"— tanımsız ürün —")</f>
      </c>
      <c r="E614" s="12"/>
      <c r="F614" s="14"/>
      <c r="G614" s="15"/>
      <c r="H614" s="16">
        <f>IF(OR($F614="",$G614=""),0,$F614*$G614)</f>
      </c>
      <c r="I614" s="16">
        <f>IFERROR(IF($E614="",0,$H614*VLOOKUP($E614,'Pazaryeri Kartları'!$B$5:$C$24,2,FALSE)+VLOOKUP($E614,'Pazaryeri Kartları'!$B$5:$D$24,3,FALSE)*$G614),0)</f>
      </c>
      <c r="J614" s="16">
        <f>IFERROR(IF($C614="",0,VLOOKUP($C614,'Ürün Kartları'!$B$5:$G$154,6,FALSE)*$G614),0)</f>
      </c>
      <c r="K614" s="15"/>
      <c r="L614" s="14"/>
      <c r="M614" s="21">
        <f>IF($C614="","",IF($K614=1,-($J614*0.5)-$L614,$H614-$I614-$J614-$L614))</f>
      </c>
      <c r="N614" s="22">
        <f>IF(OR($C614="",$H614=0),"",$M614/$H614)</f>
      </c>
    </row>
    <row r="615" spans="2:14" x14ac:dyDescent="0.25">
      <c r="B615" s="19"/>
      <c r="C615" s="8"/>
      <c r="D615" s="20">
        <f>IFERROR(IF($C615="","",VLOOKUP($C615,'Ürün Kartları'!$B$5:$C$154,2,FALSE)),"— tanımsız ürün —")</f>
      </c>
      <c r="E615" s="8"/>
      <c r="F615" s="10"/>
      <c r="G615" s="11"/>
      <c r="H615" s="16">
        <f>IF(OR($F615="",$G615=""),0,$F615*$G615)</f>
      </c>
      <c r="I615" s="16">
        <f>IFERROR(IF($E615="",0,$H615*VLOOKUP($E615,'Pazaryeri Kartları'!$B$5:$C$24,2,FALSE)+VLOOKUP($E615,'Pazaryeri Kartları'!$B$5:$D$24,3,FALSE)*$G615),0)</f>
      </c>
      <c r="J615" s="16">
        <f>IFERROR(IF($C615="",0,VLOOKUP($C615,'Ürün Kartları'!$B$5:$G$154,6,FALSE)*$G615),0)</f>
      </c>
      <c r="K615" s="11"/>
      <c r="L615" s="10"/>
      <c r="M615" s="21">
        <f>IF($C615="","",IF($K615=1,-($J615*0.5)-$L615,$H615-$I615-$J615-$L615))</f>
      </c>
      <c r="N615" s="22">
        <f>IF(OR($C615="",$H615=0),"",$M615/$H615)</f>
      </c>
    </row>
    <row r="616" spans="2:14" x14ac:dyDescent="0.25">
      <c r="B616" s="23"/>
      <c r="C616" s="12"/>
      <c r="D616" s="20">
        <f>IFERROR(IF($C616="","",VLOOKUP($C616,'Ürün Kartları'!$B$5:$C$154,2,FALSE)),"— tanımsız ürün —")</f>
      </c>
      <c r="E616" s="12"/>
      <c r="F616" s="14"/>
      <c r="G616" s="15"/>
      <c r="H616" s="16">
        <f>IF(OR($F616="",$G616=""),0,$F616*$G616)</f>
      </c>
      <c r="I616" s="16">
        <f>IFERROR(IF($E616="",0,$H616*VLOOKUP($E616,'Pazaryeri Kartları'!$B$5:$C$24,2,FALSE)+VLOOKUP($E616,'Pazaryeri Kartları'!$B$5:$D$24,3,FALSE)*$G616),0)</f>
      </c>
      <c r="J616" s="16">
        <f>IFERROR(IF($C616="",0,VLOOKUP($C616,'Ürün Kartları'!$B$5:$G$154,6,FALSE)*$G616),0)</f>
      </c>
      <c r="K616" s="15"/>
      <c r="L616" s="14"/>
      <c r="M616" s="21">
        <f>IF($C616="","",IF($K616=1,-($J616*0.5)-$L616,$H616-$I616-$J616-$L616))</f>
      </c>
      <c r="N616" s="22">
        <f>IF(OR($C616="",$H616=0),"",$M616/$H616)</f>
      </c>
    </row>
    <row r="617" spans="2:14" x14ac:dyDescent="0.25">
      <c r="B617" s="19"/>
      <c r="C617" s="8"/>
      <c r="D617" s="20">
        <f>IFERROR(IF($C617="","",VLOOKUP($C617,'Ürün Kartları'!$B$5:$C$154,2,FALSE)),"— tanımsız ürün —")</f>
      </c>
      <c r="E617" s="8"/>
      <c r="F617" s="10"/>
      <c r="G617" s="11"/>
      <c r="H617" s="16">
        <f>IF(OR($F617="",$G617=""),0,$F617*$G617)</f>
      </c>
      <c r="I617" s="16">
        <f>IFERROR(IF($E617="",0,$H617*VLOOKUP($E617,'Pazaryeri Kartları'!$B$5:$C$24,2,FALSE)+VLOOKUP($E617,'Pazaryeri Kartları'!$B$5:$D$24,3,FALSE)*$G617),0)</f>
      </c>
      <c r="J617" s="16">
        <f>IFERROR(IF($C617="",0,VLOOKUP($C617,'Ürün Kartları'!$B$5:$G$154,6,FALSE)*$G617),0)</f>
      </c>
      <c r="K617" s="11"/>
      <c r="L617" s="10"/>
      <c r="M617" s="21">
        <f>IF($C617="","",IF($K617=1,-($J617*0.5)-$L617,$H617-$I617-$J617-$L617))</f>
      </c>
      <c r="N617" s="22">
        <f>IF(OR($C617="",$H617=0),"",$M617/$H617)</f>
      </c>
    </row>
    <row r="618" spans="2:14" x14ac:dyDescent="0.25">
      <c r="B618" s="23"/>
      <c r="C618" s="12"/>
      <c r="D618" s="20">
        <f>IFERROR(IF($C618="","",VLOOKUP($C618,'Ürün Kartları'!$B$5:$C$154,2,FALSE)),"— tanımsız ürün —")</f>
      </c>
      <c r="E618" s="12"/>
      <c r="F618" s="14"/>
      <c r="G618" s="15"/>
      <c r="H618" s="16">
        <f>IF(OR($F618="",$G618=""),0,$F618*$G618)</f>
      </c>
      <c r="I618" s="16">
        <f>IFERROR(IF($E618="",0,$H618*VLOOKUP($E618,'Pazaryeri Kartları'!$B$5:$C$24,2,FALSE)+VLOOKUP($E618,'Pazaryeri Kartları'!$B$5:$D$24,3,FALSE)*$G618),0)</f>
      </c>
      <c r="J618" s="16">
        <f>IFERROR(IF($C618="",0,VLOOKUP($C618,'Ürün Kartları'!$B$5:$G$154,6,FALSE)*$G618),0)</f>
      </c>
      <c r="K618" s="15"/>
      <c r="L618" s="14"/>
      <c r="M618" s="21">
        <f>IF($C618="","",IF($K618=1,-($J618*0.5)-$L618,$H618-$I618-$J618-$L618))</f>
      </c>
      <c r="N618" s="22">
        <f>IF(OR($C618="",$H618=0),"",$M618/$H618)</f>
      </c>
    </row>
    <row r="619" spans="2:14" x14ac:dyDescent="0.25">
      <c r="B619" s="19"/>
      <c r="C619" s="8"/>
      <c r="D619" s="20">
        <f>IFERROR(IF($C619="","",VLOOKUP($C619,'Ürün Kartları'!$B$5:$C$154,2,FALSE)),"— tanımsız ürün —")</f>
      </c>
      <c r="E619" s="8"/>
      <c r="F619" s="10"/>
      <c r="G619" s="11"/>
      <c r="H619" s="16">
        <f>IF(OR($F619="",$G619=""),0,$F619*$G619)</f>
      </c>
      <c r="I619" s="16">
        <f>IFERROR(IF($E619="",0,$H619*VLOOKUP($E619,'Pazaryeri Kartları'!$B$5:$C$24,2,FALSE)+VLOOKUP($E619,'Pazaryeri Kartları'!$B$5:$D$24,3,FALSE)*$G619),0)</f>
      </c>
      <c r="J619" s="16">
        <f>IFERROR(IF($C619="",0,VLOOKUP($C619,'Ürün Kartları'!$B$5:$G$154,6,FALSE)*$G619),0)</f>
      </c>
      <c r="K619" s="11"/>
      <c r="L619" s="10"/>
      <c r="M619" s="21">
        <f>IF($C619="","",IF($K619=1,-($J619*0.5)-$L619,$H619-$I619-$J619-$L619))</f>
      </c>
      <c r="N619" s="22">
        <f>IF(OR($C619="",$H619=0),"",$M619/$H619)</f>
      </c>
    </row>
    <row r="620" spans="2:14" x14ac:dyDescent="0.25">
      <c r="B620" s="23"/>
      <c r="C620" s="12"/>
      <c r="D620" s="20">
        <f>IFERROR(IF($C620="","",VLOOKUP($C620,'Ürün Kartları'!$B$5:$C$154,2,FALSE)),"— tanımsız ürün —")</f>
      </c>
      <c r="E620" s="12"/>
      <c r="F620" s="14"/>
      <c r="G620" s="15"/>
      <c r="H620" s="16">
        <f>IF(OR($F620="",$G620=""),0,$F620*$G620)</f>
      </c>
      <c r="I620" s="16">
        <f>IFERROR(IF($E620="",0,$H620*VLOOKUP($E620,'Pazaryeri Kartları'!$B$5:$C$24,2,FALSE)+VLOOKUP($E620,'Pazaryeri Kartları'!$B$5:$D$24,3,FALSE)*$G620),0)</f>
      </c>
      <c r="J620" s="16">
        <f>IFERROR(IF($C620="",0,VLOOKUP($C620,'Ürün Kartları'!$B$5:$G$154,6,FALSE)*$G620),0)</f>
      </c>
      <c r="K620" s="15"/>
      <c r="L620" s="14"/>
      <c r="M620" s="21">
        <f>IF($C620="","",IF($K620=1,-($J620*0.5)-$L620,$H620-$I620-$J620-$L620))</f>
      </c>
      <c r="N620" s="22">
        <f>IF(OR($C620="",$H620=0),"",$M620/$H620)</f>
      </c>
    </row>
    <row r="621" spans="2:14" x14ac:dyDescent="0.25">
      <c r="B621" s="19"/>
      <c r="C621" s="8"/>
      <c r="D621" s="20">
        <f>IFERROR(IF($C621="","",VLOOKUP($C621,'Ürün Kartları'!$B$5:$C$154,2,FALSE)),"— tanımsız ürün —")</f>
      </c>
      <c r="E621" s="8"/>
      <c r="F621" s="10"/>
      <c r="G621" s="11"/>
      <c r="H621" s="16">
        <f>IF(OR($F621="",$G621=""),0,$F621*$G621)</f>
      </c>
      <c r="I621" s="16">
        <f>IFERROR(IF($E621="",0,$H621*VLOOKUP($E621,'Pazaryeri Kartları'!$B$5:$C$24,2,FALSE)+VLOOKUP($E621,'Pazaryeri Kartları'!$B$5:$D$24,3,FALSE)*$G621),0)</f>
      </c>
      <c r="J621" s="16">
        <f>IFERROR(IF($C621="",0,VLOOKUP($C621,'Ürün Kartları'!$B$5:$G$154,6,FALSE)*$G621),0)</f>
      </c>
      <c r="K621" s="11"/>
      <c r="L621" s="10"/>
      <c r="M621" s="21">
        <f>IF($C621="","",IF($K621=1,-($J621*0.5)-$L621,$H621-$I621-$J621-$L621))</f>
      </c>
      <c r="N621" s="22">
        <f>IF(OR($C621="",$H621=0),"",$M621/$H621)</f>
      </c>
    </row>
    <row r="622" spans="2:14" x14ac:dyDescent="0.25">
      <c r="B622" s="23"/>
      <c r="C622" s="12"/>
      <c r="D622" s="20">
        <f>IFERROR(IF($C622="","",VLOOKUP($C622,'Ürün Kartları'!$B$5:$C$154,2,FALSE)),"— tanımsız ürün —")</f>
      </c>
      <c r="E622" s="12"/>
      <c r="F622" s="14"/>
      <c r="G622" s="15"/>
      <c r="H622" s="16">
        <f>IF(OR($F622="",$G622=""),0,$F622*$G622)</f>
      </c>
      <c r="I622" s="16">
        <f>IFERROR(IF($E622="",0,$H622*VLOOKUP($E622,'Pazaryeri Kartları'!$B$5:$C$24,2,FALSE)+VLOOKUP($E622,'Pazaryeri Kartları'!$B$5:$D$24,3,FALSE)*$G622),0)</f>
      </c>
      <c r="J622" s="16">
        <f>IFERROR(IF($C622="",0,VLOOKUP($C622,'Ürün Kartları'!$B$5:$G$154,6,FALSE)*$G622),0)</f>
      </c>
      <c r="K622" s="15"/>
      <c r="L622" s="14"/>
      <c r="M622" s="21">
        <f>IF($C622="","",IF($K622=1,-($J622*0.5)-$L622,$H622-$I622-$J622-$L622))</f>
      </c>
      <c r="N622" s="22">
        <f>IF(OR($C622="",$H622=0),"",$M622/$H622)</f>
      </c>
    </row>
    <row r="623" spans="2:14" x14ac:dyDescent="0.25">
      <c r="B623" s="19"/>
      <c r="C623" s="8"/>
      <c r="D623" s="20">
        <f>IFERROR(IF($C623="","",VLOOKUP($C623,'Ürün Kartları'!$B$5:$C$154,2,FALSE)),"— tanımsız ürün —")</f>
      </c>
      <c r="E623" s="8"/>
      <c r="F623" s="10"/>
      <c r="G623" s="11"/>
      <c r="H623" s="16">
        <f>IF(OR($F623="",$G623=""),0,$F623*$G623)</f>
      </c>
      <c r="I623" s="16">
        <f>IFERROR(IF($E623="",0,$H623*VLOOKUP($E623,'Pazaryeri Kartları'!$B$5:$C$24,2,FALSE)+VLOOKUP($E623,'Pazaryeri Kartları'!$B$5:$D$24,3,FALSE)*$G623),0)</f>
      </c>
      <c r="J623" s="16">
        <f>IFERROR(IF($C623="",0,VLOOKUP($C623,'Ürün Kartları'!$B$5:$G$154,6,FALSE)*$G623),0)</f>
      </c>
      <c r="K623" s="11"/>
      <c r="L623" s="10"/>
      <c r="M623" s="21">
        <f>IF($C623="","",IF($K623=1,-($J623*0.5)-$L623,$H623-$I623-$J623-$L623))</f>
      </c>
      <c r="N623" s="22">
        <f>IF(OR($C623="",$H623=0),"",$M623/$H623)</f>
      </c>
    </row>
    <row r="624" spans="2:14" x14ac:dyDescent="0.25">
      <c r="B624" s="23"/>
      <c r="C624" s="12"/>
      <c r="D624" s="20">
        <f>IFERROR(IF($C624="","",VLOOKUP($C624,'Ürün Kartları'!$B$5:$C$154,2,FALSE)),"— tanımsız ürün —")</f>
      </c>
      <c r="E624" s="12"/>
      <c r="F624" s="14"/>
      <c r="G624" s="15"/>
      <c r="H624" s="16">
        <f>IF(OR($F624="",$G624=""),0,$F624*$G624)</f>
      </c>
      <c r="I624" s="16">
        <f>IFERROR(IF($E624="",0,$H624*VLOOKUP($E624,'Pazaryeri Kartları'!$B$5:$C$24,2,FALSE)+VLOOKUP($E624,'Pazaryeri Kartları'!$B$5:$D$24,3,FALSE)*$G624),0)</f>
      </c>
      <c r="J624" s="16">
        <f>IFERROR(IF($C624="",0,VLOOKUP($C624,'Ürün Kartları'!$B$5:$G$154,6,FALSE)*$G624),0)</f>
      </c>
      <c r="K624" s="15"/>
      <c r="L624" s="14"/>
      <c r="M624" s="21">
        <f>IF($C624="","",IF($K624=1,-($J624*0.5)-$L624,$H624-$I624-$J624-$L624))</f>
      </c>
      <c r="N624" s="22">
        <f>IF(OR($C624="",$H624=0),"",$M624/$H624)</f>
      </c>
    </row>
    <row r="625" spans="2:14" x14ac:dyDescent="0.25">
      <c r="B625" s="19"/>
      <c r="C625" s="8"/>
      <c r="D625" s="20">
        <f>IFERROR(IF($C625="","",VLOOKUP($C625,'Ürün Kartları'!$B$5:$C$154,2,FALSE)),"— tanımsız ürün —")</f>
      </c>
      <c r="E625" s="8"/>
      <c r="F625" s="10"/>
      <c r="G625" s="11"/>
      <c r="H625" s="16">
        <f>IF(OR($F625="",$G625=""),0,$F625*$G625)</f>
      </c>
      <c r="I625" s="16">
        <f>IFERROR(IF($E625="",0,$H625*VLOOKUP($E625,'Pazaryeri Kartları'!$B$5:$C$24,2,FALSE)+VLOOKUP($E625,'Pazaryeri Kartları'!$B$5:$D$24,3,FALSE)*$G625),0)</f>
      </c>
      <c r="J625" s="16">
        <f>IFERROR(IF($C625="",0,VLOOKUP($C625,'Ürün Kartları'!$B$5:$G$154,6,FALSE)*$G625),0)</f>
      </c>
      <c r="K625" s="11"/>
      <c r="L625" s="10"/>
      <c r="M625" s="21">
        <f>IF($C625="","",IF($K625=1,-($J625*0.5)-$L625,$H625-$I625-$J625-$L625))</f>
      </c>
      <c r="N625" s="22">
        <f>IF(OR($C625="",$H625=0),"",$M625/$H625)</f>
      </c>
    </row>
    <row r="626" spans="2:14" x14ac:dyDescent="0.25">
      <c r="B626" s="23"/>
      <c r="C626" s="12"/>
      <c r="D626" s="20">
        <f>IFERROR(IF($C626="","",VLOOKUP($C626,'Ürün Kartları'!$B$5:$C$154,2,FALSE)),"— tanımsız ürün —")</f>
      </c>
      <c r="E626" s="12"/>
      <c r="F626" s="14"/>
      <c r="G626" s="15"/>
      <c r="H626" s="16">
        <f>IF(OR($F626="",$G626=""),0,$F626*$G626)</f>
      </c>
      <c r="I626" s="16">
        <f>IFERROR(IF($E626="",0,$H626*VLOOKUP($E626,'Pazaryeri Kartları'!$B$5:$C$24,2,FALSE)+VLOOKUP($E626,'Pazaryeri Kartları'!$B$5:$D$24,3,FALSE)*$G626),0)</f>
      </c>
      <c r="J626" s="16">
        <f>IFERROR(IF($C626="",0,VLOOKUP($C626,'Ürün Kartları'!$B$5:$G$154,6,FALSE)*$G626),0)</f>
      </c>
      <c r="K626" s="15"/>
      <c r="L626" s="14"/>
      <c r="M626" s="21">
        <f>IF($C626="","",IF($K626=1,-($J626*0.5)-$L626,$H626-$I626-$J626-$L626))</f>
      </c>
      <c r="N626" s="22">
        <f>IF(OR($C626="",$H626=0),"",$M626/$H626)</f>
      </c>
    </row>
    <row r="627" spans="2:14" x14ac:dyDescent="0.25">
      <c r="B627" s="19"/>
      <c r="C627" s="8"/>
      <c r="D627" s="20">
        <f>IFERROR(IF($C627="","",VLOOKUP($C627,'Ürün Kartları'!$B$5:$C$154,2,FALSE)),"— tanımsız ürün —")</f>
      </c>
      <c r="E627" s="8"/>
      <c r="F627" s="10"/>
      <c r="G627" s="11"/>
      <c r="H627" s="16">
        <f>IF(OR($F627="",$G627=""),0,$F627*$G627)</f>
      </c>
      <c r="I627" s="16">
        <f>IFERROR(IF($E627="",0,$H627*VLOOKUP($E627,'Pazaryeri Kartları'!$B$5:$C$24,2,FALSE)+VLOOKUP($E627,'Pazaryeri Kartları'!$B$5:$D$24,3,FALSE)*$G627),0)</f>
      </c>
      <c r="J627" s="16">
        <f>IFERROR(IF($C627="",0,VLOOKUP($C627,'Ürün Kartları'!$B$5:$G$154,6,FALSE)*$G627),0)</f>
      </c>
      <c r="K627" s="11"/>
      <c r="L627" s="10"/>
      <c r="M627" s="21">
        <f>IF($C627="","",IF($K627=1,-($J627*0.5)-$L627,$H627-$I627-$J627-$L627))</f>
      </c>
      <c r="N627" s="22">
        <f>IF(OR($C627="",$H627=0),"",$M627/$H627)</f>
      </c>
    </row>
    <row r="628" spans="2:14" x14ac:dyDescent="0.25">
      <c r="B628" s="23"/>
      <c r="C628" s="12"/>
      <c r="D628" s="20">
        <f>IFERROR(IF($C628="","",VLOOKUP($C628,'Ürün Kartları'!$B$5:$C$154,2,FALSE)),"— tanımsız ürün —")</f>
      </c>
      <c r="E628" s="12"/>
      <c r="F628" s="14"/>
      <c r="G628" s="15"/>
      <c r="H628" s="16">
        <f>IF(OR($F628="",$G628=""),0,$F628*$G628)</f>
      </c>
      <c r="I628" s="16">
        <f>IFERROR(IF($E628="",0,$H628*VLOOKUP($E628,'Pazaryeri Kartları'!$B$5:$C$24,2,FALSE)+VLOOKUP($E628,'Pazaryeri Kartları'!$B$5:$D$24,3,FALSE)*$G628),0)</f>
      </c>
      <c r="J628" s="16">
        <f>IFERROR(IF($C628="",0,VLOOKUP($C628,'Ürün Kartları'!$B$5:$G$154,6,FALSE)*$G628),0)</f>
      </c>
      <c r="K628" s="15"/>
      <c r="L628" s="14"/>
      <c r="M628" s="21">
        <f>IF($C628="","",IF($K628=1,-($J628*0.5)-$L628,$H628-$I628-$J628-$L628))</f>
      </c>
      <c r="N628" s="22">
        <f>IF(OR($C628="",$H628=0),"",$M628/$H628)</f>
      </c>
    </row>
    <row r="629" spans="2:14" x14ac:dyDescent="0.25">
      <c r="B629" s="19"/>
      <c r="C629" s="8"/>
      <c r="D629" s="20">
        <f>IFERROR(IF($C629="","",VLOOKUP($C629,'Ürün Kartları'!$B$5:$C$154,2,FALSE)),"— tanımsız ürün —")</f>
      </c>
      <c r="E629" s="8"/>
      <c r="F629" s="10"/>
      <c r="G629" s="11"/>
      <c r="H629" s="16">
        <f>IF(OR($F629="",$G629=""),0,$F629*$G629)</f>
      </c>
      <c r="I629" s="16">
        <f>IFERROR(IF($E629="",0,$H629*VLOOKUP($E629,'Pazaryeri Kartları'!$B$5:$C$24,2,FALSE)+VLOOKUP($E629,'Pazaryeri Kartları'!$B$5:$D$24,3,FALSE)*$G629),0)</f>
      </c>
      <c r="J629" s="16">
        <f>IFERROR(IF($C629="",0,VLOOKUP($C629,'Ürün Kartları'!$B$5:$G$154,6,FALSE)*$G629),0)</f>
      </c>
      <c r="K629" s="11"/>
      <c r="L629" s="10"/>
      <c r="M629" s="21">
        <f>IF($C629="","",IF($K629=1,-($J629*0.5)-$L629,$H629-$I629-$J629-$L629))</f>
      </c>
      <c r="N629" s="22">
        <f>IF(OR($C629="",$H629=0),"",$M629/$H629)</f>
      </c>
    </row>
    <row r="630" spans="2:14" x14ac:dyDescent="0.25">
      <c r="B630" s="23"/>
      <c r="C630" s="12"/>
      <c r="D630" s="20">
        <f>IFERROR(IF($C630="","",VLOOKUP($C630,'Ürün Kartları'!$B$5:$C$154,2,FALSE)),"— tanımsız ürün —")</f>
      </c>
      <c r="E630" s="12"/>
      <c r="F630" s="14"/>
      <c r="G630" s="15"/>
      <c r="H630" s="16">
        <f>IF(OR($F630="",$G630=""),0,$F630*$G630)</f>
      </c>
      <c r="I630" s="16">
        <f>IFERROR(IF($E630="",0,$H630*VLOOKUP($E630,'Pazaryeri Kartları'!$B$5:$C$24,2,FALSE)+VLOOKUP($E630,'Pazaryeri Kartları'!$B$5:$D$24,3,FALSE)*$G630),0)</f>
      </c>
      <c r="J630" s="16">
        <f>IFERROR(IF($C630="",0,VLOOKUP($C630,'Ürün Kartları'!$B$5:$G$154,6,FALSE)*$G630),0)</f>
      </c>
      <c r="K630" s="15"/>
      <c r="L630" s="14"/>
      <c r="M630" s="21">
        <f>IF($C630="","",IF($K630=1,-($J630*0.5)-$L630,$H630-$I630-$J630-$L630))</f>
      </c>
      <c r="N630" s="22">
        <f>IF(OR($C630="",$H630=0),"",$M630/$H630)</f>
      </c>
    </row>
    <row r="631" spans="2:14" x14ac:dyDescent="0.25">
      <c r="B631" s="19"/>
      <c r="C631" s="8"/>
      <c r="D631" s="20">
        <f>IFERROR(IF($C631="","",VLOOKUP($C631,'Ürün Kartları'!$B$5:$C$154,2,FALSE)),"— tanımsız ürün —")</f>
      </c>
      <c r="E631" s="8"/>
      <c r="F631" s="10"/>
      <c r="G631" s="11"/>
      <c r="H631" s="16">
        <f>IF(OR($F631="",$G631=""),0,$F631*$G631)</f>
      </c>
      <c r="I631" s="16">
        <f>IFERROR(IF($E631="",0,$H631*VLOOKUP($E631,'Pazaryeri Kartları'!$B$5:$C$24,2,FALSE)+VLOOKUP($E631,'Pazaryeri Kartları'!$B$5:$D$24,3,FALSE)*$G631),0)</f>
      </c>
      <c r="J631" s="16">
        <f>IFERROR(IF($C631="",0,VLOOKUP($C631,'Ürün Kartları'!$B$5:$G$154,6,FALSE)*$G631),0)</f>
      </c>
      <c r="K631" s="11"/>
      <c r="L631" s="10"/>
      <c r="M631" s="21">
        <f>IF($C631="","",IF($K631=1,-($J631*0.5)-$L631,$H631-$I631-$J631-$L631))</f>
      </c>
      <c r="N631" s="22">
        <f>IF(OR($C631="",$H631=0),"",$M631/$H631)</f>
      </c>
    </row>
    <row r="632" spans="2:14" x14ac:dyDescent="0.25">
      <c r="B632" s="23"/>
      <c r="C632" s="12"/>
      <c r="D632" s="20">
        <f>IFERROR(IF($C632="","",VLOOKUP($C632,'Ürün Kartları'!$B$5:$C$154,2,FALSE)),"— tanımsız ürün —")</f>
      </c>
      <c r="E632" s="12"/>
      <c r="F632" s="14"/>
      <c r="G632" s="15"/>
      <c r="H632" s="16">
        <f>IF(OR($F632="",$G632=""),0,$F632*$G632)</f>
      </c>
      <c r="I632" s="16">
        <f>IFERROR(IF($E632="",0,$H632*VLOOKUP($E632,'Pazaryeri Kartları'!$B$5:$C$24,2,FALSE)+VLOOKUP($E632,'Pazaryeri Kartları'!$B$5:$D$24,3,FALSE)*$G632),0)</f>
      </c>
      <c r="J632" s="16">
        <f>IFERROR(IF($C632="",0,VLOOKUP($C632,'Ürün Kartları'!$B$5:$G$154,6,FALSE)*$G632),0)</f>
      </c>
      <c r="K632" s="15"/>
      <c r="L632" s="14"/>
      <c r="M632" s="21">
        <f>IF($C632="","",IF($K632=1,-($J632*0.5)-$L632,$H632-$I632-$J632-$L632))</f>
      </c>
      <c r="N632" s="22">
        <f>IF(OR($C632="",$H632=0),"",$M632/$H632)</f>
      </c>
    </row>
    <row r="633" spans="2:14" x14ac:dyDescent="0.25">
      <c r="B633" s="19"/>
      <c r="C633" s="8"/>
      <c r="D633" s="20">
        <f>IFERROR(IF($C633="","",VLOOKUP($C633,'Ürün Kartları'!$B$5:$C$154,2,FALSE)),"— tanımsız ürün —")</f>
      </c>
      <c r="E633" s="8"/>
      <c r="F633" s="10"/>
      <c r="G633" s="11"/>
      <c r="H633" s="16">
        <f>IF(OR($F633="",$G633=""),0,$F633*$G633)</f>
      </c>
      <c r="I633" s="16">
        <f>IFERROR(IF($E633="",0,$H633*VLOOKUP($E633,'Pazaryeri Kartları'!$B$5:$C$24,2,FALSE)+VLOOKUP($E633,'Pazaryeri Kartları'!$B$5:$D$24,3,FALSE)*$G633),0)</f>
      </c>
      <c r="J633" s="16">
        <f>IFERROR(IF($C633="",0,VLOOKUP($C633,'Ürün Kartları'!$B$5:$G$154,6,FALSE)*$G633),0)</f>
      </c>
      <c r="K633" s="11"/>
      <c r="L633" s="10"/>
      <c r="M633" s="21">
        <f>IF($C633="","",IF($K633=1,-($J633*0.5)-$L633,$H633-$I633-$J633-$L633))</f>
      </c>
      <c r="N633" s="22">
        <f>IF(OR($C633="",$H633=0),"",$M633/$H633)</f>
      </c>
    </row>
    <row r="634" spans="2:14" x14ac:dyDescent="0.25">
      <c r="B634" s="23"/>
      <c r="C634" s="12"/>
      <c r="D634" s="20">
        <f>IFERROR(IF($C634="","",VLOOKUP($C634,'Ürün Kartları'!$B$5:$C$154,2,FALSE)),"— tanımsız ürün —")</f>
      </c>
      <c r="E634" s="12"/>
      <c r="F634" s="14"/>
      <c r="G634" s="15"/>
      <c r="H634" s="16">
        <f>IF(OR($F634="",$G634=""),0,$F634*$G634)</f>
      </c>
      <c r="I634" s="16">
        <f>IFERROR(IF($E634="",0,$H634*VLOOKUP($E634,'Pazaryeri Kartları'!$B$5:$C$24,2,FALSE)+VLOOKUP($E634,'Pazaryeri Kartları'!$B$5:$D$24,3,FALSE)*$G634),0)</f>
      </c>
      <c r="J634" s="16">
        <f>IFERROR(IF($C634="",0,VLOOKUP($C634,'Ürün Kartları'!$B$5:$G$154,6,FALSE)*$G634),0)</f>
      </c>
      <c r="K634" s="15"/>
      <c r="L634" s="14"/>
      <c r="M634" s="21">
        <f>IF($C634="","",IF($K634=1,-($J634*0.5)-$L634,$H634-$I634-$J634-$L634))</f>
      </c>
      <c r="N634" s="22">
        <f>IF(OR($C634="",$H634=0),"",$M634/$H634)</f>
      </c>
    </row>
    <row r="635" spans="2:14" x14ac:dyDescent="0.25">
      <c r="B635" s="19"/>
      <c r="C635" s="8"/>
      <c r="D635" s="20">
        <f>IFERROR(IF($C635="","",VLOOKUP($C635,'Ürün Kartları'!$B$5:$C$154,2,FALSE)),"— tanımsız ürün —")</f>
      </c>
      <c r="E635" s="8"/>
      <c r="F635" s="10"/>
      <c r="G635" s="11"/>
      <c r="H635" s="16">
        <f>IF(OR($F635="",$G635=""),0,$F635*$G635)</f>
      </c>
      <c r="I635" s="16">
        <f>IFERROR(IF($E635="",0,$H635*VLOOKUP($E635,'Pazaryeri Kartları'!$B$5:$C$24,2,FALSE)+VLOOKUP($E635,'Pazaryeri Kartları'!$B$5:$D$24,3,FALSE)*$G635),0)</f>
      </c>
      <c r="J635" s="16">
        <f>IFERROR(IF($C635="",0,VLOOKUP($C635,'Ürün Kartları'!$B$5:$G$154,6,FALSE)*$G635),0)</f>
      </c>
      <c r="K635" s="11"/>
      <c r="L635" s="10"/>
      <c r="M635" s="21">
        <f>IF($C635="","",IF($K635=1,-($J635*0.5)-$L635,$H635-$I635-$J635-$L635))</f>
      </c>
      <c r="N635" s="22">
        <f>IF(OR($C635="",$H635=0),"",$M635/$H635)</f>
      </c>
    </row>
    <row r="636" spans="2:14" x14ac:dyDescent="0.25">
      <c r="B636" s="23"/>
      <c r="C636" s="12"/>
      <c r="D636" s="20">
        <f>IFERROR(IF($C636="","",VLOOKUP($C636,'Ürün Kartları'!$B$5:$C$154,2,FALSE)),"— tanımsız ürün —")</f>
      </c>
      <c r="E636" s="12"/>
      <c r="F636" s="14"/>
      <c r="G636" s="15"/>
      <c r="H636" s="16">
        <f>IF(OR($F636="",$G636=""),0,$F636*$G636)</f>
      </c>
      <c r="I636" s="16">
        <f>IFERROR(IF($E636="",0,$H636*VLOOKUP($E636,'Pazaryeri Kartları'!$B$5:$C$24,2,FALSE)+VLOOKUP($E636,'Pazaryeri Kartları'!$B$5:$D$24,3,FALSE)*$G636),0)</f>
      </c>
      <c r="J636" s="16">
        <f>IFERROR(IF($C636="",0,VLOOKUP($C636,'Ürün Kartları'!$B$5:$G$154,6,FALSE)*$G636),0)</f>
      </c>
      <c r="K636" s="15"/>
      <c r="L636" s="14"/>
      <c r="M636" s="21">
        <f>IF($C636="","",IF($K636=1,-($J636*0.5)-$L636,$H636-$I636-$J636-$L636))</f>
      </c>
      <c r="N636" s="22">
        <f>IF(OR($C636="",$H636=0),"",$M636/$H636)</f>
      </c>
    </row>
    <row r="637" spans="2:14" x14ac:dyDescent="0.25">
      <c r="B637" s="19"/>
      <c r="C637" s="8"/>
      <c r="D637" s="20">
        <f>IFERROR(IF($C637="","",VLOOKUP($C637,'Ürün Kartları'!$B$5:$C$154,2,FALSE)),"— tanımsız ürün —")</f>
      </c>
      <c r="E637" s="8"/>
      <c r="F637" s="10"/>
      <c r="G637" s="11"/>
      <c r="H637" s="16">
        <f>IF(OR($F637="",$G637=""),0,$F637*$G637)</f>
      </c>
      <c r="I637" s="16">
        <f>IFERROR(IF($E637="",0,$H637*VLOOKUP($E637,'Pazaryeri Kartları'!$B$5:$C$24,2,FALSE)+VLOOKUP($E637,'Pazaryeri Kartları'!$B$5:$D$24,3,FALSE)*$G637),0)</f>
      </c>
      <c r="J637" s="16">
        <f>IFERROR(IF($C637="",0,VLOOKUP($C637,'Ürün Kartları'!$B$5:$G$154,6,FALSE)*$G637),0)</f>
      </c>
      <c r="K637" s="11"/>
      <c r="L637" s="10"/>
      <c r="M637" s="21">
        <f>IF($C637="","",IF($K637=1,-($J637*0.5)-$L637,$H637-$I637-$J637-$L637))</f>
      </c>
      <c r="N637" s="22">
        <f>IF(OR($C637="",$H637=0),"",$M637/$H637)</f>
      </c>
    </row>
    <row r="638" spans="2:14" x14ac:dyDescent="0.25">
      <c r="B638" s="23"/>
      <c r="C638" s="12"/>
      <c r="D638" s="20">
        <f>IFERROR(IF($C638="","",VLOOKUP($C638,'Ürün Kartları'!$B$5:$C$154,2,FALSE)),"— tanımsız ürün —")</f>
      </c>
      <c r="E638" s="12"/>
      <c r="F638" s="14"/>
      <c r="G638" s="15"/>
      <c r="H638" s="16">
        <f>IF(OR($F638="",$G638=""),0,$F638*$G638)</f>
      </c>
      <c r="I638" s="16">
        <f>IFERROR(IF($E638="",0,$H638*VLOOKUP($E638,'Pazaryeri Kartları'!$B$5:$C$24,2,FALSE)+VLOOKUP($E638,'Pazaryeri Kartları'!$B$5:$D$24,3,FALSE)*$G638),0)</f>
      </c>
      <c r="J638" s="16">
        <f>IFERROR(IF($C638="",0,VLOOKUP($C638,'Ürün Kartları'!$B$5:$G$154,6,FALSE)*$G638),0)</f>
      </c>
      <c r="K638" s="15"/>
      <c r="L638" s="14"/>
      <c r="M638" s="21">
        <f>IF($C638="","",IF($K638=1,-($J638*0.5)-$L638,$H638-$I638-$J638-$L638))</f>
      </c>
      <c r="N638" s="22">
        <f>IF(OR($C638="",$H638=0),"",$M638/$H638)</f>
      </c>
    </row>
    <row r="639" spans="2:14" x14ac:dyDescent="0.25">
      <c r="B639" s="19"/>
      <c r="C639" s="8"/>
      <c r="D639" s="20">
        <f>IFERROR(IF($C639="","",VLOOKUP($C639,'Ürün Kartları'!$B$5:$C$154,2,FALSE)),"— tanımsız ürün —")</f>
      </c>
      <c r="E639" s="8"/>
      <c r="F639" s="10"/>
      <c r="G639" s="11"/>
      <c r="H639" s="16">
        <f>IF(OR($F639="",$G639=""),0,$F639*$G639)</f>
      </c>
      <c r="I639" s="16">
        <f>IFERROR(IF($E639="",0,$H639*VLOOKUP($E639,'Pazaryeri Kartları'!$B$5:$C$24,2,FALSE)+VLOOKUP($E639,'Pazaryeri Kartları'!$B$5:$D$24,3,FALSE)*$G639),0)</f>
      </c>
      <c r="J639" s="16">
        <f>IFERROR(IF($C639="",0,VLOOKUP($C639,'Ürün Kartları'!$B$5:$G$154,6,FALSE)*$G639),0)</f>
      </c>
      <c r="K639" s="11"/>
      <c r="L639" s="10"/>
      <c r="M639" s="21">
        <f>IF($C639="","",IF($K639=1,-($J639*0.5)-$L639,$H639-$I639-$J639-$L639))</f>
      </c>
      <c r="N639" s="22">
        <f>IF(OR($C639="",$H639=0),"",$M639/$H639)</f>
      </c>
    </row>
    <row r="640" spans="2:14" x14ac:dyDescent="0.25">
      <c r="B640" s="23"/>
      <c r="C640" s="12"/>
      <c r="D640" s="20">
        <f>IFERROR(IF($C640="","",VLOOKUP($C640,'Ürün Kartları'!$B$5:$C$154,2,FALSE)),"— tanımsız ürün —")</f>
      </c>
      <c r="E640" s="12"/>
      <c r="F640" s="14"/>
      <c r="G640" s="15"/>
      <c r="H640" s="16">
        <f>IF(OR($F640="",$G640=""),0,$F640*$G640)</f>
      </c>
      <c r="I640" s="16">
        <f>IFERROR(IF($E640="",0,$H640*VLOOKUP($E640,'Pazaryeri Kartları'!$B$5:$C$24,2,FALSE)+VLOOKUP($E640,'Pazaryeri Kartları'!$B$5:$D$24,3,FALSE)*$G640),0)</f>
      </c>
      <c r="J640" s="16">
        <f>IFERROR(IF($C640="",0,VLOOKUP($C640,'Ürün Kartları'!$B$5:$G$154,6,FALSE)*$G640),0)</f>
      </c>
      <c r="K640" s="15"/>
      <c r="L640" s="14"/>
      <c r="M640" s="21">
        <f>IF($C640="","",IF($K640=1,-($J640*0.5)-$L640,$H640-$I640-$J640-$L640))</f>
      </c>
      <c r="N640" s="22">
        <f>IF(OR($C640="",$H640=0),"",$M640/$H640)</f>
      </c>
    </row>
    <row r="641" spans="2:14" x14ac:dyDescent="0.25">
      <c r="B641" s="19"/>
      <c r="C641" s="8"/>
      <c r="D641" s="20">
        <f>IFERROR(IF($C641="","",VLOOKUP($C641,'Ürün Kartları'!$B$5:$C$154,2,FALSE)),"— tanımsız ürün —")</f>
      </c>
      <c r="E641" s="8"/>
      <c r="F641" s="10"/>
      <c r="G641" s="11"/>
      <c r="H641" s="16">
        <f>IF(OR($F641="",$G641=""),0,$F641*$G641)</f>
      </c>
      <c r="I641" s="16">
        <f>IFERROR(IF($E641="",0,$H641*VLOOKUP($E641,'Pazaryeri Kartları'!$B$5:$C$24,2,FALSE)+VLOOKUP($E641,'Pazaryeri Kartları'!$B$5:$D$24,3,FALSE)*$G641),0)</f>
      </c>
      <c r="J641" s="16">
        <f>IFERROR(IF($C641="",0,VLOOKUP($C641,'Ürün Kartları'!$B$5:$G$154,6,FALSE)*$G641),0)</f>
      </c>
      <c r="K641" s="11"/>
      <c r="L641" s="10"/>
      <c r="M641" s="21">
        <f>IF($C641="","",IF($K641=1,-($J641*0.5)-$L641,$H641-$I641-$J641-$L641))</f>
      </c>
      <c r="N641" s="22">
        <f>IF(OR($C641="",$H641=0),"",$M641/$H641)</f>
      </c>
    </row>
    <row r="642" spans="2:14" x14ac:dyDescent="0.25">
      <c r="B642" s="23"/>
      <c r="C642" s="12"/>
      <c r="D642" s="20">
        <f>IFERROR(IF($C642="","",VLOOKUP($C642,'Ürün Kartları'!$B$5:$C$154,2,FALSE)),"— tanımsız ürün —")</f>
      </c>
      <c r="E642" s="12"/>
      <c r="F642" s="14"/>
      <c r="G642" s="15"/>
      <c r="H642" s="16">
        <f>IF(OR($F642="",$G642=""),0,$F642*$G642)</f>
      </c>
      <c r="I642" s="16">
        <f>IFERROR(IF($E642="",0,$H642*VLOOKUP($E642,'Pazaryeri Kartları'!$B$5:$C$24,2,FALSE)+VLOOKUP($E642,'Pazaryeri Kartları'!$B$5:$D$24,3,FALSE)*$G642),0)</f>
      </c>
      <c r="J642" s="16">
        <f>IFERROR(IF($C642="",0,VLOOKUP($C642,'Ürün Kartları'!$B$5:$G$154,6,FALSE)*$G642),0)</f>
      </c>
      <c r="K642" s="15"/>
      <c r="L642" s="14"/>
      <c r="M642" s="21">
        <f>IF($C642="","",IF($K642=1,-($J642*0.5)-$L642,$H642-$I642-$J642-$L642))</f>
      </c>
      <c r="N642" s="22">
        <f>IF(OR($C642="",$H642=0),"",$M642/$H642)</f>
      </c>
    </row>
    <row r="643" spans="2:14" x14ac:dyDescent="0.25">
      <c r="B643" s="19"/>
      <c r="C643" s="8"/>
      <c r="D643" s="20">
        <f>IFERROR(IF($C643="","",VLOOKUP($C643,'Ürün Kartları'!$B$5:$C$154,2,FALSE)),"— tanımsız ürün —")</f>
      </c>
      <c r="E643" s="8"/>
      <c r="F643" s="10"/>
      <c r="G643" s="11"/>
      <c r="H643" s="16">
        <f>IF(OR($F643="",$G643=""),0,$F643*$G643)</f>
      </c>
      <c r="I643" s="16">
        <f>IFERROR(IF($E643="",0,$H643*VLOOKUP($E643,'Pazaryeri Kartları'!$B$5:$C$24,2,FALSE)+VLOOKUP($E643,'Pazaryeri Kartları'!$B$5:$D$24,3,FALSE)*$G643),0)</f>
      </c>
      <c r="J643" s="16">
        <f>IFERROR(IF($C643="",0,VLOOKUP($C643,'Ürün Kartları'!$B$5:$G$154,6,FALSE)*$G643),0)</f>
      </c>
      <c r="K643" s="11"/>
      <c r="L643" s="10"/>
      <c r="M643" s="21">
        <f>IF($C643="","",IF($K643=1,-($J643*0.5)-$L643,$H643-$I643-$J643-$L643))</f>
      </c>
      <c r="N643" s="22">
        <f>IF(OR($C643="",$H643=0),"",$M643/$H643)</f>
      </c>
    </row>
    <row r="644" spans="2:14" x14ac:dyDescent="0.25">
      <c r="B644" s="23"/>
      <c r="C644" s="12"/>
      <c r="D644" s="20">
        <f>IFERROR(IF($C644="","",VLOOKUP($C644,'Ürün Kartları'!$B$5:$C$154,2,FALSE)),"— tanımsız ürün —")</f>
      </c>
      <c r="E644" s="12"/>
      <c r="F644" s="14"/>
      <c r="G644" s="15"/>
      <c r="H644" s="16">
        <f>IF(OR($F644="",$G644=""),0,$F644*$G644)</f>
      </c>
      <c r="I644" s="16">
        <f>IFERROR(IF($E644="",0,$H644*VLOOKUP($E644,'Pazaryeri Kartları'!$B$5:$C$24,2,FALSE)+VLOOKUP($E644,'Pazaryeri Kartları'!$B$5:$D$24,3,FALSE)*$G644),0)</f>
      </c>
      <c r="J644" s="16">
        <f>IFERROR(IF($C644="",0,VLOOKUP($C644,'Ürün Kartları'!$B$5:$G$154,6,FALSE)*$G644),0)</f>
      </c>
      <c r="K644" s="15"/>
      <c r="L644" s="14"/>
      <c r="M644" s="21">
        <f>IF($C644="","",IF($K644=1,-($J644*0.5)-$L644,$H644-$I644-$J644-$L644))</f>
      </c>
      <c r="N644" s="22">
        <f>IF(OR($C644="",$H644=0),"",$M644/$H644)</f>
      </c>
    </row>
    <row r="645" spans="2:14" x14ac:dyDescent="0.25">
      <c r="B645" s="19"/>
      <c r="C645" s="8"/>
      <c r="D645" s="20">
        <f>IFERROR(IF($C645="","",VLOOKUP($C645,'Ürün Kartları'!$B$5:$C$154,2,FALSE)),"— tanımsız ürün —")</f>
      </c>
      <c r="E645" s="8"/>
      <c r="F645" s="10"/>
      <c r="G645" s="11"/>
      <c r="H645" s="16">
        <f>IF(OR($F645="",$G645=""),0,$F645*$G645)</f>
      </c>
      <c r="I645" s="16">
        <f>IFERROR(IF($E645="",0,$H645*VLOOKUP($E645,'Pazaryeri Kartları'!$B$5:$C$24,2,FALSE)+VLOOKUP($E645,'Pazaryeri Kartları'!$B$5:$D$24,3,FALSE)*$G645),0)</f>
      </c>
      <c r="J645" s="16">
        <f>IFERROR(IF($C645="",0,VLOOKUP($C645,'Ürün Kartları'!$B$5:$G$154,6,FALSE)*$G645),0)</f>
      </c>
      <c r="K645" s="11"/>
      <c r="L645" s="10"/>
      <c r="M645" s="21">
        <f>IF($C645="","",IF($K645=1,-($J645*0.5)-$L645,$H645-$I645-$J645-$L645))</f>
      </c>
      <c r="N645" s="22">
        <f>IF(OR($C645="",$H645=0),"",$M645/$H645)</f>
      </c>
    </row>
    <row r="646" spans="2:14" x14ac:dyDescent="0.25">
      <c r="B646" s="23"/>
      <c r="C646" s="12"/>
      <c r="D646" s="20">
        <f>IFERROR(IF($C646="","",VLOOKUP($C646,'Ürün Kartları'!$B$5:$C$154,2,FALSE)),"— tanımsız ürün —")</f>
      </c>
      <c r="E646" s="12"/>
      <c r="F646" s="14"/>
      <c r="G646" s="15"/>
      <c r="H646" s="16">
        <f>IF(OR($F646="",$G646=""),0,$F646*$G646)</f>
      </c>
      <c r="I646" s="16">
        <f>IFERROR(IF($E646="",0,$H646*VLOOKUP($E646,'Pazaryeri Kartları'!$B$5:$C$24,2,FALSE)+VLOOKUP($E646,'Pazaryeri Kartları'!$B$5:$D$24,3,FALSE)*$G646),0)</f>
      </c>
      <c r="J646" s="16">
        <f>IFERROR(IF($C646="",0,VLOOKUP($C646,'Ürün Kartları'!$B$5:$G$154,6,FALSE)*$G646),0)</f>
      </c>
      <c r="K646" s="15"/>
      <c r="L646" s="14"/>
      <c r="M646" s="21">
        <f>IF($C646="","",IF($K646=1,-($J646*0.5)-$L646,$H646-$I646-$J646-$L646))</f>
      </c>
      <c r="N646" s="22">
        <f>IF(OR($C646="",$H646=0),"",$M646/$H646)</f>
      </c>
    </row>
    <row r="647" spans="2:14" x14ac:dyDescent="0.25">
      <c r="B647" s="19"/>
      <c r="C647" s="8"/>
      <c r="D647" s="20">
        <f>IFERROR(IF($C647="","",VLOOKUP($C647,'Ürün Kartları'!$B$5:$C$154,2,FALSE)),"— tanımsız ürün —")</f>
      </c>
      <c r="E647" s="8"/>
      <c r="F647" s="10"/>
      <c r="G647" s="11"/>
      <c r="H647" s="16">
        <f>IF(OR($F647="",$G647=""),0,$F647*$G647)</f>
      </c>
      <c r="I647" s="16">
        <f>IFERROR(IF($E647="",0,$H647*VLOOKUP($E647,'Pazaryeri Kartları'!$B$5:$C$24,2,FALSE)+VLOOKUP($E647,'Pazaryeri Kartları'!$B$5:$D$24,3,FALSE)*$G647),0)</f>
      </c>
      <c r="J647" s="16">
        <f>IFERROR(IF($C647="",0,VLOOKUP($C647,'Ürün Kartları'!$B$5:$G$154,6,FALSE)*$G647),0)</f>
      </c>
      <c r="K647" s="11"/>
      <c r="L647" s="10"/>
      <c r="M647" s="21">
        <f>IF($C647="","",IF($K647=1,-($J647*0.5)-$L647,$H647-$I647-$J647-$L647))</f>
      </c>
      <c r="N647" s="22">
        <f>IF(OR($C647="",$H647=0),"",$M647/$H647)</f>
      </c>
    </row>
    <row r="648" spans="2:14" x14ac:dyDescent="0.25">
      <c r="B648" s="23"/>
      <c r="C648" s="12"/>
      <c r="D648" s="20">
        <f>IFERROR(IF($C648="","",VLOOKUP($C648,'Ürün Kartları'!$B$5:$C$154,2,FALSE)),"— tanımsız ürün —")</f>
      </c>
      <c r="E648" s="12"/>
      <c r="F648" s="14"/>
      <c r="G648" s="15"/>
      <c r="H648" s="16">
        <f>IF(OR($F648="",$G648=""),0,$F648*$G648)</f>
      </c>
      <c r="I648" s="16">
        <f>IFERROR(IF($E648="",0,$H648*VLOOKUP($E648,'Pazaryeri Kartları'!$B$5:$C$24,2,FALSE)+VLOOKUP($E648,'Pazaryeri Kartları'!$B$5:$D$24,3,FALSE)*$G648),0)</f>
      </c>
      <c r="J648" s="16">
        <f>IFERROR(IF($C648="",0,VLOOKUP($C648,'Ürün Kartları'!$B$5:$G$154,6,FALSE)*$G648),0)</f>
      </c>
      <c r="K648" s="15"/>
      <c r="L648" s="14"/>
      <c r="M648" s="21">
        <f>IF($C648="","",IF($K648=1,-($J648*0.5)-$L648,$H648-$I648-$J648-$L648))</f>
      </c>
      <c r="N648" s="22">
        <f>IF(OR($C648="",$H648=0),"",$M648/$H648)</f>
      </c>
    </row>
    <row r="649" spans="2:14" x14ac:dyDescent="0.25">
      <c r="B649" s="19"/>
      <c r="C649" s="8"/>
      <c r="D649" s="20">
        <f>IFERROR(IF($C649="","",VLOOKUP($C649,'Ürün Kartları'!$B$5:$C$154,2,FALSE)),"— tanımsız ürün —")</f>
      </c>
      <c r="E649" s="8"/>
      <c r="F649" s="10"/>
      <c r="G649" s="11"/>
      <c r="H649" s="16">
        <f>IF(OR($F649="",$G649=""),0,$F649*$G649)</f>
      </c>
      <c r="I649" s="16">
        <f>IFERROR(IF($E649="",0,$H649*VLOOKUP($E649,'Pazaryeri Kartları'!$B$5:$C$24,2,FALSE)+VLOOKUP($E649,'Pazaryeri Kartları'!$B$5:$D$24,3,FALSE)*$G649),0)</f>
      </c>
      <c r="J649" s="16">
        <f>IFERROR(IF($C649="",0,VLOOKUP($C649,'Ürün Kartları'!$B$5:$G$154,6,FALSE)*$G649),0)</f>
      </c>
      <c r="K649" s="11"/>
      <c r="L649" s="10"/>
      <c r="M649" s="21">
        <f>IF($C649="","",IF($K649=1,-($J649*0.5)-$L649,$H649-$I649-$J649-$L649))</f>
      </c>
      <c r="N649" s="22">
        <f>IF(OR($C649="",$H649=0),"",$M649/$H649)</f>
      </c>
    </row>
    <row r="650" spans="2:14" x14ac:dyDescent="0.25">
      <c r="B650" s="23"/>
      <c r="C650" s="12"/>
      <c r="D650" s="20">
        <f>IFERROR(IF($C650="","",VLOOKUP($C650,'Ürün Kartları'!$B$5:$C$154,2,FALSE)),"— tanımsız ürün —")</f>
      </c>
      <c r="E650" s="12"/>
      <c r="F650" s="14"/>
      <c r="G650" s="15"/>
      <c r="H650" s="16">
        <f>IF(OR($F650="",$G650=""),0,$F650*$G650)</f>
      </c>
      <c r="I650" s="16">
        <f>IFERROR(IF($E650="",0,$H650*VLOOKUP($E650,'Pazaryeri Kartları'!$B$5:$C$24,2,FALSE)+VLOOKUP($E650,'Pazaryeri Kartları'!$B$5:$D$24,3,FALSE)*$G650),0)</f>
      </c>
      <c r="J650" s="16">
        <f>IFERROR(IF($C650="",0,VLOOKUP($C650,'Ürün Kartları'!$B$5:$G$154,6,FALSE)*$G650),0)</f>
      </c>
      <c r="K650" s="15"/>
      <c r="L650" s="14"/>
      <c r="M650" s="21">
        <f>IF($C650="","",IF($K650=1,-($J650*0.5)-$L650,$H650-$I650-$J650-$L650))</f>
      </c>
      <c r="N650" s="22">
        <f>IF(OR($C650="",$H650=0),"",$M650/$H650)</f>
      </c>
    </row>
    <row r="651" spans="2:14" x14ac:dyDescent="0.25">
      <c r="B651" s="19"/>
      <c r="C651" s="8"/>
      <c r="D651" s="20">
        <f>IFERROR(IF($C651="","",VLOOKUP($C651,'Ürün Kartları'!$B$5:$C$154,2,FALSE)),"— tanımsız ürün —")</f>
      </c>
      <c r="E651" s="8"/>
      <c r="F651" s="10"/>
      <c r="G651" s="11"/>
      <c r="H651" s="16">
        <f>IF(OR($F651="",$G651=""),0,$F651*$G651)</f>
      </c>
      <c r="I651" s="16">
        <f>IFERROR(IF($E651="",0,$H651*VLOOKUP($E651,'Pazaryeri Kartları'!$B$5:$C$24,2,FALSE)+VLOOKUP($E651,'Pazaryeri Kartları'!$B$5:$D$24,3,FALSE)*$G651),0)</f>
      </c>
      <c r="J651" s="16">
        <f>IFERROR(IF($C651="",0,VLOOKUP($C651,'Ürün Kartları'!$B$5:$G$154,6,FALSE)*$G651),0)</f>
      </c>
      <c r="K651" s="11"/>
      <c r="L651" s="10"/>
      <c r="M651" s="21">
        <f>IF($C651="","",IF($K651=1,-($J651*0.5)-$L651,$H651-$I651-$J651-$L651))</f>
      </c>
      <c r="N651" s="22">
        <f>IF(OR($C651="",$H651=0),"",$M651/$H651)</f>
      </c>
    </row>
    <row r="652" spans="2:14" x14ac:dyDescent="0.25">
      <c r="B652" s="23"/>
      <c r="C652" s="12"/>
      <c r="D652" s="20">
        <f>IFERROR(IF($C652="","",VLOOKUP($C652,'Ürün Kartları'!$B$5:$C$154,2,FALSE)),"— tanımsız ürün —")</f>
      </c>
      <c r="E652" s="12"/>
      <c r="F652" s="14"/>
      <c r="G652" s="15"/>
      <c r="H652" s="16">
        <f>IF(OR($F652="",$G652=""),0,$F652*$G652)</f>
      </c>
      <c r="I652" s="16">
        <f>IFERROR(IF($E652="",0,$H652*VLOOKUP($E652,'Pazaryeri Kartları'!$B$5:$C$24,2,FALSE)+VLOOKUP($E652,'Pazaryeri Kartları'!$B$5:$D$24,3,FALSE)*$G652),0)</f>
      </c>
      <c r="J652" s="16">
        <f>IFERROR(IF($C652="",0,VLOOKUP($C652,'Ürün Kartları'!$B$5:$G$154,6,FALSE)*$G652),0)</f>
      </c>
      <c r="K652" s="15"/>
      <c r="L652" s="14"/>
      <c r="M652" s="21">
        <f>IF($C652="","",IF($K652=1,-($J652*0.5)-$L652,$H652-$I652-$J652-$L652))</f>
      </c>
      <c r="N652" s="22">
        <f>IF(OR($C652="",$H652=0),"",$M652/$H652)</f>
      </c>
    </row>
    <row r="653" spans="2:14" x14ac:dyDescent="0.25">
      <c r="B653" s="19"/>
      <c r="C653" s="8"/>
      <c r="D653" s="20">
        <f>IFERROR(IF($C653="","",VLOOKUP($C653,'Ürün Kartları'!$B$5:$C$154,2,FALSE)),"— tanımsız ürün —")</f>
      </c>
      <c r="E653" s="8"/>
      <c r="F653" s="10"/>
      <c r="G653" s="11"/>
      <c r="H653" s="16">
        <f>IF(OR($F653="",$G653=""),0,$F653*$G653)</f>
      </c>
      <c r="I653" s="16">
        <f>IFERROR(IF($E653="",0,$H653*VLOOKUP($E653,'Pazaryeri Kartları'!$B$5:$C$24,2,FALSE)+VLOOKUP($E653,'Pazaryeri Kartları'!$B$5:$D$24,3,FALSE)*$G653),0)</f>
      </c>
      <c r="J653" s="16">
        <f>IFERROR(IF($C653="",0,VLOOKUP($C653,'Ürün Kartları'!$B$5:$G$154,6,FALSE)*$G653),0)</f>
      </c>
      <c r="K653" s="11"/>
      <c r="L653" s="10"/>
      <c r="M653" s="21">
        <f>IF($C653="","",IF($K653=1,-($J653*0.5)-$L653,$H653-$I653-$J653-$L653))</f>
      </c>
      <c r="N653" s="22">
        <f>IF(OR($C653="",$H653=0),"",$M653/$H653)</f>
      </c>
    </row>
    <row r="654" spans="2:14" x14ac:dyDescent="0.25">
      <c r="B654" s="23"/>
      <c r="C654" s="12"/>
      <c r="D654" s="20">
        <f>IFERROR(IF($C654="","",VLOOKUP($C654,'Ürün Kartları'!$B$5:$C$154,2,FALSE)),"— tanımsız ürün —")</f>
      </c>
      <c r="E654" s="12"/>
      <c r="F654" s="14"/>
      <c r="G654" s="15"/>
      <c r="H654" s="16">
        <f>IF(OR($F654="",$G654=""),0,$F654*$G654)</f>
      </c>
      <c r="I654" s="16">
        <f>IFERROR(IF($E654="",0,$H654*VLOOKUP($E654,'Pazaryeri Kartları'!$B$5:$C$24,2,FALSE)+VLOOKUP($E654,'Pazaryeri Kartları'!$B$5:$D$24,3,FALSE)*$G654),0)</f>
      </c>
      <c r="J654" s="16">
        <f>IFERROR(IF($C654="",0,VLOOKUP($C654,'Ürün Kartları'!$B$5:$G$154,6,FALSE)*$G654),0)</f>
      </c>
      <c r="K654" s="15"/>
      <c r="L654" s="14"/>
      <c r="M654" s="21">
        <f>IF($C654="","",IF($K654=1,-($J654*0.5)-$L654,$H654-$I654-$J654-$L654))</f>
      </c>
      <c r="N654" s="22">
        <f>IF(OR($C654="",$H654=0),"",$M654/$H654)</f>
      </c>
    </row>
    <row r="655" spans="2:14" x14ac:dyDescent="0.25">
      <c r="B655" s="19"/>
      <c r="C655" s="8"/>
      <c r="D655" s="20">
        <f>IFERROR(IF($C655="","",VLOOKUP($C655,'Ürün Kartları'!$B$5:$C$154,2,FALSE)),"— tanımsız ürün —")</f>
      </c>
      <c r="E655" s="8"/>
      <c r="F655" s="10"/>
      <c r="G655" s="11"/>
      <c r="H655" s="16">
        <f>IF(OR($F655="",$G655=""),0,$F655*$G655)</f>
      </c>
      <c r="I655" s="16">
        <f>IFERROR(IF($E655="",0,$H655*VLOOKUP($E655,'Pazaryeri Kartları'!$B$5:$C$24,2,FALSE)+VLOOKUP($E655,'Pazaryeri Kartları'!$B$5:$D$24,3,FALSE)*$G655),0)</f>
      </c>
      <c r="J655" s="16">
        <f>IFERROR(IF($C655="",0,VLOOKUP($C655,'Ürün Kartları'!$B$5:$G$154,6,FALSE)*$G655),0)</f>
      </c>
      <c r="K655" s="11"/>
      <c r="L655" s="10"/>
      <c r="M655" s="21">
        <f>IF($C655="","",IF($K655=1,-($J655*0.5)-$L655,$H655-$I655-$J655-$L655))</f>
      </c>
      <c r="N655" s="22">
        <f>IF(OR($C655="",$H655=0),"",$M655/$H655)</f>
      </c>
    </row>
    <row r="656" spans="2:14" x14ac:dyDescent="0.25">
      <c r="B656" s="23"/>
      <c r="C656" s="12"/>
      <c r="D656" s="20">
        <f>IFERROR(IF($C656="","",VLOOKUP($C656,'Ürün Kartları'!$B$5:$C$154,2,FALSE)),"— tanımsız ürün —")</f>
      </c>
      <c r="E656" s="12"/>
      <c r="F656" s="14"/>
      <c r="G656" s="15"/>
      <c r="H656" s="16">
        <f>IF(OR($F656="",$G656=""),0,$F656*$G656)</f>
      </c>
      <c r="I656" s="16">
        <f>IFERROR(IF($E656="",0,$H656*VLOOKUP($E656,'Pazaryeri Kartları'!$B$5:$C$24,2,FALSE)+VLOOKUP($E656,'Pazaryeri Kartları'!$B$5:$D$24,3,FALSE)*$G656),0)</f>
      </c>
      <c r="J656" s="16">
        <f>IFERROR(IF($C656="",0,VLOOKUP($C656,'Ürün Kartları'!$B$5:$G$154,6,FALSE)*$G656),0)</f>
      </c>
      <c r="K656" s="15"/>
      <c r="L656" s="14"/>
      <c r="M656" s="21">
        <f>IF($C656="","",IF($K656=1,-($J656*0.5)-$L656,$H656-$I656-$J656-$L656))</f>
      </c>
      <c r="N656" s="22">
        <f>IF(OR($C656="",$H656=0),"",$M656/$H656)</f>
      </c>
    </row>
    <row r="657" spans="2:14" x14ac:dyDescent="0.25">
      <c r="B657" s="19"/>
      <c r="C657" s="8"/>
      <c r="D657" s="20">
        <f>IFERROR(IF($C657="","",VLOOKUP($C657,'Ürün Kartları'!$B$5:$C$154,2,FALSE)),"— tanımsız ürün —")</f>
      </c>
      <c r="E657" s="8"/>
      <c r="F657" s="10"/>
      <c r="G657" s="11"/>
      <c r="H657" s="16">
        <f>IF(OR($F657="",$G657=""),0,$F657*$G657)</f>
      </c>
      <c r="I657" s="16">
        <f>IFERROR(IF($E657="",0,$H657*VLOOKUP($E657,'Pazaryeri Kartları'!$B$5:$C$24,2,FALSE)+VLOOKUP($E657,'Pazaryeri Kartları'!$B$5:$D$24,3,FALSE)*$G657),0)</f>
      </c>
      <c r="J657" s="16">
        <f>IFERROR(IF($C657="",0,VLOOKUP($C657,'Ürün Kartları'!$B$5:$G$154,6,FALSE)*$G657),0)</f>
      </c>
      <c r="K657" s="11"/>
      <c r="L657" s="10"/>
      <c r="M657" s="21">
        <f>IF($C657="","",IF($K657=1,-($J657*0.5)-$L657,$H657-$I657-$J657-$L657))</f>
      </c>
      <c r="N657" s="22">
        <f>IF(OR($C657="",$H657=0),"",$M657/$H657)</f>
      </c>
    </row>
    <row r="658" spans="2:14" x14ac:dyDescent="0.25">
      <c r="B658" s="23"/>
      <c r="C658" s="12"/>
      <c r="D658" s="20">
        <f>IFERROR(IF($C658="","",VLOOKUP($C658,'Ürün Kartları'!$B$5:$C$154,2,FALSE)),"— tanımsız ürün —")</f>
      </c>
      <c r="E658" s="12"/>
      <c r="F658" s="14"/>
      <c r="G658" s="15"/>
      <c r="H658" s="16">
        <f>IF(OR($F658="",$G658=""),0,$F658*$G658)</f>
      </c>
      <c r="I658" s="16">
        <f>IFERROR(IF($E658="",0,$H658*VLOOKUP($E658,'Pazaryeri Kartları'!$B$5:$C$24,2,FALSE)+VLOOKUP($E658,'Pazaryeri Kartları'!$B$5:$D$24,3,FALSE)*$G658),0)</f>
      </c>
      <c r="J658" s="16">
        <f>IFERROR(IF($C658="",0,VLOOKUP($C658,'Ürün Kartları'!$B$5:$G$154,6,FALSE)*$G658),0)</f>
      </c>
      <c r="K658" s="15"/>
      <c r="L658" s="14"/>
      <c r="M658" s="21">
        <f>IF($C658="","",IF($K658=1,-($J658*0.5)-$L658,$H658-$I658-$J658-$L658))</f>
      </c>
      <c r="N658" s="22">
        <f>IF(OR($C658="",$H658=0),"",$M658/$H658)</f>
      </c>
    </row>
    <row r="659" spans="2:14" x14ac:dyDescent="0.25">
      <c r="B659" s="19"/>
      <c r="C659" s="8"/>
      <c r="D659" s="20">
        <f>IFERROR(IF($C659="","",VLOOKUP($C659,'Ürün Kartları'!$B$5:$C$154,2,FALSE)),"— tanımsız ürün —")</f>
      </c>
      <c r="E659" s="8"/>
      <c r="F659" s="10"/>
      <c r="G659" s="11"/>
      <c r="H659" s="16">
        <f>IF(OR($F659="",$G659=""),0,$F659*$G659)</f>
      </c>
      <c r="I659" s="16">
        <f>IFERROR(IF($E659="",0,$H659*VLOOKUP($E659,'Pazaryeri Kartları'!$B$5:$C$24,2,FALSE)+VLOOKUP($E659,'Pazaryeri Kartları'!$B$5:$D$24,3,FALSE)*$G659),0)</f>
      </c>
      <c r="J659" s="16">
        <f>IFERROR(IF($C659="",0,VLOOKUP($C659,'Ürün Kartları'!$B$5:$G$154,6,FALSE)*$G659),0)</f>
      </c>
      <c r="K659" s="11"/>
      <c r="L659" s="10"/>
      <c r="M659" s="21">
        <f>IF($C659="","",IF($K659=1,-($J659*0.5)-$L659,$H659-$I659-$J659-$L659))</f>
      </c>
      <c r="N659" s="22">
        <f>IF(OR($C659="",$H659=0),"",$M659/$H659)</f>
      </c>
    </row>
    <row r="660" spans="2:14" x14ac:dyDescent="0.25">
      <c r="B660" s="23"/>
      <c r="C660" s="12"/>
      <c r="D660" s="20">
        <f>IFERROR(IF($C660="","",VLOOKUP($C660,'Ürün Kartları'!$B$5:$C$154,2,FALSE)),"— tanımsız ürün —")</f>
      </c>
      <c r="E660" s="12"/>
      <c r="F660" s="14"/>
      <c r="G660" s="15"/>
      <c r="H660" s="16">
        <f>IF(OR($F660="",$G660=""),0,$F660*$G660)</f>
      </c>
      <c r="I660" s="16">
        <f>IFERROR(IF($E660="",0,$H660*VLOOKUP($E660,'Pazaryeri Kartları'!$B$5:$C$24,2,FALSE)+VLOOKUP($E660,'Pazaryeri Kartları'!$B$5:$D$24,3,FALSE)*$G660),0)</f>
      </c>
      <c r="J660" s="16">
        <f>IFERROR(IF($C660="",0,VLOOKUP($C660,'Ürün Kartları'!$B$5:$G$154,6,FALSE)*$G660),0)</f>
      </c>
      <c r="K660" s="15"/>
      <c r="L660" s="14"/>
      <c r="M660" s="21">
        <f>IF($C660="","",IF($K660=1,-($J660*0.5)-$L660,$H660-$I660-$J660-$L660))</f>
      </c>
      <c r="N660" s="22">
        <f>IF(OR($C660="",$H660=0),"",$M660/$H660)</f>
      </c>
    </row>
    <row r="661" spans="2:14" x14ac:dyDescent="0.25">
      <c r="B661" s="19"/>
      <c r="C661" s="8"/>
      <c r="D661" s="20">
        <f>IFERROR(IF($C661="","",VLOOKUP($C661,'Ürün Kartları'!$B$5:$C$154,2,FALSE)),"— tanımsız ürün —")</f>
      </c>
      <c r="E661" s="8"/>
      <c r="F661" s="10"/>
      <c r="G661" s="11"/>
      <c r="H661" s="16">
        <f>IF(OR($F661="",$G661=""),0,$F661*$G661)</f>
      </c>
      <c r="I661" s="16">
        <f>IFERROR(IF($E661="",0,$H661*VLOOKUP($E661,'Pazaryeri Kartları'!$B$5:$C$24,2,FALSE)+VLOOKUP($E661,'Pazaryeri Kartları'!$B$5:$D$24,3,FALSE)*$G661),0)</f>
      </c>
      <c r="J661" s="16">
        <f>IFERROR(IF($C661="",0,VLOOKUP($C661,'Ürün Kartları'!$B$5:$G$154,6,FALSE)*$G661),0)</f>
      </c>
      <c r="K661" s="11"/>
      <c r="L661" s="10"/>
      <c r="M661" s="21">
        <f>IF($C661="","",IF($K661=1,-($J661*0.5)-$L661,$H661-$I661-$J661-$L661))</f>
      </c>
      <c r="N661" s="22">
        <f>IF(OR($C661="",$H661=0),"",$M661/$H661)</f>
      </c>
    </row>
    <row r="662" spans="2:14" x14ac:dyDescent="0.25">
      <c r="B662" s="23"/>
      <c r="C662" s="12"/>
      <c r="D662" s="20">
        <f>IFERROR(IF($C662="","",VLOOKUP($C662,'Ürün Kartları'!$B$5:$C$154,2,FALSE)),"— tanımsız ürün —")</f>
      </c>
      <c r="E662" s="12"/>
      <c r="F662" s="14"/>
      <c r="G662" s="15"/>
      <c r="H662" s="16">
        <f>IF(OR($F662="",$G662=""),0,$F662*$G662)</f>
      </c>
      <c r="I662" s="16">
        <f>IFERROR(IF($E662="",0,$H662*VLOOKUP($E662,'Pazaryeri Kartları'!$B$5:$C$24,2,FALSE)+VLOOKUP($E662,'Pazaryeri Kartları'!$B$5:$D$24,3,FALSE)*$G662),0)</f>
      </c>
      <c r="J662" s="16">
        <f>IFERROR(IF($C662="",0,VLOOKUP($C662,'Ürün Kartları'!$B$5:$G$154,6,FALSE)*$G662),0)</f>
      </c>
      <c r="K662" s="15"/>
      <c r="L662" s="14"/>
      <c r="M662" s="21">
        <f>IF($C662="","",IF($K662=1,-($J662*0.5)-$L662,$H662-$I662-$J662-$L662))</f>
      </c>
      <c r="N662" s="22">
        <f>IF(OR($C662="",$H662=0),"",$M662/$H662)</f>
      </c>
    </row>
    <row r="663" spans="2:14" x14ac:dyDescent="0.25">
      <c r="B663" s="19"/>
      <c r="C663" s="8"/>
      <c r="D663" s="20">
        <f>IFERROR(IF($C663="","",VLOOKUP($C663,'Ürün Kartları'!$B$5:$C$154,2,FALSE)),"— tanımsız ürün —")</f>
      </c>
      <c r="E663" s="8"/>
      <c r="F663" s="10"/>
      <c r="G663" s="11"/>
      <c r="H663" s="16">
        <f>IF(OR($F663="",$G663=""),0,$F663*$G663)</f>
      </c>
      <c r="I663" s="16">
        <f>IFERROR(IF($E663="",0,$H663*VLOOKUP($E663,'Pazaryeri Kartları'!$B$5:$C$24,2,FALSE)+VLOOKUP($E663,'Pazaryeri Kartları'!$B$5:$D$24,3,FALSE)*$G663),0)</f>
      </c>
      <c r="J663" s="16">
        <f>IFERROR(IF($C663="",0,VLOOKUP($C663,'Ürün Kartları'!$B$5:$G$154,6,FALSE)*$G663),0)</f>
      </c>
      <c r="K663" s="11"/>
      <c r="L663" s="10"/>
      <c r="M663" s="21">
        <f>IF($C663="","",IF($K663=1,-($J663*0.5)-$L663,$H663-$I663-$J663-$L663))</f>
      </c>
      <c r="N663" s="22">
        <f>IF(OR($C663="",$H663=0),"",$M663/$H663)</f>
      </c>
    </row>
    <row r="664" spans="2:14" x14ac:dyDescent="0.25">
      <c r="B664" s="23"/>
      <c r="C664" s="12"/>
      <c r="D664" s="20">
        <f>IFERROR(IF($C664="","",VLOOKUP($C664,'Ürün Kartları'!$B$5:$C$154,2,FALSE)),"— tanımsız ürün —")</f>
      </c>
      <c r="E664" s="12"/>
      <c r="F664" s="14"/>
      <c r="G664" s="15"/>
      <c r="H664" s="16">
        <f>IF(OR($F664="",$G664=""),0,$F664*$G664)</f>
      </c>
      <c r="I664" s="16">
        <f>IFERROR(IF($E664="",0,$H664*VLOOKUP($E664,'Pazaryeri Kartları'!$B$5:$C$24,2,FALSE)+VLOOKUP($E664,'Pazaryeri Kartları'!$B$5:$D$24,3,FALSE)*$G664),0)</f>
      </c>
      <c r="J664" s="16">
        <f>IFERROR(IF($C664="",0,VLOOKUP($C664,'Ürün Kartları'!$B$5:$G$154,6,FALSE)*$G664),0)</f>
      </c>
      <c r="K664" s="15"/>
      <c r="L664" s="14"/>
      <c r="M664" s="21">
        <f>IF($C664="","",IF($K664=1,-($J664*0.5)-$L664,$H664-$I664-$J664-$L664))</f>
      </c>
      <c r="N664" s="22">
        <f>IF(OR($C664="",$H664=0),"",$M664/$H664)</f>
      </c>
    </row>
    <row r="665" spans="2:14" x14ac:dyDescent="0.25">
      <c r="B665" s="19"/>
      <c r="C665" s="8"/>
      <c r="D665" s="20">
        <f>IFERROR(IF($C665="","",VLOOKUP($C665,'Ürün Kartları'!$B$5:$C$154,2,FALSE)),"— tanımsız ürün —")</f>
      </c>
      <c r="E665" s="8"/>
      <c r="F665" s="10"/>
      <c r="G665" s="11"/>
      <c r="H665" s="16">
        <f>IF(OR($F665="",$G665=""),0,$F665*$G665)</f>
      </c>
      <c r="I665" s="16">
        <f>IFERROR(IF($E665="",0,$H665*VLOOKUP($E665,'Pazaryeri Kartları'!$B$5:$C$24,2,FALSE)+VLOOKUP($E665,'Pazaryeri Kartları'!$B$5:$D$24,3,FALSE)*$G665),0)</f>
      </c>
      <c r="J665" s="16">
        <f>IFERROR(IF($C665="",0,VLOOKUP($C665,'Ürün Kartları'!$B$5:$G$154,6,FALSE)*$G665),0)</f>
      </c>
      <c r="K665" s="11"/>
      <c r="L665" s="10"/>
      <c r="M665" s="21">
        <f>IF($C665="","",IF($K665=1,-($J665*0.5)-$L665,$H665-$I665-$J665-$L665))</f>
      </c>
      <c r="N665" s="22">
        <f>IF(OR($C665="",$H665=0),"",$M665/$H665)</f>
      </c>
    </row>
    <row r="666" spans="2:14" x14ac:dyDescent="0.25">
      <c r="B666" s="23"/>
      <c r="C666" s="12"/>
      <c r="D666" s="20">
        <f>IFERROR(IF($C666="","",VLOOKUP($C666,'Ürün Kartları'!$B$5:$C$154,2,FALSE)),"— tanımsız ürün —")</f>
      </c>
      <c r="E666" s="12"/>
      <c r="F666" s="14"/>
      <c r="G666" s="15"/>
      <c r="H666" s="16">
        <f>IF(OR($F666="",$G666=""),0,$F666*$G666)</f>
      </c>
      <c r="I666" s="16">
        <f>IFERROR(IF($E666="",0,$H666*VLOOKUP($E666,'Pazaryeri Kartları'!$B$5:$C$24,2,FALSE)+VLOOKUP($E666,'Pazaryeri Kartları'!$B$5:$D$24,3,FALSE)*$G666),0)</f>
      </c>
      <c r="J666" s="16">
        <f>IFERROR(IF($C666="",0,VLOOKUP($C666,'Ürün Kartları'!$B$5:$G$154,6,FALSE)*$G666),0)</f>
      </c>
      <c r="K666" s="15"/>
      <c r="L666" s="14"/>
      <c r="M666" s="21">
        <f>IF($C666="","",IF($K666=1,-($J666*0.5)-$L666,$H666-$I666-$J666-$L666))</f>
      </c>
      <c r="N666" s="22">
        <f>IF(OR($C666="",$H666=0),"",$M666/$H666)</f>
      </c>
    </row>
    <row r="667" spans="2:14" x14ac:dyDescent="0.25">
      <c r="B667" s="19"/>
      <c r="C667" s="8"/>
      <c r="D667" s="20">
        <f>IFERROR(IF($C667="","",VLOOKUP($C667,'Ürün Kartları'!$B$5:$C$154,2,FALSE)),"— tanımsız ürün —")</f>
      </c>
      <c r="E667" s="8"/>
      <c r="F667" s="10"/>
      <c r="G667" s="11"/>
      <c r="H667" s="16">
        <f>IF(OR($F667="",$G667=""),0,$F667*$G667)</f>
      </c>
      <c r="I667" s="16">
        <f>IFERROR(IF($E667="",0,$H667*VLOOKUP($E667,'Pazaryeri Kartları'!$B$5:$C$24,2,FALSE)+VLOOKUP($E667,'Pazaryeri Kartları'!$B$5:$D$24,3,FALSE)*$G667),0)</f>
      </c>
      <c r="J667" s="16">
        <f>IFERROR(IF($C667="",0,VLOOKUP($C667,'Ürün Kartları'!$B$5:$G$154,6,FALSE)*$G667),0)</f>
      </c>
      <c r="K667" s="11"/>
      <c r="L667" s="10"/>
      <c r="M667" s="21">
        <f>IF($C667="","",IF($K667=1,-($J667*0.5)-$L667,$H667-$I667-$J667-$L667))</f>
      </c>
      <c r="N667" s="22">
        <f>IF(OR($C667="",$H667=0),"",$M667/$H667)</f>
      </c>
    </row>
    <row r="668" spans="2:14" x14ac:dyDescent="0.25">
      <c r="B668" s="23"/>
      <c r="C668" s="12"/>
      <c r="D668" s="20">
        <f>IFERROR(IF($C668="","",VLOOKUP($C668,'Ürün Kartları'!$B$5:$C$154,2,FALSE)),"— tanımsız ürün —")</f>
      </c>
      <c r="E668" s="12"/>
      <c r="F668" s="14"/>
      <c r="G668" s="15"/>
      <c r="H668" s="16">
        <f>IF(OR($F668="",$G668=""),0,$F668*$G668)</f>
      </c>
      <c r="I668" s="16">
        <f>IFERROR(IF($E668="",0,$H668*VLOOKUP($E668,'Pazaryeri Kartları'!$B$5:$C$24,2,FALSE)+VLOOKUP($E668,'Pazaryeri Kartları'!$B$5:$D$24,3,FALSE)*$G668),0)</f>
      </c>
      <c r="J668" s="16">
        <f>IFERROR(IF($C668="",0,VLOOKUP($C668,'Ürün Kartları'!$B$5:$G$154,6,FALSE)*$G668),0)</f>
      </c>
      <c r="K668" s="15"/>
      <c r="L668" s="14"/>
      <c r="M668" s="21">
        <f>IF($C668="","",IF($K668=1,-($J668*0.5)-$L668,$H668-$I668-$J668-$L668))</f>
      </c>
      <c r="N668" s="22">
        <f>IF(OR($C668="",$H668=0),"",$M668/$H668)</f>
      </c>
    </row>
    <row r="669" spans="2:14" x14ac:dyDescent="0.25">
      <c r="B669" s="19"/>
      <c r="C669" s="8"/>
      <c r="D669" s="20">
        <f>IFERROR(IF($C669="","",VLOOKUP($C669,'Ürün Kartları'!$B$5:$C$154,2,FALSE)),"— tanımsız ürün —")</f>
      </c>
      <c r="E669" s="8"/>
      <c r="F669" s="10"/>
      <c r="G669" s="11"/>
      <c r="H669" s="16">
        <f>IF(OR($F669="",$G669=""),0,$F669*$G669)</f>
      </c>
      <c r="I669" s="16">
        <f>IFERROR(IF($E669="",0,$H669*VLOOKUP($E669,'Pazaryeri Kartları'!$B$5:$C$24,2,FALSE)+VLOOKUP($E669,'Pazaryeri Kartları'!$B$5:$D$24,3,FALSE)*$G669),0)</f>
      </c>
      <c r="J669" s="16">
        <f>IFERROR(IF($C669="",0,VLOOKUP($C669,'Ürün Kartları'!$B$5:$G$154,6,FALSE)*$G669),0)</f>
      </c>
      <c r="K669" s="11"/>
      <c r="L669" s="10"/>
      <c r="M669" s="21">
        <f>IF($C669="","",IF($K669=1,-($J669*0.5)-$L669,$H669-$I669-$J669-$L669))</f>
      </c>
      <c r="N669" s="22">
        <f>IF(OR($C669="",$H669=0),"",$M669/$H669)</f>
      </c>
    </row>
    <row r="670" spans="2:14" x14ac:dyDescent="0.25">
      <c r="B670" s="23"/>
      <c r="C670" s="12"/>
      <c r="D670" s="20">
        <f>IFERROR(IF($C670="","",VLOOKUP($C670,'Ürün Kartları'!$B$5:$C$154,2,FALSE)),"— tanımsız ürün —")</f>
      </c>
      <c r="E670" s="12"/>
      <c r="F670" s="14"/>
      <c r="G670" s="15"/>
      <c r="H670" s="16">
        <f>IF(OR($F670="",$G670=""),0,$F670*$G670)</f>
      </c>
      <c r="I670" s="16">
        <f>IFERROR(IF($E670="",0,$H670*VLOOKUP($E670,'Pazaryeri Kartları'!$B$5:$C$24,2,FALSE)+VLOOKUP($E670,'Pazaryeri Kartları'!$B$5:$D$24,3,FALSE)*$G670),0)</f>
      </c>
      <c r="J670" s="16">
        <f>IFERROR(IF($C670="",0,VLOOKUP($C670,'Ürün Kartları'!$B$5:$G$154,6,FALSE)*$G670),0)</f>
      </c>
      <c r="K670" s="15"/>
      <c r="L670" s="14"/>
      <c r="M670" s="21">
        <f>IF($C670="","",IF($K670=1,-($J670*0.5)-$L670,$H670-$I670-$J670-$L670))</f>
      </c>
      <c r="N670" s="22">
        <f>IF(OR($C670="",$H670=0),"",$M670/$H670)</f>
      </c>
    </row>
    <row r="671" spans="2:14" x14ac:dyDescent="0.25">
      <c r="B671" s="19"/>
      <c r="C671" s="8"/>
      <c r="D671" s="20">
        <f>IFERROR(IF($C671="","",VLOOKUP($C671,'Ürün Kartları'!$B$5:$C$154,2,FALSE)),"— tanımsız ürün —")</f>
      </c>
      <c r="E671" s="8"/>
      <c r="F671" s="10"/>
      <c r="G671" s="11"/>
      <c r="H671" s="16">
        <f>IF(OR($F671="",$G671=""),0,$F671*$G671)</f>
      </c>
      <c r="I671" s="16">
        <f>IFERROR(IF($E671="",0,$H671*VLOOKUP($E671,'Pazaryeri Kartları'!$B$5:$C$24,2,FALSE)+VLOOKUP($E671,'Pazaryeri Kartları'!$B$5:$D$24,3,FALSE)*$G671),0)</f>
      </c>
      <c r="J671" s="16">
        <f>IFERROR(IF($C671="",0,VLOOKUP($C671,'Ürün Kartları'!$B$5:$G$154,6,FALSE)*$G671),0)</f>
      </c>
      <c r="K671" s="11"/>
      <c r="L671" s="10"/>
      <c r="M671" s="21">
        <f>IF($C671="","",IF($K671=1,-($J671*0.5)-$L671,$H671-$I671-$J671-$L671))</f>
      </c>
      <c r="N671" s="22">
        <f>IF(OR($C671="",$H671=0),"",$M671/$H671)</f>
      </c>
    </row>
    <row r="672" spans="2:14" x14ac:dyDescent="0.25">
      <c r="B672" s="23"/>
      <c r="C672" s="12"/>
      <c r="D672" s="20">
        <f>IFERROR(IF($C672="","",VLOOKUP($C672,'Ürün Kartları'!$B$5:$C$154,2,FALSE)),"— tanımsız ürün —")</f>
      </c>
      <c r="E672" s="12"/>
      <c r="F672" s="14"/>
      <c r="G672" s="15"/>
      <c r="H672" s="16">
        <f>IF(OR($F672="",$G672=""),0,$F672*$G672)</f>
      </c>
      <c r="I672" s="16">
        <f>IFERROR(IF($E672="",0,$H672*VLOOKUP($E672,'Pazaryeri Kartları'!$B$5:$C$24,2,FALSE)+VLOOKUP($E672,'Pazaryeri Kartları'!$B$5:$D$24,3,FALSE)*$G672),0)</f>
      </c>
      <c r="J672" s="16">
        <f>IFERROR(IF($C672="",0,VLOOKUP($C672,'Ürün Kartları'!$B$5:$G$154,6,FALSE)*$G672),0)</f>
      </c>
      <c r="K672" s="15"/>
      <c r="L672" s="14"/>
      <c r="M672" s="21">
        <f>IF($C672="","",IF($K672=1,-($J672*0.5)-$L672,$H672-$I672-$J672-$L672))</f>
      </c>
      <c r="N672" s="22">
        <f>IF(OR($C672="",$H672=0),"",$M672/$H672)</f>
      </c>
    </row>
    <row r="673" spans="2:14" x14ac:dyDescent="0.25">
      <c r="B673" s="19"/>
      <c r="C673" s="8"/>
      <c r="D673" s="20">
        <f>IFERROR(IF($C673="","",VLOOKUP($C673,'Ürün Kartları'!$B$5:$C$154,2,FALSE)),"— tanımsız ürün —")</f>
      </c>
      <c r="E673" s="8"/>
      <c r="F673" s="10"/>
      <c r="G673" s="11"/>
      <c r="H673" s="16">
        <f>IF(OR($F673="",$G673=""),0,$F673*$G673)</f>
      </c>
      <c r="I673" s="16">
        <f>IFERROR(IF($E673="",0,$H673*VLOOKUP($E673,'Pazaryeri Kartları'!$B$5:$C$24,2,FALSE)+VLOOKUP($E673,'Pazaryeri Kartları'!$B$5:$D$24,3,FALSE)*$G673),0)</f>
      </c>
      <c r="J673" s="16">
        <f>IFERROR(IF($C673="",0,VLOOKUP($C673,'Ürün Kartları'!$B$5:$G$154,6,FALSE)*$G673),0)</f>
      </c>
      <c r="K673" s="11"/>
      <c r="L673" s="10"/>
      <c r="M673" s="21">
        <f>IF($C673="","",IF($K673=1,-($J673*0.5)-$L673,$H673-$I673-$J673-$L673))</f>
      </c>
      <c r="N673" s="22">
        <f>IF(OR($C673="",$H673=0),"",$M673/$H673)</f>
      </c>
    </row>
    <row r="674" spans="2:14" x14ac:dyDescent="0.25">
      <c r="B674" s="23"/>
      <c r="C674" s="12"/>
      <c r="D674" s="20">
        <f>IFERROR(IF($C674="","",VLOOKUP($C674,'Ürün Kartları'!$B$5:$C$154,2,FALSE)),"— tanımsız ürün —")</f>
      </c>
      <c r="E674" s="12"/>
      <c r="F674" s="14"/>
      <c r="G674" s="15"/>
      <c r="H674" s="16">
        <f>IF(OR($F674="",$G674=""),0,$F674*$G674)</f>
      </c>
      <c r="I674" s="16">
        <f>IFERROR(IF($E674="",0,$H674*VLOOKUP($E674,'Pazaryeri Kartları'!$B$5:$C$24,2,FALSE)+VLOOKUP($E674,'Pazaryeri Kartları'!$B$5:$D$24,3,FALSE)*$G674),0)</f>
      </c>
      <c r="J674" s="16">
        <f>IFERROR(IF($C674="",0,VLOOKUP($C674,'Ürün Kartları'!$B$5:$G$154,6,FALSE)*$G674),0)</f>
      </c>
      <c r="K674" s="15"/>
      <c r="L674" s="14"/>
      <c r="M674" s="21">
        <f>IF($C674="","",IF($K674=1,-($J674*0.5)-$L674,$H674-$I674-$J674-$L674))</f>
      </c>
      <c r="N674" s="22">
        <f>IF(OR($C674="",$H674=0),"",$M674/$H674)</f>
      </c>
    </row>
    <row r="675" spans="2:14" x14ac:dyDescent="0.25">
      <c r="B675" s="19"/>
      <c r="C675" s="8"/>
      <c r="D675" s="20">
        <f>IFERROR(IF($C675="","",VLOOKUP($C675,'Ürün Kartları'!$B$5:$C$154,2,FALSE)),"— tanımsız ürün —")</f>
      </c>
      <c r="E675" s="8"/>
      <c r="F675" s="10"/>
      <c r="G675" s="11"/>
      <c r="H675" s="16">
        <f>IF(OR($F675="",$G675=""),0,$F675*$G675)</f>
      </c>
      <c r="I675" s="16">
        <f>IFERROR(IF($E675="",0,$H675*VLOOKUP($E675,'Pazaryeri Kartları'!$B$5:$C$24,2,FALSE)+VLOOKUP($E675,'Pazaryeri Kartları'!$B$5:$D$24,3,FALSE)*$G675),0)</f>
      </c>
      <c r="J675" s="16">
        <f>IFERROR(IF($C675="",0,VLOOKUP($C675,'Ürün Kartları'!$B$5:$G$154,6,FALSE)*$G675),0)</f>
      </c>
      <c r="K675" s="11"/>
      <c r="L675" s="10"/>
      <c r="M675" s="21">
        <f>IF($C675="","",IF($K675=1,-($J675*0.5)-$L675,$H675-$I675-$J675-$L675))</f>
      </c>
      <c r="N675" s="22">
        <f>IF(OR($C675="",$H675=0),"",$M675/$H675)</f>
      </c>
    </row>
    <row r="676" spans="2:14" x14ac:dyDescent="0.25">
      <c r="B676" s="23"/>
      <c r="C676" s="12"/>
      <c r="D676" s="20">
        <f>IFERROR(IF($C676="","",VLOOKUP($C676,'Ürün Kartları'!$B$5:$C$154,2,FALSE)),"— tanımsız ürün —")</f>
      </c>
      <c r="E676" s="12"/>
      <c r="F676" s="14"/>
      <c r="G676" s="15"/>
      <c r="H676" s="16">
        <f>IF(OR($F676="",$G676=""),0,$F676*$G676)</f>
      </c>
      <c r="I676" s="16">
        <f>IFERROR(IF($E676="",0,$H676*VLOOKUP($E676,'Pazaryeri Kartları'!$B$5:$C$24,2,FALSE)+VLOOKUP($E676,'Pazaryeri Kartları'!$B$5:$D$24,3,FALSE)*$G676),0)</f>
      </c>
      <c r="J676" s="16">
        <f>IFERROR(IF($C676="",0,VLOOKUP($C676,'Ürün Kartları'!$B$5:$G$154,6,FALSE)*$G676),0)</f>
      </c>
      <c r="K676" s="15"/>
      <c r="L676" s="14"/>
      <c r="M676" s="21">
        <f>IF($C676="","",IF($K676=1,-($J676*0.5)-$L676,$H676-$I676-$J676-$L676))</f>
      </c>
      <c r="N676" s="22">
        <f>IF(OR($C676="",$H676=0),"",$M676/$H676)</f>
      </c>
    </row>
    <row r="677" spans="2:14" x14ac:dyDescent="0.25">
      <c r="B677" s="19"/>
      <c r="C677" s="8"/>
      <c r="D677" s="20">
        <f>IFERROR(IF($C677="","",VLOOKUP($C677,'Ürün Kartları'!$B$5:$C$154,2,FALSE)),"— tanımsız ürün —")</f>
      </c>
      <c r="E677" s="8"/>
      <c r="F677" s="10"/>
      <c r="G677" s="11"/>
      <c r="H677" s="16">
        <f>IF(OR($F677="",$G677=""),0,$F677*$G677)</f>
      </c>
      <c r="I677" s="16">
        <f>IFERROR(IF($E677="",0,$H677*VLOOKUP($E677,'Pazaryeri Kartları'!$B$5:$C$24,2,FALSE)+VLOOKUP($E677,'Pazaryeri Kartları'!$B$5:$D$24,3,FALSE)*$G677),0)</f>
      </c>
      <c r="J677" s="16">
        <f>IFERROR(IF($C677="",0,VLOOKUP($C677,'Ürün Kartları'!$B$5:$G$154,6,FALSE)*$G677),0)</f>
      </c>
      <c r="K677" s="11"/>
      <c r="L677" s="10"/>
      <c r="M677" s="21">
        <f>IF($C677="","",IF($K677=1,-($J677*0.5)-$L677,$H677-$I677-$J677-$L677))</f>
      </c>
      <c r="N677" s="22">
        <f>IF(OR($C677="",$H677=0),"",$M677/$H677)</f>
      </c>
    </row>
    <row r="678" spans="2:14" x14ac:dyDescent="0.25">
      <c r="B678" s="23"/>
      <c r="C678" s="12"/>
      <c r="D678" s="20">
        <f>IFERROR(IF($C678="","",VLOOKUP($C678,'Ürün Kartları'!$B$5:$C$154,2,FALSE)),"— tanımsız ürün —")</f>
      </c>
      <c r="E678" s="12"/>
      <c r="F678" s="14"/>
      <c r="G678" s="15"/>
      <c r="H678" s="16">
        <f>IF(OR($F678="",$G678=""),0,$F678*$G678)</f>
      </c>
      <c r="I678" s="16">
        <f>IFERROR(IF($E678="",0,$H678*VLOOKUP($E678,'Pazaryeri Kartları'!$B$5:$C$24,2,FALSE)+VLOOKUP($E678,'Pazaryeri Kartları'!$B$5:$D$24,3,FALSE)*$G678),0)</f>
      </c>
      <c r="J678" s="16">
        <f>IFERROR(IF($C678="",0,VLOOKUP($C678,'Ürün Kartları'!$B$5:$G$154,6,FALSE)*$G678),0)</f>
      </c>
      <c r="K678" s="15"/>
      <c r="L678" s="14"/>
      <c r="M678" s="21">
        <f>IF($C678="","",IF($K678=1,-($J678*0.5)-$L678,$H678-$I678-$J678-$L678))</f>
      </c>
      <c r="N678" s="22">
        <f>IF(OR($C678="",$H678=0),"",$M678/$H678)</f>
      </c>
    </row>
    <row r="679" spans="2:14" x14ac:dyDescent="0.25">
      <c r="B679" s="19"/>
      <c r="C679" s="8"/>
      <c r="D679" s="20">
        <f>IFERROR(IF($C679="","",VLOOKUP($C679,'Ürün Kartları'!$B$5:$C$154,2,FALSE)),"— tanımsız ürün —")</f>
      </c>
      <c r="E679" s="8"/>
      <c r="F679" s="10"/>
      <c r="G679" s="11"/>
      <c r="H679" s="16">
        <f>IF(OR($F679="",$G679=""),0,$F679*$G679)</f>
      </c>
      <c r="I679" s="16">
        <f>IFERROR(IF($E679="",0,$H679*VLOOKUP($E679,'Pazaryeri Kartları'!$B$5:$C$24,2,FALSE)+VLOOKUP($E679,'Pazaryeri Kartları'!$B$5:$D$24,3,FALSE)*$G679),0)</f>
      </c>
      <c r="J679" s="16">
        <f>IFERROR(IF($C679="",0,VLOOKUP($C679,'Ürün Kartları'!$B$5:$G$154,6,FALSE)*$G679),0)</f>
      </c>
      <c r="K679" s="11"/>
      <c r="L679" s="10"/>
      <c r="M679" s="21">
        <f>IF($C679="","",IF($K679=1,-($J679*0.5)-$L679,$H679-$I679-$J679-$L679))</f>
      </c>
      <c r="N679" s="22">
        <f>IF(OR($C679="",$H679=0),"",$M679/$H679)</f>
      </c>
    </row>
    <row r="680" spans="2:14" x14ac:dyDescent="0.25">
      <c r="B680" s="23"/>
      <c r="C680" s="12"/>
      <c r="D680" s="20">
        <f>IFERROR(IF($C680="","",VLOOKUP($C680,'Ürün Kartları'!$B$5:$C$154,2,FALSE)),"— tanımsız ürün —")</f>
      </c>
      <c r="E680" s="12"/>
      <c r="F680" s="14"/>
      <c r="G680" s="15"/>
      <c r="H680" s="16">
        <f>IF(OR($F680="",$G680=""),0,$F680*$G680)</f>
      </c>
      <c r="I680" s="16">
        <f>IFERROR(IF($E680="",0,$H680*VLOOKUP($E680,'Pazaryeri Kartları'!$B$5:$C$24,2,FALSE)+VLOOKUP($E680,'Pazaryeri Kartları'!$B$5:$D$24,3,FALSE)*$G680),0)</f>
      </c>
      <c r="J680" s="16">
        <f>IFERROR(IF($C680="",0,VLOOKUP($C680,'Ürün Kartları'!$B$5:$G$154,6,FALSE)*$G680),0)</f>
      </c>
      <c r="K680" s="15"/>
      <c r="L680" s="14"/>
      <c r="M680" s="21">
        <f>IF($C680="","",IF($K680=1,-($J680*0.5)-$L680,$H680-$I680-$J680-$L680))</f>
      </c>
      <c r="N680" s="22">
        <f>IF(OR($C680="",$H680=0),"",$M680/$H680)</f>
      </c>
    </row>
    <row r="681" spans="2:14" x14ac:dyDescent="0.25">
      <c r="B681" s="19"/>
      <c r="C681" s="8"/>
      <c r="D681" s="20">
        <f>IFERROR(IF($C681="","",VLOOKUP($C681,'Ürün Kartları'!$B$5:$C$154,2,FALSE)),"— tanımsız ürün —")</f>
      </c>
      <c r="E681" s="8"/>
      <c r="F681" s="10"/>
      <c r="G681" s="11"/>
      <c r="H681" s="16">
        <f>IF(OR($F681="",$G681=""),0,$F681*$G681)</f>
      </c>
      <c r="I681" s="16">
        <f>IFERROR(IF($E681="",0,$H681*VLOOKUP($E681,'Pazaryeri Kartları'!$B$5:$C$24,2,FALSE)+VLOOKUP($E681,'Pazaryeri Kartları'!$B$5:$D$24,3,FALSE)*$G681),0)</f>
      </c>
      <c r="J681" s="16">
        <f>IFERROR(IF($C681="",0,VLOOKUP($C681,'Ürün Kartları'!$B$5:$G$154,6,FALSE)*$G681),0)</f>
      </c>
      <c r="K681" s="11"/>
      <c r="L681" s="10"/>
      <c r="M681" s="21">
        <f>IF($C681="","",IF($K681=1,-($J681*0.5)-$L681,$H681-$I681-$J681-$L681))</f>
      </c>
      <c r="N681" s="22">
        <f>IF(OR($C681="",$H681=0),"",$M681/$H681)</f>
      </c>
    </row>
    <row r="682" spans="2:14" x14ac:dyDescent="0.25">
      <c r="B682" s="23"/>
      <c r="C682" s="12"/>
      <c r="D682" s="20">
        <f>IFERROR(IF($C682="","",VLOOKUP($C682,'Ürün Kartları'!$B$5:$C$154,2,FALSE)),"— tanımsız ürün —")</f>
      </c>
      <c r="E682" s="12"/>
      <c r="F682" s="14"/>
      <c r="G682" s="15"/>
      <c r="H682" s="16">
        <f>IF(OR($F682="",$G682=""),0,$F682*$G682)</f>
      </c>
      <c r="I682" s="16">
        <f>IFERROR(IF($E682="",0,$H682*VLOOKUP($E682,'Pazaryeri Kartları'!$B$5:$C$24,2,FALSE)+VLOOKUP($E682,'Pazaryeri Kartları'!$B$5:$D$24,3,FALSE)*$G682),0)</f>
      </c>
      <c r="J682" s="16">
        <f>IFERROR(IF($C682="",0,VLOOKUP($C682,'Ürün Kartları'!$B$5:$G$154,6,FALSE)*$G682),0)</f>
      </c>
      <c r="K682" s="15"/>
      <c r="L682" s="14"/>
      <c r="M682" s="21">
        <f>IF($C682="","",IF($K682=1,-($J682*0.5)-$L682,$H682-$I682-$J682-$L682))</f>
      </c>
      <c r="N682" s="22">
        <f>IF(OR($C682="",$H682=0),"",$M682/$H682)</f>
      </c>
    </row>
    <row r="683" spans="2:14" x14ac:dyDescent="0.25">
      <c r="B683" s="19"/>
      <c r="C683" s="8"/>
      <c r="D683" s="20">
        <f>IFERROR(IF($C683="","",VLOOKUP($C683,'Ürün Kartları'!$B$5:$C$154,2,FALSE)),"— tanımsız ürün —")</f>
      </c>
      <c r="E683" s="8"/>
      <c r="F683" s="10"/>
      <c r="G683" s="11"/>
      <c r="H683" s="16">
        <f>IF(OR($F683="",$G683=""),0,$F683*$G683)</f>
      </c>
      <c r="I683" s="16">
        <f>IFERROR(IF($E683="",0,$H683*VLOOKUP($E683,'Pazaryeri Kartları'!$B$5:$C$24,2,FALSE)+VLOOKUP($E683,'Pazaryeri Kartları'!$B$5:$D$24,3,FALSE)*$G683),0)</f>
      </c>
      <c r="J683" s="16">
        <f>IFERROR(IF($C683="",0,VLOOKUP($C683,'Ürün Kartları'!$B$5:$G$154,6,FALSE)*$G683),0)</f>
      </c>
      <c r="K683" s="11"/>
      <c r="L683" s="10"/>
      <c r="M683" s="21">
        <f>IF($C683="","",IF($K683=1,-($J683*0.5)-$L683,$H683-$I683-$J683-$L683))</f>
      </c>
      <c r="N683" s="22">
        <f>IF(OR($C683="",$H683=0),"",$M683/$H683)</f>
      </c>
    </row>
    <row r="684" spans="2:14" x14ac:dyDescent="0.25">
      <c r="B684" s="23"/>
      <c r="C684" s="12"/>
      <c r="D684" s="20">
        <f>IFERROR(IF($C684="","",VLOOKUP($C684,'Ürün Kartları'!$B$5:$C$154,2,FALSE)),"— tanımsız ürün —")</f>
      </c>
      <c r="E684" s="12"/>
      <c r="F684" s="14"/>
      <c r="G684" s="15"/>
      <c r="H684" s="16">
        <f>IF(OR($F684="",$G684=""),0,$F684*$G684)</f>
      </c>
      <c r="I684" s="16">
        <f>IFERROR(IF($E684="",0,$H684*VLOOKUP($E684,'Pazaryeri Kartları'!$B$5:$C$24,2,FALSE)+VLOOKUP($E684,'Pazaryeri Kartları'!$B$5:$D$24,3,FALSE)*$G684),0)</f>
      </c>
      <c r="J684" s="16">
        <f>IFERROR(IF($C684="",0,VLOOKUP($C684,'Ürün Kartları'!$B$5:$G$154,6,FALSE)*$G684),0)</f>
      </c>
      <c r="K684" s="15"/>
      <c r="L684" s="14"/>
      <c r="M684" s="21">
        <f>IF($C684="","",IF($K684=1,-($J684*0.5)-$L684,$H684-$I684-$J684-$L684))</f>
      </c>
      <c r="N684" s="22">
        <f>IF(OR($C684="",$H684=0),"",$M684/$H684)</f>
      </c>
    </row>
    <row r="685" spans="2:14" x14ac:dyDescent="0.25">
      <c r="B685" s="19"/>
      <c r="C685" s="8"/>
      <c r="D685" s="20">
        <f>IFERROR(IF($C685="","",VLOOKUP($C685,'Ürün Kartları'!$B$5:$C$154,2,FALSE)),"— tanımsız ürün —")</f>
      </c>
      <c r="E685" s="8"/>
      <c r="F685" s="10"/>
      <c r="G685" s="11"/>
      <c r="H685" s="16">
        <f>IF(OR($F685="",$G685=""),0,$F685*$G685)</f>
      </c>
      <c r="I685" s="16">
        <f>IFERROR(IF($E685="",0,$H685*VLOOKUP($E685,'Pazaryeri Kartları'!$B$5:$C$24,2,FALSE)+VLOOKUP($E685,'Pazaryeri Kartları'!$B$5:$D$24,3,FALSE)*$G685),0)</f>
      </c>
      <c r="J685" s="16">
        <f>IFERROR(IF($C685="",0,VLOOKUP($C685,'Ürün Kartları'!$B$5:$G$154,6,FALSE)*$G685),0)</f>
      </c>
      <c r="K685" s="11"/>
      <c r="L685" s="10"/>
      <c r="M685" s="21">
        <f>IF($C685="","",IF($K685=1,-($J685*0.5)-$L685,$H685-$I685-$J685-$L685))</f>
      </c>
      <c r="N685" s="22">
        <f>IF(OR($C685="",$H685=0),"",$M685/$H685)</f>
      </c>
    </row>
    <row r="686" spans="2:14" x14ac:dyDescent="0.25">
      <c r="B686" s="23"/>
      <c r="C686" s="12"/>
      <c r="D686" s="20">
        <f>IFERROR(IF($C686="","",VLOOKUP($C686,'Ürün Kartları'!$B$5:$C$154,2,FALSE)),"— tanımsız ürün —")</f>
      </c>
      <c r="E686" s="12"/>
      <c r="F686" s="14"/>
      <c r="G686" s="15"/>
      <c r="H686" s="16">
        <f>IF(OR($F686="",$G686=""),0,$F686*$G686)</f>
      </c>
      <c r="I686" s="16">
        <f>IFERROR(IF($E686="",0,$H686*VLOOKUP($E686,'Pazaryeri Kartları'!$B$5:$C$24,2,FALSE)+VLOOKUP($E686,'Pazaryeri Kartları'!$B$5:$D$24,3,FALSE)*$G686),0)</f>
      </c>
      <c r="J686" s="16">
        <f>IFERROR(IF($C686="",0,VLOOKUP($C686,'Ürün Kartları'!$B$5:$G$154,6,FALSE)*$G686),0)</f>
      </c>
      <c r="K686" s="15"/>
      <c r="L686" s="14"/>
      <c r="M686" s="21">
        <f>IF($C686="","",IF($K686=1,-($J686*0.5)-$L686,$H686-$I686-$J686-$L686))</f>
      </c>
      <c r="N686" s="22">
        <f>IF(OR($C686="",$H686=0),"",$M686/$H686)</f>
      </c>
    </row>
    <row r="687" spans="2:14" x14ac:dyDescent="0.25">
      <c r="B687" s="19"/>
      <c r="C687" s="8"/>
      <c r="D687" s="20">
        <f>IFERROR(IF($C687="","",VLOOKUP($C687,'Ürün Kartları'!$B$5:$C$154,2,FALSE)),"— tanımsız ürün —")</f>
      </c>
      <c r="E687" s="8"/>
      <c r="F687" s="10"/>
      <c r="G687" s="11"/>
      <c r="H687" s="16">
        <f>IF(OR($F687="",$G687=""),0,$F687*$G687)</f>
      </c>
      <c r="I687" s="16">
        <f>IFERROR(IF($E687="",0,$H687*VLOOKUP($E687,'Pazaryeri Kartları'!$B$5:$C$24,2,FALSE)+VLOOKUP($E687,'Pazaryeri Kartları'!$B$5:$D$24,3,FALSE)*$G687),0)</f>
      </c>
      <c r="J687" s="16">
        <f>IFERROR(IF($C687="",0,VLOOKUP($C687,'Ürün Kartları'!$B$5:$G$154,6,FALSE)*$G687),0)</f>
      </c>
      <c r="K687" s="11"/>
      <c r="L687" s="10"/>
      <c r="M687" s="21">
        <f>IF($C687="","",IF($K687=1,-($J687*0.5)-$L687,$H687-$I687-$J687-$L687))</f>
      </c>
      <c r="N687" s="22">
        <f>IF(OR($C687="",$H687=0),"",$M687/$H687)</f>
      </c>
    </row>
    <row r="688" spans="2:14" x14ac:dyDescent="0.25">
      <c r="B688" s="23"/>
      <c r="C688" s="12"/>
      <c r="D688" s="20">
        <f>IFERROR(IF($C688="","",VLOOKUP($C688,'Ürün Kartları'!$B$5:$C$154,2,FALSE)),"— tanımsız ürün —")</f>
      </c>
      <c r="E688" s="12"/>
      <c r="F688" s="14"/>
      <c r="G688" s="15"/>
      <c r="H688" s="16">
        <f>IF(OR($F688="",$G688=""),0,$F688*$G688)</f>
      </c>
      <c r="I688" s="16">
        <f>IFERROR(IF($E688="",0,$H688*VLOOKUP($E688,'Pazaryeri Kartları'!$B$5:$C$24,2,FALSE)+VLOOKUP($E688,'Pazaryeri Kartları'!$B$5:$D$24,3,FALSE)*$G688),0)</f>
      </c>
      <c r="J688" s="16">
        <f>IFERROR(IF($C688="",0,VLOOKUP($C688,'Ürün Kartları'!$B$5:$G$154,6,FALSE)*$G688),0)</f>
      </c>
      <c r="K688" s="15"/>
      <c r="L688" s="14"/>
      <c r="M688" s="21">
        <f>IF($C688="","",IF($K688=1,-($J688*0.5)-$L688,$H688-$I688-$J688-$L688))</f>
      </c>
      <c r="N688" s="22">
        <f>IF(OR($C688="",$H688=0),"",$M688/$H688)</f>
      </c>
    </row>
    <row r="689" spans="2:14" x14ac:dyDescent="0.25">
      <c r="B689" s="19"/>
      <c r="C689" s="8"/>
      <c r="D689" s="20">
        <f>IFERROR(IF($C689="","",VLOOKUP($C689,'Ürün Kartları'!$B$5:$C$154,2,FALSE)),"— tanımsız ürün —")</f>
      </c>
      <c r="E689" s="8"/>
      <c r="F689" s="10"/>
      <c r="G689" s="11"/>
      <c r="H689" s="16">
        <f>IF(OR($F689="",$G689=""),0,$F689*$G689)</f>
      </c>
      <c r="I689" s="16">
        <f>IFERROR(IF($E689="",0,$H689*VLOOKUP($E689,'Pazaryeri Kartları'!$B$5:$C$24,2,FALSE)+VLOOKUP($E689,'Pazaryeri Kartları'!$B$5:$D$24,3,FALSE)*$G689),0)</f>
      </c>
      <c r="J689" s="16">
        <f>IFERROR(IF($C689="",0,VLOOKUP($C689,'Ürün Kartları'!$B$5:$G$154,6,FALSE)*$G689),0)</f>
      </c>
      <c r="K689" s="11"/>
      <c r="L689" s="10"/>
      <c r="M689" s="21">
        <f>IF($C689="","",IF($K689=1,-($J689*0.5)-$L689,$H689-$I689-$J689-$L689))</f>
      </c>
      <c r="N689" s="22">
        <f>IF(OR($C689="",$H689=0),"",$M689/$H689)</f>
      </c>
    </row>
    <row r="690" spans="2:14" x14ac:dyDescent="0.25">
      <c r="B690" s="23"/>
      <c r="C690" s="12"/>
      <c r="D690" s="20">
        <f>IFERROR(IF($C690="","",VLOOKUP($C690,'Ürün Kartları'!$B$5:$C$154,2,FALSE)),"— tanımsız ürün —")</f>
      </c>
      <c r="E690" s="12"/>
      <c r="F690" s="14"/>
      <c r="G690" s="15"/>
      <c r="H690" s="16">
        <f>IF(OR($F690="",$G690=""),0,$F690*$G690)</f>
      </c>
      <c r="I690" s="16">
        <f>IFERROR(IF($E690="",0,$H690*VLOOKUP($E690,'Pazaryeri Kartları'!$B$5:$C$24,2,FALSE)+VLOOKUP($E690,'Pazaryeri Kartları'!$B$5:$D$24,3,FALSE)*$G690),0)</f>
      </c>
      <c r="J690" s="16">
        <f>IFERROR(IF($C690="",0,VLOOKUP($C690,'Ürün Kartları'!$B$5:$G$154,6,FALSE)*$G690),0)</f>
      </c>
      <c r="K690" s="15"/>
      <c r="L690" s="14"/>
      <c r="M690" s="21">
        <f>IF($C690="","",IF($K690=1,-($J690*0.5)-$L690,$H690-$I690-$J690-$L690))</f>
      </c>
      <c r="N690" s="22">
        <f>IF(OR($C690="",$H690=0),"",$M690/$H690)</f>
      </c>
    </row>
    <row r="691" spans="2:14" x14ac:dyDescent="0.25">
      <c r="B691" s="19"/>
      <c r="C691" s="8"/>
      <c r="D691" s="20">
        <f>IFERROR(IF($C691="","",VLOOKUP($C691,'Ürün Kartları'!$B$5:$C$154,2,FALSE)),"— tanımsız ürün —")</f>
      </c>
      <c r="E691" s="8"/>
      <c r="F691" s="10"/>
      <c r="G691" s="11"/>
      <c r="H691" s="16">
        <f>IF(OR($F691="",$G691=""),0,$F691*$G691)</f>
      </c>
      <c r="I691" s="16">
        <f>IFERROR(IF($E691="",0,$H691*VLOOKUP($E691,'Pazaryeri Kartları'!$B$5:$C$24,2,FALSE)+VLOOKUP($E691,'Pazaryeri Kartları'!$B$5:$D$24,3,FALSE)*$G691),0)</f>
      </c>
      <c r="J691" s="16">
        <f>IFERROR(IF($C691="",0,VLOOKUP($C691,'Ürün Kartları'!$B$5:$G$154,6,FALSE)*$G691),0)</f>
      </c>
      <c r="K691" s="11"/>
      <c r="L691" s="10"/>
      <c r="M691" s="21">
        <f>IF($C691="","",IF($K691=1,-($J691*0.5)-$L691,$H691-$I691-$J691-$L691))</f>
      </c>
      <c r="N691" s="22">
        <f>IF(OR($C691="",$H691=0),"",$M691/$H691)</f>
      </c>
    </row>
    <row r="692" spans="2:14" x14ac:dyDescent="0.25">
      <c r="B692" s="23"/>
      <c r="C692" s="12"/>
      <c r="D692" s="20">
        <f>IFERROR(IF($C692="","",VLOOKUP($C692,'Ürün Kartları'!$B$5:$C$154,2,FALSE)),"— tanımsız ürün —")</f>
      </c>
      <c r="E692" s="12"/>
      <c r="F692" s="14"/>
      <c r="G692" s="15"/>
      <c r="H692" s="16">
        <f>IF(OR($F692="",$G692=""),0,$F692*$G692)</f>
      </c>
      <c r="I692" s="16">
        <f>IFERROR(IF($E692="",0,$H692*VLOOKUP($E692,'Pazaryeri Kartları'!$B$5:$C$24,2,FALSE)+VLOOKUP($E692,'Pazaryeri Kartları'!$B$5:$D$24,3,FALSE)*$G692),0)</f>
      </c>
      <c r="J692" s="16">
        <f>IFERROR(IF($C692="",0,VLOOKUP($C692,'Ürün Kartları'!$B$5:$G$154,6,FALSE)*$G692),0)</f>
      </c>
      <c r="K692" s="15"/>
      <c r="L692" s="14"/>
      <c r="M692" s="21">
        <f>IF($C692="","",IF($K692=1,-($J692*0.5)-$L692,$H692-$I692-$J692-$L692))</f>
      </c>
      <c r="N692" s="22">
        <f>IF(OR($C692="",$H692=0),"",$M692/$H692)</f>
      </c>
    </row>
    <row r="693" spans="2:14" x14ac:dyDescent="0.25">
      <c r="B693" s="19"/>
      <c r="C693" s="8"/>
      <c r="D693" s="20">
        <f>IFERROR(IF($C693="","",VLOOKUP($C693,'Ürün Kartları'!$B$5:$C$154,2,FALSE)),"— tanımsız ürün —")</f>
      </c>
      <c r="E693" s="8"/>
      <c r="F693" s="10"/>
      <c r="G693" s="11"/>
      <c r="H693" s="16">
        <f>IF(OR($F693="",$G693=""),0,$F693*$G693)</f>
      </c>
      <c r="I693" s="16">
        <f>IFERROR(IF($E693="",0,$H693*VLOOKUP($E693,'Pazaryeri Kartları'!$B$5:$C$24,2,FALSE)+VLOOKUP($E693,'Pazaryeri Kartları'!$B$5:$D$24,3,FALSE)*$G693),0)</f>
      </c>
      <c r="J693" s="16">
        <f>IFERROR(IF($C693="",0,VLOOKUP($C693,'Ürün Kartları'!$B$5:$G$154,6,FALSE)*$G693),0)</f>
      </c>
      <c r="K693" s="11"/>
      <c r="L693" s="10"/>
      <c r="M693" s="21">
        <f>IF($C693="","",IF($K693=1,-($J693*0.5)-$L693,$H693-$I693-$J693-$L693))</f>
      </c>
      <c r="N693" s="22">
        <f>IF(OR($C693="",$H693=0),"",$M693/$H693)</f>
      </c>
    </row>
    <row r="694" spans="2:14" x14ac:dyDescent="0.25">
      <c r="B694" s="23"/>
      <c r="C694" s="12"/>
      <c r="D694" s="20">
        <f>IFERROR(IF($C694="","",VLOOKUP($C694,'Ürün Kartları'!$B$5:$C$154,2,FALSE)),"— tanımsız ürün —")</f>
      </c>
      <c r="E694" s="12"/>
      <c r="F694" s="14"/>
      <c r="G694" s="15"/>
      <c r="H694" s="16">
        <f>IF(OR($F694="",$G694=""),0,$F694*$G694)</f>
      </c>
      <c r="I694" s="16">
        <f>IFERROR(IF($E694="",0,$H694*VLOOKUP($E694,'Pazaryeri Kartları'!$B$5:$C$24,2,FALSE)+VLOOKUP($E694,'Pazaryeri Kartları'!$B$5:$D$24,3,FALSE)*$G694),0)</f>
      </c>
      <c r="J694" s="16">
        <f>IFERROR(IF($C694="",0,VLOOKUP($C694,'Ürün Kartları'!$B$5:$G$154,6,FALSE)*$G694),0)</f>
      </c>
      <c r="K694" s="15"/>
      <c r="L694" s="14"/>
      <c r="M694" s="21">
        <f>IF($C694="","",IF($K694=1,-($J694*0.5)-$L694,$H694-$I694-$J694-$L694))</f>
      </c>
      <c r="N694" s="22">
        <f>IF(OR($C694="",$H694=0),"",$M694/$H694)</f>
      </c>
    </row>
    <row r="695" spans="2:14" x14ac:dyDescent="0.25">
      <c r="B695" s="19"/>
      <c r="C695" s="8"/>
      <c r="D695" s="20">
        <f>IFERROR(IF($C695="","",VLOOKUP($C695,'Ürün Kartları'!$B$5:$C$154,2,FALSE)),"— tanımsız ürün —")</f>
      </c>
      <c r="E695" s="8"/>
      <c r="F695" s="10"/>
      <c r="G695" s="11"/>
      <c r="H695" s="16">
        <f>IF(OR($F695="",$G695=""),0,$F695*$G695)</f>
      </c>
      <c r="I695" s="16">
        <f>IFERROR(IF($E695="",0,$H695*VLOOKUP($E695,'Pazaryeri Kartları'!$B$5:$C$24,2,FALSE)+VLOOKUP($E695,'Pazaryeri Kartları'!$B$5:$D$24,3,FALSE)*$G695),0)</f>
      </c>
      <c r="J695" s="16">
        <f>IFERROR(IF($C695="",0,VLOOKUP($C695,'Ürün Kartları'!$B$5:$G$154,6,FALSE)*$G695),0)</f>
      </c>
      <c r="K695" s="11"/>
      <c r="L695" s="10"/>
      <c r="M695" s="21">
        <f>IF($C695="","",IF($K695=1,-($J695*0.5)-$L695,$H695-$I695-$J695-$L695))</f>
      </c>
      <c r="N695" s="22">
        <f>IF(OR($C695="",$H695=0),"",$M695/$H695)</f>
      </c>
    </row>
    <row r="696" spans="2:14" x14ac:dyDescent="0.25">
      <c r="B696" s="23"/>
      <c r="C696" s="12"/>
      <c r="D696" s="20">
        <f>IFERROR(IF($C696="","",VLOOKUP($C696,'Ürün Kartları'!$B$5:$C$154,2,FALSE)),"— tanımsız ürün —")</f>
      </c>
      <c r="E696" s="12"/>
      <c r="F696" s="14"/>
      <c r="G696" s="15"/>
      <c r="H696" s="16">
        <f>IF(OR($F696="",$G696=""),0,$F696*$G696)</f>
      </c>
      <c r="I696" s="16">
        <f>IFERROR(IF($E696="",0,$H696*VLOOKUP($E696,'Pazaryeri Kartları'!$B$5:$C$24,2,FALSE)+VLOOKUP($E696,'Pazaryeri Kartları'!$B$5:$D$24,3,FALSE)*$G696),0)</f>
      </c>
      <c r="J696" s="16">
        <f>IFERROR(IF($C696="",0,VLOOKUP($C696,'Ürün Kartları'!$B$5:$G$154,6,FALSE)*$G696),0)</f>
      </c>
      <c r="K696" s="15"/>
      <c r="L696" s="14"/>
      <c r="M696" s="21">
        <f>IF($C696="","",IF($K696=1,-($J696*0.5)-$L696,$H696-$I696-$J696-$L696))</f>
      </c>
      <c r="N696" s="22">
        <f>IF(OR($C696="",$H696=0),"",$M696/$H696)</f>
      </c>
    </row>
    <row r="697" spans="2:14" x14ac:dyDescent="0.25">
      <c r="B697" s="19"/>
      <c r="C697" s="8"/>
      <c r="D697" s="20">
        <f>IFERROR(IF($C697="","",VLOOKUP($C697,'Ürün Kartları'!$B$5:$C$154,2,FALSE)),"— tanımsız ürün —")</f>
      </c>
      <c r="E697" s="8"/>
      <c r="F697" s="10"/>
      <c r="G697" s="11"/>
      <c r="H697" s="16">
        <f>IF(OR($F697="",$G697=""),0,$F697*$G697)</f>
      </c>
      <c r="I697" s="16">
        <f>IFERROR(IF($E697="",0,$H697*VLOOKUP($E697,'Pazaryeri Kartları'!$B$5:$C$24,2,FALSE)+VLOOKUP($E697,'Pazaryeri Kartları'!$B$5:$D$24,3,FALSE)*$G697),0)</f>
      </c>
      <c r="J697" s="16">
        <f>IFERROR(IF($C697="",0,VLOOKUP($C697,'Ürün Kartları'!$B$5:$G$154,6,FALSE)*$G697),0)</f>
      </c>
      <c r="K697" s="11"/>
      <c r="L697" s="10"/>
      <c r="M697" s="21">
        <f>IF($C697="","",IF($K697=1,-($J697*0.5)-$L697,$H697-$I697-$J697-$L697))</f>
      </c>
      <c r="N697" s="22">
        <f>IF(OR($C697="",$H697=0),"",$M697/$H697)</f>
      </c>
    </row>
    <row r="698" spans="2:14" x14ac:dyDescent="0.25">
      <c r="B698" s="23"/>
      <c r="C698" s="12"/>
      <c r="D698" s="20">
        <f>IFERROR(IF($C698="","",VLOOKUP($C698,'Ürün Kartları'!$B$5:$C$154,2,FALSE)),"— tanımsız ürün —")</f>
      </c>
      <c r="E698" s="12"/>
      <c r="F698" s="14"/>
      <c r="G698" s="15"/>
      <c r="H698" s="16">
        <f>IF(OR($F698="",$G698=""),0,$F698*$G698)</f>
      </c>
      <c r="I698" s="16">
        <f>IFERROR(IF($E698="",0,$H698*VLOOKUP($E698,'Pazaryeri Kartları'!$B$5:$C$24,2,FALSE)+VLOOKUP($E698,'Pazaryeri Kartları'!$B$5:$D$24,3,FALSE)*$G698),0)</f>
      </c>
      <c r="J698" s="16">
        <f>IFERROR(IF($C698="",0,VLOOKUP($C698,'Ürün Kartları'!$B$5:$G$154,6,FALSE)*$G698),0)</f>
      </c>
      <c r="K698" s="15"/>
      <c r="L698" s="14"/>
      <c r="M698" s="21">
        <f>IF($C698="","",IF($K698=1,-($J698*0.5)-$L698,$H698-$I698-$J698-$L698))</f>
      </c>
      <c r="N698" s="22">
        <f>IF(OR($C698="",$H698=0),"",$M698/$H698)</f>
      </c>
    </row>
    <row r="699" spans="2:14" x14ac:dyDescent="0.25">
      <c r="B699" s="19"/>
      <c r="C699" s="8"/>
      <c r="D699" s="20">
        <f>IFERROR(IF($C699="","",VLOOKUP($C699,'Ürün Kartları'!$B$5:$C$154,2,FALSE)),"— tanımsız ürün —")</f>
      </c>
      <c r="E699" s="8"/>
      <c r="F699" s="10"/>
      <c r="G699" s="11"/>
      <c r="H699" s="16">
        <f>IF(OR($F699="",$G699=""),0,$F699*$G699)</f>
      </c>
      <c r="I699" s="16">
        <f>IFERROR(IF($E699="",0,$H699*VLOOKUP($E699,'Pazaryeri Kartları'!$B$5:$C$24,2,FALSE)+VLOOKUP($E699,'Pazaryeri Kartları'!$B$5:$D$24,3,FALSE)*$G699),0)</f>
      </c>
      <c r="J699" s="16">
        <f>IFERROR(IF($C699="",0,VLOOKUP($C699,'Ürün Kartları'!$B$5:$G$154,6,FALSE)*$G699),0)</f>
      </c>
      <c r="K699" s="11"/>
      <c r="L699" s="10"/>
      <c r="M699" s="21">
        <f>IF($C699="","",IF($K699=1,-($J699*0.5)-$L699,$H699-$I699-$J699-$L699))</f>
      </c>
      <c r="N699" s="22">
        <f>IF(OR($C699="",$H699=0),"",$M699/$H699)</f>
      </c>
    </row>
    <row r="700" spans="2:14" x14ac:dyDescent="0.25">
      <c r="B700" s="23"/>
      <c r="C700" s="12"/>
      <c r="D700" s="20">
        <f>IFERROR(IF($C700="","",VLOOKUP($C700,'Ürün Kartları'!$B$5:$C$154,2,FALSE)),"— tanımsız ürün —")</f>
      </c>
      <c r="E700" s="12"/>
      <c r="F700" s="14"/>
      <c r="G700" s="15"/>
      <c r="H700" s="16">
        <f>IF(OR($F700="",$G700=""),0,$F700*$G700)</f>
      </c>
      <c r="I700" s="16">
        <f>IFERROR(IF($E700="",0,$H700*VLOOKUP($E700,'Pazaryeri Kartları'!$B$5:$C$24,2,FALSE)+VLOOKUP($E700,'Pazaryeri Kartları'!$B$5:$D$24,3,FALSE)*$G700),0)</f>
      </c>
      <c r="J700" s="16">
        <f>IFERROR(IF($C700="",0,VLOOKUP($C700,'Ürün Kartları'!$B$5:$G$154,6,FALSE)*$G700),0)</f>
      </c>
      <c r="K700" s="15"/>
      <c r="L700" s="14"/>
      <c r="M700" s="21">
        <f>IF($C700="","",IF($K700=1,-($J700*0.5)-$L700,$H700-$I700-$J700-$L700))</f>
      </c>
      <c r="N700" s="22">
        <f>IF(OR($C700="",$H700=0),"",$M700/$H700)</f>
      </c>
    </row>
    <row r="701" spans="2:14" x14ac:dyDescent="0.25">
      <c r="B701" s="19"/>
      <c r="C701" s="8"/>
      <c r="D701" s="20">
        <f>IFERROR(IF($C701="","",VLOOKUP($C701,'Ürün Kartları'!$B$5:$C$154,2,FALSE)),"— tanımsız ürün —")</f>
      </c>
      <c r="E701" s="8"/>
      <c r="F701" s="10"/>
      <c r="G701" s="11"/>
      <c r="H701" s="16">
        <f>IF(OR($F701="",$G701=""),0,$F701*$G701)</f>
      </c>
      <c r="I701" s="16">
        <f>IFERROR(IF($E701="",0,$H701*VLOOKUP($E701,'Pazaryeri Kartları'!$B$5:$C$24,2,FALSE)+VLOOKUP($E701,'Pazaryeri Kartları'!$B$5:$D$24,3,FALSE)*$G701),0)</f>
      </c>
      <c r="J701" s="16">
        <f>IFERROR(IF($C701="",0,VLOOKUP($C701,'Ürün Kartları'!$B$5:$G$154,6,FALSE)*$G701),0)</f>
      </c>
      <c r="K701" s="11"/>
      <c r="L701" s="10"/>
      <c r="M701" s="21">
        <f>IF($C701="","",IF($K701=1,-($J701*0.5)-$L701,$H701-$I701-$J701-$L701))</f>
      </c>
      <c r="N701" s="22">
        <f>IF(OR($C701="",$H701=0),"",$M701/$H701)</f>
      </c>
    </row>
    <row r="702" spans="2:14" x14ac:dyDescent="0.25">
      <c r="B702" s="23"/>
      <c r="C702" s="12"/>
      <c r="D702" s="20">
        <f>IFERROR(IF($C702="","",VLOOKUP($C702,'Ürün Kartları'!$B$5:$C$154,2,FALSE)),"— tanımsız ürün —")</f>
      </c>
      <c r="E702" s="12"/>
      <c r="F702" s="14"/>
      <c r="G702" s="15"/>
      <c r="H702" s="16">
        <f>IF(OR($F702="",$G702=""),0,$F702*$G702)</f>
      </c>
      <c r="I702" s="16">
        <f>IFERROR(IF($E702="",0,$H702*VLOOKUP($E702,'Pazaryeri Kartları'!$B$5:$C$24,2,FALSE)+VLOOKUP($E702,'Pazaryeri Kartları'!$B$5:$D$24,3,FALSE)*$G702),0)</f>
      </c>
      <c r="J702" s="16">
        <f>IFERROR(IF($C702="",0,VLOOKUP($C702,'Ürün Kartları'!$B$5:$G$154,6,FALSE)*$G702),0)</f>
      </c>
      <c r="K702" s="15"/>
      <c r="L702" s="14"/>
      <c r="M702" s="21">
        <f>IF($C702="","",IF($K702=1,-($J702*0.5)-$L702,$H702-$I702-$J702-$L702))</f>
      </c>
      <c r="N702" s="22">
        <f>IF(OR($C702="",$H702=0),"",$M702/$H702)</f>
      </c>
    </row>
    <row r="703" spans="2:14" x14ac:dyDescent="0.25">
      <c r="B703" s="19"/>
      <c r="C703" s="8"/>
      <c r="D703" s="20">
        <f>IFERROR(IF($C703="","",VLOOKUP($C703,'Ürün Kartları'!$B$5:$C$154,2,FALSE)),"— tanımsız ürün —")</f>
      </c>
      <c r="E703" s="8"/>
      <c r="F703" s="10"/>
      <c r="G703" s="11"/>
      <c r="H703" s="16">
        <f>IF(OR($F703="",$G703=""),0,$F703*$G703)</f>
      </c>
      <c r="I703" s="16">
        <f>IFERROR(IF($E703="",0,$H703*VLOOKUP($E703,'Pazaryeri Kartları'!$B$5:$C$24,2,FALSE)+VLOOKUP($E703,'Pazaryeri Kartları'!$B$5:$D$24,3,FALSE)*$G703),0)</f>
      </c>
      <c r="J703" s="16">
        <f>IFERROR(IF($C703="",0,VLOOKUP($C703,'Ürün Kartları'!$B$5:$G$154,6,FALSE)*$G703),0)</f>
      </c>
      <c r="K703" s="11"/>
      <c r="L703" s="10"/>
      <c r="M703" s="21">
        <f>IF($C703="","",IF($K703=1,-($J703*0.5)-$L703,$H703-$I703-$J703-$L703))</f>
      </c>
      <c r="N703" s="22">
        <f>IF(OR($C703="",$H703=0),"",$M703/$H703)</f>
      </c>
    </row>
    <row r="704" spans="2:14" x14ac:dyDescent="0.25">
      <c r="B704" s="23"/>
      <c r="C704" s="12"/>
      <c r="D704" s="20">
        <f>IFERROR(IF($C704="","",VLOOKUP($C704,'Ürün Kartları'!$B$5:$C$154,2,FALSE)),"— tanımsız ürün —")</f>
      </c>
      <c r="E704" s="12"/>
      <c r="F704" s="14"/>
      <c r="G704" s="15"/>
      <c r="H704" s="16">
        <f>IF(OR($F704="",$G704=""),0,$F704*$G704)</f>
      </c>
      <c r="I704" s="16">
        <f>IFERROR(IF($E704="",0,$H704*VLOOKUP($E704,'Pazaryeri Kartları'!$B$5:$C$24,2,FALSE)+VLOOKUP($E704,'Pazaryeri Kartları'!$B$5:$D$24,3,FALSE)*$G704),0)</f>
      </c>
      <c r="J704" s="16">
        <f>IFERROR(IF($C704="",0,VLOOKUP($C704,'Ürün Kartları'!$B$5:$G$154,6,FALSE)*$G704),0)</f>
      </c>
      <c r="K704" s="15"/>
      <c r="L704" s="14"/>
      <c r="M704" s="21">
        <f>IF($C704="","",IF($K704=1,-($J704*0.5)-$L704,$H704-$I704-$J704-$L704))</f>
      </c>
      <c r="N704" s="22">
        <f>IF(OR($C704="",$H704=0),"",$M704/$H704)</f>
      </c>
    </row>
    <row r="705" spans="2:14" x14ac:dyDescent="0.25">
      <c r="B705" s="19"/>
      <c r="C705" s="8"/>
      <c r="D705" s="20">
        <f>IFERROR(IF($C705="","",VLOOKUP($C705,'Ürün Kartları'!$B$5:$C$154,2,FALSE)),"— tanımsız ürün —")</f>
      </c>
      <c r="E705" s="8"/>
      <c r="F705" s="10"/>
      <c r="G705" s="11"/>
      <c r="H705" s="16">
        <f>IF(OR($F705="",$G705=""),0,$F705*$G705)</f>
      </c>
      <c r="I705" s="16">
        <f>IFERROR(IF($E705="",0,$H705*VLOOKUP($E705,'Pazaryeri Kartları'!$B$5:$C$24,2,FALSE)+VLOOKUP($E705,'Pazaryeri Kartları'!$B$5:$D$24,3,FALSE)*$G705),0)</f>
      </c>
      <c r="J705" s="16">
        <f>IFERROR(IF($C705="",0,VLOOKUP($C705,'Ürün Kartları'!$B$5:$G$154,6,FALSE)*$G705),0)</f>
      </c>
      <c r="K705" s="11"/>
      <c r="L705" s="10"/>
      <c r="M705" s="21">
        <f>IF($C705="","",IF($K705=1,-($J705*0.5)-$L705,$H705-$I705-$J705-$L705))</f>
      </c>
      <c r="N705" s="22">
        <f>IF(OR($C705="",$H705=0),"",$M705/$H705)</f>
      </c>
    </row>
    <row r="706" spans="2:14" x14ac:dyDescent="0.25">
      <c r="B706" s="23"/>
      <c r="C706" s="12"/>
      <c r="D706" s="20">
        <f>IFERROR(IF($C706="","",VLOOKUP($C706,'Ürün Kartları'!$B$5:$C$154,2,FALSE)),"— tanımsız ürün —")</f>
      </c>
      <c r="E706" s="12"/>
      <c r="F706" s="14"/>
      <c r="G706" s="15"/>
      <c r="H706" s="16">
        <f>IF(OR($F706="",$G706=""),0,$F706*$G706)</f>
      </c>
      <c r="I706" s="16">
        <f>IFERROR(IF($E706="",0,$H706*VLOOKUP($E706,'Pazaryeri Kartları'!$B$5:$C$24,2,FALSE)+VLOOKUP($E706,'Pazaryeri Kartları'!$B$5:$D$24,3,FALSE)*$G706),0)</f>
      </c>
      <c r="J706" s="16">
        <f>IFERROR(IF($C706="",0,VLOOKUP($C706,'Ürün Kartları'!$B$5:$G$154,6,FALSE)*$G706),0)</f>
      </c>
      <c r="K706" s="15"/>
      <c r="L706" s="14"/>
      <c r="M706" s="21">
        <f>IF($C706="","",IF($K706=1,-($J706*0.5)-$L706,$H706-$I706-$J706-$L706))</f>
      </c>
      <c r="N706" s="22">
        <f>IF(OR($C706="",$H706=0),"",$M706/$H706)</f>
      </c>
    </row>
    <row r="707" spans="2:14" x14ac:dyDescent="0.25">
      <c r="B707" s="19"/>
      <c r="C707" s="8"/>
      <c r="D707" s="20">
        <f>IFERROR(IF($C707="","",VLOOKUP($C707,'Ürün Kartları'!$B$5:$C$154,2,FALSE)),"— tanımsız ürün —")</f>
      </c>
      <c r="E707" s="8"/>
      <c r="F707" s="10"/>
      <c r="G707" s="11"/>
      <c r="H707" s="16">
        <f>IF(OR($F707="",$G707=""),0,$F707*$G707)</f>
      </c>
      <c r="I707" s="16">
        <f>IFERROR(IF($E707="",0,$H707*VLOOKUP($E707,'Pazaryeri Kartları'!$B$5:$C$24,2,FALSE)+VLOOKUP($E707,'Pazaryeri Kartları'!$B$5:$D$24,3,FALSE)*$G707),0)</f>
      </c>
      <c r="J707" s="16">
        <f>IFERROR(IF($C707="",0,VLOOKUP($C707,'Ürün Kartları'!$B$5:$G$154,6,FALSE)*$G707),0)</f>
      </c>
      <c r="K707" s="11"/>
      <c r="L707" s="10"/>
      <c r="M707" s="21">
        <f>IF($C707="","",IF($K707=1,-($J707*0.5)-$L707,$H707-$I707-$J707-$L707))</f>
      </c>
      <c r="N707" s="22">
        <f>IF(OR($C707="",$H707=0),"",$M707/$H707)</f>
      </c>
    </row>
    <row r="708" spans="2:14" x14ac:dyDescent="0.25">
      <c r="B708" s="23"/>
      <c r="C708" s="12"/>
      <c r="D708" s="20">
        <f>IFERROR(IF($C708="","",VLOOKUP($C708,'Ürün Kartları'!$B$5:$C$154,2,FALSE)),"— tanımsız ürün —")</f>
      </c>
      <c r="E708" s="12"/>
      <c r="F708" s="14"/>
      <c r="G708" s="15"/>
      <c r="H708" s="16">
        <f>IF(OR($F708="",$G708=""),0,$F708*$G708)</f>
      </c>
      <c r="I708" s="16">
        <f>IFERROR(IF($E708="",0,$H708*VLOOKUP($E708,'Pazaryeri Kartları'!$B$5:$C$24,2,FALSE)+VLOOKUP($E708,'Pazaryeri Kartları'!$B$5:$D$24,3,FALSE)*$G708),0)</f>
      </c>
      <c r="J708" s="16">
        <f>IFERROR(IF($C708="",0,VLOOKUP($C708,'Ürün Kartları'!$B$5:$G$154,6,FALSE)*$G708),0)</f>
      </c>
      <c r="K708" s="15"/>
      <c r="L708" s="14"/>
      <c r="M708" s="21">
        <f>IF($C708="","",IF($K708=1,-($J708*0.5)-$L708,$H708-$I708-$J708-$L708))</f>
      </c>
      <c r="N708" s="22">
        <f>IF(OR($C708="",$H708=0),"",$M708/$H708)</f>
      </c>
    </row>
    <row r="709" spans="2:14" x14ac:dyDescent="0.25">
      <c r="B709" s="19"/>
      <c r="C709" s="8"/>
      <c r="D709" s="20">
        <f>IFERROR(IF($C709="","",VLOOKUP($C709,'Ürün Kartları'!$B$5:$C$154,2,FALSE)),"— tanımsız ürün —")</f>
      </c>
      <c r="E709" s="8"/>
      <c r="F709" s="10"/>
      <c r="G709" s="11"/>
      <c r="H709" s="16">
        <f>IF(OR($F709="",$G709=""),0,$F709*$G709)</f>
      </c>
      <c r="I709" s="16">
        <f>IFERROR(IF($E709="",0,$H709*VLOOKUP($E709,'Pazaryeri Kartları'!$B$5:$C$24,2,FALSE)+VLOOKUP($E709,'Pazaryeri Kartları'!$B$5:$D$24,3,FALSE)*$G709),0)</f>
      </c>
      <c r="J709" s="16">
        <f>IFERROR(IF($C709="",0,VLOOKUP($C709,'Ürün Kartları'!$B$5:$G$154,6,FALSE)*$G709),0)</f>
      </c>
      <c r="K709" s="11"/>
      <c r="L709" s="10"/>
      <c r="M709" s="21">
        <f>IF($C709="","",IF($K709=1,-($J709*0.5)-$L709,$H709-$I709-$J709-$L709))</f>
      </c>
      <c r="N709" s="22">
        <f>IF(OR($C709="",$H709=0),"",$M709/$H709)</f>
      </c>
    </row>
    <row r="710" spans="2:14" x14ac:dyDescent="0.25">
      <c r="B710" s="23"/>
      <c r="C710" s="12"/>
      <c r="D710" s="20">
        <f>IFERROR(IF($C710="","",VLOOKUP($C710,'Ürün Kartları'!$B$5:$C$154,2,FALSE)),"— tanımsız ürün —")</f>
      </c>
      <c r="E710" s="12"/>
      <c r="F710" s="14"/>
      <c r="G710" s="15"/>
      <c r="H710" s="16">
        <f>IF(OR($F710="",$G710=""),0,$F710*$G710)</f>
      </c>
      <c r="I710" s="16">
        <f>IFERROR(IF($E710="",0,$H710*VLOOKUP($E710,'Pazaryeri Kartları'!$B$5:$C$24,2,FALSE)+VLOOKUP($E710,'Pazaryeri Kartları'!$B$5:$D$24,3,FALSE)*$G710),0)</f>
      </c>
      <c r="J710" s="16">
        <f>IFERROR(IF($C710="",0,VLOOKUP($C710,'Ürün Kartları'!$B$5:$G$154,6,FALSE)*$G710),0)</f>
      </c>
      <c r="K710" s="15"/>
      <c r="L710" s="14"/>
      <c r="M710" s="21">
        <f>IF($C710="","",IF($K710=1,-($J710*0.5)-$L710,$H710-$I710-$J710-$L710))</f>
      </c>
      <c r="N710" s="22">
        <f>IF(OR($C710="",$H710=0),"",$M710/$H710)</f>
      </c>
    </row>
    <row r="711" spans="2:14" x14ac:dyDescent="0.25">
      <c r="B711" s="19"/>
      <c r="C711" s="8"/>
      <c r="D711" s="20">
        <f>IFERROR(IF($C711="","",VLOOKUP($C711,'Ürün Kartları'!$B$5:$C$154,2,FALSE)),"— tanımsız ürün —")</f>
      </c>
      <c r="E711" s="8"/>
      <c r="F711" s="10"/>
      <c r="G711" s="11"/>
      <c r="H711" s="16">
        <f>IF(OR($F711="",$G711=""),0,$F711*$G711)</f>
      </c>
      <c r="I711" s="16">
        <f>IFERROR(IF($E711="",0,$H711*VLOOKUP($E711,'Pazaryeri Kartları'!$B$5:$C$24,2,FALSE)+VLOOKUP($E711,'Pazaryeri Kartları'!$B$5:$D$24,3,FALSE)*$G711),0)</f>
      </c>
      <c r="J711" s="16">
        <f>IFERROR(IF($C711="",0,VLOOKUP($C711,'Ürün Kartları'!$B$5:$G$154,6,FALSE)*$G711),0)</f>
      </c>
      <c r="K711" s="11"/>
      <c r="L711" s="10"/>
      <c r="M711" s="21">
        <f>IF($C711="","",IF($K711=1,-($J711*0.5)-$L711,$H711-$I711-$J711-$L711))</f>
      </c>
      <c r="N711" s="22">
        <f>IF(OR($C711="",$H711=0),"",$M711/$H711)</f>
      </c>
    </row>
    <row r="712" spans="2:14" x14ac:dyDescent="0.25">
      <c r="B712" s="23"/>
      <c r="C712" s="12"/>
      <c r="D712" s="20">
        <f>IFERROR(IF($C712="","",VLOOKUP($C712,'Ürün Kartları'!$B$5:$C$154,2,FALSE)),"— tanımsız ürün —")</f>
      </c>
      <c r="E712" s="12"/>
      <c r="F712" s="14"/>
      <c r="G712" s="15"/>
      <c r="H712" s="16">
        <f>IF(OR($F712="",$G712=""),0,$F712*$G712)</f>
      </c>
      <c r="I712" s="16">
        <f>IFERROR(IF($E712="",0,$H712*VLOOKUP($E712,'Pazaryeri Kartları'!$B$5:$C$24,2,FALSE)+VLOOKUP($E712,'Pazaryeri Kartları'!$B$5:$D$24,3,FALSE)*$G712),0)</f>
      </c>
      <c r="J712" s="16">
        <f>IFERROR(IF($C712="",0,VLOOKUP($C712,'Ürün Kartları'!$B$5:$G$154,6,FALSE)*$G712),0)</f>
      </c>
      <c r="K712" s="15"/>
      <c r="L712" s="14"/>
      <c r="M712" s="21">
        <f>IF($C712="","",IF($K712=1,-($J712*0.5)-$L712,$H712-$I712-$J712-$L712))</f>
      </c>
      <c r="N712" s="22">
        <f>IF(OR($C712="",$H712=0),"",$M712/$H712)</f>
      </c>
    </row>
    <row r="713" spans="2:14" x14ac:dyDescent="0.25">
      <c r="B713" s="19"/>
      <c r="C713" s="8"/>
      <c r="D713" s="20">
        <f>IFERROR(IF($C713="","",VLOOKUP($C713,'Ürün Kartları'!$B$5:$C$154,2,FALSE)),"— tanımsız ürün —")</f>
      </c>
      <c r="E713" s="8"/>
      <c r="F713" s="10"/>
      <c r="G713" s="11"/>
      <c r="H713" s="16">
        <f>IF(OR($F713="",$G713=""),0,$F713*$G713)</f>
      </c>
      <c r="I713" s="16">
        <f>IFERROR(IF($E713="",0,$H713*VLOOKUP($E713,'Pazaryeri Kartları'!$B$5:$C$24,2,FALSE)+VLOOKUP($E713,'Pazaryeri Kartları'!$B$5:$D$24,3,FALSE)*$G713),0)</f>
      </c>
      <c r="J713" s="16">
        <f>IFERROR(IF($C713="",0,VLOOKUP($C713,'Ürün Kartları'!$B$5:$G$154,6,FALSE)*$G713),0)</f>
      </c>
      <c r="K713" s="11"/>
      <c r="L713" s="10"/>
      <c r="M713" s="21">
        <f>IF($C713="","",IF($K713=1,-($J713*0.5)-$L713,$H713-$I713-$J713-$L713))</f>
      </c>
      <c r="N713" s="22">
        <f>IF(OR($C713="",$H713=0),"",$M713/$H713)</f>
      </c>
    </row>
    <row r="714" spans="2:14" x14ac:dyDescent="0.25">
      <c r="B714" s="23"/>
      <c r="C714" s="12"/>
      <c r="D714" s="20">
        <f>IFERROR(IF($C714="","",VLOOKUP($C714,'Ürün Kartları'!$B$5:$C$154,2,FALSE)),"— tanımsız ürün —")</f>
      </c>
      <c r="E714" s="12"/>
      <c r="F714" s="14"/>
      <c r="G714" s="15"/>
      <c r="H714" s="16">
        <f>IF(OR($F714="",$G714=""),0,$F714*$G714)</f>
      </c>
      <c r="I714" s="16">
        <f>IFERROR(IF($E714="",0,$H714*VLOOKUP($E714,'Pazaryeri Kartları'!$B$5:$C$24,2,FALSE)+VLOOKUP($E714,'Pazaryeri Kartları'!$B$5:$D$24,3,FALSE)*$G714),0)</f>
      </c>
      <c r="J714" s="16">
        <f>IFERROR(IF($C714="",0,VLOOKUP($C714,'Ürün Kartları'!$B$5:$G$154,6,FALSE)*$G714),0)</f>
      </c>
      <c r="K714" s="15"/>
      <c r="L714" s="14"/>
      <c r="M714" s="21">
        <f>IF($C714="","",IF($K714=1,-($J714*0.5)-$L714,$H714-$I714-$J714-$L714))</f>
      </c>
      <c r="N714" s="22">
        <f>IF(OR($C714="",$H714=0),"",$M714/$H714)</f>
      </c>
    </row>
    <row r="715" spans="2:14" x14ac:dyDescent="0.25">
      <c r="B715" s="19"/>
      <c r="C715" s="8"/>
      <c r="D715" s="20">
        <f>IFERROR(IF($C715="","",VLOOKUP($C715,'Ürün Kartları'!$B$5:$C$154,2,FALSE)),"— tanımsız ürün —")</f>
      </c>
      <c r="E715" s="8"/>
      <c r="F715" s="10"/>
      <c r="G715" s="11"/>
      <c r="H715" s="16">
        <f>IF(OR($F715="",$G715=""),0,$F715*$G715)</f>
      </c>
      <c r="I715" s="16">
        <f>IFERROR(IF($E715="",0,$H715*VLOOKUP($E715,'Pazaryeri Kartları'!$B$5:$C$24,2,FALSE)+VLOOKUP($E715,'Pazaryeri Kartları'!$B$5:$D$24,3,FALSE)*$G715),0)</f>
      </c>
      <c r="J715" s="16">
        <f>IFERROR(IF($C715="",0,VLOOKUP($C715,'Ürün Kartları'!$B$5:$G$154,6,FALSE)*$G715),0)</f>
      </c>
      <c r="K715" s="11"/>
      <c r="L715" s="10"/>
      <c r="M715" s="21">
        <f>IF($C715="","",IF($K715=1,-($J715*0.5)-$L715,$H715-$I715-$J715-$L715))</f>
      </c>
      <c r="N715" s="22">
        <f>IF(OR($C715="",$H715=0),"",$M715/$H715)</f>
      </c>
    </row>
    <row r="716" spans="2:14" x14ac:dyDescent="0.25">
      <c r="B716" s="23"/>
      <c r="C716" s="12"/>
      <c r="D716" s="20">
        <f>IFERROR(IF($C716="","",VLOOKUP($C716,'Ürün Kartları'!$B$5:$C$154,2,FALSE)),"— tanımsız ürün —")</f>
      </c>
      <c r="E716" s="12"/>
      <c r="F716" s="14"/>
      <c r="G716" s="15"/>
      <c r="H716" s="16">
        <f>IF(OR($F716="",$G716=""),0,$F716*$G716)</f>
      </c>
      <c r="I716" s="16">
        <f>IFERROR(IF($E716="",0,$H716*VLOOKUP($E716,'Pazaryeri Kartları'!$B$5:$C$24,2,FALSE)+VLOOKUP($E716,'Pazaryeri Kartları'!$B$5:$D$24,3,FALSE)*$G716),0)</f>
      </c>
      <c r="J716" s="16">
        <f>IFERROR(IF($C716="",0,VLOOKUP($C716,'Ürün Kartları'!$B$5:$G$154,6,FALSE)*$G716),0)</f>
      </c>
      <c r="K716" s="15"/>
      <c r="L716" s="14"/>
      <c r="M716" s="21">
        <f>IF($C716="","",IF($K716=1,-($J716*0.5)-$L716,$H716-$I716-$J716-$L716))</f>
      </c>
      <c r="N716" s="22">
        <f>IF(OR($C716="",$H716=0),"",$M716/$H716)</f>
      </c>
    </row>
    <row r="717" spans="2:14" x14ac:dyDescent="0.25">
      <c r="B717" s="19"/>
      <c r="C717" s="8"/>
      <c r="D717" s="20">
        <f>IFERROR(IF($C717="","",VLOOKUP($C717,'Ürün Kartları'!$B$5:$C$154,2,FALSE)),"— tanımsız ürün —")</f>
      </c>
      <c r="E717" s="8"/>
      <c r="F717" s="10"/>
      <c r="G717" s="11"/>
      <c r="H717" s="16">
        <f>IF(OR($F717="",$G717=""),0,$F717*$G717)</f>
      </c>
      <c r="I717" s="16">
        <f>IFERROR(IF($E717="",0,$H717*VLOOKUP($E717,'Pazaryeri Kartları'!$B$5:$C$24,2,FALSE)+VLOOKUP($E717,'Pazaryeri Kartları'!$B$5:$D$24,3,FALSE)*$G717),0)</f>
      </c>
      <c r="J717" s="16">
        <f>IFERROR(IF($C717="",0,VLOOKUP($C717,'Ürün Kartları'!$B$5:$G$154,6,FALSE)*$G717),0)</f>
      </c>
      <c r="K717" s="11"/>
      <c r="L717" s="10"/>
      <c r="M717" s="21">
        <f>IF($C717="","",IF($K717=1,-($J717*0.5)-$L717,$H717-$I717-$J717-$L717))</f>
      </c>
      <c r="N717" s="22">
        <f>IF(OR($C717="",$H717=0),"",$M717/$H717)</f>
      </c>
    </row>
    <row r="718" spans="2:14" x14ac:dyDescent="0.25">
      <c r="B718" s="23"/>
      <c r="C718" s="12"/>
      <c r="D718" s="20">
        <f>IFERROR(IF($C718="","",VLOOKUP($C718,'Ürün Kartları'!$B$5:$C$154,2,FALSE)),"— tanımsız ürün —")</f>
      </c>
      <c r="E718" s="12"/>
      <c r="F718" s="14"/>
      <c r="G718" s="15"/>
      <c r="H718" s="16">
        <f>IF(OR($F718="",$G718=""),0,$F718*$G718)</f>
      </c>
      <c r="I718" s="16">
        <f>IFERROR(IF($E718="",0,$H718*VLOOKUP($E718,'Pazaryeri Kartları'!$B$5:$C$24,2,FALSE)+VLOOKUP($E718,'Pazaryeri Kartları'!$B$5:$D$24,3,FALSE)*$G718),0)</f>
      </c>
      <c r="J718" s="16">
        <f>IFERROR(IF($C718="",0,VLOOKUP($C718,'Ürün Kartları'!$B$5:$G$154,6,FALSE)*$G718),0)</f>
      </c>
      <c r="K718" s="15"/>
      <c r="L718" s="14"/>
      <c r="M718" s="21">
        <f>IF($C718="","",IF($K718=1,-($J718*0.5)-$L718,$H718-$I718-$J718-$L718))</f>
      </c>
      <c r="N718" s="22">
        <f>IF(OR($C718="",$H718=0),"",$M718/$H718)</f>
      </c>
    </row>
    <row r="719" spans="2:14" x14ac:dyDescent="0.25">
      <c r="B719" s="19"/>
      <c r="C719" s="8"/>
      <c r="D719" s="20">
        <f>IFERROR(IF($C719="","",VLOOKUP($C719,'Ürün Kartları'!$B$5:$C$154,2,FALSE)),"— tanımsız ürün —")</f>
      </c>
      <c r="E719" s="8"/>
      <c r="F719" s="10"/>
      <c r="G719" s="11"/>
      <c r="H719" s="16">
        <f>IF(OR($F719="",$G719=""),0,$F719*$G719)</f>
      </c>
      <c r="I719" s="16">
        <f>IFERROR(IF($E719="",0,$H719*VLOOKUP($E719,'Pazaryeri Kartları'!$B$5:$C$24,2,FALSE)+VLOOKUP($E719,'Pazaryeri Kartları'!$B$5:$D$24,3,FALSE)*$G719),0)</f>
      </c>
      <c r="J719" s="16">
        <f>IFERROR(IF($C719="",0,VLOOKUP($C719,'Ürün Kartları'!$B$5:$G$154,6,FALSE)*$G719),0)</f>
      </c>
      <c r="K719" s="11"/>
      <c r="L719" s="10"/>
      <c r="M719" s="21">
        <f>IF($C719="","",IF($K719=1,-($J719*0.5)-$L719,$H719-$I719-$J719-$L719))</f>
      </c>
      <c r="N719" s="22">
        <f>IF(OR($C719="",$H719=0),"",$M719/$H719)</f>
      </c>
    </row>
    <row r="720" spans="2:14" x14ac:dyDescent="0.25">
      <c r="B720" s="23"/>
      <c r="C720" s="12"/>
      <c r="D720" s="20">
        <f>IFERROR(IF($C720="","",VLOOKUP($C720,'Ürün Kartları'!$B$5:$C$154,2,FALSE)),"— tanımsız ürün —")</f>
      </c>
      <c r="E720" s="12"/>
      <c r="F720" s="14"/>
      <c r="G720" s="15"/>
      <c r="H720" s="16">
        <f>IF(OR($F720="",$G720=""),0,$F720*$G720)</f>
      </c>
      <c r="I720" s="16">
        <f>IFERROR(IF($E720="",0,$H720*VLOOKUP($E720,'Pazaryeri Kartları'!$B$5:$C$24,2,FALSE)+VLOOKUP($E720,'Pazaryeri Kartları'!$B$5:$D$24,3,FALSE)*$G720),0)</f>
      </c>
      <c r="J720" s="16">
        <f>IFERROR(IF($C720="",0,VLOOKUP($C720,'Ürün Kartları'!$B$5:$G$154,6,FALSE)*$G720),0)</f>
      </c>
      <c r="K720" s="15"/>
      <c r="L720" s="14"/>
      <c r="M720" s="21">
        <f>IF($C720="","",IF($K720=1,-($J720*0.5)-$L720,$H720-$I720-$J720-$L720))</f>
      </c>
      <c r="N720" s="22">
        <f>IF(OR($C720="",$H720=0),"",$M720/$H720)</f>
      </c>
    </row>
    <row r="721" spans="2:14" x14ac:dyDescent="0.25">
      <c r="B721" s="19"/>
      <c r="C721" s="8"/>
      <c r="D721" s="20">
        <f>IFERROR(IF($C721="","",VLOOKUP($C721,'Ürün Kartları'!$B$5:$C$154,2,FALSE)),"— tanımsız ürün —")</f>
      </c>
      <c r="E721" s="8"/>
      <c r="F721" s="10"/>
      <c r="G721" s="11"/>
      <c r="H721" s="16">
        <f>IF(OR($F721="",$G721=""),0,$F721*$G721)</f>
      </c>
      <c r="I721" s="16">
        <f>IFERROR(IF($E721="",0,$H721*VLOOKUP($E721,'Pazaryeri Kartları'!$B$5:$C$24,2,FALSE)+VLOOKUP($E721,'Pazaryeri Kartları'!$B$5:$D$24,3,FALSE)*$G721),0)</f>
      </c>
      <c r="J721" s="16">
        <f>IFERROR(IF($C721="",0,VLOOKUP($C721,'Ürün Kartları'!$B$5:$G$154,6,FALSE)*$G721),0)</f>
      </c>
      <c r="K721" s="11"/>
      <c r="L721" s="10"/>
      <c r="M721" s="21">
        <f>IF($C721="","",IF($K721=1,-($J721*0.5)-$L721,$H721-$I721-$J721-$L721))</f>
      </c>
      <c r="N721" s="22">
        <f>IF(OR($C721="",$H721=0),"",$M721/$H721)</f>
      </c>
    </row>
    <row r="722" spans="2:14" x14ac:dyDescent="0.25">
      <c r="B722" s="23"/>
      <c r="C722" s="12"/>
      <c r="D722" s="20">
        <f>IFERROR(IF($C722="","",VLOOKUP($C722,'Ürün Kartları'!$B$5:$C$154,2,FALSE)),"— tanımsız ürün —")</f>
      </c>
      <c r="E722" s="12"/>
      <c r="F722" s="14"/>
      <c r="G722" s="15"/>
      <c r="H722" s="16">
        <f>IF(OR($F722="",$G722=""),0,$F722*$G722)</f>
      </c>
      <c r="I722" s="16">
        <f>IFERROR(IF($E722="",0,$H722*VLOOKUP($E722,'Pazaryeri Kartları'!$B$5:$C$24,2,FALSE)+VLOOKUP($E722,'Pazaryeri Kartları'!$B$5:$D$24,3,FALSE)*$G722),0)</f>
      </c>
      <c r="J722" s="16">
        <f>IFERROR(IF($C722="",0,VLOOKUP($C722,'Ürün Kartları'!$B$5:$G$154,6,FALSE)*$G722),0)</f>
      </c>
      <c r="K722" s="15"/>
      <c r="L722" s="14"/>
      <c r="M722" s="21">
        <f>IF($C722="","",IF($K722=1,-($J722*0.5)-$L722,$H722-$I722-$J722-$L722))</f>
      </c>
      <c r="N722" s="22">
        <f>IF(OR($C722="",$H722=0),"",$M722/$H722)</f>
      </c>
    </row>
    <row r="723" spans="2:14" x14ac:dyDescent="0.25">
      <c r="B723" s="19"/>
      <c r="C723" s="8"/>
      <c r="D723" s="20">
        <f>IFERROR(IF($C723="","",VLOOKUP($C723,'Ürün Kartları'!$B$5:$C$154,2,FALSE)),"— tanımsız ürün —")</f>
      </c>
      <c r="E723" s="8"/>
      <c r="F723" s="10"/>
      <c r="G723" s="11"/>
      <c r="H723" s="16">
        <f>IF(OR($F723="",$G723=""),0,$F723*$G723)</f>
      </c>
      <c r="I723" s="16">
        <f>IFERROR(IF($E723="",0,$H723*VLOOKUP($E723,'Pazaryeri Kartları'!$B$5:$C$24,2,FALSE)+VLOOKUP($E723,'Pazaryeri Kartları'!$B$5:$D$24,3,FALSE)*$G723),0)</f>
      </c>
      <c r="J723" s="16">
        <f>IFERROR(IF($C723="",0,VLOOKUP($C723,'Ürün Kartları'!$B$5:$G$154,6,FALSE)*$G723),0)</f>
      </c>
      <c r="K723" s="11"/>
      <c r="L723" s="10"/>
      <c r="M723" s="21">
        <f>IF($C723="","",IF($K723=1,-($J723*0.5)-$L723,$H723-$I723-$J723-$L723))</f>
      </c>
      <c r="N723" s="22">
        <f>IF(OR($C723="",$H723=0),"",$M723/$H723)</f>
      </c>
    </row>
    <row r="724" spans="2:14" x14ac:dyDescent="0.25">
      <c r="B724" s="23"/>
      <c r="C724" s="12"/>
      <c r="D724" s="20">
        <f>IFERROR(IF($C724="","",VLOOKUP($C724,'Ürün Kartları'!$B$5:$C$154,2,FALSE)),"— tanımsız ürün —")</f>
      </c>
      <c r="E724" s="12"/>
      <c r="F724" s="14"/>
      <c r="G724" s="15"/>
      <c r="H724" s="16">
        <f>IF(OR($F724="",$G724=""),0,$F724*$G724)</f>
      </c>
      <c r="I724" s="16">
        <f>IFERROR(IF($E724="",0,$H724*VLOOKUP($E724,'Pazaryeri Kartları'!$B$5:$C$24,2,FALSE)+VLOOKUP($E724,'Pazaryeri Kartları'!$B$5:$D$24,3,FALSE)*$G724),0)</f>
      </c>
      <c r="J724" s="16">
        <f>IFERROR(IF($C724="",0,VLOOKUP($C724,'Ürün Kartları'!$B$5:$G$154,6,FALSE)*$G724),0)</f>
      </c>
      <c r="K724" s="15"/>
      <c r="L724" s="14"/>
      <c r="M724" s="21">
        <f>IF($C724="","",IF($K724=1,-($J724*0.5)-$L724,$H724-$I724-$J724-$L724))</f>
      </c>
      <c r="N724" s="22">
        <f>IF(OR($C724="",$H724=0),"",$M724/$H724)</f>
      </c>
    </row>
    <row r="725" spans="2:14" x14ac:dyDescent="0.25">
      <c r="B725" s="19"/>
      <c r="C725" s="8"/>
      <c r="D725" s="20">
        <f>IFERROR(IF($C725="","",VLOOKUP($C725,'Ürün Kartları'!$B$5:$C$154,2,FALSE)),"— tanımsız ürün —")</f>
      </c>
      <c r="E725" s="8"/>
      <c r="F725" s="10"/>
      <c r="G725" s="11"/>
      <c r="H725" s="16">
        <f>IF(OR($F725="",$G725=""),0,$F725*$G725)</f>
      </c>
      <c r="I725" s="16">
        <f>IFERROR(IF($E725="",0,$H725*VLOOKUP($E725,'Pazaryeri Kartları'!$B$5:$C$24,2,FALSE)+VLOOKUP($E725,'Pazaryeri Kartları'!$B$5:$D$24,3,FALSE)*$G725),0)</f>
      </c>
      <c r="J725" s="16">
        <f>IFERROR(IF($C725="",0,VLOOKUP($C725,'Ürün Kartları'!$B$5:$G$154,6,FALSE)*$G725),0)</f>
      </c>
      <c r="K725" s="11"/>
      <c r="L725" s="10"/>
      <c r="M725" s="21">
        <f>IF($C725="","",IF($K725=1,-($J725*0.5)-$L725,$H725-$I725-$J725-$L725))</f>
      </c>
      <c r="N725" s="22">
        <f>IF(OR($C725="",$H725=0),"",$M725/$H725)</f>
      </c>
    </row>
    <row r="726" spans="2:14" x14ac:dyDescent="0.25">
      <c r="B726" s="23"/>
      <c r="C726" s="12"/>
      <c r="D726" s="20">
        <f>IFERROR(IF($C726="","",VLOOKUP($C726,'Ürün Kartları'!$B$5:$C$154,2,FALSE)),"— tanımsız ürün —")</f>
      </c>
      <c r="E726" s="12"/>
      <c r="F726" s="14"/>
      <c r="G726" s="15"/>
      <c r="H726" s="16">
        <f>IF(OR($F726="",$G726=""),0,$F726*$G726)</f>
      </c>
      <c r="I726" s="16">
        <f>IFERROR(IF($E726="",0,$H726*VLOOKUP($E726,'Pazaryeri Kartları'!$B$5:$C$24,2,FALSE)+VLOOKUP($E726,'Pazaryeri Kartları'!$B$5:$D$24,3,FALSE)*$G726),0)</f>
      </c>
      <c r="J726" s="16">
        <f>IFERROR(IF($C726="",0,VLOOKUP($C726,'Ürün Kartları'!$B$5:$G$154,6,FALSE)*$G726),0)</f>
      </c>
      <c r="K726" s="15"/>
      <c r="L726" s="14"/>
      <c r="M726" s="21">
        <f>IF($C726="","",IF($K726=1,-($J726*0.5)-$L726,$H726-$I726-$J726-$L726))</f>
      </c>
      <c r="N726" s="22">
        <f>IF(OR($C726="",$H726=0),"",$M726/$H726)</f>
      </c>
    </row>
    <row r="727" spans="2:14" x14ac:dyDescent="0.25">
      <c r="B727" s="19"/>
      <c r="C727" s="8"/>
      <c r="D727" s="20">
        <f>IFERROR(IF($C727="","",VLOOKUP($C727,'Ürün Kartları'!$B$5:$C$154,2,FALSE)),"— tanımsız ürün —")</f>
      </c>
      <c r="E727" s="8"/>
      <c r="F727" s="10"/>
      <c r="G727" s="11"/>
      <c r="H727" s="16">
        <f>IF(OR($F727="",$G727=""),0,$F727*$G727)</f>
      </c>
      <c r="I727" s="16">
        <f>IFERROR(IF($E727="",0,$H727*VLOOKUP($E727,'Pazaryeri Kartları'!$B$5:$C$24,2,FALSE)+VLOOKUP($E727,'Pazaryeri Kartları'!$B$5:$D$24,3,FALSE)*$G727),0)</f>
      </c>
      <c r="J727" s="16">
        <f>IFERROR(IF($C727="",0,VLOOKUP($C727,'Ürün Kartları'!$B$5:$G$154,6,FALSE)*$G727),0)</f>
      </c>
      <c r="K727" s="11"/>
      <c r="L727" s="10"/>
      <c r="M727" s="21">
        <f>IF($C727="","",IF($K727=1,-($J727*0.5)-$L727,$H727-$I727-$J727-$L727))</f>
      </c>
      <c r="N727" s="22">
        <f>IF(OR($C727="",$H727=0),"",$M727/$H727)</f>
      </c>
    </row>
    <row r="728" spans="2:14" x14ac:dyDescent="0.25">
      <c r="B728" s="23"/>
      <c r="C728" s="12"/>
      <c r="D728" s="20">
        <f>IFERROR(IF($C728="","",VLOOKUP($C728,'Ürün Kartları'!$B$5:$C$154,2,FALSE)),"— tanımsız ürün —")</f>
      </c>
      <c r="E728" s="12"/>
      <c r="F728" s="14"/>
      <c r="G728" s="15"/>
      <c r="H728" s="16">
        <f>IF(OR($F728="",$G728=""),0,$F728*$G728)</f>
      </c>
      <c r="I728" s="16">
        <f>IFERROR(IF($E728="",0,$H728*VLOOKUP($E728,'Pazaryeri Kartları'!$B$5:$C$24,2,FALSE)+VLOOKUP($E728,'Pazaryeri Kartları'!$B$5:$D$24,3,FALSE)*$G728),0)</f>
      </c>
      <c r="J728" s="16">
        <f>IFERROR(IF($C728="",0,VLOOKUP($C728,'Ürün Kartları'!$B$5:$G$154,6,FALSE)*$G728),0)</f>
      </c>
      <c r="K728" s="15"/>
      <c r="L728" s="14"/>
      <c r="M728" s="21">
        <f>IF($C728="","",IF($K728=1,-($J728*0.5)-$L728,$H728-$I728-$J728-$L728))</f>
      </c>
      <c r="N728" s="22">
        <f>IF(OR($C728="",$H728=0),"",$M728/$H728)</f>
      </c>
    </row>
    <row r="729" spans="2:14" x14ac:dyDescent="0.25">
      <c r="B729" s="19"/>
      <c r="C729" s="8"/>
      <c r="D729" s="20">
        <f>IFERROR(IF($C729="","",VLOOKUP($C729,'Ürün Kartları'!$B$5:$C$154,2,FALSE)),"— tanımsız ürün —")</f>
      </c>
      <c r="E729" s="8"/>
      <c r="F729" s="10"/>
      <c r="G729" s="11"/>
      <c r="H729" s="16">
        <f>IF(OR($F729="",$G729=""),0,$F729*$G729)</f>
      </c>
      <c r="I729" s="16">
        <f>IFERROR(IF($E729="",0,$H729*VLOOKUP($E729,'Pazaryeri Kartları'!$B$5:$C$24,2,FALSE)+VLOOKUP($E729,'Pazaryeri Kartları'!$B$5:$D$24,3,FALSE)*$G729),0)</f>
      </c>
      <c r="J729" s="16">
        <f>IFERROR(IF($C729="",0,VLOOKUP($C729,'Ürün Kartları'!$B$5:$G$154,6,FALSE)*$G729),0)</f>
      </c>
      <c r="K729" s="11"/>
      <c r="L729" s="10"/>
      <c r="M729" s="21">
        <f>IF($C729="","",IF($K729=1,-($J729*0.5)-$L729,$H729-$I729-$J729-$L729))</f>
      </c>
      <c r="N729" s="22">
        <f>IF(OR($C729="",$H729=0),"",$M729/$H729)</f>
      </c>
    </row>
    <row r="730" spans="2:14" x14ac:dyDescent="0.25">
      <c r="B730" s="23"/>
      <c r="C730" s="12"/>
      <c r="D730" s="20">
        <f>IFERROR(IF($C730="","",VLOOKUP($C730,'Ürün Kartları'!$B$5:$C$154,2,FALSE)),"— tanımsız ürün —")</f>
      </c>
      <c r="E730" s="12"/>
      <c r="F730" s="14"/>
      <c r="G730" s="15"/>
      <c r="H730" s="16">
        <f>IF(OR($F730="",$G730=""),0,$F730*$G730)</f>
      </c>
      <c r="I730" s="16">
        <f>IFERROR(IF($E730="",0,$H730*VLOOKUP($E730,'Pazaryeri Kartları'!$B$5:$C$24,2,FALSE)+VLOOKUP($E730,'Pazaryeri Kartları'!$B$5:$D$24,3,FALSE)*$G730),0)</f>
      </c>
      <c r="J730" s="16">
        <f>IFERROR(IF($C730="",0,VLOOKUP($C730,'Ürün Kartları'!$B$5:$G$154,6,FALSE)*$G730),0)</f>
      </c>
      <c r="K730" s="15"/>
      <c r="L730" s="14"/>
      <c r="M730" s="21">
        <f>IF($C730="","",IF($K730=1,-($J730*0.5)-$L730,$H730-$I730-$J730-$L730))</f>
      </c>
      <c r="N730" s="22">
        <f>IF(OR($C730="",$H730=0),"",$M730/$H730)</f>
      </c>
    </row>
    <row r="731" spans="2:14" x14ac:dyDescent="0.25">
      <c r="B731" s="19"/>
      <c r="C731" s="8"/>
      <c r="D731" s="20">
        <f>IFERROR(IF($C731="","",VLOOKUP($C731,'Ürün Kartları'!$B$5:$C$154,2,FALSE)),"— tanımsız ürün —")</f>
      </c>
      <c r="E731" s="8"/>
      <c r="F731" s="10"/>
      <c r="G731" s="11"/>
      <c r="H731" s="16">
        <f>IF(OR($F731="",$G731=""),0,$F731*$G731)</f>
      </c>
      <c r="I731" s="16">
        <f>IFERROR(IF($E731="",0,$H731*VLOOKUP($E731,'Pazaryeri Kartları'!$B$5:$C$24,2,FALSE)+VLOOKUP($E731,'Pazaryeri Kartları'!$B$5:$D$24,3,FALSE)*$G731),0)</f>
      </c>
      <c r="J731" s="16">
        <f>IFERROR(IF($C731="",0,VLOOKUP($C731,'Ürün Kartları'!$B$5:$G$154,6,FALSE)*$G731),0)</f>
      </c>
      <c r="K731" s="11"/>
      <c r="L731" s="10"/>
      <c r="M731" s="21">
        <f>IF($C731="","",IF($K731=1,-($J731*0.5)-$L731,$H731-$I731-$J731-$L731))</f>
      </c>
      <c r="N731" s="22">
        <f>IF(OR($C731="",$H731=0),"",$M731/$H731)</f>
      </c>
    </row>
    <row r="732" spans="2:14" x14ac:dyDescent="0.25">
      <c r="B732" s="23"/>
      <c r="C732" s="12"/>
      <c r="D732" s="20">
        <f>IFERROR(IF($C732="","",VLOOKUP($C732,'Ürün Kartları'!$B$5:$C$154,2,FALSE)),"— tanımsız ürün —")</f>
      </c>
      <c r="E732" s="12"/>
      <c r="F732" s="14"/>
      <c r="G732" s="15"/>
      <c r="H732" s="16">
        <f>IF(OR($F732="",$G732=""),0,$F732*$G732)</f>
      </c>
      <c r="I732" s="16">
        <f>IFERROR(IF($E732="",0,$H732*VLOOKUP($E732,'Pazaryeri Kartları'!$B$5:$C$24,2,FALSE)+VLOOKUP($E732,'Pazaryeri Kartları'!$B$5:$D$24,3,FALSE)*$G732),0)</f>
      </c>
      <c r="J732" s="16">
        <f>IFERROR(IF($C732="",0,VLOOKUP($C732,'Ürün Kartları'!$B$5:$G$154,6,FALSE)*$G732),0)</f>
      </c>
      <c r="K732" s="15"/>
      <c r="L732" s="14"/>
      <c r="M732" s="21">
        <f>IF($C732="","",IF($K732=1,-($J732*0.5)-$L732,$H732-$I732-$J732-$L732))</f>
      </c>
      <c r="N732" s="22">
        <f>IF(OR($C732="",$H732=0),"",$M732/$H732)</f>
      </c>
    </row>
    <row r="733" spans="2:14" x14ac:dyDescent="0.25">
      <c r="B733" s="19"/>
      <c r="C733" s="8"/>
      <c r="D733" s="20">
        <f>IFERROR(IF($C733="","",VLOOKUP($C733,'Ürün Kartları'!$B$5:$C$154,2,FALSE)),"— tanımsız ürün —")</f>
      </c>
      <c r="E733" s="8"/>
      <c r="F733" s="10"/>
      <c r="G733" s="11"/>
      <c r="H733" s="16">
        <f>IF(OR($F733="",$G733=""),0,$F733*$G733)</f>
      </c>
      <c r="I733" s="16">
        <f>IFERROR(IF($E733="",0,$H733*VLOOKUP($E733,'Pazaryeri Kartları'!$B$5:$C$24,2,FALSE)+VLOOKUP($E733,'Pazaryeri Kartları'!$B$5:$D$24,3,FALSE)*$G733),0)</f>
      </c>
      <c r="J733" s="16">
        <f>IFERROR(IF($C733="",0,VLOOKUP($C733,'Ürün Kartları'!$B$5:$G$154,6,FALSE)*$G733),0)</f>
      </c>
      <c r="K733" s="11"/>
      <c r="L733" s="10"/>
      <c r="M733" s="21">
        <f>IF($C733="","",IF($K733=1,-($J733*0.5)-$L733,$H733-$I733-$J733-$L733))</f>
      </c>
      <c r="N733" s="22">
        <f>IF(OR($C733="",$H733=0),"",$M733/$H733)</f>
      </c>
    </row>
    <row r="734" spans="2:14" x14ac:dyDescent="0.25">
      <c r="B734" s="23"/>
      <c r="C734" s="12"/>
      <c r="D734" s="20">
        <f>IFERROR(IF($C734="","",VLOOKUP($C734,'Ürün Kartları'!$B$5:$C$154,2,FALSE)),"— tanımsız ürün —")</f>
      </c>
      <c r="E734" s="12"/>
      <c r="F734" s="14"/>
      <c r="G734" s="15"/>
      <c r="H734" s="16">
        <f>IF(OR($F734="",$G734=""),0,$F734*$G734)</f>
      </c>
      <c r="I734" s="16">
        <f>IFERROR(IF($E734="",0,$H734*VLOOKUP($E734,'Pazaryeri Kartları'!$B$5:$C$24,2,FALSE)+VLOOKUP($E734,'Pazaryeri Kartları'!$B$5:$D$24,3,FALSE)*$G734),0)</f>
      </c>
      <c r="J734" s="16">
        <f>IFERROR(IF($C734="",0,VLOOKUP($C734,'Ürün Kartları'!$B$5:$G$154,6,FALSE)*$G734),0)</f>
      </c>
      <c r="K734" s="15"/>
      <c r="L734" s="14"/>
      <c r="M734" s="21">
        <f>IF($C734="","",IF($K734=1,-($J734*0.5)-$L734,$H734-$I734-$J734-$L734))</f>
      </c>
      <c r="N734" s="22">
        <f>IF(OR($C734="",$H734=0),"",$M734/$H734)</f>
      </c>
    </row>
    <row r="735" spans="2:14" x14ac:dyDescent="0.25">
      <c r="B735" s="19"/>
      <c r="C735" s="8"/>
      <c r="D735" s="20">
        <f>IFERROR(IF($C735="","",VLOOKUP($C735,'Ürün Kartları'!$B$5:$C$154,2,FALSE)),"— tanımsız ürün —")</f>
      </c>
      <c r="E735" s="8"/>
      <c r="F735" s="10"/>
      <c r="G735" s="11"/>
      <c r="H735" s="16">
        <f>IF(OR($F735="",$G735=""),0,$F735*$G735)</f>
      </c>
      <c r="I735" s="16">
        <f>IFERROR(IF($E735="",0,$H735*VLOOKUP($E735,'Pazaryeri Kartları'!$B$5:$C$24,2,FALSE)+VLOOKUP($E735,'Pazaryeri Kartları'!$B$5:$D$24,3,FALSE)*$G735),0)</f>
      </c>
      <c r="J735" s="16">
        <f>IFERROR(IF($C735="",0,VLOOKUP($C735,'Ürün Kartları'!$B$5:$G$154,6,FALSE)*$G735),0)</f>
      </c>
      <c r="K735" s="11"/>
      <c r="L735" s="10"/>
      <c r="M735" s="21">
        <f>IF($C735="","",IF($K735=1,-($J735*0.5)-$L735,$H735-$I735-$J735-$L735))</f>
      </c>
      <c r="N735" s="22">
        <f>IF(OR($C735="",$H735=0),"",$M735/$H735)</f>
      </c>
    </row>
    <row r="736" spans="2:14" x14ac:dyDescent="0.25">
      <c r="B736" s="23"/>
      <c r="C736" s="12"/>
      <c r="D736" s="20">
        <f>IFERROR(IF($C736="","",VLOOKUP($C736,'Ürün Kartları'!$B$5:$C$154,2,FALSE)),"— tanımsız ürün —")</f>
      </c>
      <c r="E736" s="12"/>
      <c r="F736" s="14"/>
      <c r="G736" s="15"/>
      <c r="H736" s="16">
        <f>IF(OR($F736="",$G736=""),0,$F736*$G736)</f>
      </c>
      <c r="I736" s="16">
        <f>IFERROR(IF($E736="",0,$H736*VLOOKUP($E736,'Pazaryeri Kartları'!$B$5:$C$24,2,FALSE)+VLOOKUP($E736,'Pazaryeri Kartları'!$B$5:$D$24,3,FALSE)*$G736),0)</f>
      </c>
      <c r="J736" s="16">
        <f>IFERROR(IF($C736="",0,VLOOKUP($C736,'Ürün Kartları'!$B$5:$G$154,6,FALSE)*$G736),0)</f>
      </c>
      <c r="K736" s="15"/>
      <c r="L736" s="14"/>
      <c r="M736" s="21">
        <f>IF($C736="","",IF($K736=1,-($J736*0.5)-$L736,$H736-$I736-$J736-$L736))</f>
      </c>
      <c r="N736" s="22">
        <f>IF(OR($C736="",$H736=0),"",$M736/$H736)</f>
      </c>
    </row>
    <row r="737" spans="2:14" x14ac:dyDescent="0.25">
      <c r="B737" s="19"/>
      <c r="C737" s="8"/>
      <c r="D737" s="20">
        <f>IFERROR(IF($C737="","",VLOOKUP($C737,'Ürün Kartları'!$B$5:$C$154,2,FALSE)),"— tanımsız ürün —")</f>
      </c>
      <c r="E737" s="8"/>
      <c r="F737" s="10"/>
      <c r="G737" s="11"/>
      <c r="H737" s="16">
        <f>IF(OR($F737="",$G737=""),0,$F737*$G737)</f>
      </c>
      <c r="I737" s="16">
        <f>IFERROR(IF($E737="",0,$H737*VLOOKUP($E737,'Pazaryeri Kartları'!$B$5:$C$24,2,FALSE)+VLOOKUP($E737,'Pazaryeri Kartları'!$B$5:$D$24,3,FALSE)*$G737),0)</f>
      </c>
      <c r="J737" s="16">
        <f>IFERROR(IF($C737="",0,VLOOKUP($C737,'Ürün Kartları'!$B$5:$G$154,6,FALSE)*$G737),0)</f>
      </c>
      <c r="K737" s="11"/>
      <c r="L737" s="10"/>
      <c r="M737" s="21">
        <f>IF($C737="","",IF($K737=1,-($J737*0.5)-$L737,$H737-$I737-$J737-$L737))</f>
      </c>
      <c r="N737" s="22">
        <f>IF(OR($C737="",$H737=0),"",$M737/$H737)</f>
      </c>
    </row>
    <row r="738" spans="2:14" x14ac:dyDescent="0.25">
      <c r="B738" s="23"/>
      <c r="C738" s="12"/>
      <c r="D738" s="20">
        <f>IFERROR(IF($C738="","",VLOOKUP($C738,'Ürün Kartları'!$B$5:$C$154,2,FALSE)),"— tanımsız ürün —")</f>
      </c>
      <c r="E738" s="12"/>
      <c r="F738" s="14"/>
      <c r="G738" s="15"/>
      <c r="H738" s="16">
        <f>IF(OR($F738="",$G738=""),0,$F738*$G738)</f>
      </c>
      <c r="I738" s="16">
        <f>IFERROR(IF($E738="",0,$H738*VLOOKUP($E738,'Pazaryeri Kartları'!$B$5:$C$24,2,FALSE)+VLOOKUP($E738,'Pazaryeri Kartları'!$B$5:$D$24,3,FALSE)*$G738),0)</f>
      </c>
      <c r="J738" s="16">
        <f>IFERROR(IF($C738="",0,VLOOKUP($C738,'Ürün Kartları'!$B$5:$G$154,6,FALSE)*$G738),0)</f>
      </c>
      <c r="K738" s="15"/>
      <c r="L738" s="14"/>
      <c r="M738" s="21">
        <f>IF($C738="","",IF($K738=1,-($J738*0.5)-$L738,$H738-$I738-$J738-$L738))</f>
      </c>
      <c r="N738" s="22">
        <f>IF(OR($C738="",$H738=0),"",$M738/$H738)</f>
      </c>
    </row>
    <row r="739" spans="2:14" x14ac:dyDescent="0.25">
      <c r="B739" s="19"/>
      <c r="C739" s="8"/>
      <c r="D739" s="20">
        <f>IFERROR(IF($C739="","",VLOOKUP($C739,'Ürün Kartları'!$B$5:$C$154,2,FALSE)),"— tanımsız ürün —")</f>
      </c>
      <c r="E739" s="8"/>
      <c r="F739" s="10"/>
      <c r="G739" s="11"/>
      <c r="H739" s="16">
        <f>IF(OR($F739="",$G739=""),0,$F739*$G739)</f>
      </c>
      <c r="I739" s="16">
        <f>IFERROR(IF($E739="",0,$H739*VLOOKUP($E739,'Pazaryeri Kartları'!$B$5:$C$24,2,FALSE)+VLOOKUP($E739,'Pazaryeri Kartları'!$B$5:$D$24,3,FALSE)*$G739),0)</f>
      </c>
      <c r="J739" s="16">
        <f>IFERROR(IF($C739="",0,VLOOKUP($C739,'Ürün Kartları'!$B$5:$G$154,6,FALSE)*$G739),0)</f>
      </c>
      <c r="K739" s="11"/>
      <c r="L739" s="10"/>
      <c r="M739" s="21">
        <f>IF($C739="","",IF($K739=1,-($J739*0.5)-$L739,$H739-$I739-$J739-$L739))</f>
      </c>
      <c r="N739" s="22">
        <f>IF(OR($C739="",$H739=0),"",$M739/$H739)</f>
      </c>
    </row>
    <row r="740" spans="2:14" x14ac:dyDescent="0.25">
      <c r="B740" s="23"/>
      <c r="C740" s="12"/>
      <c r="D740" s="20">
        <f>IFERROR(IF($C740="","",VLOOKUP($C740,'Ürün Kartları'!$B$5:$C$154,2,FALSE)),"— tanımsız ürün —")</f>
      </c>
      <c r="E740" s="12"/>
      <c r="F740" s="14"/>
      <c r="G740" s="15"/>
      <c r="H740" s="16">
        <f>IF(OR($F740="",$G740=""),0,$F740*$G740)</f>
      </c>
      <c r="I740" s="16">
        <f>IFERROR(IF($E740="",0,$H740*VLOOKUP($E740,'Pazaryeri Kartları'!$B$5:$C$24,2,FALSE)+VLOOKUP($E740,'Pazaryeri Kartları'!$B$5:$D$24,3,FALSE)*$G740),0)</f>
      </c>
      <c r="J740" s="16">
        <f>IFERROR(IF($C740="",0,VLOOKUP($C740,'Ürün Kartları'!$B$5:$G$154,6,FALSE)*$G740),0)</f>
      </c>
      <c r="K740" s="15"/>
      <c r="L740" s="14"/>
      <c r="M740" s="21">
        <f>IF($C740="","",IF($K740=1,-($J740*0.5)-$L740,$H740-$I740-$J740-$L740))</f>
      </c>
      <c r="N740" s="22">
        <f>IF(OR($C740="",$H740=0),"",$M740/$H740)</f>
      </c>
    </row>
    <row r="741" spans="2:14" x14ac:dyDescent="0.25">
      <c r="B741" s="19"/>
      <c r="C741" s="8"/>
      <c r="D741" s="20">
        <f>IFERROR(IF($C741="","",VLOOKUP($C741,'Ürün Kartları'!$B$5:$C$154,2,FALSE)),"— tanımsız ürün —")</f>
      </c>
      <c r="E741" s="8"/>
      <c r="F741" s="10"/>
      <c r="G741" s="11"/>
      <c r="H741" s="16">
        <f>IF(OR($F741="",$G741=""),0,$F741*$G741)</f>
      </c>
      <c r="I741" s="16">
        <f>IFERROR(IF($E741="",0,$H741*VLOOKUP($E741,'Pazaryeri Kartları'!$B$5:$C$24,2,FALSE)+VLOOKUP($E741,'Pazaryeri Kartları'!$B$5:$D$24,3,FALSE)*$G741),0)</f>
      </c>
      <c r="J741" s="16">
        <f>IFERROR(IF($C741="",0,VLOOKUP($C741,'Ürün Kartları'!$B$5:$G$154,6,FALSE)*$G741),0)</f>
      </c>
      <c r="K741" s="11"/>
      <c r="L741" s="10"/>
      <c r="M741" s="21">
        <f>IF($C741="","",IF($K741=1,-($J741*0.5)-$L741,$H741-$I741-$J741-$L741))</f>
      </c>
      <c r="N741" s="22">
        <f>IF(OR($C741="",$H741=0),"",$M741/$H741)</f>
      </c>
    </row>
    <row r="742" spans="2:14" x14ac:dyDescent="0.25">
      <c r="B742" s="23"/>
      <c r="C742" s="12"/>
      <c r="D742" s="20">
        <f>IFERROR(IF($C742="","",VLOOKUP($C742,'Ürün Kartları'!$B$5:$C$154,2,FALSE)),"— tanımsız ürün —")</f>
      </c>
      <c r="E742" s="12"/>
      <c r="F742" s="14"/>
      <c r="G742" s="15"/>
      <c r="H742" s="16">
        <f>IF(OR($F742="",$G742=""),0,$F742*$G742)</f>
      </c>
      <c r="I742" s="16">
        <f>IFERROR(IF($E742="",0,$H742*VLOOKUP($E742,'Pazaryeri Kartları'!$B$5:$C$24,2,FALSE)+VLOOKUP($E742,'Pazaryeri Kartları'!$B$5:$D$24,3,FALSE)*$G742),0)</f>
      </c>
      <c r="J742" s="16">
        <f>IFERROR(IF($C742="",0,VLOOKUP($C742,'Ürün Kartları'!$B$5:$G$154,6,FALSE)*$G742),0)</f>
      </c>
      <c r="K742" s="15"/>
      <c r="L742" s="14"/>
      <c r="M742" s="21">
        <f>IF($C742="","",IF($K742=1,-($J742*0.5)-$L742,$H742-$I742-$J742-$L742))</f>
      </c>
      <c r="N742" s="22">
        <f>IF(OR($C742="",$H742=0),"",$M742/$H742)</f>
      </c>
    </row>
    <row r="743" spans="2:14" x14ac:dyDescent="0.25">
      <c r="B743" s="19"/>
      <c r="C743" s="8"/>
      <c r="D743" s="20">
        <f>IFERROR(IF($C743="","",VLOOKUP($C743,'Ürün Kartları'!$B$5:$C$154,2,FALSE)),"— tanımsız ürün —")</f>
      </c>
      <c r="E743" s="8"/>
      <c r="F743" s="10"/>
      <c r="G743" s="11"/>
      <c r="H743" s="16">
        <f>IF(OR($F743="",$G743=""),0,$F743*$G743)</f>
      </c>
      <c r="I743" s="16">
        <f>IFERROR(IF($E743="",0,$H743*VLOOKUP($E743,'Pazaryeri Kartları'!$B$5:$C$24,2,FALSE)+VLOOKUP($E743,'Pazaryeri Kartları'!$B$5:$D$24,3,FALSE)*$G743),0)</f>
      </c>
      <c r="J743" s="16">
        <f>IFERROR(IF($C743="",0,VLOOKUP($C743,'Ürün Kartları'!$B$5:$G$154,6,FALSE)*$G743),0)</f>
      </c>
      <c r="K743" s="11"/>
      <c r="L743" s="10"/>
      <c r="M743" s="21">
        <f>IF($C743="","",IF($K743=1,-($J743*0.5)-$L743,$H743-$I743-$J743-$L743))</f>
      </c>
      <c r="N743" s="22">
        <f>IF(OR($C743="",$H743=0),"",$M743/$H743)</f>
      </c>
    </row>
    <row r="744" spans="2:14" x14ac:dyDescent="0.25">
      <c r="B744" s="23"/>
      <c r="C744" s="12"/>
      <c r="D744" s="20">
        <f>IFERROR(IF($C744="","",VLOOKUP($C744,'Ürün Kartları'!$B$5:$C$154,2,FALSE)),"— tanımsız ürün —")</f>
      </c>
      <c r="E744" s="12"/>
      <c r="F744" s="14"/>
      <c r="G744" s="15"/>
      <c r="H744" s="16">
        <f>IF(OR($F744="",$G744=""),0,$F744*$G744)</f>
      </c>
      <c r="I744" s="16">
        <f>IFERROR(IF($E744="",0,$H744*VLOOKUP($E744,'Pazaryeri Kartları'!$B$5:$C$24,2,FALSE)+VLOOKUP($E744,'Pazaryeri Kartları'!$B$5:$D$24,3,FALSE)*$G744),0)</f>
      </c>
      <c r="J744" s="16">
        <f>IFERROR(IF($C744="",0,VLOOKUP($C744,'Ürün Kartları'!$B$5:$G$154,6,FALSE)*$G744),0)</f>
      </c>
      <c r="K744" s="15"/>
      <c r="L744" s="14"/>
      <c r="M744" s="21">
        <f>IF($C744="","",IF($K744=1,-($J744*0.5)-$L744,$H744-$I744-$J744-$L744))</f>
      </c>
      <c r="N744" s="22">
        <f>IF(OR($C744="",$H744=0),"",$M744/$H744)</f>
      </c>
    </row>
    <row r="745" spans="2:14" x14ac:dyDescent="0.25">
      <c r="B745" s="19"/>
      <c r="C745" s="8"/>
      <c r="D745" s="20">
        <f>IFERROR(IF($C745="","",VLOOKUP($C745,'Ürün Kartları'!$B$5:$C$154,2,FALSE)),"— tanımsız ürün —")</f>
      </c>
      <c r="E745" s="8"/>
      <c r="F745" s="10"/>
      <c r="G745" s="11"/>
      <c r="H745" s="16">
        <f>IF(OR($F745="",$G745=""),0,$F745*$G745)</f>
      </c>
      <c r="I745" s="16">
        <f>IFERROR(IF($E745="",0,$H745*VLOOKUP($E745,'Pazaryeri Kartları'!$B$5:$C$24,2,FALSE)+VLOOKUP($E745,'Pazaryeri Kartları'!$B$5:$D$24,3,FALSE)*$G745),0)</f>
      </c>
      <c r="J745" s="16">
        <f>IFERROR(IF($C745="",0,VLOOKUP($C745,'Ürün Kartları'!$B$5:$G$154,6,FALSE)*$G745),0)</f>
      </c>
      <c r="K745" s="11"/>
      <c r="L745" s="10"/>
      <c r="M745" s="21">
        <f>IF($C745="","",IF($K745=1,-($J745*0.5)-$L745,$H745-$I745-$J745-$L745))</f>
      </c>
      <c r="N745" s="22">
        <f>IF(OR($C745="",$H745=0),"",$M745/$H745)</f>
      </c>
    </row>
    <row r="746" spans="2:14" x14ac:dyDescent="0.25">
      <c r="B746" s="23"/>
      <c r="C746" s="12"/>
      <c r="D746" s="20">
        <f>IFERROR(IF($C746="","",VLOOKUP($C746,'Ürün Kartları'!$B$5:$C$154,2,FALSE)),"— tanımsız ürün —")</f>
      </c>
      <c r="E746" s="12"/>
      <c r="F746" s="14"/>
      <c r="G746" s="15"/>
      <c r="H746" s="16">
        <f>IF(OR($F746="",$G746=""),0,$F746*$G746)</f>
      </c>
      <c r="I746" s="16">
        <f>IFERROR(IF($E746="",0,$H746*VLOOKUP($E746,'Pazaryeri Kartları'!$B$5:$C$24,2,FALSE)+VLOOKUP($E746,'Pazaryeri Kartları'!$B$5:$D$24,3,FALSE)*$G746),0)</f>
      </c>
      <c r="J746" s="16">
        <f>IFERROR(IF($C746="",0,VLOOKUP($C746,'Ürün Kartları'!$B$5:$G$154,6,FALSE)*$G746),0)</f>
      </c>
      <c r="K746" s="15"/>
      <c r="L746" s="14"/>
      <c r="M746" s="21">
        <f>IF($C746="","",IF($K746=1,-($J746*0.5)-$L746,$H746-$I746-$J746-$L746))</f>
      </c>
      <c r="N746" s="22">
        <f>IF(OR($C746="",$H746=0),"",$M746/$H746)</f>
      </c>
    </row>
    <row r="747" spans="2:14" x14ac:dyDescent="0.25">
      <c r="B747" s="19"/>
      <c r="C747" s="8"/>
      <c r="D747" s="20">
        <f>IFERROR(IF($C747="","",VLOOKUP($C747,'Ürün Kartları'!$B$5:$C$154,2,FALSE)),"— tanımsız ürün —")</f>
      </c>
      <c r="E747" s="8"/>
      <c r="F747" s="10"/>
      <c r="G747" s="11"/>
      <c r="H747" s="16">
        <f>IF(OR($F747="",$G747=""),0,$F747*$G747)</f>
      </c>
      <c r="I747" s="16">
        <f>IFERROR(IF($E747="",0,$H747*VLOOKUP($E747,'Pazaryeri Kartları'!$B$5:$C$24,2,FALSE)+VLOOKUP($E747,'Pazaryeri Kartları'!$B$5:$D$24,3,FALSE)*$G747),0)</f>
      </c>
      <c r="J747" s="16">
        <f>IFERROR(IF($C747="",0,VLOOKUP($C747,'Ürün Kartları'!$B$5:$G$154,6,FALSE)*$G747),0)</f>
      </c>
      <c r="K747" s="11"/>
      <c r="L747" s="10"/>
      <c r="M747" s="21">
        <f>IF($C747="","",IF($K747=1,-($J747*0.5)-$L747,$H747-$I747-$J747-$L747))</f>
      </c>
      <c r="N747" s="22">
        <f>IF(OR($C747="",$H747=0),"",$M747/$H747)</f>
      </c>
    </row>
    <row r="748" spans="2:14" x14ac:dyDescent="0.25">
      <c r="B748" s="23"/>
      <c r="C748" s="12"/>
      <c r="D748" s="20">
        <f>IFERROR(IF($C748="","",VLOOKUP($C748,'Ürün Kartları'!$B$5:$C$154,2,FALSE)),"— tanımsız ürün —")</f>
      </c>
      <c r="E748" s="12"/>
      <c r="F748" s="14"/>
      <c r="G748" s="15"/>
      <c r="H748" s="16">
        <f>IF(OR($F748="",$G748=""),0,$F748*$G748)</f>
      </c>
      <c r="I748" s="16">
        <f>IFERROR(IF($E748="",0,$H748*VLOOKUP($E748,'Pazaryeri Kartları'!$B$5:$C$24,2,FALSE)+VLOOKUP($E748,'Pazaryeri Kartları'!$B$5:$D$24,3,FALSE)*$G748),0)</f>
      </c>
      <c r="J748" s="16">
        <f>IFERROR(IF($C748="",0,VLOOKUP($C748,'Ürün Kartları'!$B$5:$G$154,6,FALSE)*$G748),0)</f>
      </c>
      <c r="K748" s="15"/>
      <c r="L748" s="14"/>
      <c r="M748" s="21">
        <f>IF($C748="","",IF($K748=1,-($J748*0.5)-$L748,$H748-$I748-$J748-$L748))</f>
      </c>
      <c r="N748" s="22">
        <f>IF(OR($C748="",$H748=0),"",$M748/$H748)</f>
      </c>
    </row>
    <row r="749" spans="2:14" x14ac:dyDescent="0.25">
      <c r="B749" s="19"/>
      <c r="C749" s="8"/>
      <c r="D749" s="20">
        <f>IFERROR(IF($C749="","",VLOOKUP($C749,'Ürün Kartları'!$B$5:$C$154,2,FALSE)),"— tanımsız ürün —")</f>
      </c>
      <c r="E749" s="8"/>
      <c r="F749" s="10"/>
      <c r="G749" s="11"/>
      <c r="H749" s="16">
        <f>IF(OR($F749="",$G749=""),0,$F749*$G749)</f>
      </c>
      <c r="I749" s="16">
        <f>IFERROR(IF($E749="",0,$H749*VLOOKUP($E749,'Pazaryeri Kartları'!$B$5:$C$24,2,FALSE)+VLOOKUP($E749,'Pazaryeri Kartları'!$B$5:$D$24,3,FALSE)*$G749),0)</f>
      </c>
      <c r="J749" s="16">
        <f>IFERROR(IF($C749="",0,VLOOKUP($C749,'Ürün Kartları'!$B$5:$G$154,6,FALSE)*$G749),0)</f>
      </c>
      <c r="K749" s="11"/>
      <c r="L749" s="10"/>
      <c r="M749" s="21">
        <f>IF($C749="","",IF($K749=1,-($J749*0.5)-$L749,$H749-$I749-$J749-$L749))</f>
      </c>
      <c r="N749" s="22">
        <f>IF(OR($C749="",$H749=0),"",$M749/$H749)</f>
      </c>
    </row>
    <row r="750" spans="2:14" x14ac:dyDescent="0.25">
      <c r="B750" s="23"/>
      <c r="C750" s="12"/>
      <c r="D750" s="20">
        <f>IFERROR(IF($C750="","",VLOOKUP($C750,'Ürün Kartları'!$B$5:$C$154,2,FALSE)),"— tanımsız ürün —")</f>
      </c>
      <c r="E750" s="12"/>
      <c r="F750" s="14"/>
      <c r="G750" s="15"/>
      <c r="H750" s="16">
        <f>IF(OR($F750="",$G750=""),0,$F750*$G750)</f>
      </c>
      <c r="I750" s="16">
        <f>IFERROR(IF($E750="",0,$H750*VLOOKUP($E750,'Pazaryeri Kartları'!$B$5:$C$24,2,FALSE)+VLOOKUP($E750,'Pazaryeri Kartları'!$B$5:$D$24,3,FALSE)*$G750),0)</f>
      </c>
      <c r="J750" s="16">
        <f>IFERROR(IF($C750="",0,VLOOKUP($C750,'Ürün Kartları'!$B$5:$G$154,6,FALSE)*$G750),0)</f>
      </c>
      <c r="K750" s="15"/>
      <c r="L750" s="14"/>
      <c r="M750" s="21">
        <f>IF($C750="","",IF($K750=1,-($J750*0.5)-$L750,$H750-$I750-$J750-$L750))</f>
      </c>
      <c r="N750" s="22">
        <f>IF(OR($C750="",$H750=0),"",$M750/$H750)</f>
      </c>
    </row>
    <row r="751" spans="2:14" x14ac:dyDescent="0.25">
      <c r="B751" s="19"/>
      <c r="C751" s="8"/>
      <c r="D751" s="20">
        <f>IFERROR(IF($C751="","",VLOOKUP($C751,'Ürün Kartları'!$B$5:$C$154,2,FALSE)),"— tanımsız ürün —")</f>
      </c>
      <c r="E751" s="8"/>
      <c r="F751" s="10"/>
      <c r="G751" s="11"/>
      <c r="H751" s="16">
        <f>IF(OR($F751="",$G751=""),0,$F751*$G751)</f>
      </c>
      <c r="I751" s="16">
        <f>IFERROR(IF($E751="",0,$H751*VLOOKUP($E751,'Pazaryeri Kartları'!$B$5:$C$24,2,FALSE)+VLOOKUP($E751,'Pazaryeri Kartları'!$B$5:$D$24,3,FALSE)*$G751),0)</f>
      </c>
      <c r="J751" s="16">
        <f>IFERROR(IF($C751="",0,VLOOKUP($C751,'Ürün Kartları'!$B$5:$G$154,6,FALSE)*$G751),0)</f>
      </c>
      <c r="K751" s="11"/>
      <c r="L751" s="10"/>
      <c r="M751" s="21">
        <f>IF($C751="","",IF($K751=1,-($J751*0.5)-$L751,$H751-$I751-$J751-$L751))</f>
      </c>
      <c r="N751" s="22">
        <f>IF(OR($C751="",$H751=0),"",$M751/$H751)</f>
      </c>
    </row>
    <row r="752" spans="2:14" x14ac:dyDescent="0.25">
      <c r="B752" s="23"/>
      <c r="C752" s="12"/>
      <c r="D752" s="20">
        <f>IFERROR(IF($C752="","",VLOOKUP($C752,'Ürün Kartları'!$B$5:$C$154,2,FALSE)),"— tanımsız ürün —")</f>
      </c>
      <c r="E752" s="12"/>
      <c r="F752" s="14"/>
      <c r="G752" s="15"/>
      <c r="H752" s="16">
        <f>IF(OR($F752="",$G752=""),0,$F752*$G752)</f>
      </c>
      <c r="I752" s="16">
        <f>IFERROR(IF($E752="",0,$H752*VLOOKUP($E752,'Pazaryeri Kartları'!$B$5:$C$24,2,FALSE)+VLOOKUP($E752,'Pazaryeri Kartları'!$B$5:$D$24,3,FALSE)*$G752),0)</f>
      </c>
      <c r="J752" s="16">
        <f>IFERROR(IF($C752="",0,VLOOKUP($C752,'Ürün Kartları'!$B$5:$G$154,6,FALSE)*$G752),0)</f>
      </c>
      <c r="K752" s="15"/>
      <c r="L752" s="14"/>
      <c r="M752" s="21">
        <f>IF($C752="","",IF($K752=1,-($J752*0.5)-$L752,$H752-$I752-$J752-$L752))</f>
      </c>
      <c r="N752" s="22">
        <f>IF(OR($C752="",$H752=0),"",$M752/$H752)</f>
      </c>
    </row>
    <row r="753" spans="2:14" x14ac:dyDescent="0.25">
      <c r="B753" s="19"/>
      <c r="C753" s="8"/>
      <c r="D753" s="20">
        <f>IFERROR(IF($C753="","",VLOOKUP($C753,'Ürün Kartları'!$B$5:$C$154,2,FALSE)),"— tanımsız ürün —")</f>
      </c>
      <c r="E753" s="8"/>
      <c r="F753" s="10"/>
      <c r="G753" s="11"/>
      <c r="H753" s="16">
        <f>IF(OR($F753="",$G753=""),0,$F753*$G753)</f>
      </c>
      <c r="I753" s="16">
        <f>IFERROR(IF($E753="",0,$H753*VLOOKUP($E753,'Pazaryeri Kartları'!$B$5:$C$24,2,FALSE)+VLOOKUP($E753,'Pazaryeri Kartları'!$B$5:$D$24,3,FALSE)*$G753),0)</f>
      </c>
      <c r="J753" s="16">
        <f>IFERROR(IF($C753="",0,VLOOKUP($C753,'Ürün Kartları'!$B$5:$G$154,6,FALSE)*$G753),0)</f>
      </c>
      <c r="K753" s="11"/>
      <c r="L753" s="10"/>
      <c r="M753" s="21">
        <f>IF($C753="","",IF($K753=1,-($J753*0.5)-$L753,$H753-$I753-$J753-$L753))</f>
      </c>
      <c r="N753" s="22">
        <f>IF(OR($C753="",$H753=0),"",$M753/$H753)</f>
      </c>
    </row>
    <row r="754" spans="2:14" x14ac:dyDescent="0.25">
      <c r="B754" s="23"/>
      <c r="C754" s="12"/>
      <c r="D754" s="20">
        <f>IFERROR(IF($C754="","",VLOOKUP($C754,'Ürün Kartları'!$B$5:$C$154,2,FALSE)),"— tanımsız ürün —")</f>
      </c>
      <c r="E754" s="12"/>
      <c r="F754" s="14"/>
      <c r="G754" s="15"/>
      <c r="H754" s="16">
        <f>IF(OR($F754="",$G754=""),0,$F754*$G754)</f>
      </c>
      <c r="I754" s="16">
        <f>IFERROR(IF($E754="",0,$H754*VLOOKUP($E754,'Pazaryeri Kartları'!$B$5:$C$24,2,FALSE)+VLOOKUP($E754,'Pazaryeri Kartları'!$B$5:$D$24,3,FALSE)*$G754),0)</f>
      </c>
      <c r="J754" s="16">
        <f>IFERROR(IF($C754="",0,VLOOKUP($C754,'Ürün Kartları'!$B$5:$G$154,6,FALSE)*$G754),0)</f>
      </c>
      <c r="K754" s="15"/>
      <c r="L754" s="14"/>
      <c r="M754" s="21">
        <f>IF($C754="","",IF($K754=1,-($J754*0.5)-$L754,$H754-$I754-$J754-$L754))</f>
      </c>
      <c r="N754" s="22">
        <f>IF(OR($C754="",$H754=0),"",$M754/$H754)</f>
      </c>
    </row>
    <row r="755" spans="2:14" x14ac:dyDescent="0.25">
      <c r="B755" s="19"/>
      <c r="C755" s="8"/>
      <c r="D755" s="20">
        <f>IFERROR(IF($C755="","",VLOOKUP($C755,'Ürün Kartları'!$B$5:$C$154,2,FALSE)),"— tanımsız ürün —")</f>
      </c>
      <c r="E755" s="8"/>
      <c r="F755" s="10"/>
      <c r="G755" s="11"/>
      <c r="H755" s="16">
        <f>IF(OR($F755="",$G755=""),0,$F755*$G755)</f>
      </c>
      <c r="I755" s="16">
        <f>IFERROR(IF($E755="",0,$H755*VLOOKUP($E755,'Pazaryeri Kartları'!$B$5:$C$24,2,FALSE)+VLOOKUP($E755,'Pazaryeri Kartları'!$B$5:$D$24,3,FALSE)*$G755),0)</f>
      </c>
      <c r="J755" s="16">
        <f>IFERROR(IF($C755="",0,VLOOKUP($C755,'Ürün Kartları'!$B$5:$G$154,6,FALSE)*$G755),0)</f>
      </c>
      <c r="K755" s="11"/>
      <c r="L755" s="10"/>
      <c r="M755" s="21">
        <f>IF($C755="","",IF($K755=1,-($J755*0.5)-$L755,$H755-$I755-$J755-$L755))</f>
      </c>
      <c r="N755" s="22">
        <f>IF(OR($C755="",$H755=0),"",$M755/$H755)</f>
      </c>
    </row>
    <row r="756" spans="2:14" x14ac:dyDescent="0.25">
      <c r="B756" s="23"/>
      <c r="C756" s="12"/>
      <c r="D756" s="20">
        <f>IFERROR(IF($C756="","",VLOOKUP($C756,'Ürün Kartları'!$B$5:$C$154,2,FALSE)),"— tanımsız ürün —")</f>
      </c>
      <c r="E756" s="12"/>
      <c r="F756" s="14"/>
      <c r="G756" s="15"/>
      <c r="H756" s="16">
        <f>IF(OR($F756="",$G756=""),0,$F756*$G756)</f>
      </c>
      <c r="I756" s="16">
        <f>IFERROR(IF($E756="",0,$H756*VLOOKUP($E756,'Pazaryeri Kartları'!$B$5:$C$24,2,FALSE)+VLOOKUP($E756,'Pazaryeri Kartları'!$B$5:$D$24,3,FALSE)*$G756),0)</f>
      </c>
      <c r="J756" s="16">
        <f>IFERROR(IF($C756="",0,VLOOKUP($C756,'Ürün Kartları'!$B$5:$G$154,6,FALSE)*$G756),0)</f>
      </c>
      <c r="K756" s="15"/>
      <c r="L756" s="14"/>
      <c r="M756" s="21">
        <f>IF($C756="","",IF($K756=1,-($J756*0.5)-$L756,$H756-$I756-$J756-$L756))</f>
      </c>
      <c r="N756" s="22">
        <f>IF(OR($C756="",$H756=0),"",$M756/$H756)</f>
      </c>
    </row>
    <row r="757" spans="2:14" x14ac:dyDescent="0.25">
      <c r="B757" s="19"/>
      <c r="C757" s="8"/>
      <c r="D757" s="20">
        <f>IFERROR(IF($C757="","",VLOOKUP($C757,'Ürün Kartları'!$B$5:$C$154,2,FALSE)),"— tanımsız ürün —")</f>
      </c>
      <c r="E757" s="8"/>
      <c r="F757" s="10"/>
      <c r="G757" s="11"/>
      <c r="H757" s="16">
        <f>IF(OR($F757="",$G757=""),0,$F757*$G757)</f>
      </c>
      <c r="I757" s="16">
        <f>IFERROR(IF($E757="",0,$H757*VLOOKUP($E757,'Pazaryeri Kartları'!$B$5:$C$24,2,FALSE)+VLOOKUP($E757,'Pazaryeri Kartları'!$B$5:$D$24,3,FALSE)*$G757),0)</f>
      </c>
      <c r="J757" s="16">
        <f>IFERROR(IF($C757="",0,VLOOKUP($C757,'Ürün Kartları'!$B$5:$G$154,6,FALSE)*$G757),0)</f>
      </c>
      <c r="K757" s="11"/>
      <c r="L757" s="10"/>
      <c r="M757" s="21">
        <f>IF($C757="","",IF($K757=1,-($J757*0.5)-$L757,$H757-$I757-$J757-$L757))</f>
      </c>
      <c r="N757" s="22">
        <f>IF(OR($C757="",$H757=0),"",$M757/$H757)</f>
      </c>
    </row>
    <row r="758" spans="2:14" x14ac:dyDescent="0.25">
      <c r="B758" s="23"/>
      <c r="C758" s="12"/>
      <c r="D758" s="20">
        <f>IFERROR(IF($C758="","",VLOOKUP($C758,'Ürün Kartları'!$B$5:$C$154,2,FALSE)),"— tanımsız ürün —")</f>
      </c>
      <c r="E758" s="12"/>
      <c r="F758" s="14"/>
      <c r="G758" s="15"/>
      <c r="H758" s="16">
        <f>IF(OR($F758="",$G758=""),0,$F758*$G758)</f>
      </c>
      <c r="I758" s="16">
        <f>IFERROR(IF($E758="",0,$H758*VLOOKUP($E758,'Pazaryeri Kartları'!$B$5:$C$24,2,FALSE)+VLOOKUP($E758,'Pazaryeri Kartları'!$B$5:$D$24,3,FALSE)*$G758),0)</f>
      </c>
      <c r="J758" s="16">
        <f>IFERROR(IF($C758="",0,VLOOKUP($C758,'Ürün Kartları'!$B$5:$G$154,6,FALSE)*$G758),0)</f>
      </c>
      <c r="K758" s="15"/>
      <c r="L758" s="14"/>
      <c r="M758" s="21">
        <f>IF($C758="","",IF($K758=1,-($J758*0.5)-$L758,$H758-$I758-$J758-$L758))</f>
      </c>
      <c r="N758" s="22">
        <f>IF(OR($C758="",$H758=0),"",$M758/$H758)</f>
      </c>
    </row>
    <row r="759" spans="2:14" x14ac:dyDescent="0.25">
      <c r="B759" s="19"/>
      <c r="C759" s="8"/>
      <c r="D759" s="20">
        <f>IFERROR(IF($C759="","",VLOOKUP($C759,'Ürün Kartları'!$B$5:$C$154,2,FALSE)),"— tanımsız ürün —")</f>
      </c>
      <c r="E759" s="8"/>
      <c r="F759" s="10"/>
      <c r="G759" s="11"/>
      <c r="H759" s="16">
        <f>IF(OR($F759="",$G759=""),0,$F759*$G759)</f>
      </c>
      <c r="I759" s="16">
        <f>IFERROR(IF($E759="",0,$H759*VLOOKUP($E759,'Pazaryeri Kartları'!$B$5:$C$24,2,FALSE)+VLOOKUP($E759,'Pazaryeri Kartları'!$B$5:$D$24,3,FALSE)*$G759),0)</f>
      </c>
      <c r="J759" s="16">
        <f>IFERROR(IF($C759="",0,VLOOKUP($C759,'Ürün Kartları'!$B$5:$G$154,6,FALSE)*$G759),0)</f>
      </c>
      <c r="K759" s="11"/>
      <c r="L759" s="10"/>
      <c r="M759" s="21">
        <f>IF($C759="","",IF($K759=1,-($J759*0.5)-$L759,$H759-$I759-$J759-$L759))</f>
      </c>
      <c r="N759" s="22">
        <f>IF(OR($C759="",$H759=0),"",$M759/$H759)</f>
      </c>
    </row>
    <row r="760" spans="2:14" x14ac:dyDescent="0.25">
      <c r="B760" s="23"/>
      <c r="C760" s="12"/>
      <c r="D760" s="20">
        <f>IFERROR(IF($C760="","",VLOOKUP($C760,'Ürün Kartları'!$B$5:$C$154,2,FALSE)),"— tanımsız ürün —")</f>
      </c>
      <c r="E760" s="12"/>
      <c r="F760" s="14"/>
      <c r="G760" s="15"/>
      <c r="H760" s="16">
        <f>IF(OR($F760="",$G760=""),0,$F760*$G760)</f>
      </c>
      <c r="I760" s="16">
        <f>IFERROR(IF($E760="",0,$H760*VLOOKUP($E760,'Pazaryeri Kartları'!$B$5:$C$24,2,FALSE)+VLOOKUP($E760,'Pazaryeri Kartları'!$B$5:$D$24,3,FALSE)*$G760),0)</f>
      </c>
      <c r="J760" s="16">
        <f>IFERROR(IF($C760="",0,VLOOKUP($C760,'Ürün Kartları'!$B$5:$G$154,6,FALSE)*$G760),0)</f>
      </c>
      <c r="K760" s="15"/>
      <c r="L760" s="14"/>
      <c r="M760" s="21">
        <f>IF($C760="","",IF($K760=1,-($J760*0.5)-$L760,$H760-$I760-$J760-$L760))</f>
      </c>
      <c r="N760" s="22">
        <f>IF(OR($C760="",$H760=0),"",$M760/$H760)</f>
      </c>
    </row>
    <row r="761" spans="2:14" x14ac:dyDescent="0.25">
      <c r="B761" s="19"/>
      <c r="C761" s="8"/>
      <c r="D761" s="20">
        <f>IFERROR(IF($C761="","",VLOOKUP($C761,'Ürün Kartları'!$B$5:$C$154,2,FALSE)),"— tanımsız ürün —")</f>
      </c>
      <c r="E761" s="8"/>
      <c r="F761" s="10"/>
      <c r="G761" s="11"/>
      <c r="H761" s="16">
        <f>IF(OR($F761="",$G761=""),0,$F761*$G761)</f>
      </c>
      <c r="I761" s="16">
        <f>IFERROR(IF($E761="",0,$H761*VLOOKUP($E761,'Pazaryeri Kartları'!$B$5:$C$24,2,FALSE)+VLOOKUP($E761,'Pazaryeri Kartları'!$B$5:$D$24,3,FALSE)*$G761),0)</f>
      </c>
      <c r="J761" s="16">
        <f>IFERROR(IF($C761="",0,VLOOKUP($C761,'Ürün Kartları'!$B$5:$G$154,6,FALSE)*$G761),0)</f>
      </c>
      <c r="K761" s="11"/>
      <c r="L761" s="10"/>
      <c r="M761" s="21">
        <f>IF($C761="","",IF($K761=1,-($J761*0.5)-$L761,$H761-$I761-$J761-$L761))</f>
      </c>
      <c r="N761" s="22">
        <f>IF(OR($C761="",$H761=0),"",$M761/$H761)</f>
      </c>
    </row>
    <row r="762" spans="2:14" x14ac:dyDescent="0.25">
      <c r="B762" s="23"/>
      <c r="C762" s="12"/>
      <c r="D762" s="20">
        <f>IFERROR(IF($C762="","",VLOOKUP($C762,'Ürün Kartları'!$B$5:$C$154,2,FALSE)),"— tanımsız ürün —")</f>
      </c>
      <c r="E762" s="12"/>
      <c r="F762" s="14"/>
      <c r="G762" s="15"/>
      <c r="H762" s="16">
        <f>IF(OR($F762="",$G762=""),0,$F762*$G762)</f>
      </c>
      <c r="I762" s="16">
        <f>IFERROR(IF($E762="",0,$H762*VLOOKUP($E762,'Pazaryeri Kartları'!$B$5:$C$24,2,FALSE)+VLOOKUP($E762,'Pazaryeri Kartları'!$B$5:$D$24,3,FALSE)*$G762),0)</f>
      </c>
      <c r="J762" s="16">
        <f>IFERROR(IF($C762="",0,VLOOKUP($C762,'Ürün Kartları'!$B$5:$G$154,6,FALSE)*$G762),0)</f>
      </c>
      <c r="K762" s="15"/>
      <c r="L762" s="14"/>
      <c r="M762" s="21">
        <f>IF($C762="","",IF($K762=1,-($J762*0.5)-$L762,$H762-$I762-$J762-$L762))</f>
      </c>
      <c r="N762" s="22">
        <f>IF(OR($C762="",$H762=0),"",$M762/$H762)</f>
      </c>
    </row>
    <row r="763" spans="2:14" x14ac:dyDescent="0.25">
      <c r="B763" s="19"/>
      <c r="C763" s="8"/>
      <c r="D763" s="20">
        <f>IFERROR(IF($C763="","",VLOOKUP($C763,'Ürün Kartları'!$B$5:$C$154,2,FALSE)),"— tanımsız ürün —")</f>
      </c>
      <c r="E763" s="8"/>
      <c r="F763" s="10"/>
      <c r="G763" s="11"/>
      <c r="H763" s="16">
        <f>IF(OR($F763="",$G763=""),0,$F763*$G763)</f>
      </c>
      <c r="I763" s="16">
        <f>IFERROR(IF($E763="",0,$H763*VLOOKUP($E763,'Pazaryeri Kartları'!$B$5:$C$24,2,FALSE)+VLOOKUP($E763,'Pazaryeri Kartları'!$B$5:$D$24,3,FALSE)*$G763),0)</f>
      </c>
      <c r="J763" s="16">
        <f>IFERROR(IF($C763="",0,VLOOKUP($C763,'Ürün Kartları'!$B$5:$G$154,6,FALSE)*$G763),0)</f>
      </c>
      <c r="K763" s="11"/>
      <c r="L763" s="10"/>
      <c r="M763" s="21">
        <f>IF($C763="","",IF($K763=1,-($J763*0.5)-$L763,$H763-$I763-$J763-$L763))</f>
      </c>
      <c r="N763" s="22">
        <f>IF(OR($C763="",$H763=0),"",$M763/$H763)</f>
      </c>
    </row>
    <row r="764" spans="2:14" x14ac:dyDescent="0.25">
      <c r="B764" s="23"/>
      <c r="C764" s="12"/>
      <c r="D764" s="20">
        <f>IFERROR(IF($C764="","",VLOOKUP($C764,'Ürün Kartları'!$B$5:$C$154,2,FALSE)),"— tanımsız ürün —")</f>
      </c>
      <c r="E764" s="12"/>
      <c r="F764" s="14"/>
      <c r="G764" s="15"/>
      <c r="H764" s="16">
        <f>IF(OR($F764="",$G764=""),0,$F764*$G764)</f>
      </c>
      <c r="I764" s="16">
        <f>IFERROR(IF($E764="",0,$H764*VLOOKUP($E764,'Pazaryeri Kartları'!$B$5:$C$24,2,FALSE)+VLOOKUP($E764,'Pazaryeri Kartları'!$B$5:$D$24,3,FALSE)*$G764),0)</f>
      </c>
      <c r="J764" s="16">
        <f>IFERROR(IF($C764="",0,VLOOKUP($C764,'Ürün Kartları'!$B$5:$G$154,6,FALSE)*$G764),0)</f>
      </c>
      <c r="K764" s="15"/>
      <c r="L764" s="14"/>
      <c r="M764" s="21">
        <f>IF($C764="","",IF($K764=1,-($J764*0.5)-$L764,$H764-$I764-$J764-$L764))</f>
      </c>
      <c r="N764" s="22">
        <f>IF(OR($C764="",$H764=0),"",$M764/$H764)</f>
      </c>
    </row>
    <row r="765" spans="2:14" x14ac:dyDescent="0.25">
      <c r="B765" s="19"/>
      <c r="C765" s="8"/>
      <c r="D765" s="20">
        <f>IFERROR(IF($C765="","",VLOOKUP($C765,'Ürün Kartları'!$B$5:$C$154,2,FALSE)),"— tanımsız ürün —")</f>
      </c>
      <c r="E765" s="8"/>
      <c r="F765" s="10"/>
      <c r="G765" s="11"/>
      <c r="H765" s="16">
        <f>IF(OR($F765="",$G765=""),0,$F765*$G765)</f>
      </c>
      <c r="I765" s="16">
        <f>IFERROR(IF($E765="",0,$H765*VLOOKUP($E765,'Pazaryeri Kartları'!$B$5:$C$24,2,FALSE)+VLOOKUP($E765,'Pazaryeri Kartları'!$B$5:$D$24,3,FALSE)*$G765),0)</f>
      </c>
      <c r="J765" s="16">
        <f>IFERROR(IF($C765="",0,VLOOKUP($C765,'Ürün Kartları'!$B$5:$G$154,6,FALSE)*$G765),0)</f>
      </c>
      <c r="K765" s="11"/>
      <c r="L765" s="10"/>
      <c r="M765" s="21">
        <f>IF($C765="","",IF($K765=1,-($J765*0.5)-$L765,$H765-$I765-$J765-$L765))</f>
      </c>
      <c r="N765" s="22">
        <f>IF(OR($C765="",$H765=0),"",$M765/$H765)</f>
      </c>
    </row>
    <row r="766" spans="2:14" x14ac:dyDescent="0.25">
      <c r="B766" s="23"/>
      <c r="C766" s="12"/>
      <c r="D766" s="20">
        <f>IFERROR(IF($C766="","",VLOOKUP($C766,'Ürün Kartları'!$B$5:$C$154,2,FALSE)),"— tanımsız ürün —")</f>
      </c>
      <c r="E766" s="12"/>
      <c r="F766" s="14"/>
      <c r="G766" s="15"/>
      <c r="H766" s="16">
        <f>IF(OR($F766="",$G766=""),0,$F766*$G766)</f>
      </c>
      <c r="I766" s="16">
        <f>IFERROR(IF($E766="",0,$H766*VLOOKUP($E766,'Pazaryeri Kartları'!$B$5:$C$24,2,FALSE)+VLOOKUP($E766,'Pazaryeri Kartları'!$B$5:$D$24,3,FALSE)*$G766),0)</f>
      </c>
      <c r="J766" s="16">
        <f>IFERROR(IF($C766="",0,VLOOKUP($C766,'Ürün Kartları'!$B$5:$G$154,6,FALSE)*$G766),0)</f>
      </c>
      <c r="K766" s="15"/>
      <c r="L766" s="14"/>
      <c r="M766" s="21">
        <f>IF($C766="","",IF($K766=1,-($J766*0.5)-$L766,$H766-$I766-$J766-$L766))</f>
      </c>
      <c r="N766" s="22">
        <f>IF(OR($C766="",$H766=0),"",$M766/$H766)</f>
      </c>
    </row>
    <row r="767" spans="2:14" x14ac:dyDescent="0.25">
      <c r="B767" s="19"/>
      <c r="C767" s="8"/>
      <c r="D767" s="20">
        <f>IFERROR(IF($C767="","",VLOOKUP($C767,'Ürün Kartları'!$B$5:$C$154,2,FALSE)),"— tanımsız ürün —")</f>
      </c>
      <c r="E767" s="8"/>
      <c r="F767" s="10"/>
      <c r="G767" s="11"/>
      <c r="H767" s="16">
        <f>IF(OR($F767="",$G767=""),0,$F767*$G767)</f>
      </c>
      <c r="I767" s="16">
        <f>IFERROR(IF($E767="",0,$H767*VLOOKUP($E767,'Pazaryeri Kartları'!$B$5:$C$24,2,FALSE)+VLOOKUP($E767,'Pazaryeri Kartları'!$B$5:$D$24,3,FALSE)*$G767),0)</f>
      </c>
      <c r="J767" s="16">
        <f>IFERROR(IF($C767="",0,VLOOKUP($C767,'Ürün Kartları'!$B$5:$G$154,6,FALSE)*$G767),0)</f>
      </c>
      <c r="K767" s="11"/>
      <c r="L767" s="10"/>
      <c r="M767" s="21">
        <f>IF($C767="","",IF($K767=1,-($J767*0.5)-$L767,$H767-$I767-$J767-$L767))</f>
      </c>
      <c r="N767" s="22">
        <f>IF(OR($C767="",$H767=0),"",$M767/$H767)</f>
      </c>
    </row>
    <row r="768" spans="2:14" x14ac:dyDescent="0.25">
      <c r="B768" s="23"/>
      <c r="C768" s="12"/>
      <c r="D768" s="20">
        <f>IFERROR(IF($C768="","",VLOOKUP($C768,'Ürün Kartları'!$B$5:$C$154,2,FALSE)),"— tanımsız ürün —")</f>
      </c>
      <c r="E768" s="12"/>
      <c r="F768" s="14"/>
      <c r="G768" s="15"/>
      <c r="H768" s="16">
        <f>IF(OR($F768="",$G768=""),0,$F768*$G768)</f>
      </c>
      <c r="I768" s="16">
        <f>IFERROR(IF($E768="",0,$H768*VLOOKUP($E768,'Pazaryeri Kartları'!$B$5:$C$24,2,FALSE)+VLOOKUP($E768,'Pazaryeri Kartları'!$B$5:$D$24,3,FALSE)*$G768),0)</f>
      </c>
      <c r="J768" s="16">
        <f>IFERROR(IF($C768="",0,VLOOKUP($C768,'Ürün Kartları'!$B$5:$G$154,6,FALSE)*$G768),0)</f>
      </c>
      <c r="K768" s="15"/>
      <c r="L768" s="14"/>
      <c r="M768" s="21">
        <f>IF($C768="","",IF($K768=1,-($J768*0.5)-$L768,$H768-$I768-$J768-$L768))</f>
      </c>
      <c r="N768" s="22">
        <f>IF(OR($C768="",$H768=0),"",$M768/$H768)</f>
      </c>
    </row>
    <row r="769" spans="2:14" x14ac:dyDescent="0.25">
      <c r="B769" s="19"/>
      <c r="C769" s="8"/>
      <c r="D769" s="20">
        <f>IFERROR(IF($C769="","",VLOOKUP($C769,'Ürün Kartları'!$B$5:$C$154,2,FALSE)),"— tanımsız ürün —")</f>
      </c>
      <c r="E769" s="8"/>
      <c r="F769" s="10"/>
      <c r="G769" s="11"/>
      <c r="H769" s="16">
        <f>IF(OR($F769="",$G769=""),0,$F769*$G769)</f>
      </c>
      <c r="I769" s="16">
        <f>IFERROR(IF($E769="",0,$H769*VLOOKUP($E769,'Pazaryeri Kartları'!$B$5:$C$24,2,FALSE)+VLOOKUP($E769,'Pazaryeri Kartları'!$B$5:$D$24,3,FALSE)*$G769),0)</f>
      </c>
      <c r="J769" s="16">
        <f>IFERROR(IF($C769="",0,VLOOKUP($C769,'Ürün Kartları'!$B$5:$G$154,6,FALSE)*$G769),0)</f>
      </c>
      <c r="K769" s="11"/>
      <c r="L769" s="10"/>
      <c r="M769" s="21">
        <f>IF($C769="","",IF($K769=1,-($J769*0.5)-$L769,$H769-$I769-$J769-$L769))</f>
      </c>
      <c r="N769" s="22">
        <f>IF(OR($C769="",$H769=0),"",$M769/$H769)</f>
      </c>
    </row>
    <row r="770" spans="2:14" x14ac:dyDescent="0.25">
      <c r="B770" s="23"/>
      <c r="C770" s="12"/>
      <c r="D770" s="20">
        <f>IFERROR(IF($C770="","",VLOOKUP($C770,'Ürün Kartları'!$B$5:$C$154,2,FALSE)),"— tanımsız ürün —")</f>
      </c>
      <c r="E770" s="12"/>
      <c r="F770" s="14"/>
      <c r="G770" s="15"/>
      <c r="H770" s="16">
        <f>IF(OR($F770="",$G770=""),0,$F770*$G770)</f>
      </c>
      <c r="I770" s="16">
        <f>IFERROR(IF($E770="",0,$H770*VLOOKUP($E770,'Pazaryeri Kartları'!$B$5:$C$24,2,FALSE)+VLOOKUP($E770,'Pazaryeri Kartları'!$B$5:$D$24,3,FALSE)*$G770),0)</f>
      </c>
      <c r="J770" s="16">
        <f>IFERROR(IF($C770="",0,VLOOKUP($C770,'Ürün Kartları'!$B$5:$G$154,6,FALSE)*$G770),0)</f>
      </c>
      <c r="K770" s="15"/>
      <c r="L770" s="14"/>
      <c r="M770" s="21">
        <f>IF($C770="","",IF($K770=1,-($J770*0.5)-$L770,$H770-$I770-$J770-$L770))</f>
      </c>
      <c r="N770" s="22">
        <f>IF(OR($C770="",$H770=0),"",$M770/$H770)</f>
      </c>
    </row>
    <row r="771" spans="2:14" x14ac:dyDescent="0.25">
      <c r="B771" s="19"/>
      <c r="C771" s="8"/>
      <c r="D771" s="20">
        <f>IFERROR(IF($C771="","",VLOOKUP($C771,'Ürün Kartları'!$B$5:$C$154,2,FALSE)),"— tanımsız ürün —")</f>
      </c>
      <c r="E771" s="8"/>
      <c r="F771" s="10"/>
      <c r="G771" s="11"/>
      <c r="H771" s="16">
        <f>IF(OR($F771="",$G771=""),0,$F771*$G771)</f>
      </c>
      <c r="I771" s="16">
        <f>IFERROR(IF($E771="",0,$H771*VLOOKUP($E771,'Pazaryeri Kartları'!$B$5:$C$24,2,FALSE)+VLOOKUP($E771,'Pazaryeri Kartları'!$B$5:$D$24,3,FALSE)*$G771),0)</f>
      </c>
      <c r="J771" s="16">
        <f>IFERROR(IF($C771="",0,VLOOKUP($C771,'Ürün Kartları'!$B$5:$G$154,6,FALSE)*$G771),0)</f>
      </c>
      <c r="K771" s="11"/>
      <c r="L771" s="10"/>
      <c r="M771" s="21">
        <f>IF($C771="","",IF($K771=1,-($J771*0.5)-$L771,$H771-$I771-$J771-$L771))</f>
      </c>
      <c r="N771" s="22">
        <f>IF(OR($C771="",$H771=0),"",$M771/$H771)</f>
      </c>
    </row>
    <row r="772" spans="2:14" x14ac:dyDescent="0.25">
      <c r="B772" s="23"/>
      <c r="C772" s="12"/>
      <c r="D772" s="20">
        <f>IFERROR(IF($C772="","",VLOOKUP($C772,'Ürün Kartları'!$B$5:$C$154,2,FALSE)),"— tanımsız ürün —")</f>
      </c>
      <c r="E772" s="12"/>
      <c r="F772" s="14"/>
      <c r="G772" s="15"/>
      <c r="H772" s="16">
        <f>IF(OR($F772="",$G772=""),0,$F772*$G772)</f>
      </c>
      <c r="I772" s="16">
        <f>IFERROR(IF($E772="",0,$H772*VLOOKUP($E772,'Pazaryeri Kartları'!$B$5:$C$24,2,FALSE)+VLOOKUP($E772,'Pazaryeri Kartları'!$B$5:$D$24,3,FALSE)*$G772),0)</f>
      </c>
      <c r="J772" s="16">
        <f>IFERROR(IF($C772="",0,VLOOKUP($C772,'Ürün Kartları'!$B$5:$G$154,6,FALSE)*$G772),0)</f>
      </c>
      <c r="K772" s="15"/>
      <c r="L772" s="14"/>
      <c r="M772" s="21">
        <f>IF($C772="","",IF($K772=1,-($J772*0.5)-$L772,$H772-$I772-$J772-$L772))</f>
      </c>
      <c r="N772" s="22">
        <f>IF(OR($C772="",$H772=0),"",$M772/$H772)</f>
      </c>
    </row>
    <row r="773" spans="2:14" x14ac:dyDescent="0.25">
      <c r="B773" s="19"/>
      <c r="C773" s="8"/>
      <c r="D773" s="20">
        <f>IFERROR(IF($C773="","",VLOOKUP($C773,'Ürün Kartları'!$B$5:$C$154,2,FALSE)),"— tanımsız ürün —")</f>
      </c>
      <c r="E773" s="8"/>
      <c r="F773" s="10"/>
      <c r="G773" s="11"/>
      <c r="H773" s="16">
        <f>IF(OR($F773="",$G773=""),0,$F773*$G773)</f>
      </c>
      <c r="I773" s="16">
        <f>IFERROR(IF($E773="",0,$H773*VLOOKUP($E773,'Pazaryeri Kartları'!$B$5:$C$24,2,FALSE)+VLOOKUP($E773,'Pazaryeri Kartları'!$B$5:$D$24,3,FALSE)*$G773),0)</f>
      </c>
      <c r="J773" s="16">
        <f>IFERROR(IF($C773="",0,VLOOKUP($C773,'Ürün Kartları'!$B$5:$G$154,6,FALSE)*$G773),0)</f>
      </c>
      <c r="K773" s="11"/>
      <c r="L773" s="10"/>
      <c r="M773" s="21">
        <f>IF($C773="","",IF($K773=1,-($J773*0.5)-$L773,$H773-$I773-$J773-$L773))</f>
      </c>
      <c r="N773" s="22">
        <f>IF(OR($C773="",$H773=0),"",$M773/$H773)</f>
      </c>
    </row>
    <row r="774" spans="2:14" x14ac:dyDescent="0.25">
      <c r="B774" s="23"/>
      <c r="C774" s="12"/>
      <c r="D774" s="20">
        <f>IFERROR(IF($C774="","",VLOOKUP($C774,'Ürün Kartları'!$B$5:$C$154,2,FALSE)),"— tanımsız ürün —")</f>
      </c>
      <c r="E774" s="12"/>
      <c r="F774" s="14"/>
      <c r="G774" s="15"/>
      <c r="H774" s="16">
        <f>IF(OR($F774="",$G774=""),0,$F774*$G774)</f>
      </c>
      <c r="I774" s="16">
        <f>IFERROR(IF($E774="",0,$H774*VLOOKUP($E774,'Pazaryeri Kartları'!$B$5:$C$24,2,FALSE)+VLOOKUP($E774,'Pazaryeri Kartları'!$B$5:$D$24,3,FALSE)*$G774),0)</f>
      </c>
      <c r="J774" s="16">
        <f>IFERROR(IF($C774="",0,VLOOKUP($C774,'Ürün Kartları'!$B$5:$G$154,6,FALSE)*$G774),0)</f>
      </c>
      <c r="K774" s="15"/>
      <c r="L774" s="14"/>
      <c r="M774" s="21">
        <f>IF($C774="","",IF($K774=1,-($J774*0.5)-$L774,$H774-$I774-$J774-$L774))</f>
      </c>
      <c r="N774" s="22">
        <f>IF(OR($C774="",$H774=0),"",$M774/$H774)</f>
      </c>
    </row>
    <row r="775" spans="2:14" x14ac:dyDescent="0.25">
      <c r="B775" s="19"/>
      <c r="C775" s="8"/>
      <c r="D775" s="20">
        <f>IFERROR(IF($C775="","",VLOOKUP($C775,'Ürün Kartları'!$B$5:$C$154,2,FALSE)),"— tanımsız ürün —")</f>
      </c>
      <c r="E775" s="8"/>
      <c r="F775" s="10"/>
      <c r="G775" s="11"/>
      <c r="H775" s="16">
        <f>IF(OR($F775="",$G775=""),0,$F775*$G775)</f>
      </c>
      <c r="I775" s="16">
        <f>IFERROR(IF($E775="",0,$H775*VLOOKUP($E775,'Pazaryeri Kartları'!$B$5:$C$24,2,FALSE)+VLOOKUP($E775,'Pazaryeri Kartları'!$B$5:$D$24,3,FALSE)*$G775),0)</f>
      </c>
      <c r="J775" s="16">
        <f>IFERROR(IF($C775="",0,VLOOKUP($C775,'Ürün Kartları'!$B$5:$G$154,6,FALSE)*$G775),0)</f>
      </c>
      <c r="K775" s="11"/>
      <c r="L775" s="10"/>
      <c r="M775" s="21">
        <f>IF($C775="","",IF($K775=1,-($J775*0.5)-$L775,$H775-$I775-$J775-$L775))</f>
      </c>
      <c r="N775" s="22">
        <f>IF(OR($C775="",$H775=0),"",$M775/$H775)</f>
      </c>
    </row>
    <row r="776" spans="2:14" x14ac:dyDescent="0.25">
      <c r="B776" s="23"/>
      <c r="C776" s="12"/>
      <c r="D776" s="20">
        <f>IFERROR(IF($C776="","",VLOOKUP($C776,'Ürün Kartları'!$B$5:$C$154,2,FALSE)),"— tanımsız ürün —")</f>
      </c>
      <c r="E776" s="12"/>
      <c r="F776" s="14"/>
      <c r="G776" s="15"/>
      <c r="H776" s="16">
        <f>IF(OR($F776="",$G776=""),0,$F776*$G776)</f>
      </c>
      <c r="I776" s="16">
        <f>IFERROR(IF($E776="",0,$H776*VLOOKUP($E776,'Pazaryeri Kartları'!$B$5:$C$24,2,FALSE)+VLOOKUP($E776,'Pazaryeri Kartları'!$B$5:$D$24,3,FALSE)*$G776),0)</f>
      </c>
      <c r="J776" s="16">
        <f>IFERROR(IF($C776="",0,VLOOKUP($C776,'Ürün Kartları'!$B$5:$G$154,6,FALSE)*$G776),0)</f>
      </c>
      <c r="K776" s="15"/>
      <c r="L776" s="14"/>
      <c r="M776" s="21">
        <f>IF($C776="","",IF($K776=1,-($J776*0.5)-$L776,$H776-$I776-$J776-$L776))</f>
      </c>
      <c r="N776" s="22">
        <f>IF(OR($C776="",$H776=0),"",$M776/$H776)</f>
      </c>
    </row>
    <row r="777" spans="2:14" x14ac:dyDescent="0.25">
      <c r="B777" s="19"/>
      <c r="C777" s="8"/>
      <c r="D777" s="20">
        <f>IFERROR(IF($C777="","",VLOOKUP($C777,'Ürün Kartları'!$B$5:$C$154,2,FALSE)),"— tanımsız ürün —")</f>
      </c>
      <c r="E777" s="8"/>
      <c r="F777" s="10"/>
      <c r="G777" s="11"/>
      <c r="H777" s="16">
        <f>IF(OR($F777="",$G777=""),0,$F777*$G777)</f>
      </c>
      <c r="I777" s="16">
        <f>IFERROR(IF($E777="",0,$H777*VLOOKUP($E777,'Pazaryeri Kartları'!$B$5:$C$24,2,FALSE)+VLOOKUP($E777,'Pazaryeri Kartları'!$B$5:$D$24,3,FALSE)*$G777),0)</f>
      </c>
      <c r="J777" s="16">
        <f>IFERROR(IF($C777="",0,VLOOKUP($C777,'Ürün Kartları'!$B$5:$G$154,6,FALSE)*$G777),0)</f>
      </c>
      <c r="K777" s="11"/>
      <c r="L777" s="10"/>
      <c r="M777" s="21">
        <f>IF($C777="","",IF($K777=1,-($J777*0.5)-$L777,$H777-$I777-$J777-$L777))</f>
      </c>
      <c r="N777" s="22">
        <f>IF(OR($C777="",$H777=0),"",$M777/$H777)</f>
      </c>
    </row>
    <row r="778" spans="2:14" x14ac:dyDescent="0.25">
      <c r="B778" s="23"/>
      <c r="C778" s="12"/>
      <c r="D778" s="20">
        <f>IFERROR(IF($C778="","",VLOOKUP($C778,'Ürün Kartları'!$B$5:$C$154,2,FALSE)),"— tanımsız ürün —")</f>
      </c>
      <c r="E778" s="12"/>
      <c r="F778" s="14"/>
      <c r="G778" s="15"/>
      <c r="H778" s="16">
        <f>IF(OR($F778="",$G778=""),0,$F778*$G778)</f>
      </c>
      <c r="I778" s="16">
        <f>IFERROR(IF($E778="",0,$H778*VLOOKUP($E778,'Pazaryeri Kartları'!$B$5:$C$24,2,FALSE)+VLOOKUP($E778,'Pazaryeri Kartları'!$B$5:$D$24,3,FALSE)*$G778),0)</f>
      </c>
      <c r="J778" s="16">
        <f>IFERROR(IF($C778="",0,VLOOKUP($C778,'Ürün Kartları'!$B$5:$G$154,6,FALSE)*$G778),0)</f>
      </c>
      <c r="K778" s="15"/>
      <c r="L778" s="14"/>
      <c r="M778" s="21">
        <f>IF($C778="","",IF($K778=1,-($J778*0.5)-$L778,$H778-$I778-$J778-$L778))</f>
      </c>
      <c r="N778" s="22">
        <f>IF(OR($C778="",$H778=0),"",$M778/$H778)</f>
      </c>
    </row>
    <row r="779" spans="2:14" x14ac:dyDescent="0.25">
      <c r="B779" s="19"/>
      <c r="C779" s="8"/>
      <c r="D779" s="20">
        <f>IFERROR(IF($C779="","",VLOOKUP($C779,'Ürün Kartları'!$B$5:$C$154,2,FALSE)),"— tanımsız ürün —")</f>
      </c>
      <c r="E779" s="8"/>
      <c r="F779" s="10"/>
      <c r="G779" s="11"/>
      <c r="H779" s="16">
        <f>IF(OR($F779="",$G779=""),0,$F779*$G779)</f>
      </c>
      <c r="I779" s="16">
        <f>IFERROR(IF($E779="",0,$H779*VLOOKUP($E779,'Pazaryeri Kartları'!$B$5:$C$24,2,FALSE)+VLOOKUP($E779,'Pazaryeri Kartları'!$B$5:$D$24,3,FALSE)*$G779),0)</f>
      </c>
      <c r="J779" s="16">
        <f>IFERROR(IF($C779="",0,VLOOKUP($C779,'Ürün Kartları'!$B$5:$G$154,6,FALSE)*$G779),0)</f>
      </c>
      <c r="K779" s="11"/>
      <c r="L779" s="10"/>
      <c r="M779" s="21">
        <f>IF($C779="","",IF($K779=1,-($J779*0.5)-$L779,$H779-$I779-$J779-$L779))</f>
      </c>
      <c r="N779" s="22">
        <f>IF(OR($C779="",$H779=0),"",$M779/$H779)</f>
      </c>
    </row>
    <row r="780" spans="2:14" x14ac:dyDescent="0.25">
      <c r="B780" s="23"/>
      <c r="C780" s="12"/>
      <c r="D780" s="20">
        <f>IFERROR(IF($C780="","",VLOOKUP($C780,'Ürün Kartları'!$B$5:$C$154,2,FALSE)),"— tanımsız ürün —")</f>
      </c>
      <c r="E780" s="12"/>
      <c r="F780" s="14"/>
      <c r="G780" s="15"/>
      <c r="H780" s="16">
        <f>IF(OR($F780="",$G780=""),0,$F780*$G780)</f>
      </c>
      <c r="I780" s="16">
        <f>IFERROR(IF($E780="",0,$H780*VLOOKUP($E780,'Pazaryeri Kartları'!$B$5:$C$24,2,FALSE)+VLOOKUP($E780,'Pazaryeri Kartları'!$B$5:$D$24,3,FALSE)*$G780),0)</f>
      </c>
      <c r="J780" s="16">
        <f>IFERROR(IF($C780="",0,VLOOKUP($C780,'Ürün Kartları'!$B$5:$G$154,6,FALSE)*$G780),0)</f>
      </c>
      <c r="K780" s="15"/>
      <c r="L780" s="14"/>
      <c r="M780" s="21">
        <f>IF($C780="","",IF($K780=1,-($J780*0.5)-$L780,$H780-$I780-$J780-$L780))</f>
      </c>
      <c r="N780" s="22">
        <f>IF(OR($C780="",$H780=0),"",$M780/$H780)</f>
      </c>
    </row>
    <row r="781" spans="2:14" x14ac:dyDescent="0.25">
      <c r="B781" s="19"/>
      <c r="C781" s="8"/>
      <c r="D781" s="20">
        <f>IFERROR(IF($C781="","",VLOOKUP($C781,'Ürün Kartları'!$B$5:$C$154,2,FALSE)),"— tanımsız ürün —")</f>
      </c>
      <c r="E781" s="8"/>
      <c r="F781" s="10"/>
      <c r="G781" s="11"/>
      <c r="H781" s="16">
        <f>IF(OR($F781="",$G781=""),0,$F781*$G781)</f>
      </c>
      <c r="I781" s="16">
        <f>IFERROR(IF($E781="",0,$H781*VLOOKUP($E781,'Pazaryeri Kartları'!$B$5:$C$24,2,FALSE)+VLOOKUP($E781,'Pazaryeri Kartları'!$B$5:$D$24,3,FALSE)*$G781),0)</f>
      </c>
      <c r="J781" s="16">
        <f>IFERROR(IF($C781="",0,VLOOKUP($C781,'Ürün Kartları'!$B$5:$G$154,6,FALSE)*$G781),0)</f>
      </c>
      <c r="K781" s="11"/>
      <c r="L781" s="10"/>
      <c r="M781" s="21">
        <f>IF($C781="","",IF($K781=1,-($J781*0.5)-$L781,$H781-$I781-$J781-$L781))</f>
      </c>
      <c r="N781" s="22">
        <f>IF(OR($C781="",$H781=0),"",$M781/$H781)</f>
      </c>
    </row>
    <row r="782" spans="2:14" x14ac:dyDescent="0.25">
      <c r="B782" s="23"/>
      <c r="C782" s="12"/>
      <c r="D782" s="20">
        <f>IFERROR(IF($C782="","",VLOOKUP($C782,'Ürün Kartları'!$B$5:$C$154,2,FALSE)),"— tanımsız ürün —")</f>
      </c>
      <c r="E782" s="12"/>
      <c r="F782" s="14"/>
      <c r="G782" s="15"/>
      <c r="H782" s="16">
        <f>IF(OR($F782="",$G782=""),0,$F782*$G782)</f>
      </c>
      <c r="I782" s="16">
        <f>IFERROR(IF($E782="",0,$H782*VLOOKUP($E782,'Pazaryeri Kartları'!$B$5:$C$24,2,FALSE)+VLOOKUP($E782,'Pazaryeri Kartları'!$B$5:$D$24,3,FALSE)*$G782),0)</f>
      </c>
      <c r="J782" s="16">
        <f>IFERROR(IF($C782="",0,VLOOKUP($C782,'Ürün Kartları'!$B$5:$G$154,6,FALSE)*$G782),0)</f>
      </c>
      <c r="K782" s="15"/>
      <c r="L782" s="14"/>
      <c r="M782" s="21">
        <f>IF($C782="","",IF($K782=1,-($J782*0.5)-$L782,$H782-$I782-$J782-$L782))</f>
      </c>
      <c r="N782" s="22">
        <f>IF(OR($C782="",$H782=0),"",$M782/$H782)</f>
      </c>
    </row>
    <row r="783" spans="2:14" x14ac:dyDescent="0.25">
      <c r="B783" s="19"/>
      <c r="C783" s="8"/>
      <c r="D783" s="20">
        <f>IFERROR(IF($C783="","",VLOOKUP($C783,'Ürün Kartları'!$B$5:$C$154,2,FALSE)),"— tanımsız ürün —")</f>
      </c>
      <c r="E783" s="8"/>
      <c r="F783" s="10"/>
      <c r="G783" s="11"/>
      <c r="H783" s="16">
        <f>IF(OR($F783="",$G783=""),0,$F783*$G783)</f>
      </c>
      <c r="I783" s="16">
        <f>IFERROR(IF($E783="",0,$H783*VLOOKUP($E783,'Pazaryeri Kartları'!$B$5:$C$24,2,FALSE)+VLOOKUP($E783,'Pazaryeri Kartları'!$B$5:$D$24,3,FALSE)*$G783),0)</f>
      </c>
      <c r="J783" s="16">
        <f>IFERROR(IF($C783="",0,VLOOKUP($C783,'Ürün Kartları'!$B$5:$G$154,6,FALSE)*$G783),0)</f>
      </c>
      <c r="K783" s="11"/>
      <c r="L783" s="10"/>
      <c r="M783" s="21">
        <f>IF($C783="","",IF($K783=1,-($J783*0.5)-$L783,$H783-$I783-$J783-$L783))</f>
      </c>
      <c r="N783" s="22">
        <f>IF(OR($C783="",$H783=0),"",$M783/$H783)</f>
      </c>
    </row>
    <row r="784" spans="2:14" x14ac:dyDescent="0.25">
      <c r="B784" s="23"/>
      <c r="C784" s="12"/>
      <c r="D784" s="20">
        <f>IFERROR(IF($C784="","",VLOOKUP($C784,'Ürün Kartları'!$B$5:$C$154,2,FALSE)),"— tanımsız ürün —")</f>
      </c>
      <c r="E784" s="12"/>
      <c r="F784" s="14"/>
      <c r="G784" s="15"/>
      <c r="H784" s="16">
        <f>IF(OR($F784="",$G784=""),0,$F784*$G784)</f>
      </c>
      <c r="I784" s="16">
        <f>IFERROR(IF($E784="",0,$H784*VLOOKUP($E784,'Pazaryeri Kartları'!$B$5:$C$24,2,FALSE)+VLOOKUP($E784,'Pazaryeri Kartları'!$B$5:$D$24,3,FALSE)*$G784),0)</f>
      </c>
      <c r="J784" s="16">
        <f>IFERROR(IF($C784="",0,VLOOKUP($C784,'Ürün Kartları'!$B$5:$G$154,6,FALSE)*$G784),0)</f>
      </c>
      <c r="K784" s="15"/>
      <c r="L784" s="14"/>
      <c r="M784" s="21">
        <f>IF($C784="","",IF($K784=1,-($J784*0.5)-$L784,$H784-$I784-$J784-$L784))</f>
      </c>
      <c r="N784" s="22">
        <f>IF(OR($C784="",$H784=0),"",$M784/$H784)</f>
      </c>
    </row>
    <row r="785" spans="2:14" x14ac:dyDescent="0.25">
      <c r="B785" s="19"/>
      <c r="C785" s="8"/>
      <c r="D785" s="20">
        <f>IFERROR(IF($C785="","",VLOOKUP($C785,'Ürün Kartları'!$B$5:$C$154,2,FALSE)),"— tanımsız ürün —")</f>
      </c>
      <c r="E785" s="8"/>
      <c r="F785" s="10"/>
      <c r="G785" s="11"/>
      <c r="H785" s="16">
        <f>IF(OR($F785="",$G785=""),0,$F785*$G785)</f>
      </c>
      <c r="I785" s="16">
        <f>IFERROR(IF($E785="",0,$H785*VLOOKUP($E785,'Pazaryeri Kartları'!$B$5:$C$24,2,FALSE)+VLOOKUP($E785,'Pazaryeri Kartları'!$B$5:$D$24,3,FALSE)*$G785),0)</f>
      </c>
      <c r="J785" s="16">
        <f>IFERROR(IF($C785="",0,VLOOKUP($C785,'Ürün Kartları'!$B$5:$G$154,6,FALSE)*$G785),0)</f>
      </c>
      <c r="K785" s="11"/>
      <c r="L785" s="10"/>
      <c r="M785" s="21">
        <f>IF($C785="","",IF($K785=1,-($J785*0.5)-$L785,$H785-$I785-$J785-$L785))</f>
      </c>
      <c r="N785" s="22">
        <f>IF(OR($C785="",$H785=0),"",$M785/$H785)</f>
      </c>
    </row>
    <row r="786" spans="2:14" x14ac:dyDescent="0.25">
      <c r="B786" s="23"/>
      <c r="C786" s="12"/>
      <c r="D786" s="20">
        <f>IFERROR(IF($C786="","",VLOOKUP($C786,'Ürün Kartları'!$B$5:$C$154,2,FALSE)),"— tanımsız ürün —")</f>
      </c>
      <c r="E786" s="12"/>
      <c r="F786" s="14"/>
      <c r="G786" s="15"/>
      <c r="H786" s="16">
        <f>IF(OR($F786="",$G786=""),0,$F786*$G786)</f>
      </c>
      <c r="I786" s="16">
        <f>IFERROR(IF($E786="",0,$H786*VLOOKUP($E786,'Pazaryeri Kartları'!$B$5:$C$24,2,FALSE)+VLOOKUP($E786,'Pazaryeri Kartları'!$B$5:$D$24,3,FALSE)*$G786),0)</f>
      </c>
      <c r="J786" s="16">
        <f>IFERROR(IF($C786="",0,VLOOKUP($C786,'Ürün Kartları'!$B$5:$G$154,6,FALSE)*$G786),0)</f>
      </c>
      <c r="K786" s="15"/>
      <c r="L786" s="14"/>
      <c r="M786" s="21">
        <f>IF($C786="","",IF($K786=1,-($J786*0.5)-$L786,$H786-$I786-$J786-$L786))</f>
      </c>
      <c r="N786" s="22">
        <f>IF(OR($C786="",$H786=0),"",$M786/$H786)</f>
      </c>
    </row>
    <row r="787" spans="2:14" x14ac:dyDescent="0.25">
      <c r="B787" s="19"/>
      <c r="C787" s="8"/>
      <c r="D787" s="20">
        <f>IFERROR(IF($C787="","",VLOOKUP($C787,'Ürün Kartları'!$B$5:$C$154,2,FALSE)),"— tanımsız ürün —")</f>
      </c>
      <c r="E787" s="8"/>
      <c r="F787" s="10"/>
      <c r="G787" s="11"/>
      <c r="H787" s="16">
        <f>IF(OR($F787="",$G787=""),0,$F787*$G787)</f>
      </c>
      <c r="I787" s="16">
        <f>IFERROR(IF($E787="",0,$H787*VLOOKUP($E787,'Pazaryeri Kartları'!$B$5:$C$24,2,FALSE)+VLOOKUP($E787,'Pazaryeri Kartları'!$B$5:$D$24,3,FALSE)*$G787),0)</f>
      </c>
      <c r="J787" s="16">
        <f>IFERROR(IF($C787="",0,VLOOKUP($C787,'Ürün Kartları'!$B$5:$G$154,6,FALSE)*$G787),0)</f>
      </c>
      <c r="K787" s="11"/>
      <c r="L787" s="10"/>
      <c r="M787" s="21">
        <f>IF($C787="","",IF($K787=1,-($J787*0.5)-$L787,$H787-$I787-$J787-$L787))</f>
      </c>
      <c r="N787" s="22">
        <f>IF(OR($C787="",$H787=0),"",$M787/$H787)</f>
      </c>
    </row>
    <row r="788" spans="2:14" x14ac:dyDescent="0.25">
      <c r="B788" s="23"/>
      <c r="C788" s="12"/>
      <c r="D788" s="20">
        <f>IFERROR(IF($C788="","",VLOOKUP($C788,'Ürün Kartları'!$B$5:$C$154,2,FALSE)),"— tanımsız ürün —")</f>
      </c>
      <c r="E788" s="12"/>
      <c r="F788" s="14"/>
      <c r="G788" s="15"/>
      <c r="H788" s="16">
        <f>IF(OR($F788="",$G788=""),0,$F788*$G788)</f>
      </c>
      <c r="I788" s="16">
        <f>IFERROR(IF($E788="",0,$H788*VLOOKUP($E788,'Pazaryeri Kartları'!$B$5:$C$24,2,FALSE)+VLOOKUP($E788,'Pazaryeri Kartları'!$B$5:$D$24,3,FALSE)*$G788),0)</f>
      </c>
      <c r="J788" s="16">
        <f>IFERROR(IF($C788="",0,VLOOKUP($C788,'Ürün Kartları'!$B$5:$G$154,6,FALSE)*$G788),0)</f>
      </c>
      <c r="K788" s="15"/>
      <c r="L788" s="14"/>
      <c r="M788" s="21">
        <f>IF($C788="","",IF($K788=1,-($J788*0.5)-$L788,$H788-$I788-$J788-$L788))</f>
      </c>
      <c r="N788" s="22">
        <f>IF(OR($C788="",$H788=0),"",$M788/$H788)</f>
      </c>
    </row>
    <row r="789" spans="2:14" x14ac:dyDescent="0.25">
      <c r="B789" s="19"/>
      <c r="C789" s="8"/>
      <c r="D789" s="20">
        <f>IFERROR(IF($C789="","",VLOOKUP($C789,'Ürün Kartları'!$B$5:$C$154,2,FALSE)),"— tanımsız ürün —")</f>
      </c>
      <c r="E789" s="8"/>
      <c r="F789" s="10"/>
      <c r="G789" s="11"/>
      <c r="H789" s="16">
        <f>IF(OR($F789="",$G789=""),0,$F789*$G789)</f>
      </c>
      <c r="I789" s="16">
        <f>IFERROR(IF($E789="",0,$H789*VLOOKUP($E789,'Pazaryeri Kartları'!$B$5:$C$24,2,FALSE)+VLOOKUP($E789,'Pazaryeri Kartları'!$B$5:$D$24,3,FALSE)*$G789),0)</f>
      </c>
      <c r="J789" s="16">
        <f>IFERROR(IF($C789="",0,VLOOKUP($C789,'Ürün Kartları'!$B$5:$G$154,6,FALSE)*$G789),0)</f>
      </c>
      <c r="K789" s="11"/>
      <c r="L789" s="10"/>
      <c r="M789" s="21">
        <f>IF($C789="","",IF($K789=1,-($J789*0.5)-$L789,$H789-$I789-$J789-$L789))</f>
      </c>
      <c r="N789" s="22">
        <f>IF(OR($C789="",$H789=0),"",$M789/$H789)</f>
      </c>
    </row>
    <row r="790" spans="2:14" x14ac:dyDescent="0.25">
      <c r="B790" s="23"/>
      <c r="C790" s="12"/>
      <c r="D790" s="20">
        <f>IFERROR(IF($C790="","",VLOOKUP($C790,'Ürün Kartları'!$B$5:$C$154,2,FALSE)),"— tanımsız ürün —")</f>
      </c>
      <c r="E790" s="12"/>
      <c r="F790" s="14"/>
      <c r="G790" s="15"/>
      <c r="H790" s="16">
        <f>IF(OR($F790="",$G790=""),0,$F790*$G790)</f>
      </c>
      <c r="I790" s="16">
        <f>IFERROR(IF($E790="",0,$H790*VLOOKUP($E790,'Pazaryeri Kartları'!$B$5:$C$24,2,FALSE)+VLOOKUP($E790,'Pazaryeri Kartları'!$B$5:$D$24,3,FALSE)*$G790),0)</f>
      </c>
      <c r="J790" s="16">
        <f>IFERROR(IF($C790="",0,VLOOKUP($C790,'Ürün Kartları'!$B$5:$G$154,6,FALSE)*$G790),0)</f>
      </c>
      <c r="K790" s="15"/>
      <c r="L790" s="14"/>
      <c r="M790" s="21">
        <f>IF($C790="","",IF($K790=1,-($J790*0.5)-$L790,$H790-$I790-$J790-$L790))</f>
      </c>
      <c r="N790" s="22">
        <f>IF(OR($C790="",$H790=0),"",$M790/$H790)</f>
      </c>
    </row>
    <row r="791" spans="2:14" x14ac:dyDescent="0.25">
      <c r="B791" s="19"/>
      <c r="C791" s="8"/>
      <c r="D791" s="20">
        <f>IFERROR(IF($C791="","",VLOOKUP($C791,'Ürün Kartları'!$B$5:$C$154,2,FALSE)),"— tanımsız ürün —")</f>
      </c>
      <c r="E791" s="8"/>
      <c r="F791" s="10"/>
      <c r="G791" s="11"/>
      <c r="H791" s="16">
        <f>IF(OR($F791="",$G791=""),0,$F791*$G791)</f>
      </c>
      <c r="I791" s="16">
        <f>IFERROR(IF($E791="",0,$H791*VLOOKUP($E791,'Pazaryeri Kartları'!$B$5:$C$24,2,FALSE)+VLOOKUP($E791,'Pazaryeri Kartları'!$B$5:$D$24,3,FALSE)*$G791),0)</f>
      </c>
      <c r="J791" s="16">
        <f>IFERROR(IF($C791="",0,VLOOKUP($C791,'Ürün Kartları'!$B$5:$G$154,6,FALSE)*$G791),0)</f>
      </c>
      <c r="K791" s="11"/>
      <c r="L791" s="10"/>
      <c r="M791" s="21">
        <f>IF($C791="","",IF($K791=1,-($J791*0.5)-$L791,$H791-$I791-$J791-$L791))</f>
      </c>
      <c r="N791" s="22">
        <f>IF(OR($C791="",$H791=0),"",$M791/$H791)</f>
      </c>
    </row>
    <row r="792" spans="2:14" x14ac:dyDescent="0.25">
      <c r="B792" s="23"/>
      <c r="C792" s="12"/>
      <c r="D792" s="20">
        <f>IFERROR(IF($C792="","",VLOOKUP($C792,'Ürün Kartları'!$B$5:$C$154,2,FALSE)),"— tanımsız ürün —")</f>
      </c>
      <c r="E792" s="12"/>
      <c r="F792" s="14"/>
      <c r="G792" s="15"/>
      <c r="H792" s="16">
        <f>IF(OR($F792="",$G792=""),0,$F792*$G792)</f>
      </c>
      <c r="I792" s="16">
        <f>IFERROR(IF($E792="",0,$H792*VLOOKUP($E792,'Pazaryeri Kartları'!$B$5:$C$24,2,FALSE)+VLOOKUP($E792,'Pazaryeri Kartları'!$B$5:$D$24,3,FALSE)*$G792),0)</f>
      </c>
      <c r="J792" s="16">
        <f>IFERROR(IF($C792="",0,VLOOKUP($C792,'Ürün Kartları'!$B$5:$G$154,6,FALSE)*$G792),0)</f>
      </c>
      <c r="K792" s="15"/>
      <c r="L792" s="14"/>
      <c r="M792" s="21">
        <f>IF($C792="","",IF($K792=1,-($J792*0.5)-$L792,$H792-$I792-$J792-$L792))</f>
      </c>
      <c r="N792" s="22">
        <f>IF(OR($C792="",$H792=0),"",$M792/$H792)</f>
      </c>
    </row>
    <row r="793" spans="2:14" x14ac:dyDescent="0.25">
      <c r="B793" s="19"/>
      <c r="C793" s="8"/>
      <c r="D793" s="20">
        <f>IFERROR(IF($C793="","",VLOOKUP($C793,'Ürün Kartları'!$B$5:$C$154,2,FALSE)),"— tanımsız ürün —")</f>
      </c>
      <c r="E793" s="8"/>
      <c r="F793" s="10"/>
      <c r="G793" s="11"/>
      <c r="H793" s="16">
        <f>IF(OR($F793="",$G793=""),0,$F793*$G793)</f>
      </c>
      <c r="I793" s="16">
        <f>IFERROR(IF($E793="",0,$H793*VLOOKUP($E793,'Pazaryeri Kartları'!$B$5:$C$24,2,FALSE)+VLOOKUP($E793,'Pazaryeri Kartları'!$B$5:$D$24,3,FALSE)*$G793),0)</f>
      </c>
      <c r="J793" s="16">
        <f>IFERROR(IF($C793="",0,VLOOKUP($C793,'Ürün Kartları'!$B$5:$G$154,6,FALSE)*$G793),0)</f>
      </c>
      <c r="K793" s="11"/>
      <c r="L793" s="10"/>
      <c r="M793" s="21">
        <f>IF($C793="","",IF($K793=1,-($J793*0.5)-$L793,$H793-$I793-$J793-$L793))</f>
      </c>
      <c r="N793" s="22">
        <f>IF(OR($C793="",$H793=0),"",$M793/$H793)</f>
      </c>
    </row>
    <row r="794" spans="2:14" x14ac:dyDescent="0.25">
      <c r="B794" s="23"/>
      <c r="C794" s="12"/>
      <c r="D794" s="20">
        <f>IFERROR(IF($C794="","",VLOOKUP($C794,'Ürün Kartları'!$B$5:$C$154,2,FALSE)),"— tanımsız ürün —")</f>
      </c>
      <c r="E794" s="12"/>
      <c r="F794" s="14"/>
      <c r="G794" s="15"/>
      <c r="H794" s="16">
        <f>IF(OR($F794="",$G794=""),0,$F794*$G794)</f>
      </c>
      <c r="I794" s="16">
        <f>IFERROR(IF($E794="",0,$H794*VLOOKUP($E794,'Pazaryeri Kartları'!$B$5:$C$24,2,FALSE)+VLOOKUP($E794,'Pazaryeri Kartları'!$B$5:$D$24,3,FALSE)*$G794),0)</f>
      </c>
      <c r="J794" s="16">
        <f>IFERROR(IF($C794="",0,VLOOKUP($C794,'Ürün Kartları'!$B$5:$G$154,6,FALSE)*$G794),0)</f>
      </c>
      <c r="K794" s="15"/>
      <c r="L794" s="14"/>
      <c r="M794" s="21">
        <f>IF($C794="","",IF($K794=1,-($J794*0.5)-$L794,$H794-$I794-$J794-$L794))</f>
      </c>
      <c r="N794" s="22">
        <f>IF(OR($C794="",$H794=0),"",$M794/$H794)</f>
      </c>
    </row>
    <row r="795" spans="2:14" x14ac:dyDescent="0.25">
      <c r="B795" s="19"/>
      <c r="C795" s="8"/>
      <c r="D795" s="20">
        <f>IFERROR(IF($C795="","",VLOOKUP($C795,'Ürün Kartları'!$B$5:$C$154,2,FALSE)),"— tanımsız ürün —")</f>
      </c>
      <c r="E795" s="8"/>
      <c r="F795" s="10"/>
      <c r="G795" s="11"/>
      <c r="H795" s="16">
        <f>IF(OR($F795="",$G795=""),0,$F795*$G795)</f>
      </c>
      <c r="I795" s="16">
        <f>IFERROR(IF($E795="",0,$H795*VLOOKUP($E795,'Pazaryeri Kartları'!$B$5:$C$24,2,FALSE)+VLOOKUP($E795,'Pazaryeri Kartları'!$B$5:$D$24,3,FALSE)*$G795),0)</f>
      </c>
      <c r="J795" s="16">
        <f>IFERROR(IF($C795="",0,VLOOKUP($C795,'Ürün Kartları'!$B$5:$G$154,6,FALSE)*$G795),0)</f>
      </c>
      <c r="K795" s="11"/>
      <c r="L795" s="10"/>
      <c r="M795" s="21">
        <f>IF($C795="","",IF($K795=1,-($J795*0.5)-$L795,$H795-$I795-$J795-$L795))</f>
      </c>
      <c r="N795" s="22">
        <f>IF(OR($C795="",$H795=0),"",$M795/$H795)</f>
      </c>
    </row>
    <row r="796" spans="2:14" x14ac:dyDescent="0.25">
      <c r="B796" s="23"/>
      <c r="C796" s="12"/>
      <c r="D796" s="20">
        <f>IFERROR(IF($C796="","",VLOOKUP($C796,'Ürün Kartları'!$B$5:$C$154,2,FALSE)),"— tanımsız ürün —")</f>
      </c>
      <c r="E796" s="12"/>
      <c r="F796" s="14"/>
      <c r="G796" s="15"/>
      <c r="H796" s="16">
        <f>IF(OR($F796="",$G796=""),0,$F796*$G796)</f>
      </c>
      <c r="I796" s="16">
        <f>IFERROR(IF($E796="",0,$H796*VLOOKUP($E796,'Pazaryeri Kartları'!$B$5:$C$24,2,FALSE)+VLOOKUP($E796,'Pazaryeri Kartları'!$B$5:$D$24,3,FALSE)*$G796),0)</f>
      </c>
      <c r="J796" s="16">
        <f>IFERROR(IF($C796="",0,VLOOKUP($C796,'Ürün Kartları'!$B$5:$G$154,6,FALSE)*$G796),0)</f>
      </c>
      <c r="K796" s="15"/>
      <c r="L796" s="14"/>
      <c r="M796" s="21">
        <f>IF($C796="","",IF($K796=1,-($J796*0.5)-$L796,$H796-$I796-$J796-$L796))</f>
      </c>
      <c r="N796" s="22">
        <f>IF(OR($C796="",$H796=0),"",$M796/$H796)</f>
      </c>
    </row>
    <row r="797" spans="2:14" x14ac:dyDescent="0.25">
      <c r="B797" s="19"/>
      <c r="C797" s="8"/>
      <c r="D797" s="20">
        <f>IFERROR(IF($C797="","",VLOOKUP($C797,'Ürün Kartları'!$B$5:$C$154,2,FALSE)),"— tanımsız ürün —")</f>
      </c>
      <c r="E797" s="8"/>
      <c r="F797" s="10"/>
      <c r="G797" s="11"/>
      <c r="H797" s="16">
        <f>IF(OR($F797="",$G797=""),0,$F797*$G797)</f>
      </c>
      <c r="I797" s="16">
        <f>IFERROR(IF($E797="",0,$H797*VLOOKUP($E797,'Pazaryeri Kartları'!$B$5:$C$24,2,FALSE)+VLOOKUP($E797,'Pazaryeri Kartları'!$B$5:$D$24,3,FALSE)*$G797),0)</f>
      </c>
      <c r="J797" s="16">
        <f>IFERROR(IF($C797="",0,VLOOKUP($C797,'Ürün Kartları'!$B$5:$G$154,6,FALSE)*$G797),0)</f>
      </c>
      <c r="K797" s="11"/>
      <c r="L797" s="10"/>
      <c r="M797" s="21">
        <f>IF($C797="","",IF($K797=1,-($J797*0.5)-$L797,$H797-$I797-$J797-$L797))</f>
      </c>
      <c r="N797" s="22">
        <f>IF(OR($C797="",$H797=0),"",$M797/$H797)</f>
      </c>
    </row>
    <row r="798" spans="2:14" x14ac:dyDescent="0.25">
      <c r="B798" s="23"/>
      <c r="C798" s="12"/>
      <c r="D798" s="20">
        <f>IFERROR(IF($C798="","",VLOOKUP($C798,'Ürün Kartları'!$B$5:$C$154,2,FALSE)),"— tanımsız ürün —")</f>
      </c>
      <c r="E798" s="12"/>
      <c r="F798" s="14"/>
      <c r="G798" s="15"/>
      <c r="H798" s="16">
        <f>IF(OR($F798="",$G798=""),0,$F798*$G798)</f>
      </c>
      <c r="I798" s="16">
        <f>IFERROR(IF($E798="",0,$H798*VLOOKUP($E798,'Pazaryeri Kartları'!$B$5:$C$24,2,FALSE)+VLOOKUP($E798,'Pazaryeri Kartları'!$B$5:$D$24,3,FALSE)*$G798),0)</f>
      </c>
      <c r="J798" s="16">
        <f>IFERROR(IF($C798="",0,VLOOKUP($C798,'Ürün Kartları'!$B$5:$G$154,6,FALSE)*$G798),0)</f>
      </c>
      <c r="K798" s="15"/>
      <c r="L798" s="14"/>
      <c r="M798" s="21">
        <f>IF($C798="","",IF($K798=1,-($J798*0.5)-$L798,$H798-$I798-$J798-$L798))</f>
      </c>
      <c r="N798" s="22">
        <f>IF(OR($C798="",$H798=0),"",$M798/$H798)</f>
      </c>
    </row>
    <row r="799" spans="2:14" x14ac:dyDescent="0.25">
      <c r="B799" s="19"/>
      <c r="C799" s="8"/>
      <c r="D799" s="20">
        <f>IFERROR(IF($C799="","",VLOOKUP($C799,'Ürün Kartları'!$B$5:$C$154,2,FALSE)),"— tanımsız ürün —")</f>
      </c>
      <c r="E799" s="8"/>
      <c r="F799" s="10"/>
      <c r="G799" s="11"/>
      <c r="H799" s="16">
        <f>IF(OR($F799="",$G799=""),0,$F799*$G799)</f>
      </c>
      <c r="I799" s="16">
        <f>IFERROR(IF($E799="",0,$H799*VLOOKUP($E799,'Pazaryeri Kartları'!$B$5:$C$24,2,FALSE)+VLOOKUP($E799,'Pazaryeri Kartları'!$B$5:$D$24,3,FALSE)*$G799),0)</f>
      </c>
      <c r="J799" s="16">
        <f>IFERROR(IF($C799="",0,VLOOKUP($C799,'Ürün Kartları'!$B$5:$G$154,6,FALSE)*$G799),0)</f>
      </c>
      <c r="K799" s="11"/>
      <c r="L799" s="10"/>
      <c r="M799" s="21">
        <f>IF($C799="","",IF($K799=1,-($J799*0.5)-$L799,$H799-$I799-$J799-$L799))</f>
      </c>
      <c r="N799" s="22">
        <f>IF(OR($C799="",$H799=0),"",$M799/$H799)</f>
      </c>
    </row>
    <row r="800" spans="2:14" x14ac:dyDescent="0.25">
      <c r="B800" s="23"/>
      <c r="C800" s="12"/>
      <c r="D800" s="20">
        <f>IFERROR(IF($C800="","",VLOOKUP($C800,'Ürün Kartları'!$B$5:$C$154,2,FALSE)),"— tanımsız ürün —")</f>
      </c>
      <c r="E800" s="12"/>
      <c r="F800" s="14"/>
      <c r="G800" s="15"/>
      <c r="H800" s="16">
        <f>IF(OR($F800="",$G800=""),0,$F800*$G800)</f>
      </c>
      <c r="I800" s="16">
        <f>IFERROR(IF($E800="",0,$H800*VLOOKUP($E800,'Pazaryeri Kartları'!$B$5:$C$24,2,FALSE)+VLOOKUP($E800,'Pazaryeri Kartları'!$B$5:$D$24,3,FALSE)*$G800),0)</f>
      </c>
      <c r="J800" s="16">
        <f>IFERROR(IF($C800="",0,VLOOKUP($C800,'Ürün Kartları'!$B$5:$G$154,6,FALSE)*$G800),0)</f>
      </c>
      <c r="K800" s="15"/>
      <c r="L800" s="14"/>
      <c r="M800" s="21">
        <f>IF($C800="","",IF($K800=1,-($J800*0.5)-$L800,$H800-$I800-$J800-$L800))</f>
      </c>
      <c r="N800" s="22">
        <f>IF(OR($C800="",$H800=0),"",$M800/$H800)</f>
      </c>
    </row>
    <row r="801" spans="2:14" x14ac:dyDescent="0.25">
      <c r="B801" s="19"/>
      <c r="C801" s="8"/>
      <c r="D801" s="20">
        <f>IFERROR(IF($C801="","",VLOOKUP($C801,'Ürün Kartları'!$B$5:$C$154,2,FALSE)),"— tanımsız ürün —")</f>
      </c>
      <c r="E801" s="8"/>
      <c r="F801" s="10"/>
      <c r="G801" s="11"/>
      <c r="H801" s="16">
        <f>IF(OR($F801="",$G801=""),0,$F801*$G801)</f>
      </c>
      <c r="I801" s="16">
        <f>IFERROR(IF($E801="",0,$H801*VLOOKUP($E801,'Pazaryeri Kartları'!$B$5:$C$24,2,FALSE)+VLOOKUP($E801,'Pazaryeri Kartları'!$B$5:$D$24,3,FALSE)*$G801),0)</f>
      </c>
      <c r="J801" s="16">
        <f>IFERROR(IF($C801="",0,VLOOKUP($C801,'Ürün Kartları'!$B$5:$G$154,6,FALSE)*$G801),0)</f>
      </c>
      <c r="K801" s="11"/>
      <c r="L801" s="10"/>
      <c r="M801" s="21">
        <f>IF($C801="","",IF($K801=1,-($J801*0.5)-$L801,$H801-$I801-$J801-$L801))</f>
      </c>
      <c r="N801" s="22">
        <f>IF(OR($C801="",$H801=0),"",$M801/$H801)</f>
      </c>
    </row>
    <row r="802" spans="2:14" x14ac:dyDescent="0.25">
      <c r="B802" s="23"/>
      <c r="C802" s="12"/>
      <c r="D802" s="20">
        <f>IFERROR(IF($C802="","",VLOOKUP($C802,'Ürün Kartları'!$B$5:$C$154,2,FALSE)),"— tanımsız ürün —")</f>
      </c>
      <c r="E802" s="12"/>
      <c r="F802" s="14"/>
      <c r="G802" s="15"/>
      <c r="H802" s="16">
        <f>IF(OR($F802="",$G802=""),0,$F802*$G802)</f>
      </c>
      <c r="I802" s="16">
        <f>IFERROR(IF($E802="",0,$H802*VLOOKUP($E802,'Pazaryeri Kartları'!$B$5:$C$24,2,FALSE)+VLOOKUP($E802,'Pazaryeri Kartları'!$B$5:$D$24,3,FALSE)*$G802),0)</f>
      </c>
      <c r="J802" s="16">
        <f>IFERROR(IF($C802="",0,VLOOKUP($C802,'Ürün Kartları'!$B$5:$G$154,6,FALSE)*$G802),0)</f>
      </c>
      <c r="K802" s="15"/>
      <c r="L802" s="14"/>
      <c r="M802" s="21">
        <f>IF($C802="","",IF($K802=1,-($J802*0.5)-$L802,$H802-$I802-$J802-$L802))</f>
      </c>
      <c r="N802" s="22">
        <f>IF(OR($C802="",$H802=0),"",$M802/$H802)</f>
      </c>
    </row>
    <row r="803" spans="2:14" x14ac:dyDescent="0.25">
      <c r="B803" s="19"/>
      <c r="C803" s="8"/>
      <c r="D803" s="20">
        <f>IFERROR(IF($C803="","",VLOOKUP($C803,'Ürün Kartları'!$B$5:$C$154,2,FALSE)),"— tanımsız ürün —")</f>
      </c>
      <c r="E803" s="8"/>
      <c r="F803" s="10"/>
      <c r="G803" s="11"/>
      <c r="H803" s="16">
        <f>IF(OR($F803="",$G803=""),0,$F803*$G803)</f>
      </c>
      <c r="I803" s="16">
        <f>IFERROR(IF($E803="",0,$H803*VLOOKUP($E803,'Pazaryeri Kartları'!$B$5:$C$24,2,FALSE)+VLOOKUP($E803,'Pazaryeri Kartları'!$B$5:$D$24,3,FALSE)*$G803),0)</f>
      </c>
      <c r="J803" s="16">
        <f>IFERROR(IF($C803="",0,VLOOKUP($C803,'Ürün Kartları'!$B$5:$G$154,6,FALSE)*$G803),0)</f>
      </c>
      <c r="K803" s="11"/>
      <c r="L803" s="10"/>
      <c r="M803" s="21">
        <f>IF($C803="","",IF($K803=1,-($J803*0.5)-$L803,$H803-$I803-$J803-$L803))</f>
      </c>
      <c r="N803" s="22">
        <f>IF(OR($C803="",$H803=0),"",$M803/$H803)</f>
      </c>
    </row>
    <row r="804" spans="2:14" x14ac:dyDescent="0.25">
      <c r="B804" s="23"/>
      <c r="C804" s="12"/>
      <c r="D804" s="20">
        <f>IFERROR(IF($C804="","",VLOOKUP($C804,'Ürün Kartları'!$B$5:$C$154,2,FALSE)),"— tanımsız ürün —")</f>
      </c>
      <c r="E804" s="12"/>
      <c r="F804" s="14"/>
      <c r="G804" s="15"/>
      <c r="H804" s="16">
        <f>IF(OR($F804="",$G804=""),0,$F804*$G804)</f>
      </c>
      <c r="I804" s="16">
        <f>IFERROR(IF($E804="",0,$H804*VLOOKUP($E804,'Pazaryeri Kartları'!$B$5:$C$24,2,FALSE)+VLOOKUP($E804,'Pazaryeri Kartları'!$B$5:$D$24,3,FALSE)*$G804),0)</f>
      </c>
      <c r="J804" s="16">
        <f>IFERROR(IF($C804="",0,VLOOKUP($C804,'Ürün Kartları'!$B$5:$G$154,6,FALSE)*$G804),0)</f>
      </c>
      <c r="K804" s="15"/>
      <c r="L804" s="14"/>
      <c r="M804" s="21">
        <f>IF($C804="","",IF($K804=1,-($J804*0.5)-$L804,$H804-$I804-$J804-$L804))</f>
      </c>
      <c r="N804" s="22">
        <f>IF(OR($C804="",$H804=0),"",$M804/$H804)</f>
      </c>
    </row>
    <row r="805" spans="2:14" x14ac:dyDescent="0.25">
      <c r="B805" s="19"/>
      <c r="C805" s="8"/>
      <c r="D805" s="20">
        <f>IFERROR(IF($C805="","",VLOOKUP($C805,'Ürün Kartları'!$B$5:$C$154,2,FALSE)),"— tanımsız ürün —")</f>
      </c>
      <c r="E805" s="8"/>
      <c r="F805" s="10"/>
      <c r="G805" s="11"/>
      <c r="H805" s="16">
        <f>IF(OR($F805="",$G805=""),0,$F805*$G805)</f>
      </c>
      <c r="I805" s="16">
        <f>IFERROR(IF($E805="",0,$H805*VLOOKUP($E805,'Pazaryeri Kartları'!$B$5:$C$24,2,FALSE)+VLOOKUP($E805,'Pazaryeri Kartları'!$B$5:$D$24,3,FALSE)*$G805),0)</f>
      </c>
      <c r="J805" s="16">
        <f>IFERROR(IF($C805="",0,VLOOKUP($C805,'Ürün Kartları'!$B$5:$G$154,6,FALSE)*$G805),0)</f>
      </c>
      <c r="K805" s="11"/>
      <c r="L805" s="10"/>
      <c r="M805" s="21">
        <f>IF($C805="","",IF($K805=1,-($J805*0.5)-$L805,$H805-$I805-$J805-$L805))</f>
      </c>
      <c r="N805" s="22">
        <f>IF(OR($C805="",$H805=0),"",$M805/$H805)</f>
      </c>
    </row>
    <row r="806" spans="2:14" x14ac:dyDescent="0.25">
      <c r="B806" s="23"/>
      <c r="C806" s="12"/>
      <c r="D806" s="20">
        <f>IFERROR(IF($C806="","",VLOOKUP($C806,'Ürün Kartları'!$B$5:$C$154,2,FALSE)),"— tanımsız ürün —")</f>
      </c>
      <c r="E806" s="12"/>
      <c r="F806" s="14"/>
      <c r="G806" s="15"/>
      <c r="H806" s="16">
        <f>IF(OR($F806="",$G806=""),0,$F806*$G806)</f>
      </c>
      <c r="I806" s="16">
        <f>IFERROR(IF($E806="",0,$H806*VLOOKUP($E806,'Pazaryeri Kartları'!$B$5:$C$24,2,FALSE)+VLOOKUP($E806,'Pazaryeri Kartları'!$B$5:$D$24,3,FALSE)*$G806),0)</f>
      </c>
      <c r="J806" s="16">
        <f>IFERROR(IF($C806="",0,VLOOKUP($C806,'Ürün Kartları'!$B$5:$G$154,6,FALSE)*$G806),0)</f>
      </c>
      <c r="K806" s="15"/>
      <c r="L806" s="14"/>
      <c r="M806" s="21">
        <f>IF($C806="","",IF($K806=1,-($J806*0.5)-$L806,$H806-$I806-$J806-$L806))</f>
      </c>
      <c r="N806" s="22">
        <f>IF(OR($C806="",$H806=0),"",$M806/$H806)</f>
      </c>
    </row>
    <row r="807" spans="2:14" x14ac:dyDescent="0.25">
      <c r="B807" s="19"/>
      <c r="C807" s="8"/>
      <c r="D807" s="20">
        <f>IFERROR(IF($C807="","",VLOOKUP($C807,'Ürün Kartları'!$B$5:$C$154,2,FALSE)),"— tanımsız ürün —")</f>
      </c>
      <c r="E807" s="8"/>
      <c r="F807" s="10"/>
      <c r="G807" s="11"/>
      <c r="H807" s="16">
        <f>IF(OR($F807="",$G807=""),0,$F807*$G807)</f>
      </c>
      <c r="I807" s="16">
        <f>IFERROR(IF($E807="",0,$H807*VLOOKUP($E807,'Pazaryeri Kartları'!$B$5:$C$24,2,FALSE)+VLOOKUP($E807,'Pazaryeri Kartları'!$B$5:$D$24,3,FALSE)*$G807),0)</f>
      </c>
      <c r="J807" s="16">
        <f>IFERROR(IF($C807="",0,VLOOKUP($C807,'Ürün Kartları'!$B$5:$G$154,6,FALSE)*$G807),0)</f>
      </c>
      <c r="K807" s="11"/>
      <c r="L807" s="10"/>
      <c r="M807" s="21">
        <f>IF($C807="","",IF($K807=1,-($J807*0.5)-$L807,$H807-$I807-$J807-$L807))</f>
      </c>
      <c r="N807" s="22">
        <f>IF(OR($C807="",$H807=0),"",$M807/$H807)</f>
      </c>
    </row>
    <row r="808" spans="2:14" x14ac:dyDescent="0.25">
      <c r="B808" s="23"/>
      <c r="C808" s="12"/>
      <c r="D808" s="20">
        <f>IFERROR(IF($C808="","",VLOOKUP($C808,'Ürün Kartları'!$B$5:$C$154,2,FALSE)),"— tanımsız ürün —")</f>
      </c>
      <c r="E808" s="12"/>
      <c r="F808" s="14"/>
      <c r="G808" s="15"/>
      <c r="H808" s="16">
        <f>IF(OR($F808="",$G808=""),0,$F808*$G808)</f>
      </c>
      <c r="I808" s="16">
        <f>IFERROR(IF($E808="",0,$H808*VLOOKUP($E808,'Pazaryeri Kartları'!$B$5:$C$24,2,FALSE)+VLOOKUP($E808,'Pazaryeri Kartları'!$B$5:$D$24,3,FALSE)*$G808),0)</f>
      </c>
      <c r="J808" s="16">
        <f>IFERROR(IF($C808="",0,VLOOKUP($C808,'Ürün Kartları'!$B$5:$G$154,6,FALSE)*$G808),0)</f>
      </c>
      <c r="K808" s="15"/>
      <c r="L808" s="14"/>
      <c r="M808" s="21">
        <f>IF($C808="","",IF($K808=1,-($J808*0.5)-$L808,$H808-$I808-$J808-$L808))</f>
      </c>
      <c r="N808" s="22">
        <f>IF(OR($C808="",$H808=0),"",$M808/$H808)</f>
      </c>
    </row>
    <row r="809" spans="2:14" x14ac:dyDescent="0.25">
      <c r="B809" s="19"/>
      <c r="C809" s="8"/>
      <c r="D809" s="20">
        <f>IFERROR(IF($C809="","",VLOOKUP($C809,'Ürün Kartları'!$B$5:$C$154,2,FALSE)),"— tanımsız ürün —")</f>
      </c>
      <c r="E809" s="8"/>
      <c r="F809" s="10"/>
      <c r="G809" s="11"/>
      <c r="H809" s="16">
        <f>IF(OR($F809="",$G809=""),0,$F809*$G809)</f>
      </c>
      <c r="I809" s="16">
        <f>IFERROR(IF($E809="",0,$H809*VLOOKUP($E809,'Pazaryeri Kartları'!$B$5:$C$24,2,FALSE)+VLOOKUP($E809,'Pazaryeri Kartları'!$B$5:$D$24,3,FALSE)*$G809),0)</f>
      </c>
      <c r="J809" s="16">
        <f>IFERROR(IF($C809="",0,VLOOKUP($C809,'Ürün Kartları'!$B$5:$G$154,6,FALSE)*$G809),0)</f>
      </c>
      <c r="K809" s="11"/>
      <c r="L809" s="10"/>
      <c r="M809" s="21">
        <f>IF($C809="","",IF($K809=1,-($J809*0.5)-$L809,$H809-$I809-$J809-$L809))</f>
      </c>
      <c r="N809" s="22">
        <f>IF(OR($C809="",$H809=0),"",$M809/$H809)</f>
      </c>
    </row>
    <row r="810" spans="2:14" x14ac:dyDescent="0.25">
      <c r="B810" s="23"/>
      <c r="C810" s="12"/>
      <c r="D810" s="20">
        <f>IFERROR(IF($C810="","",VLOOKUP($C810,'Ürün Kartları'!$B$5:$C$154,2,FALSE)),"— tanımsız ürün —")</f>
      </c>
      <c r="E810" s="12"/>
      <c r="F810" s="14"/>
      <c r="G810" s="15"/>
      <c r="H810" s="16">
        <f>IF(OR($F810="",$G810=""),0,$F810*$G810)</f>
      </c>
      <c r="I810" s="16">
        <f>IFERROR(IF($E810="",0,$H810*VLOOKUP($E810,'Pazaryeri Kartları'!$B$5:$C$24,2,FALSE)+VLOOKUP($E810,'Pazaryeri Kartları'!$B$5:$D$24,3,FALSE)*$G810),0)</f>
      </c>
      <c r="J810" s="16">
        <f>IFERROR(IF($C810="",0,VLOOKUP($C810,'Ürün Kartları'!$B$5:$G$154,6,FALSE)*$G810),0)</f>
      </c>
      <c r="K810" s="15"/>
      <c r="L810" s="14"/>
      <c r="M810" s="21">
        <f>IF($C810="","",IF($K810=1,-($J810*0.5)-$L810,$H810-$I810-$J810-$L810))</f>
      </c>
      <c r="N810" s="22">
        <f>IF(OR($C810="",$H810=0),"",$M810/$H810)</f>
      </c>
    </row>
    <row r="811" spans="2:14" x14ac:dyDescent="0.25">
      <c r="B811" s="19"/>
      <c r="C811" s="8"/>
      <c r="D811" s="20">
        <f>IFERROR(IF($C811="","",VLOOKUP($C811,'Ürün Kartları'!$B$5:$C$154,2,FALSE)),"— tanımsız ürün —")</f>
      </c>
      <c r="E811" s="8"/>
      <c r="F811" s="10"/>
      <c r="G811" s="11"/>
      <c r="H811" s="16">
        <f>IF(OR($F811="",$G811=""),0,$F811*$G811)</f>
      </c>
      <c r="I811" s="16">
        <f>IFERROR(IF($E811="",0,$H811*VLOOKUP($E811,'Pazaryeri Kartları'!$B$5:$C$24,2,FALSE)+VLOOKUP($E811,'Pazaryeri Kartları'!$B$5:$D$24,3,FALSE)*$G811),0)</f>
      </c>
      <c r="J811" s="16">
        <f>IFERROR(IF($C811="",0,VLOOKUP($C811,'Ürün Kartları'!$B$5:$G$154,6,FALSE)*$G811),0)</f>
      </c>
      <c r="K811" s="11"/>
      <c r="L811" s="10"/>
      <c r="M811" s="21">
        <f>IF($C811="","",IF($K811=1,-($J811*0.5)-$L811,$H811-$I811-$J811-$L811))</f>
      </c>
      <c r="N811" s="22">
        <f>IF(OR($C811="",$H811=0),"",$M811/$H811)</f>
      </c>
    </row>
    <row r="812" spans="2:14" x14ac:dyDescent="0.25">
      <c r="B812" s="23"/>
      <c r="C812" s="12"/>
      <c r="D812" s="20">
        <f>IFERROR(IF($C812="","",VLOOKUP($C812,'Ürün Kartları'!$B$5:$C$154,2,FALSE)),"— tanımsız ürün —")</f>
      </c>
      <c r="E812" s="12"/>
      <c r="F812" s="14"/>
      <c r="G812" s="15"/>
      <c r="H812" s="16">
        <f>IF(OR($F812="",$G812=""),0,$F812*$G812)</f>
      </c>
      <c r="I812" s="16">
        <f>IFERROR(IF($E812="",0,$H812*VLOOKUP($E812,'Pazaryeri Kartları'!$B$5:$C$24,2,FALSE)+VLOOKUP($E812,'Pazaryeri Kartları'!$B$5:$D$24,3,FALSE)*$G812),0)</f>
      </c>
      <c r="J812" s="16">
        <f>IFERROR(IF($C812="",0,VLOOKUP($C812,'Ürün Kartları'!$B$5:$G$154,6,FALSE)*$G812),0)</f>
      </c>
      <c r="K812" s="15"/>
      <c r="L812" s="14"/>
      <c r="M812" s="21">
        <f>IF($C812="","",IF($K812=1,-($J812*0.5)-$L812,$H812-$I812-$J812-$L812))</f>
      </c>
      <c r="N812" s="22">
        <f>IF(OR($C812="",$H812=0),"",$M812/$H812)</f>
      </c>
    </row>
    <row r="813" spans="2:14" x14ac:dyDescent="0.25">
      <c r="B813" s="19"/>
      <c r="C813" s="8"/>
      <c r="D813" s="20">
        <f>IFERROR(IF($C813="","",VLOOKUP($C813,'Ürün Kartları'!$B$5:$C$154,2,FALSE)),"— tanımsız ürün —")</f>
      </c>
      <c r="E813" s="8"/>
      <c r="F813" s="10"/>
      <c r="G813" s="11"/>
      <c r="H813" s="16">
        <f>IF(OR($F813="",$G813=""),0,$F813*$G813)</f>
      </c>
      <c r="I813" s="16">
        <f>IFERROR(IF($E813="",0,$H813*VLOOKUP($E813,'Pazaryeri Kartları'!$B$5:$C$24,2,FALSE)+VLOOKUP($E813,'Pazaryeri Kartları'!$B$5:$D$24,3,FALSE)*$G813),0)</f>
      </c>
      <c r="J813" s="16">
        <f>IFERROR(IF($C813="",0,VLOOKUP($C813,'Ürün Kartları'!$B$5:$G$154,6,FALSE)*$G813),0)</f>
      </c>
      <c r="K813" s="11"/>
      <c r="L813" s="10"/>
      <c r="M813" s="21">
        <f>IF($C813="","",IF($K813=1,-($J813*0.5)-$L813,$H813-$I813-$J813-$L813))</f>
      </c>
      <c r="N813" s="22">
        <f>IF(OR($C813="",$H813=0),"",$M813/$H813)</f>
      </c>
    </row>
    <row r="814" spans="2:14" x14ac:dyDescent="0.25">
      <c r="B814" s="23"/>
      <c r="C814" s="12"/>
      <c r="D814" s="20">
        <f>IFERROR(IF($C814="","",VLOOKUP($C814,'Ürün Kartları'!$B$5:$C$154,2,FALSE)),"— tanımsız ürün —")</f>
      </c>
      <c r="E814" s="12"/>
      <c r="F814" s="14"/>
      <c r="G814" s="15"/>
      <c r="H814" s="16">
        <f>IF(OR($F814="",$G814=""),0,$F814*$G814)</f>
      </c>
      <c r="I814" s="16">
        <f>IFERROR(IF($E814="",0,$H814*VLOOKUP($E814,'Pazaryeri Kartları'!$B$5:$C$24,2,FALSE)+VLOOKUP($E814,'Pazaryeri Kartları'!$B$5:$D$24,3,FALSE)*$G814),0)</f>
      </c>
      <c r="J814" s="16">
        <f>IFERROR(IF($C814="",0,VLOOKUP($C814,'Ürün Kartları'!$B$5:$G$154,6,FALSE)*$G814),0)</f>
      </c>
      <c r="K814" s="15"/>
      <c r="L814" s="14"/>
      <c r="M814" s="21">
        <f>IF($C814="","",IF($K814=1,-($J814*0.5)-$L814,$H814-$I814-$J814-$L814))</f>
      </c>
      <c r="N814" s="22">
        <f>IF(OR($C814="",$H814=0),"",$M814/$H814)</f>
      </c>
    </row>
    <row r="815" spans="2:14" x14ac:dyDescent="0.25">
      <c r="B815" s="19"/>
      <c r="C815" s="8"/>
      <c r="D815" s="20">
        <f>IFERROR(IF($C815="","",VLOOKUP($C815,'Ürün Kartları'!$B$5:$C$154,2,FALSE)),"— tanımsız ürün —")</f>
      </c>
      <c r="E815" s="8"/>
      <c r="F815" s="10"/>
      <c r="G815" s="11"/>
      <c r="H815" s="16">
        <f>IF(OR($F815="",$G815=""),0,$F815*$G815)</f>
      </c>
      <c r="I815" s="16">
        <f>IFERROR(IF($E815="",0,$H815*VLOOKUP($E815,'Pazaryeri Kartları'!$B$5:$C$24,2,FALSE)+VLOOKUP($E815,'Pazaryeri Kartları'!$B$5:$D$24,3,FALSE)*$G815),0)</f>
      </c>
      <c r="J815" s="16">
        <f>IFERROR(IF($C815="",0,VLOOKUP($C815,'Ürün Kartları'!$B$5:$G$154,6,FALSE)*$G815),0)</f>
      </c>
      <c r="K815" s="11"/>
      <c r="L815" s="10"/>
      <c r="M815" s="21">
        <f>IF($C815="","",IF($K815=1,-($J815*0.5)-$L815,$H815-$I815-$J815-$L815))</f>
      </c>
      <c r="N815" s="22">
        <f>IF(OR($C815="",$H815=0),"",$M815/$H815)</f>
      </c>
    </row>
    <row r="816" spans="2:14" x14ac:dyDescent="0.25">
      <c r="B816" s="23"/>
      <c r="C816" s="12"/>
      <c r="D816" s="20">
        <f>IFERROR(IF($C816="","",VLOOKUP($C816,'Ürün Kartları'!$B$5:$C$154,2,FALSE)),"— tanımsız ürün —")</f>
      </c>
      <c r="E816" s="12"/>
      <c r="F816" s="14"/>
      <c r="G816" s="15"/>
      <c r="H816" s="16">
        <f>IF(OR($F816="",$G816=""),0,$F816*$G816)</f>
      </c>
      <c r="I816" s="16">
        <f>IFERROR(IF($E816="",0,$H816*VLOOKUP($E816,'Pazaryeri Kartları'!$B$5:$C$24,2,FALSE)+VLOOKUP($E816,'Pazaryeri Kartları'!$B$5:$D$24,3,FALSE)*$G816),0)</f>
      </c>
      <c r="J816" s="16">
        <f>IFERROR(IF($C816="",0,VLOOKUP($C816,'Ürün Kartları'!$B$5:$G$154,6,FALSE)*$G816),0)</f>
      </c>
      <c r="K816" s="15"/>
      <c r="L816" s="14"/>
      <c r="M816" s="21">
        <f>IF($C816="","",IF($K816=1,-($J816*0.5)-$L816,$H816-$I816-$J816-$L816))</f>
      </c>
      <c r="N816" s="22">
        <f>IF(OR($C816="",$H816=0),"",$M816/$H816)</f>
      </c>
    </row>
    <row r="817" spans="2:14" x14ac:dyDescent="0.25">
      <c r="B817" s="19"/>
      <c r="C817" s="8"/>
      <c r="D817" s="20">
        <f>IFERROR(IF($C817="","",VLOOKUP($C817,'Ürün Kartları'!$B$5:$C$154,2,FALSE)),"— tanımsız ürün —")</f>
      </c>
      <c r="E817" s="8"/>
      <c r="F817" s="10"/>
      <c r="G817" s="11"/>
      <c r="H817" s="16">
        <f>IF(OR($F817="",$G817=""),0,$F817*$G817)</f>
      </c>
      <c r="I817" s="16">
        <f>IFERROR(IF($E817="",0,$H817*VLOOKUP($E817,'Pazaryeri Kartları'!$B$5:$C$24,2,FALSE)+VLOOKUP($E817,'Pazaryeri Kartları'!$B$5:$D$24,3,FALSE)*$G817),0)</f>
      </c>
      <c r="J817" s="16">
        <f>IFERROR(IF($C817="",0,VLOOKUP($C817,'Ürün Kartları'!$B$5:$G$154,6,FALSE)*$G817),0)</f>
      </c>
      <c r="K817" s="11"/>
      <c r="L817" s="10"/>
      <c r="M817" s="21">
        <f>IF($C817="","",IF($K817=1,-($J817*0.5)-$L817,$H817-$I817-$J817-$L817))</f>
      </c>
      <c r="N817" s="22">
        <f>IF(OR($C817="",$H817=0),"",$M817/$H817)</f>
      </c>
    </row>
    <row r="818" spans="2:14" x14ac:dyDescent="0.25">
      <c r="B818" s="23"/>
      <c r="C818" s="12"/>
      <c r="D818" s="20">
        <f>IFERROR(IF($C818="","",VLOOKUP($C818,'Ürün Kartları'!$B$5:$C$154,2,FALSE)),"— tanımsız ürün —")</f>
      </c>
      <c r="E818" s="12"/>
      <c r="F818" s="14"/>
      <c r="G818" s="15"/>
      <c r="H818" s="16">
        <f>IF(OR($F818="",$G818=""),0,$F818*$G818)</f>
      </c>
      <c r="I818" s="16">
        <f>IFERROR(IF($E818="",0,$H818*VLOOKUP($E818,'Pazaryeri Kartları'!$B$5:$C$24,2,FALSE)+VLOOKUP($E818,'Pazaryeri Kartları'!$B$5:$D$24,3,FALSE)*$G818),0)</f>
      </c>
      <c r="J818" s="16">
        <f>IFERROR(IF($C818="",0,VLOOKUP($C818,'Ürün Kartları'!$B$5:$G$154,6,FALSE)*$G818),0)</f>
      </c>
      <c r="K818" s="15"/>
      <c r="L818" s="14"/>
      <c r="M818" s="21">
        <f>IF($C818="","",IF($K818=1,-($J818*0.5)-$L818,$H818-$I818-$J818-$L818))</f>
      </c>
      <c r="N818" s="22">
        <f>IF(OR($C818="",$H818=0),"",$M818/$H818)</f>
      </c>
    </row>
    <row r="819" spans="2:14" x14ac:dyDescent="0.25">
      <c r="B819" s="19"/>
      <c r="C819" s="8"/>
      <c r="D819" s="20">
        <f>IFERROR(IF($C819="","",VLOOKUP($C819,'Ürün Kartları'!$B$5:$C$154,2,FALSE)),"— tanımsız ürün —")</f>
      </c>
      <c r="E819" s="8"/>
      <c r="F819" s="10"/>
      <c r="G819" s="11"/>
      <c r="H819" s="16">
        <f>IF(OR($F819="",$G819=""),0,$F819*$G819)</f>
      </c>
      <c r="I819" s="16">
        <f>IFERROR(IF($E819="",0,$H819*VLOOKUP($E819,'Pazaryeri Kartları'!$B$5:$C$24,2,FALSE)+VLOOKUP($E819,'Pazaryeri Kartları'!$B$5:$D$24,3,FALSE)*$G819),0)</f>
      </c>
      <c r="J819" s="16">
        <f>IFERROR(IF($C819="",0,VLOOKUP($C819,'Ürün Kartları'!$B$5:$G$154,6,FALSE)*$G819),0)</f>
      </c>
      <c r="K819" s="11"/>
      <c r="L819" s="10"/>
      <c r="M819" s="21">
        <f>IF($C819="","",IF($K819=1,-($J819*0.5)-$L819,$H819-$I819-$J819-$L819))</f>
      </c>
      <c r="N819" s="22">
        <f>IF(OR($C819="",$H819=0),"",$M819/$H819)</f>
      </c>
    </row>
    <row r="820" spans="2:14" x14ac:dyDescent="0.25">
      <c r="B820" s="23"/>
      <c r="C820" s="12"/>
      <c r="D820" s="20">
        <f>IFERROR(IF($C820="","",VLOOKUP($C820,'Ürün Kartları'!$B$5:$C$154,2,FALSE)),"— tanımsız ürün —")</f>
      </c>
      <c r="E820" s="12"/>
      <c r="F820" s="14"/>
      <c r="G820" s="15"/>
      <c r="H820" s="16">
        <f>IF(OR($F820="",$G820=""),0,$F820*$G820)</f>
      </c>
      <c r="I820" s="16">
        <f>IFERROR(IF($E820="",0,$H820*VLOOKUP($E820,'Pazaryeri Kartları'!$B$5:$C$24,2,FALSE)+VLOOKUP($E820,'Pazaryeri Kartları'!$B$5:$D$24,3,FALSE)*$G820),0)</f>
      </c>
      <c r="J820" s="16">
        <f>IFERROR(IF($C820="",0,VLOOKUP($C820,'Ürün Kartları'!$B$5:$G$154,6,FALSE)*$G820),0)</f>
      </c>
      <c r="K820" s="15"/>
      <c r="L820" s="14"/>
      <c r="M820" s="21">
        <f>IF($C820="","",IF($K820=1,-($J820*0.5)-$L820,$H820-$I820-$J820-$L820))</f>
      </c>
      <c r="N820" s="22">
        <f>IF(OR($C820="",$H820=0),"",$M820/$H820)</f>
      </c>
    </row>
    <row r="821" spans="2:14" x14ac:dyDescent="0.25">
      <c r="B821" s="19"/>
      <c r="C821" s="8"/>
      <c r="D821" s="20">
        <f>IFERROR(IF($C821="","",VLOOKUP($C821,'Ürün Kartları'!$B$5:$C$154,2,FALSE)),"— tanımsız ürün —")</f>
      </c>
      <c r="E821" s="8"/>
      <c r="F821" s="10"/>
      <c r="G821" s="11"/>
      <c r="H821" s="16">
        <f>IF(OR($F821="",$G821=""),0,$F821*$G821)</f>
      </c>
      <c r="I821" s="16">
        <f>IFERROR(IF($E821="",0,$H821*VLOOKUP($E821,'Pazaryeri Kartları'!$B$5:$C$24,2,FALSE)+VLOOKUP($E821,'Pazaryeri Kartları'!$B$5:$D$24,3,FALSE)*$G821),0)</f>
      </c>
      <c r="J821" s="16">
        <f>IFERROR(IF($C821="",0,VLOOKUP($C821,'Ürün Kartları'!$B$5:$G$154,6,FALSE)*$G821),0)</f>
      </c>
      <c r="K821" s="11"/>
      <c r="L821" s="10"/>
      <c r="M821" s="21">
        <f>IF($C821="","",IF($K821=1,-($J821*0.5)-$L821,$H821-$I821-$J821-$L821))</f>
      </c>
      <c r="N821" s="22">
        <f>IF(OR($C821="",$H821=0),"",$M821/$H821)</f>
      </c>
    </row>
    <row r="822" spans="2:14" x14ac:dyDescent="0.25">
      <c r="B822" s="23"/>
      <c r="C822" s="12"/>
      <c r="D822" s="20">
        <f>IFERROR(IF($C822="","",VLOOKUP($C822,'Ürün Kartları'!$B$5:$C$154,2,FALSE)),"— tanımsız ürün —")</f>
      </c>
      <c r="E822" s="12"/>
      <c r="F822" s="14"/>
      <c r="G822" s="15"/>
      <c r="H822" s="16">
        <f>IF(OR($F822="",$G822=""),0,$F822*$G822)</f>
      </c>
      <c r="I822" s="16">
        <f>IFERROR(IF($E822="",0,$H822*VLOOKUP($E822,'Pazaryeri Kartları'!$B$5:$C$24,2,FALSE)+VLOOKUP($E822,'Pazaryeri Kartları'!$B$5:$D$24,3,FALSE)*$G822),0)</f>
      </c>
      <c r="J822" s="16">
        <f>IFERROR(IF($C822="",0,VLOOKUP($C822,'Ürün Kartları'!$B$5:$G$154,6,FALSE)*$G822),0)</f>
      </c>
      <c r="K822" s="15"/>
      <c r="L822" s="14"/>
      <c r="M822" s="21">
        <f>IF($C822="","",IF($K822=1,-($J822*0.5)-$L822,$H822-$I822-$J822-$L822))</f>
      </c>
      <c r="N822" s="22">
        <f>IF(OR($C822="",$H822=0),"",$M822/$H822)</f>
      </c>
    </row>
    <row r="823" spans="2:14" x14ac:dyDescent="0.25">
      <c r="B823" s="19"/>
      <c r="C823" s="8"/>
      <c r="D823" s="20">
        <f>IFERROR(IF($C823="","",VLOOKUP($C823,'Ürün Kartları'!$B$5:$C$154,2,FALSE)),"— tanımsız ürün —")</f>
      </c>
      <c r="E823" s="8"/>
      <c r="F823" s="10"/>
      <c r="G823" s="11"/>
      <c r="H823" s="16">
        <f>IF(OR($F823="",$G823=""),0,$F823*$G823)</f>
      </c>
      <c r="I823" s="16">
        <f>IFERROR(IF($E823="",0,$H823*VLOOKUP($E823,'Pazaryeri Kartları'!$B$5:$C$24,2,FALSE)+VLOOKUP($E823,'Pazaryeri Kartları'!$B$5:$D$24,3,FALSE)*$G823),0)</f>
      </c>
      <c r="J823" s="16">
        <f>IFERROR(IF($C823="",0,VLOOKUP($C823,'Ürün Kartları'!$B$5:$G$154,6,FALSE)*$G823),0)</f>
      </c>
      <c r="K823" s="11"/>
      <c r="L823" s="10"/>
      <c r="M823" s="21">
        <f>IF($C823="","",IF($K823=1,-($J823*0.5)-$L823,$H823-$I823-$J823-$L823))</f>
      </c>
      <c r="N823" s="22">
        <f>IF(OR($C823="",$H823=0),"",$M823/$H823)</f>
      </c>
    </row>
    <row r="824" spans="2:14" x14ac:dyDescent="0.25">
      <c r="B824" s="23"/>
      <c r="C824" s="12"/>
      <c r="D824" s="20">
        <f>IFERROR(IF($C824="","",VLOOKUP($C824,'Ürün Kartları'!$B$5:$C$154,2,FALSE)),"— tanımsız ürün —")</f>
      </c>
      <c r="E824" s="12"/>
      <c r="F824" s="14"/>
      <c r="G824" s="15"/>
      <c r="H824" s="16">
        <f>IF(OR($F824="",$G824=""),0,$F824*$G824)</f>
      </c>
      <c r="I824" s="16">
        <f>IFERROR(IF($E824="",0,$H824*VLOOKUP($E824,'Pazaryeri Kartları'!$B$5:$C$24,2,FALSE)+VLOOKUP($E824,'Pazaryeri Kartları'!$B$5:$D$24,3,FALSE)*$G824),0)</f>
      </c>
      <c r="J824" s="16">
        <f>IFERROR(IF($C824="",0,VLOOKUP($C824,'Ürün Kartları'!$B$5:$G$154,6,FALSE)*$G824),0)</f>
      </c>
      <c r="K824" s="15"/>
      <c r="L824" s="14"/>
      <c r="M824" s="21">
        <f>IF($C824="","",IF($K824=1,-($J824*0.5)-$L824,$H824-$I824-$J824-$L824))</f>
      </c>
      <c r="N824" s="22">
        <f>IF(OR($C824="",$H824=0),"",$M824/$H824)</f>
      </c>
    </row>
    <row r="825" spans="2:14" x14ac:dyDescent="0.25">
      <c r="B825" s="19"/>
      <c r="C825" s="8"/>
      <c r="D825" s="20">
        <f>IFERROR(IF($C825="","",VLOOKUP($C825,'Ürün Kartları'!$B$5:$C$154,2,FALSE)),"— tanımsız ürün —")</f>
      </c>
      <c r="E825" s="8"/>
      <c r="F825" s="10"/>
      <c r="G825" s="11"/>
      <c r="H825" s="16">
        <f>IF(OR($F825="",$G825=""),0,$F825*$G825)</f>
      </c>
      <c r="I825" s="16">
        <f>IFERROR(IF($E825="",0,$H825*VLOOKUP($E825,'Pazaryeri Kartları'!$B$5:$C$24,2,FALSE)+VLOOKUP($E825,'Pazaryeri Kartları'!$B$5:$D$24,3,FALSE)*$G825),0)</f>
      </c>
      <c r="J825" s="16">
        <f>IFERROR(IF($C825="",0,VLOOKUP($C825,'Ürün Kartları'!$B$5:$G$154,6,FALSE)*$G825),0)</f>
      </c>
      <c r="K825" s="11"/>
      <c r="L825" s="10"/>
      <c r="M825" s="21">
        <f>IF($C825="","",IF($K825=1,-($J825*0.5)-$L825,$H825-$I825-$J825-$L825))</f>
      </c>
      <c r="N825" s="22">
        <f>IF(OR($C825="",$H825=0),"",$M825/$H825)</f>
      </c>
    </row>
    <row r="826" spans="2:14" x14ac:dyDescent="0.25">
      <c r="B826" s="23"/>
      <c r="C826" s="12"/>
      <c r="D826" s="20">
        <f>IFERROR(IF($C826="","",VLOOKUP($C826,'Ürün Kartları'!$B$5:$C$154,2,FALSE)),"— tanımsız ürün —")</f>
      </c>
      <c r="E826" s="12"/>
      <c r="F826" s="14"/>
      <c r="G826" s="15"/>
      <c r="H826" s="16">
        <f>IF(OR($F826="",$G826=""),0,$F826*$G826)</f>
      </c>
      <c r="I826" s="16">
        <f>IFERROR(IF($E826="",0,$H826*VLOOKUP($E826,'Pazaryeri Kartları'!$B$5:$C$24,2,FALSE)+VLOOKUP($E826,'Pazaryeri Kartları'!$B$5:$D$24,3,FALSE)*$G826),0)</f>
      </c>
      <c r="J826" s="16">
        <f>IFERROR(IF($C826="",0,VLOOKUP($C826,'Ürün Kartları'!$B$5:$G$154,6,FALSE)*$G826),0)</f>
      </c>
      <c r="K826" s="15"/>
      <c r="L826" s="14"/>
      <c r="M826" s="21">
        <f>IF($C826="","",IF($K826=1,-($J826*0.5)-$L826,$H826-$I826-$J826-$L826))</f>
      </c>
      <c r="N826" s="22">
        <f>IF(OR($C826="",$H826=0),"",$M826/$H826)</f>
      </c>
    </row>
    <row r="827" spans="2:14" x14ac:dyDescent="0.25">
      <c r="B827" s="19"/>
      <c r="C827" s="8"/>
      <c r="D827" s="20">
        <f>IFERROR(IF($C827="","",VLOOKUP($C827,'Ürün Kartları'!$B$5:$C$154,2,FALSE)),"— tanımsız ürün —")</f>
      </c>
      <c r="E827" s="8"/>
      <c r="F827" s="10"/>
      <c r="G827" s="11"/>
      <c r="H827" s="16">
        <f>IF(OR($F827="",$G827=""),0,$F827*$G827)</f>
      </c>
      <c r="I827" s="16">
        <f>IFERROR(IF($E827="",0,$H827*VLOOKUP($E827,'Pazaryeri Kartları'!$B$5:$C$24,2,FALSE)+VLOOKUP($E827,'Pazaryeri Kartları'!$B$5:$D$24,3,FALSE)*$G827),0)</f>
      </c>
      <c r="J827" s="16">
        <f>IFERROR(IF($C827="",0,VLOOKUP($C827,'Ürün Kartları'!$B$5:$G$154,6,FALSE)*$G827),0)</f>
      </c>
      <c r="K827" s="11"/>
      <c r="L827" s="10"/>
      <c r="M827" s="21">
        <f>IF($C827="","",IF($K827=1,-($J827*0.5)-$L827,$H827-$I827-$J827-$L827))</f>
      </c>
      <c r="N827" s="22">
        <f>IF(OR($C827="",$H827=0),"",$M827/$H827)</f>
      </c>
    </row>
    <row r="828" spans="2:14" x14ac:dyDescent="0.25">
      <c r="B828" s="23"/>
      <c r="C828" s="12"/>
      <c r="D828" s="20">
        <f>IFERROR(IF($C828="","",VLOOKUP($C828,'Ürün Kartları'!$B$5:$C$154,2,FALSE)),"— tanımsız ürün —")</f>
      </c>
      <c r="E828" s="12"/>
      <c r="F828" s="14"/>
      <c r="G828" s="15"/>
      <c r="H828" s="16">
        <f>IF(OR($F828="",$G828=""),0,$F828*$G828)</f>
      </c>
      <c r="I828" s="16">
        <f>IFERROR(IF($E828="",0,$H828*VLOOKUP($E828,'Pazaryeri Kartları'!$B$5:$C$24,2,FALSE)+VLOOKUP($E828,'Pazaryeri Kartları'!$B$5:$D$24,3,FALSE)*$G828),0)</f>
      </c>
      <c r="J828" s="16">
        <f>IFERROR(IF($C828="",0,VLOOKUP($C828,'Ürün Kartları'!$B$5:$G$154,6,FALSE)*$G828),0)</f>
      </c>
      <c r="K828" s="15"/>
      <c r="L828" s="14"/>
      <c r="M828" s="21">
        <f>IF($C828="","",IF($K828=1,-($J828*0.5)-$L828,$H828-$I828-$J828-$L828))</f>
      </c>
      <c r="N828" s="22">
        <f>IF(OR($C828="",$H828=0),"",$M828/$H828)</f>
      </c>
    </row>
    <row r="829" spans="2:14" x14ac:dyDescent="0.25">
      <c r="B829" s="19"/>
      <c r="C829" s="8"/>
      <c r="D829" s="20">
        <f>IFERROR(IF($C829="","",VLOOKUP($C829,'Ürün Kartları'!$B$5:$C$154,2,FALSE)),"— tanımsız ürün —")</f>
      </c>
      <c r="E829" s="8"/>
      <c r="F829" s="10"/>
      <c r="G829" s="11"/>
      <c r="H829" s="16">
        <f>IF(OR($F829="",$G829=""),0,$F829*$G829)</f>
      </c>
      <c r="I829" s="16">
        <f>IFERROR(IF($E829="",0,$H829*VLOOKUP($E829,'Pazaryeri Kartları'!$B$5:$C$24,2,FALSE)+VLOOKUP($E829,'Pazaryeri Kartları'!$B$5:$D$24,3,FALSE)*$G829),0)</f>
      </c>
      <c r="J829" s="16">
        <f>IFERROR(IF($C829="",0,VLOOKUP($C829,'Ürün Kartları'!$B$5:$G$154,6,FALSE)*$G829),0)</f>
      </c>
      <c r="K829" s="11"/>
      <c r="L829" s="10"/>
      <c r="M829" s="21">
        <f>IF($C829="","",IF($K829=1,-($J829*0.5)-$L829,$H829-$I829-$J829-$L829))</f>
      </c>
      <c r="N829" s="22">
        <f>IF(OR($C829="",$H829=0),"",$M829/$H829)</f>
      </c>
    </row>
    <row r="830" spans="2:14" x14ac:dyDescent="0.25">
      <c r="B830" s="23"/>
      <c r="C830" s="12"/>
      <c r="D830" s="20">
        <f>IFERROR(IF($C830="","",VLOOKUP($C830,'Ürün Kartları'!$B$5:$C$154,2,FALSE)),"— tanımsız ürün —")</f>
      </c>
      <c r="E830" s="12"/>
      <c r="F830" s="14"/>
      <c r="G830" s="15"/>
      <c r="H830" s="16">
        <f>IF(OR($F830="",$G830=""),0,$F830*$G830)</f>
      </c>
      <c r="I830" s="16">
        <f>IFERROR(IF($E830="",0,$H830*VLOOKUP($E830,'Pazaryeri Kartları'!$B$5:$C$24,2,FALSE)+VLOOKUP($E830,'Pazaryeri Kartları'!$B$5:$D$24,3,FALSE)*$G830),0)</f>
      </c>
      <c r="J830" s="16">
        <f>IFERROR(IF($C830="",0,VLOOKUP($C830,'Ürün Kartları'!$B$5:$G$154,6,FALSE)*$G830),0)</f>
      </c>
      <c r="K830" s="15"/>
      <c r="L830" s="14"/>
      <c r="M830" s="21">
        <f>IF($C830="","",IF($K830=1,-($J830*0.5)-$L830,$H830-$I830-$J830-$L830))</f>
      </c>
      <c r="N830" s="22">
        <f>IF(OR($C830="",$H830=0),"",$M830/$H830)</f>
      </c>
    </row>
    <row r="831" spans="2:14" x14ac:dyDescent="0.25">
      <c r="B831" s="19"/>
      <c r="C831" s="8"/>
      <c r="D831" s="20">
        <f>IFERROR(IF($C831="","",VLOOKUP($C831,'Ürün Kartları'!$B$5:$C$154,2,FALSE)),"— tanımsız ürün —")</f>
      </c>
      <c r="E831" s="8"/>
      <c r="F831" s="10"/>
      <c r="G831" s="11"/>
      <c r="H831" s="16">
        <f>IF(OR($F831="",$G831=""),0,$F831*$G831)</f>
      </c>
      <c r="I831" s="16">
        <f>IFERROR(IF($E831="",0,$H831*VLOOKUP($E831,'Pazaryeri Kartları'!$B$5:$C$24,2,FALSE)+VLOOKUP($E831,'Pazaryeri Kartları'!$B$5:$D$24,3,FALSE)*$G831),0)</f>
      </c>
      <c r="J831" s="16">
        <f>IFERROR(IF($C831="",0,VLOOKUP($C831,'Ürün Kartları'!$B$5:$G$154,6,FALSE)*$G831),0)</f>
      </c>
      <c r="K831" s="11"/>
      <c r="L831" s="10"/>
      <c r="M831" s="21">
        <f>IF($C831="","",IF($K831=1,-($J831*0.5)-$L831,$H831-$I831-$J831-$L831))</f>
      </c>
      <c r="N831" s="22">
        <f>IF(OR($C831="",$H831=0),"",$M831/$H831)</f>
      </c>
    </row>
    <row r="832" spans="2:14" x14ac:dyDescent="0.25">
      <c r="B832" s="23"/>
      <c r="C832" s="12"/>
      <c r="D832" s="20">
        <f>IFERROR(IF($C832="","",VLOOKUP($C832,'Ürün Kartları'!$B$5:$C$154,2,FALSE)),"— tanımsız ürün —")</f>
      </c>
      <c r="E832" s="12"/>
      <c r="F832" s="14"/>
      <c r="G832" s="15"/>
      <c r="H832" s="16">
        <f>IF(OR($F832="",$G832=""),0,$F832*$G832)</f>
      </c>
      <c r="I832" s="16">
        <f>IFERROR(IF($E832="",0,$H832*VLOOKUP($E832,'Pazaryeri Kartları'!$B$5:$C$24,2,FALSE)+VLOOKUP($E832,'Pazaryeri Kartları'!$B$5:$D$24,3,FALSE)*$G832),0)</f>
      </c>
      <c r="J832" s="16">
        <f>IFERROR(IF($C832="",0,VLOOKUP($C832,'Ürün Kartları'!$B$5:$G$154,6,FALSE)*$G832),0)</f>
      </c>
      <c r="K832" s="15"/>
      <c r="L832" s="14"/>
      <c r="M832" s="21">
        <f>IF($C832="","",IF($K832=1,-($J832*0.5)-$L832,$H832-$I832-$J832-$L832))</f>
      </c>
      <c r="N832" s="22">
        <f>IF(OR($C832="",$H832=0),"",$M832/$H832)</f>
      </c>
    </row>
    <row r="833" spans="2:14" x14ac:dyDescent="0.25">
      <c r="B833" s="19"/>
      <c r="C833" s="8"/>
      <c r="D833" s="20">
        <f>IFERROR(IF($C833="","",VLOOKUP($C833,'Ürün Kartları'!$B$5:$C$154,2,FALSE)),"— tanımsız ürün —")</f>
      </c>
      <c r="E833" s="8"/>
      <c r="F833" s="10"/>
      <c r="G833" s="11"/>
      <c r="H833" s="16">
        <f>IF(OR($F833="",$G833=""),0,$F833*$G833)</f>
      </c>
      <c r="I833" s="16">
        <f>IFERROR(IF($E833="",0,$H833*VLOOKUP($E833,'Pazaryeri Kartları'!$B$5:$C$24,2,FALSE)+VLOOKUP($E833,'Pazaryeri Kartları'!$B$5:$D$24,3,FALSE)*$G833),0)</f>
      </c>
      <c r="J833" s="16">
        <f>IFERROR(IF($C833="",0,VLOOKUP($C833,'Ürün Kartları'!$B$5:$G$154,6,FALSE)*$G833),0)</f>
      </c>
      <c r="K833" s="11"/>
      <c r="L833" s="10"/>
      <c r="M833" s="21">
        <f>IF($C833="","",IF($K833=1,-($J833*0.5)-$L833,$H833-$I833-$J833-$L833))</f>
      </c>
      <c r="N833" s="22">
        <f>IF(OR($C833="",$H833=0),"",$M833/$H833)</f>
      </c>
    </row>
    <row r="834" spans="2:14" x14ac:dyDescent="0.25">
      <c r="B834" s="23"/>
      <c r="C834" s="12"/>
      <c r="D834" s="20">
        <f>IFERROR(IF($C834="","",VLOOKUP($C834,'Ürün Kartları'!$B$5:$C$154,2,FALSE)),"— tanımsız ürün —")</f>
      </c>
      <c r="E834" s="12"/>
      <c r="F834" s="14"/>
      <c r="G834" s="15"/>
      <c r="H834" s="16">
        <f>IF(OR($F834="",$G834=""),0,$F834*$G834)</f>
      </c>
      <c r="I834" s="16">
        <f>IFERROR(IF($E834="",0,$H834*VLOOKUP($E834,'Pazaryeri Kartları'!$B$5:$C$24,2,FALSE)+VLOOKUP($E834,'Pazaryeri Kartları'!$B$5:$D$24,3,FALSE)*$G834),0)</f>
      </c>
      <c r="J834" s="16">
        <f>IFERROR(IF($C834="",0,VLOOKUP($C834,'Ürün Kartları'!$B$5:$G$154,6,FALSE)*$G834),0)</f>
      </c>
      <c r="K834" s="15"/>
      <c r="L834" s="14"/>
      <c r="M834" s="21">
        <f>IF($C834="","",IF($K834=1,-($J834*0.5)-$L834,$H834-$I834-$J834-$L834))</f>
      </c>
      <c r="N834" s="22">
        <f>IF(OR($C834="",$H834=0),"",$M834/$H834)</f>
      </c>
    </row>
    <row r="835" spans="2:14" x14ac:dyDescent="0.25">
      <c r="B835" s="19"/>
      <c r="C835" s="8"/>
      <c r="D835" s="20">
        <f>IFERROR(IF($C835="","",VLOOKUP($C835,'Ürün Kartları'!$B$5:$C$154,2,FALSE)),"— tanımsız ürün —")</f>
      </c>
      <c r="E835" s="8"/>
      <c r="F835" s="10"/>
      <c r="G835" s="11"/>
      <c r="H835" s="16">
        <f>IF(OR($F835="",$G835=""),0,$F835*$G835)</f>
      </c>
      <c r="I835" s="16">
        <f>IFERROR(IF($E835="",0,$H835*VLOOKUP($E835,'Pazaryeri Kartları'!$B$5:$C$24,2,FALSE)+VLOOKUP($E835,'Pazaryeri Kartları'!$B$5:$D$24,3,FALSE)*$G835),0)</f>
      </c>
      <c r="J835" s="16">
        <f>IFERROR(IF($C835="",0,VLOOKUP($C835,'Ürün Kartları'!$B$5:$G$154,6,FALSE)*$G835),0)</f>
      </c>
      <c r="K835" s="11"/>
      <c r="L835" s="10"/>
      <c r="M835" s="21">
        <f>IF($C835="","",IF($K835=1,-($J835*0.5)-$L835,$H835-$I835-$J835-$L835))</f>
      </c>
      <c r="N835" s="22">
        <f>IF(OR($C835="",$H835=0),"",$M835/$H835)</f>
      </c>
    </row>
    <row r="836" spans="2:14" x14ac:dyDescent="0.25">
      <c r="B836" s="23"/>
      <c r="C836" s="12"/>
      <c r="D836" s="20">
        <f>IFERROR(IF($C836="","",VLOOKUP($C836,'Ürün Kartları'!$B$5:$C$154,2,FALSE)),"— tanımsız ürün —")</f>
      </c>
      <c r="E836" s="12"/>
      <c r="F836" s="14"/>
      <c r="G836" s="15"/>
      <c r="H836" s="16">
        <f>IF(OR($F836="",$G836=""),0,$F836*$G836)</f>
      </c>
      <c r="I836" s="16">
        <f>IFERROR(IF($E836="",0,$H836*VLOOKUP($E836,'Pazaryeri Kartları'!$B$5:$C$24,2,FALSE)+VLOOKUP($E836,'Pazaryeri Kartları'!$B$5:$D$24,3,FALSE)*$G836),0)</f>
      </c>
      <c r="J836" s="16">
        <f>IFERROR(IF($C836="",0,VLOOKUP($C836,'Ürün Kartları'!$B$5:$G$154,6,FALSE)*$G836),0)</f>
      </c>
      <c r="K836" s="15"/>
      <c r="L836" s="14"/>
      <c r="M836" s="21">
        <f>IF($C836="","",IF($K836=1,-($J836*0.5)-$L836,$H836-$I836-$J836-$L836))</f>
      </c>
      <c r="N836" s="22">
        <f>IF(OR($C836="",$H836=0),"",$M836/$H836)</f>
      </c>
    </row>
    <row r="837" spans="2:14" x14ac:dyDescent="0.25">
      <c r="B837" s="19"/>
      <c r="C837" s="8"/>
      <c r="D837" s="20">
        <f>IFERROR(IF($C837="","",VLOOKUP($C837,'Ürün Kartları'!$B$5:$C$154,2,FALSE)),"— tanımsız ürün —")</f>
      </c>
      <c r="E837" s="8"/>
      <c r="F837" s="10"/>
      <c r="G837" s="11"/>
      <c r="H837" s="16">
        <f>IF(OR($F837="",$G837=""),0,$F837*$G837)</f>
      </c>
      <c r="I837" s="16">
        <f>IFERROR(IF($E837="",0,$H837*VLOOKUP($E837,'Pazaryeri Kartları'!$B$5:$C$24,2,FALSE)+VLOOKUP($E837,'Pazaryeri Kartları'!$B$5:$D$24,3,FALSE)*$G837),0)</f>
      </c>
      <c r="J837" s="16">
        <f>IFERROR(IF($C837="",0,VLOOKUP($C837,'Ürün Kartları'!$B$5:$G$154,6,FALSE)*$G837),0)</f>
      </c>
      <c r="K837" s="11"/>
      <c r="L837" s="10"/>
      <c r="M837" s="21">
        <f>IF($C837="","",IF($K837=1,-($J837*0.5)-$L837,$H837-$I837-$J837-$L837))</f>
      </c>
      <c r="N837" s="22">
        <f>IF(OR($C837="",$H837=0),"",$M837/$H837)</f>
      </c>
    </row>
    <row r="838" spans="2:14" x14ac:dyDescent="0.25">
      <c r="B838" s="23"/>
      <c r="C838" s="12"/>
      <c r="D838" s="20">
        <f>IFERROR(IF($C838="","",VLOOKUP($C838,'Ürün Kartları'!$B$5:$C$154,2,FALSE)),"— tanımsız ürün —")</f>
      </c>
      <c r="E838" s="12"/>
      <c r="F838" s="14"/>
      <c r="G838" s="15"/>
      <c r="H838" s="16">
        <f>IF(OR($F838="",$G838=""),0,$F838*$G838)</f>
      </c>
      <c r="I838" s="16">
        <f>IFERROR(IF($E838="",0,$H838*VLOOKUP($E838,'Pazaryeri Kartları'!$B$5:$C$24,2,FALSE)+VLOOKUP($E838,'Pazaryeri Kartları'!$B$5:$D$24,3,FALSE)*$G838),0)</f>
      </c>
      <c r="J838" s="16">
        <f>IFERROR(IF($C838="",0,VLOOKUP($C838,'Ürün Kartları'!$B$5:$G$154,6,FALSE)*$G838),0)</f>
      </c>
      <c r="K838" s="15"/>
      <c r="L838" s="14"/>
      <c r="M838" s="21">
        <f>IF($C838="","",IF($K838=1,-($J838*0.5)-$L838,$H838-$I838-$J838-$L838))</f>
      </c>
      <c r="N838" s="22">
        <f>IF(OR($C838="",$H838=0),"",$M838/$H838)</f>
      </c>
    </row>
    <row r="839" spans="2:14" x14ac:dyDescent="0.25">
      <c r="B839" s="19"/>
      <c r="C839" s="8"/>
      <c r="D839" s="20">
        <f>IFERROR(IF($C839="","",VLOOKUP($C839,'Ürün Kartları'!$B$5:$C$154,2,FALSE)),"— tanımsız ürün —")</f>
      </c>
      <c r="E839" s="8"/>
      <c r="F839" s="10"/>
      <c r="G839" s="11"/>
      <c r="H839" s="16">
        <f>IF(OR($F839="",$G839=""),0,$F839*$G839)</f>
      </c>
      <c r="I839" s="16">
        <f>IFERROR(IF($E839="",0,$H839*VLOOKUP($E839,'Pazaryeri Kartları'!$B$5:$C$24,2,FALSE)+VLOOKUP($E839,'Pazaryeri Kartları'!$B$5:$D$24,3,FALSE)*$G839),0)</f>
      </c>
      <c r="J839" s="16">
        <f>IFERROR(IF($C839="",0,VLOOKUP($C839,'Ürün Kartları'!$B$5:$G$154,6,FALSE)*$G839),0)</f>
      </c>
      <c r="K839" s="11"/>
      <c r="L839" s="10"/>
      <c r="M839" s="21">
        <f>IF($C839="","",IF($K839=1,-($J839*0.5)-$L839,$H839-$I839-$J839-$L839))</f>
      </c>
      <c r="N839" s="22">
        <f>IF(OR($C839="",$H839=0),"",$M839/$H839)</f>
      </c>
    </row>
    <row r="840" spans="2:14" x14ac:dyDescent="0.25">
      <c r="B840" s="23"/>
      <c r="C840" s="12"/>
      <c r="D840" s="20">
        <f>IFERROR(IF($C840="","",VLOOKUP($C840,'Ürün Kartları'!$B$5:$C$154,2,FALSE)),"— tanımsız ürün —")</f>
      </c>
      <c r="E840" s="12"/>
      <c r="F840" s="14"/>
      <c r="G840" s="15"/>
      <c r="H840" s="16">
        <f>IF(OR($F840="",$G840=""),0,$F840*$G840)</f>
      </c>
      <c r="I840" s="16">
        <f>IFERROR(IF($E840="",0,$H840*VLOOKUP($E840,'Pazaryeri Kartları'!$B$5:$C$24,2,FALSE)+VLOOKUP($E840,'Pazaryeri Kartları'!$B$5:$D$24,3,FALSE)*$G840),0)</f>
      </c>
      <c r="J840" s="16">
        <f>IFERROR(IF($C840="",0,VLOOKUP($C840,'Ürün Kartları'!$B$5:$G$154,6,FALSE)*$G840),0)</f>
      </c>
      <c r="K840" s="15"/>
      <c r="L840" s="14"/>
      <c r="M840" s="21">
        <f>IF($C840="","",IF($K840=1,-($J840*0.5)-$L840,$H840-$I840-$J840-$L840))</f>
      </c>
      <c r="N840" s="22">
        <f>IF(OR($C840="",$H840=0),"",$M840/$H840)</f>
      </c>
    </row>
    <row r="841" spans="2:14" x14ac:dyDescent="0.25">
      <c r="B841" s="19"/>
      <c r="C841" s="8"/>
      <c r="D841" s="20">
        <f>IFERROR(IF($C841="","",VLOOKUP($C841,'Ürün Kartları'!$B$5:$C$154,2,FALSE)),"— tanımsız ürün —")</f>
      </c>
      <c r="E841" s="8"/>
      <c r="F841" s="10"/>
      <c r="G841" s="11"/>
      <c r="H841" s="16">
        <f>IF(OR($F841="",$G841=""),0,$F841*$G841)</f>
      </c>
      <c r="I841" s="16">
        <f>IFERROR(IF($E841="",0,$H841*VLOOKUP($E841,'Pazaryeri Kartları'!$B$5:$C$24,2,FALSE)+VLOOKUP($E841,'Pazaryeri Kartları'!$B$5:$D$24,3,FALSE)*$G841),0)</f>
      </c>
      <c r="J841" s="16">
        <f>IFERROR(IF($C841="",0,VLOOKUP($C841,'Ürün Kartları'!$B$5:$G$154,6,FALSE)*$G841),0)</f>
      </c>
      <c r="K841" s="11"/>
      <c r="L841" s="10"/>
      <c r="M841" s="21">
        <f>IF($C841="","",IF($K841=1,-($J841*0.5)-$L841,$H841-$I841-$J841-$L841))</f>
      </c>
      <c r="N841" s="22">
        <f>IF(OR($C841="",$H841=0),"",$M841/$H841)</f>
      </c>
    </row>
    <row r="842" spans="2:14" x14ac:dyDescent="0.25">
      <c r="B842" s="23"/>
      <c r="C842" s="12"/>
      <c r="D842" s="20">
        <f>IFERROR(IF($C842="","",VLOOKUP($C842,'Ürün Kartları'!$B$5:$C$154,2,FALSE)),"— tanımsız ürün —")</f>
      </c>
      <c r="E842" s="12"/>
      <c r="F842" s="14"/>
      <c r="G842" s="15"/>
      <c r="H842" s="16">
        <f>IF(OR($F842="",$G842=""),0,$F842*$G842)</f>
      </c>
      <c r="I842" s="16">
        <f>IFERROR(IF($E842="",0,$H842*VLOOKUP($E842,'Pazaryeri Kartları'!$B$5:$C$24,2,FALSE)+VLOOKUP($E842,'Pazaryeri Kartları'!$B$5:$D$24,3,FALSE)*$G842),0)</f>
      </c>
      <c r="J842" s="16">
        <f>IFERROR(IF($C842="",0,VLOOKUP($C842,'Ürün Kartları'!$B$5:$G$154,6,FALSE)*$G842),0)</f>
      </c>
      <c r="K842" s="15"/>
      <c r="L842" s="14"/>
      <c r="M842" s="21">
        <f>IF($C842="","",IF($K842=1,-($J842*0.5)-$L842,$H842-$I842-$J842-$L842))</f>
      </c>
      <c r="N842" s="22">
        <f>IF(OR($C842="",$H842=0),"",$M842/$H842)</f>
      </c>
    </row>
    <row r="843" spans="2:14" x14ac:dyDescent="0.25">
      <c r="B843" s="19"/>
      <c r="C843" s="8"/>
      <c r="D843" s="20">
        <f>IFERROR(IF($C843="","",VLOOKUP($C843,'Ürün Kartları'!$B$5:$C$154,2,FALSE)),"— tanımsız ürün —")</f>
      </c>
      <c r="E843" s="8"/>
      <c r="F843" s="10"/>
      <c r="G843" s="11"/>
      <c r="H843" s="16">
        <f>IF(OR($F843="",$G843=""),0,$F843*$G843)</f>
      </c>
      <c r="I843" s="16">
        <f>IFERROR(IF($E843="",0,$H843*VLOOKUP($E843,'Pazaryeri Kartları'!$B$5:$C$24,2,FALSE)+VLOOKUP($E843,'Pazaryeri Kartları'!$B$5:$D$24,3,FALSE)*$G843),0)</f>
      </c>
      <c r="J843" s="16">
        <f>IFERROR(IF($C843="",0,VLOOKUP($C843,'Ürün Kartları'!$B$5:$G$154,6,FALSE)*$G843),0)</f>
      </c>
      <c r="K843" s="11"/>
      <c r="L843" s="10"/>
      <c r="M843" s="21">
        <f>IF($C843="","",IF($K843=1,-($J843*0.5)-$L843,$H843-$I843-$J843-$L843))</f>
      </c>
      <c r="N843" s="22">
        <f>IF(OR($C843="",$H843=0),"",$M843/$H843)</f>
      </c>
    </row>
    <row r="844" spans="2:14" x14ac:dyDescent="0.25">
      <c r="B844" s="23"/>
      <c r="C844" s="12"/>
      <c r="D844" s="20">
        <f>IFERROR(IF($C844="","",VLOOKUP($C844,'Ürün Kartları'!$B$5:$C$154,2,FALSE)),"— tanımsız ürün —")</f>
      </c>
      <c r="E844" s="12"/>
      <c r="F844" s="14"/>
      <c r="G844" s="15"/>
      <c r="H844" s="16">
        <f>IF(OR($F844="",$G844=""),0,$F844*$G844)</f>
      </c>
      <c r="I844" s="16">
        <f>IFERROR(IF($E844="",0,$H844*VLOOKUP($E844,'Pazaryeri Kartları'!$B$5:$C$24,2,FALSE)+VLOOKUP($E844,'Pazaryeri Kartları'!$B$5:$D$24,3,FALSE)*$G844),0)</f>
      </c>
      <c r="J844" s="16">
        <f>IFERROR(IF($C844="",0,VLOOKUP($C844,'Ürün Kartları'!$B$5:$G$154,6,FALSE)*$G844),0)</f>
      </c>
      <c r="K844" s="15"/>
      <c r="L844" s="14"/>
      <c r="M844" s="21">
        <f>IF($C844="","",IF($K844=1,-($J844*0.5)-$L844,$H844-$I844-$J844-$L844))</f>
      </c>
      <c r="N844" s="22">
        <f>IF(OR($C844="",$H844=0),"",$M844/$H844)</f>
      </c>
    </row>
    <row r="845" spans="2:14" x14ac:dyDescent="0.25">
      <c r="B845" s="19"/>
      <c r="C845" s="8"/>
      <c r="D845" s="20">
        <f>IFERROR(IF($C845="","",VLOOKUP($C845,'Ürün Kartları'!$B$5:$C$154,2,FALSE)),"— tanımsız ürün —")</f>
      </c>
      <c r="E845" s="8"/>
      <c r="F845" s="10"/>
      <c r="G845" s="11"/>
      <c r="H845" s="16">
        <f>IF(OR($F845="",$G845=""),0,$F845*$G845)</f>
      </c>
      <c r="I845" s="16">
        <f>IFERROR(IF($E845="",0,$H845*VLOOKUP($E845,'Pazaryeri Kartları'!$B$5:$C$24,2,FALSE)+VLOOKUP($E845,'Pazaryeri Kartları'!$B$5:$D$24,3,FALSE)*$G845),0)</f>
      </c>
      <c r="J845" s="16">
        <f>IFERROR(IF($C845="",0,VLOOKUP($C845,'Ürün Kartları'!$B$5:$G$154,6,FALSE)*$G845),0)</f>
      </c>
      <c r="K845" s="11"/>
      <c r="L845" s="10"/>
      <c r="M845" s="21">
        <f>IF($C845="","",IF($K845=1,-($J845*0.5)-$L845,$H845-$I845-$J845-$L845))</f>
      </c>
      <c r="N845" s="22">
        <f>IF(OR($C845="",$H845=0),"",$M845/$H845)</f>
      </c>
    </row>
    <row r="846" spans="2:14" x14ac:dyDescent="0.25">
      <c r="B846" s="23"/>
      <c r="C846" s="12"/>
      <c r="D846" s="20">
        <f>IFERROR(IF($C846="","",VLOOKUP($C846,'Ürün Kartları'!$B$5:$C$154,2,FALSE)),"— tanımsız ürün —")</f>
      </c>
      <c r="E846" s="12"/>
      <c r="F846" s="14"/>
      <c r="G846" s="15"/>
      <c r="H846" s="16">
        <f>IF(OR($F846="",$G846=""),0,$F846*$G846)</f>
      </c>
      <c r="I846" s="16">
        <f>IFERROR(IF($E846="",0,$H846*VLOOKUP($E846,'Pazaryeri Kartları'!$B$5:$C$24,2,FALSE)+VLOOKUP($E846,'Pazaryeri Kartları'!$B$5:$D$24,3,FALSE)*$G846),0)</f>
      </c>
      <c r="J846" s="16">
        <f>IFERROR(IF($C846="",0,VLOOKUP($C846,'Ürün Kartları'!$B$5:$G$154,6,FALSE)*$G846),0)</f>
      </c>
      <c r="K846" s="15"/>
      <c r="L846" s="14"/>
      <c r="M846" s="21">
        <f>IF($C846="","",IF($K846=1,-($J846*0.5)-$L846,$H846-$I846-$J846-$L846))</f>
      </c>
      <c r="N846" s="22">
        <f>IF(OR($C846="",$H846=0),"",$M846/$H846)</f>
      </c>
    </row>
    <row r="847" spans="2:14" x14ac:dyDescent="0.25">
      <c r="B847" s="19"/>
      <c r="C847" s="8"/>
      <c r="D847" s="20">
        <f>IFERROR(IF($C847="","",VLOOKUP($C847,'Ürün Kartları'!$B$5:$C$154,2,FALSE)),"— tanımsız ürün —")</f>
      </c>
      <c r="E847" s="8"/>
      <c r="F847" s="10"/>
      <c r="G847" s="11"/>
      <c r="H847" s="16">
        <f>IF(OR($F847="",$G847=""),0,$F847*$G847)</f>
      </c>
      <c r="I847" s="16">
        <f>IFERROR(IF($E847="",0,$H847*VLOOKUP($E847,'Pazaryeri Kartları'!$B$5:$C$24,2,FALSE)+VLOOKUP($E847,'Pazaryeri Kartları'!$B$5:$D$24,3,FALSE)*$G847),0)</f>
      </c>
      <c r="J847" s="16">
        <f>IFERROR(IF($C847="",0,VLOOKUP($C847,'Ürün Kartları'!$B$5:$G$154,6,FALSE)*$G847),0)</f>
      </c>
      <c r="K847" s="11"/>
      <c r="L847" s="10"/>
      <c r="M847" s="21">
        <f>IF($C847="","",IF($K847=1,-($J847*0.5)-$L847,$H847-$I847-$J847-$L847))</f>
      </c>
      <c r="N847" s="22">
        <f>IF(OR($C847="",$H847=0),"",$M847/$H847)</f>
      </c>
    </row>
    <row r="848" spans="2:14" x14ac:dyDescent="0.25">
      <c r="B848" s="23"/>
      <c r="C848" s="12"/>
      <c r="D848" s="20">
        <f>IFERROR(IF($C848="","",VLOOKUP($C848,'Ürün Kartları'!$B$5:$C$154,2,FALSE)),"— tanımsız ürün —")</f>
      </c>
      <c r="E848" s="12"/>
      <c r="F848" s="14"/>
      <c r="G848" s="15"/>
      <c r="H848" s="16">
        <f>IF(OR($F848="",$G848=""),0,$F848*$G848)</f>
      </c>
      <c r="I848" s="16">
        <f>IFERROR(IF($E848="",0,$H848*VLOOKUP($E848,'Pazaryeri Kartları'!$B$5:$C$24,2,FALSE)+VLOOKUP($E848,'Pazaryeri Kartları'!$B$5:$D$24,3,FALSE)*$G848),0)</f>
      </c>
      <c r="J848" s="16">
        <f>IFERROR(IF($C848="",0,VLOOKUP($C848,'Ürün Kartları'!$B$5:$G$154,6,FALSE)*$G848),0)</f>
      </c>
      <c r="K848" s="15"/>
      <c r="L848" s="14"/>
      <c r="M848" s="21">
        <f>IF($C848="","",IF($K848=1,-($J848*0.5)-$L848,$H848-$I848-$J848-$L848))</f>
      </c>
      <c r="N848" s="22">
        <f>IF(OR($C848="",$H848=0),"",$M848/$H848)</f>
      </c>
    </row>
    <row r="849" spans="2:14" x14ac:dyDescent="0.25">
      <c r="B849" s="19"/>
      <c r="C849" s="8"/>
      <c r="D849" s="20">
        <f>IFERROR(IF($C849="","",VLOOKUP($C849,'Ürün Kartları'!$B$5:$C$154,2,FALSE)),"— tanımsız ürün —")</f>
      </c>
      <c r="E849" s="8"/>
      <c r="F849" s="10"/>
      <c r="G849" s="11"/>
      <c r="H849" s="16">
        <f>IF(OR($F849="",$G849=""),0,$F849*$G849)</f>
      </c>
      <c r="I849" s="16">
        <f>IFERROR(IF($E849="",0,$H849*VLOOKUP($E849,'Pazaryeri Kartları'!$B$5:$C$24,2,FALSE)+VLOOKUP($E849,'Pazaryeri Kartları'!$B$5:$D$24,3,FALSE)*$G849),0)</f>
      </c>
      <c r="J849" s="16">
        <f>IFERROR(IF($C849="",0,VLOOKUP($C849,'Ürün Kartları'!$B$5:$G$154,6,FALSE)*$G849),0)</f>
      </c>
      <c r="K849" s="11"/>
      <c r="L849" s="10"/>
      <c r="M849" s="21">
        <f>IF($C849="","",IF($K849=1,-($J849*0.5)-$L849,$H849-$I849-$J849-$L849))</f>
      </c>
      <c r="N849" s="22">
        <f>IF(OR($C849="",$H849=0),"",$M849/$H849)</f>
      </c>
    </row>
    <row r="850" spans="2:14" x14ac:dyDescent="0.25">
      <c r="B850" s="23"/>
      <c r="C850" s="12"/>
      <c r="D850" s="20">
        <f>IFERROR(IF($C850="","",VLOOKUP($C850,'Ürün Kartları'!$B$5:$C$154,2,FALSE)),"— tanımsız ürün —")</f>
      </c>
      <c r="E850" s="12"/>
      <c r="F850" s="14"/>
      <c r="G850" s="15"/>
      <c r="H850" s="16">
        <f>IF(OR($F850="",$G850=""),0,$F850*$G850)</f>
      </c>
      <c r="I850" s="16">
        <f>IFERROR(IF($E850="",0,$H850*VLOOKUP($E850,'Pazaryeri Kartları'!$B$5:$C$24,2,FALSE)+VLOOKUP($E850,'Pazaryeri Kartları'!$B$5:$D$24,3,FALSE)*$G850),0)</f>
      </c>
      <c r="J850" s="16">
        <f>IFERROR(IF($C850="",0,VLOOKUP($C850,'Ürün Kartları'!$B$5:$G$154,6,FALSE)*$G850),0)</f>
      </c>
      <c r="K850" s="15"/>
      <c r="L850" s="14"/>
      <c r="M850" s="21">
        <f>IF($C850="","",IF($K850=1,-($J850*0.5)-$L850,$H850-$I850-$J850-$L850))</f>
      </c>
      <c r="N850" s="22">
        <f>IF(OR($C850="",$H850=0),"",$M850/$H850)</f>
      </c>
    </row>
    <row r="851" spans="2:14" x14ac:dyDescent="0.25">
      <c r="B851" s="19"/>
      <c r="C851" s="8"/>
      <c r="D851" s="20">
        <f>IFERROR(IF($C851="","",VLOOKUP($C851,'Ürün Kartları'!$B$5:$C$154,2,FALSE)),"— tanımsız ürün —")</f>
      </c>
      <c r="E851" s="8"/>
      <c r="F851" s="10"/>
      <c r="G851" s="11"/>
      <c r="H851" s="16">
        <f>IF(OR($F851="",$G851=""),0,$F851*$G851)</f>
      </c>
      <c r="I851" s="16">
        <f>IFERROR(IF($E851="",0,$H851*VLOOKUP($E851,'Pazaryeri Kartları'!$B$5:$C$24,2,FALSE)+VLOOKUP($E851,'Pazaryeri Kartları'!$B$5:$D$24,3,FALSE)*$G851),0)</f>
      </c>
      <c r="J851" s="16">
        <f>IFERROR(IF($C851="",0,VLOOKUP($C851,'Ürün Kartları'!$B$5:$G$154,6,FALSE)*$G851),0)</f>
      </c>
      <c r="K851" s="11"/>
      <c r="L851" s="10"/>
      <c r="M851" s="21">
        <f>IF($C851="","",IF($K851=1,-($J851*0.5)-$L851,$H851-$I851-$J851-$L851))</f>
      </c>
      <c r="N851" s="22">
        <f>IF(OR($C851="",$H851=0),"",$M851/$H851)</f>
      </c>
    </row>
    <row r="852" spans="2:14" x14ac:dyDescent="0.25">
      <c r="B852" s="23"/>
      <c r="C852" s="12"/>
      <c r="D852" s="20">
        <f>IFERROR(IF($C852="","",VLOOKUP($C852,'Ürün Kartları'!$B$5:$C$154,2,FALSE)),"— tanımsız ürün —")</f>
      </c>
      <c r="E852" s="12"/>
      <c r="F852" s="14"/>
      <c r="G852" s="15"/>
      <c r="H852" s="16">
        <f>IF(OR($F852="",$G852=""),0,$F852*$G852)</f>
      </c>
      <c r="I852" s="16">
        <f>IFERROR(IF($E852="",0,$H852*VLOOKUP($E852,'Pazaryeri Kartları'!$B$5:$C$24,2,FALSE)+VLOOKUP($E852,'Pazaryeri Kartları'!$B$5:$D$24,3,FALSE)*$G852),0)</f>
      </c>
      <c r="J852" s="16">
        <f>IFERROR(IF($C852="",0,VLOOKUP($C852,'Ürün Kartları'!$B$5:$G$154,6,FALSE)*$G852),0)</f>
      </c>
      <c r="K852" s="15"/>
      <c r="L852" s="14"/>
      <c r="M852" s="21">
        <f>IF($C852="","",IF($K852=1,-($J852*0.5)-$L852,$H852-$I852-$J852-$L852))</f>
      </c>
      <c r="N852" s="22">
        <f>IF(OR($C852="",$H852=0),"",$M852/$H852)</f>
      </c>
    </row>
    <row r="853" spans="2:14" x14ac:dyDescent="0.25">
      <c r="B853" s="19"/>
      <c r="C853" s="8"/>
      <c r="D853" s="20">
        <f>IFERROR(IF($C853="","",VLOOKUP($C853,'Ürün Kartları'!$B$5:$C$154,2,FALSE)),"— tanımsız ürün —")</f>
      </c>
      <c r="E853" s="8"/>
      <c r="F853" s="10"/>
      <c r="G853" s="11"/>
      <c r="H853" s="16">
        <f>IF(OR($F853="",$G853=""),0,$F853*$G853)</f>
      </c>
      <c r="I853" s="16">
        <f>IFERROR(IF($E853="",0,$H853*VLOOKUP($E853,'Pazaryeri Kartları'!$B$5:$C$24,2,FALSE)+VLOOKUP($E853,'Pazaryeri Kartları'!$B$5:$D$24,3,FALSE)*$G853),0)</f>
      </c>
      <c r="J853" s="16">
        <f>IFERROR(IF($C853="",0,VLOOKUP($C853,'Ürün Kartları'!$B$5:$G$154,6,FALSE)*$G853),0)</f>
      </c>
      <c r="K853" s="11"/>
      <c r="L853" s="10"/>
      <c r="M853" s="21">
        <f>IF($C853="","",IF($K853=1,-($J853*0.5)-$L853,$H853-$I853-$J853-$L853))</f>
      </c>
      <c r="N853" s="22">
        <f>IF(OR($C853="",$H853=0),"",$M853/$H853)</f>
      </c>
    </row>
    <row r="854" spans="2:14" x14ac:dyDescent="0.25">
      <c r="B854" s="23"/>
      <c r="C854" s="12"/>
      <c r="D854" s="20">
        <f>IFERROR(IF($C854="","",VLOOKUP($C854,'Ürün Kartları'!$B$5:$C$154,2,FALSE)),"— tanımsız ürün —")</f>
      </c>
      <c r="E854" s="12"/>
      <c r="F854" s="14"/>
      <c r="G854" s="15"/>
      <c r="H854" s="16">
        <f>IF(OR($F854="",$G854=""),0,$F854*$G854)</f>
      </c>
      <c r="I854" s="16">
        <f>IFERROR(IF($E854="",0,$H854*VLOOKUP($E854,'Pazaryeri Kartları'!$B$5:$C$24,2,FALSE)+VLOOKUP($E854,'Pazaryeri Kartları'!$B$5:$D$24,3,FALSE)*$G854),0)</f>
      </c>
      <c r="J854" s="16">
        <f>IFERROR(IF($C854="",0,VLOOKUP($C854,'Ürün Kartları'!$B$5:$G$154,6,FALSE)*$G854),0)</f>
      </c>
      <c r="K854" s="15"/>
      <c r="L854" s="14"/>
      <c r="M854" s="21">
        <f>IF($C854="","",IF($K854=1,-($J854*0.5)-$L854,$H854-$I854-$J854-$L854))</f>
      </c>
      <c r="N854" s="22">
        <f>IF(OR($C854="",$H854=0),"",$M854/$H854)</f>
      </c>
    </row>
    <row r="855" spans="2:14" x14ac:dyDescent="0.25">
      <c r="B855" s="19"/>
      <c r="C855" s="8"/>
      <c r="D855" s="20">
        <f>IFERROR(IF($C855="","",VLOOKUP($C855,'Ürün Kartları'!$B$5:$C$154,2,FALSE)),"— tanımsız ürün —")</f>
      </c>
      <c r="E855" s="8"/>
      <c r="F855" s="10"/>
      <c r="G855" s="11"/>
      <c r="H855" s="16">
        <f>IF(OR($F855="",$G855=""),0,$F855*$G855)</f>
      </c>
      <c r="I855" s="16">
        <f>IFERROR(IF($E855="",0,$H855*VLOOKUP($E855,'Pazaryeri Kartları'!$B$5:$C$24,2,FALSE)+VLOOKUP($E855,'Pazaryeri Kartları'!$B$5:$D$24,3,FALSE)*$G855),0)</f>
      </c>
      <c r="J855" s="16">
        <f>IFERROR(IF($C855="",0,VLOOKUP($C855,'Ürün Kartları'!$B$5:$G$154,6,FALSE)*$G855),0)</f>
      </c>
      <c r="K855" s="11"/>
      <c r="L855" s="10"/>
      <c r="M855" s="21">
        <f>IF($C855="","",IF($K855=1,-($J855*0.5)-$L855,$H855-$I855-$J855-$L855))</f>
      </c>
      <c r="N855" s="22">
        <f>IF(OR($C855="",$H855=0),"",$M855/$H855)</f>
      </c>
    </row>
    <row r="856" spans="2:14" x14ac:dyDescent="0.25">
      <c r="B856" s="23"/>
      <c r="C856" s="12"/>
      <c r="D856" s="20">
        <f>IFERROR(IF($C856="","",VLOOKUP($C856,'Ürün Kartları'!$B$5:$C$154,2,FALSE)),"— tanımsız ürün —")</f>
      </c>
      <c r="E856" s="12"/>
      <c r="F856" s="14"/>
      <c r="G856" s="15"/>
      <c r="H856" s="16">
        <f>IF(OR($F856="",$G856=""),0,$F856*$G856)</f>
      </c>
      <c r="I856" s="16">
        <f>IFERROR(IF($E856="",0,$H856*VLOOKUP($E856,'Pazaryeri Kartları'!$B$5:$C$24,2,FALSE)+VLOOKUP($E856,'Pazaryeri Kartları'!$B$5:$D$24,3,FALSE)*$G856),0)</f>
      </c>
      <c r="J856" s="16">
        <f>IFERROR(IF($C856="",0,VLOOKUP($C856,'Ürün Kartları'!$B$5:$G$154,6,FALSE)*$G856),0)</f>
      </c>
      <c r="K856" s="15"/>
      <c r="L856" s="14"/>
      <c r="M856" s="21">
        <f>IF($C856="","",IF($K856=1,-($J856*0.5)-$L856,$H856-$I856-$J856-$L856))</f>
      </c>
      <c r="N856" s="22">
        <f>IF(OR($C856="",$H856=0),"",$M856/$H856)</f>
      </c>
    </row>
    <row r="857" spans="2:14" x14ac:dyDescent="0.25">
      <c r="B857" s="19"/>
      <c r="C857" s="8"/>
      <c r="D857" s="20">
        <f>IFERROR(IF($C857="","",VLOOKUP($C857,'Ürün Kartları'!$B$5:$C$154,2,FALSE)),"— tanımsız ürün —")</f>
      </c>
      <c r="E857" s="8"/>
      <c r="F857" s="10"/>
      <c r="G857" s="11"/>
      <c r="H857" s="16">
        <f>IF(OR($F857="",$G857=""),0,$F857*$G857)</f>
      </c>
      <c r="I857" s="16">
        <f>IFERROR(IF($E857="",0,$H857*VLOOKUP($E857,'Pazaryeri Kartları'!$B$5:$C$24,2,FALSE)+VLOOKUP($E857,'Pazaryeri Kartları'!$B$5:$D$24,3,FALSE)*$G857),0)</f>
      </c>
      <c r="J857" s="16">
        <f>IFERROR(IF($C857="",0,VLOOKUP($C857,'Ürün Kartları'!$B$5:$G$154,6,FALSE)*$G857),0)</f>
      </c>
      <c r="K857" s="11"/>
      <c r="L857" s="10"/>
      <c r="M857" s="21">
        <f>IF($C857="","",IF($K857=1,-($J857*0.5)-$L857,$H857-$I857-$J857-$L857))</f>
      </c>
      <c r="N857" s="22">
        <f>IF(OR($C857="",$H857=0),"",$M857/$H857)</f>
      </c>
    </row>
    <row r="858" spans="2:14" x14ac:dyDescent="0.25">
      <c r="B858" s="23"/>
      <c r="C858" s="12"/>
      <c r="D858" s="20">
        <f>IFERROR(IF($C858="","",VLOOKUP($C858,'Ürün Kartları'!$B$5:$C$154,2,FALSE)),"— tanımsız ürün —")</f>
      </c>
      <c r="E858" s="12"/>
      <c r="F858" s="14"/>
      <c r="G858" s="15"/>
      <c r="H858" s="16">
        <f>IF(OR($F858="",$G858=""),0,$F858*$G858)</f>
      </c>
      <c r="I858" s="16">
        <f>IFERROR(IF($E858="",0,$H858*VLOOKUP($E858,'Pazaryeri Kartları'!$B$5:$C$24,2,FALSE)+VLOOKUP($E858,'Pazaryeri Kartları'!$B$5:$D$24,3,FALSE)*$G858),0)</f>
      </c>
      <c r="J858" s="16">
        <f>IFERROR(IF($C858="",0,VLOOKUP($C858,'Ürün Kartları'!$B$5:$G$154,6,FALSE)*$G858),0)</f>
      </c>
      <c r="K858" s="15"/>
      <c r="L858" s="14"/>
      <c r="M858" s="21">
        <f>IF($C858="","",IF($K858=1,-($J858*0.5)-$L858,$H858-$I858-$J858-$L858))</f>
      </c>
      <c r="N858" s="22">
        <f>IF(OR($C858="",$H858=0),"",$M858/$H858)</f>
      </c>
    </row>
    <row r="859" spans="2:14" x14ac:dyDescent="0.25">
      <c r="B859" s="19"/>
      <c r="C859" s="8"/>
      <c r="D859" s="20">
        <f>IFERROR(IF($C859="","",VLOOKUP($C859,'Ürün Kartları'!$B$5:$C$154,2,FALSE)),"— tanımsız ürün —")</f>
      </c>
      <c r="E859" s="8"/>
      <c r="F859" s="10"/>
      <c r="G859" s="11"/>
      <c r="H859" s="16">
        <f>IF(OR($F859="",$G859=""),0,$F859*$G859)</f>
      </c>
      <c r="I859" s="16">
        <f>IFERROR(IF($E859="",0,$H859*VLOOKUP($E859,'Pazaryeri Kartları'!$B$5:$C$24,2,FALSE)+VLOOKUP($E859,'Pazaryeri Kartları'!$B$5:$D$24,3,FALSE)*$G859),0)</f>
      </c>
      <c r="J859" s="16">
        <f>IFERROR(IF($C859="",0,VLOOKUP($C859,'Ürün Kartları'!$B$5:$G$154,6,FALSE)*$G859),0)</f>
      </c>
      <c r="K859" s="11"/>
      <c r="L859" s="10"/>
      <c r="M859" s="21">
        <f>IF($C859="","",IF($K859=1,-($J859*0.5)-$L859,$H859-$I859-$J859-$L859))</f>
      </c>
      <c r="N859" s="22">
        <f>IF(OR($C859="",$H859=0),"",$M859/$H859)</f>
      </c>
    </row>
    <row r="860" spans="2:14" x14ac:dyDescent="0.25">
      <c r="B860" s="23"/>
      <c r="C860" s="12"/>
      <c r="D860" s="20">
        <f>IFERROR(IF($C860="","",VLOOKUP($C860,'Ürün Kartları'!$B$5:$C$154,2,FALSE)),"— tanımsız ürün —")</f>
      </c>
      <c r="E860" s="12"/>
      <c r="F860" s="14"/>
      <c r="G860" s="15"/>
      <c r="H860" s="16">
        <f>IF(OR($F860="",$G860=""),0,$F860*$G860)</f>
      </c>
      <c r="I860" s="16">
        <f>IFERROR(IF($E860="",0,$H860*VLOOKUP($E860,'Pazaryeri Kartları'!$B$5:$C$24,2,FALSE)+VLOOKUP($E860,'Pazaryeri Kartları'!$B$5:$D$24,3,FALSE)*$G860),0)</f>
      </c>
      <c r="J860" s="16">
        <f>IFERROR(IF($C860="",0,VLOOKUP($C860,'Ürün Kartları'!$B$5:$G$154,6,FALSE)*$G860),0)</f>
      </c>
      <c r="K860" s="15"/>
      <c r="L860" s="14"/>
      <c r="M860" s="21">
        <f>IF($C860="","",IF($K860=1,-($J860*0.5)-$L860,$H860-$I860-$J860-$L860))</f>
      </c>
      <c r="N860" s="22">
        <f>IF(OR($C860="",$H860=0),"",$M860/$H860)</f>
      </c>
    </row>
    <row r="861" spans="2:14" x14ac:dyDescent="0.25">
      <c r="B861" s="19"/>
      <c r="C861" s="8"/>
      <c r="D861" s="20">
        <f>IFERROR(IF($C861="","",VLOOKUP($C861,'Ürün Kartları'!$B$5:$C$154,2,FALSE)),"— tanımsız ürün —")</f>
      </c>
      <c r="E861" s="8"/>
      <c r="F861" s="10"/>
      <c r="G861" s="11"/>
      <c r="H861" s="16">
        <f>IF(OR($F861="",$G861=""),0,$F861*$G861)</f>
      </c>
      <c r="I861" s="16">
        <f>IFERROR(IF($E861="",0,$H861*VLOOKUP($E861,'Pazaryeri Kartları'!$B$5:$C$24,2,FALSE)+VLOOKUP($E861,'Pazaryeri Kartları'!$B$5:$D$24,3,FALSE)*$G861),0)</f>
      </c>
      <c r="J861" s="16">
        <f>IFERROR(IF($C861="",0,VLOOKUP($C861,'Ürün Kartları'!$B$5:$G$154,6,FALSE)*$G861),0)</f>
      </c>
      <c r="K861" s="11"/>
      <c r="L861" s="10"/>
      <c r="M861" s="21">
        <f>IF($C861="","",IF($K861=1,-($J861*0.5)-$L861,$H861-$I861-$J861-$L861))</f>
      </c>
      <c r="N861" s="22">
        <f>IF(OR($C861="",$H861=0),"",$M861/$H861)</f>
      </c>
    </row>
    <row r="862" spans="2:14" x14ac:dyDescent="0.25">
      <c r="B862" s="23"/>
      <c r="C862" s="12"/>
      <c r="D862" s="20">
        <f>IFERROR(IF($C862="","",VLOOKUP($C862,'Ürün Kartları'!$B$5:$C$154,2,FALSE)),"— tanımsız ürün —")</f>
      </c>
      <c r="E862" s="12"/>
      <c r="F862" s="14"/>
      <c r="G862" s="15"/>
      <c r="H862" s="16">
        <f>IF(OR($F862="",$G862=""),0,$F862*$G862)</f>
      </c>
      <c r="I862" s="16">
        <f>IFERROR(IF($E862="",0,$H862*VLOOKUP($E862,'Pazaryeri Kartları'!$B$5:$C$24,2,FALSE)+VLOOKUP($E862,'Pazaryeri Kartları'!$B$5:$D$24,3,FALSE)*$G862),0)</f>
      </c>
      <c r="J862" s="16">
        <f>IFERROR(IF($C862="",0,VLOOKUP($C862,'Ürün Kartları'!$B$5:$G$154,6,FALSE)*$G862),0)</f>
      </c>
      <c r="K862" s="15"/>
      <c r="L862" s="14"/>
      <c r="M862" s="21">
        <f>IF($C862="","",IF($K862=1,-($J862*0.5)-$L862,$H862-$I862-$J862-$L862))</f>
      </c>
      <c r="N862" s="22">
        <f>IF(OR($C862="",$H862=0),"",$M862/$H862)</f>
      </c>
    </row>
    <row r="863" spans="2:14" x14ac:dyDescent="0.25">
      <c r="B863" s="19"/>
      <c r="C863" s="8"/>
      <c r="D863" s="20">
        <f>IFERROR(IF($C863="","",VLOOKUP($C863,'Ürün Kartları'!$B$5:$C$154,2,FALSE)),"— tanımsız ürün —")</f>
      </c>
      <c r="E863" s="8"/>
      <c r="F863" s="10"/>
      <c r="G863" s="11"/>
      <c r="H863" s="16">
        <f>IF(OR($F863="",$G863=""),0,$F863*$G863)</f>
      </c>
      <c r="I863" s="16">
        <f>IFERROR(IF($E863="",0,$H863*VLOOKUP($E863,'Pazaryeri Kartları'!$B$5:$C$24,2,FALSE)+VLOOKUP($E863,'Pazaryeri Kartları'!$B$5:$D$24,3,FALSE)*$G863),0)</f>
      </c>
      <c r="J863" s="16">
        <f>IFERROR(IF($C863="",0,VLOOKUP($C863,'Ürün Kartları'!$B$5:$G$154,6,FALSE)*$G863),0)</f>
      </c>
      <c r="K863" s="11"/>
      <c r="L863" s="10"/>
      <c r="M863" s="21">
        <f>IF($C863="","",IF($K863=1,-($J863*0.5)-$L863,$H863-$I863-$J863-$L863))</f>
      </c>
      <c r="N863" s="22">
        <f>IF(OR($C863="",$H863=0),"",$M863/$H863)</f>
      </c>
    </row>
    <row r="864" spans="2:14" x14ac:dyDescent="0.25">
      <c r="B864" s="23"/>
      <c r="C864" s="12"/>
      <c r="D864" s="20">
        <f>IFERROR(IF($C864="","",VLOOKUP($C864,'Ürün Kartları'!$B$5:$C$154,2,FALSE)),"— tanımsız ürün —")</f>
      </c>
      <c r="E864" s="12"/>
      <c r="F864" s="14"/>
      <c r="G864" s="15"/>
      <c r="H864" s="16">
        <f>IF(OR($F864="",$G864=""),0,$F864*$G864)</f>
      </c>
      <c r="I864" s="16">
        <f>IFERROR(IF($E864="",0,$H864*VLOOKUP($E864,'Pazaryeri Kartları'!$B$5:$C$24,2,FALSE)+VLOOKUP($E864,'Pazaryeri Kartları'!$B$5:$D$24,3,FALSE)*$G864),0)</f>
      </c>
      <c r="J864" s="16">
        <f>IFERROR(IF($C864="",0,VLOOKUP($C864,'Ürün Kartları'!$B$5:$G$154,6,FALSE)*$G864),0)</f>
      </c>
      <c r="K864" s="15"/>
      <c r="L864" s="14"/>
      <c r="M864" s="21">
        <f>IF($C864="","",IF($K864=1,-($J864*0.5)-$L864,$H864-$I864-$J864-$L864))</f>
      </c>
      <c r="N864" s="22">
        <f>IF(OR($C864="",$H864=0),"",$M864/$H864)</f>
      </c>
    </row>
    <row r="865" spans="2:14" x14ac:dyDescent="0.25">
      <c r="B865" s="19"/>
      <c r="C865" s="8"/>
      <c r="D865" s="20">
        <f>IFERROR(IF($C865="","",VLOOKUP($C865,'Ürün Kartları'!$B$5:$C$154,2,FALSE)),"— tanımsız ürün —")</f>
      </c>
      <c r="E865" s="8"/>
      <c r="F865" s="10"/>
      <c r="G865" s="11"/>
      <c r="H865" s="16">
        <f>IF(OR($F865="",$G865=""),0,$F865*$G865)</f>
      </c>
      <c r="I865" s="16">
        <f>IFERROR(IF($E865="",0,$H865*VLOOKUP($E865,'Pazaryeri Kartları'!$B$5:$C$24,2,FALSE)+VLOOKUP($E865,'Pazaryeri Kartları'!$B$5:$D$24,3,FALSE)*$G865),0)</f>
      </c>
      <c r="J865" s="16">
        <f>IFERROR(IF($C865="",0,VLOOKUP($C865,'Ürün Kartları'!$B$5:$G$154,6,FALSE)*$G865),0)</f>
      </c>
      <c r="K865" s="11"/>
      <c r="L865" s="10"/>
      <c r="M865" s="21">
        <f>IF($C865="","",IF($K865=1,-($J865*0.5)-$L865,$H865-$I865-$J865-$L865))</f>
      </c>
      <c r="N865" s="22">
        <f>IF(OR($C865="",$H865=0),"",$M865/$H865)</f>
      </c>
    </row>
    <row r="866" spans="2:14" x14ac:dyDescent="0.25">
      <c r="B866" s="23"/>
      <c r="C866" s="12"/>
      <c r="D866" s="20">
        <f>IFERROR(IF($C866="","",VLOOKUP($C866,'Ürün Kartları'!$B$5:$C$154,2,FALSE)),"— tanımsız ürün —")</f>
      </c>
      <c r="E866" s="12"/>
      <c r="F866" s="14"/>
      <c r="G866" s="15"/>
      <c r="H866" s="16">
        <f>IF(OR($F866="",$G866=""),0,$F866*$G866)</f>
      </c>
      <c r="I866" s="16">
        <f>IFERROR(IF($E866="",0,$H866*VLOOKUP($E866,'Pazaryeri Kartları'!$B$5:$C$24,2,FALSE)+VLOOKUP($E866,'Pazaryeri Kartları'!$B$5:$D$24,3,FALSE)*$G866),0)</f>
      </c>
      <c r="J866" s="16">
        <f>IFERROR(IF($C866="",0,VLOOKUP($C866,'Ürün Kartları'!$B$5:$G$154,6,FALSE)*$G866),0)</f>
      </c>
      <c r="K866" s="15"/>
      <c r="L866" s="14"/>
      <c r="M866" s="21">
        <f>IF($C866="","",IF($K866=1,-($J866*0.5)-$L866,$H866-$I866-$J866-$L866))</f>
      </c>
      <c r="N866" s="22">
        <f>IF(OR($C866="",$H866=0),"",$M866/$H866)</f>
      </c>
    </row>
    <row r="867" spans="2:14" x14ac:dyDescent="0.25">
      <c r="B867" s="19"/>
      <c r="C867" s="8"/>
      <c r="D867" s="20">
        <f>IFERROR(IF($C867="","",VLOOKUP($C867,'Ürün Kartları'!$B$5:$C$154,2,FALSE)),"— tanımsız ürün —")</f>
      </c>
      <c r="E867" s="8"/>
      <c r="F867" s="10"/>
      <c r="G867" s="11"/>
      <c r="H867" s="16">
        <f>IF(OR($F867="",$G867=""),0,$F867*$G867)</f>
      </c>
      <c r="I867" s="16">
        <f>IFERROR(IF($E867="",0,$H867*VLOOKUP($E867,'Pazaryeri Kartları'!$B$5:$C$24,2,FALSE)+VLOOKUP($E867,'Pazaryeri Kartları'!$B$5:$D$24,3,FALSE)*$G867),0)</f>
      </c>
      <c r="J867" s="16">
        <f>IFERROR(IF($C867="",0,VLOOKUP($C867,'Ürün Kartları'!$B$5:$G$154,6,FALSE)*$G867),0)</f>
      </c>
      <c r="K867" s="11"/>
      <c r="L867" s="10"/>
      <c r="M867" s="21">
        <f>IF($C867="","",IF($K867=1,-($J867*0.5)-$L867,$H867-$I867-$J867-$L867))</f>
      </c>
      <c r="N867" s="22">
        <f>IF(OR($C867="",$H867=0),"",$M867/$H867)</f>
      </c>
    </row>
    <row r="868" spans="2:14" x14ac:dyDescent="0.25">
      <c r="B868" s="23"/>
      <c r="C868" s="12"/>
      <c r="D868" s="20">
        <f>IFERROR(IF($C868="","",VLOOKUP($C868,'Ürün Kartları'!$B$5:$C$154,2,FALSE)),"— tanımsız ürün —")</f>
      </c>
      <c r="E868" s="12"/>
      <c r="F868" s="14"/>
      <c r="G868" s="15"/>
      <c r="H868" s="16">
        <f>IF(OR($F868="",$G868=""),0,$F868*$G868)</f>
      </c>
      <c r="I868" s="16">
        <f>IFERROR(IF($E868="",0,$H868*VLOOKUP($E868,'Pazaryeri Kartları'!$B$5:$C$24,2,FALSE)+VLOOKUP($E868,'Pazaryeri Kartları'!$B$5:$D$24,3,FALSE)*$G868),0)</f>
      </c>
      <c r="J868" s="16">
        <f>IFERROR(IF($C868="",0,VLOOKUP($C868,'Ürün Kartları'!$B$5:$G$154,6,FALSE)*$G868),0)</f>
      </c>
      <c r="K868" s="15"/>
      <c r="L868" s="14"/>
      <c r="M868" s="21">
        <f>IF($C868="","",IF($K868=1,-($J868*0.5)-$L868,$H868-$I868-$J868-$L868))</f>
      </c>
      <c r="N868" s="22">
        <f>IF(OR($C868="",$H868=0),"",$M868/$H868)</f>
      </c>
    </row>
    <row r="869" spans="2:14" x14ac:dyDescent="0.25">
      <c r="B869" s="19"/>
      <c r="C869" s="8"/>
      <c r="D869" s="20">
        <f>IFERROR(IF($C869="","",VLOOKUP($C869,'Ürün Kartları'!$B$5:$C$154,2,FALSE)),"— tanımsız ürün —")</f>
      </c>
      <c r="E869" s="8"/>
      <c r="F869" s="10"/>
      <c r="G869" s="11"/>
      <c r="H869" s="16">
        <f>IF(OR($F869="",$G869=""),0,$F869*$G869)</f>
      </c>
      <c r="I869" s="16">
        <f>IFERROR(IF($E869="",0,$H869*VLOOKUP($E869,'Pazaryeri Kartları'!$B$5:$C$24,2,FALSE)+VLOOKUP($E869,'Pazaryeri Kartları'!$B$5:$D$24,3,FALSE)*$G869),0)</f>
      </c>
      <c r="J869" s="16">
        <f>IFERROR(IF($C869="",0,VLOOKUP($C869,'Ürün Kartları'!$B$5:$G$154,6,FALSE)*$G869),0)</f>
      </c>
      <c r="K869" s="11"/>
      <c r="L869" s="10"/>
      <c r="M869" s="21">
        <f>IF($C869="","",IF($K869=1,-($J869*0.5)-$L869,$H869-$I869-$J869-$L869))</f>
      </c>
      <c r="N869" s="22">
        <f>IF(OR($C869="",$H869=0),"",$M869/$H869)</f>
      </c>
    </row>
    <row r="870" spans="2:14" x14ac:dyDescent="0.25">
      <c r="B870" s="23"/>
      <c r="C870" s="12"/>
      <c r="D870" s="20">
        <f>IFERROR(IF($C870="","",VLOOKUP($C870,'Ürün Kartları'!$B$5:$C$154,2,FALSE)),"— tanımsız ürün —")</f>
      </c>
      <c r="E870" s="12"/>
      <c r="F870" s="14"/>
      <c r="G870" s="15"/>
      <c r="H870" s="16">
        <f>IF(OR($F870="",$G870=""),0,$F870*$G870)</f>
      </c>
      <c r="I870" s="16">
        <f>IFERROR(IF($E870="",0,$H870*VLOOKUP($E870,'Pazaryeri Kartları'!$B$5:$C$24,2,FALSE)+VLOOKUP($E870,'Pazaryeri Kartları'!$B$5:$D$24,3,FALSE)*$G870),0)</f>
      </c>
      <c r="J870" s="16">
        <f>IFERROR(IF($C870="",0,VLOOKUP($C870,'Ürün Kartları'!$B$5:$G$154,6,FALSE)*$G870),0)</f>
      </c>
      <c r="K870" s="15"/>
      <c r="L870" s="14"/>
      <c r="M870" s="21">
        <f>IF($C870="","",IF($K870=1,-($J870*0.5)-$L870,$H870-$I870-$J870-$L870))</f>
      </c>
      <c r="N870" s="22">
        <f>IF(OR($C870="",$H870=0),"",$M870/$H870)</f>
      </c>
    </row>
    <row r="871" spans="2:14" x14ac:dyDescent="0.25">
      <c r="B871" s="19"/>
      <c r="C871" s="8"/>
      <c r="D871" s="20">
        <f>IFERROR(IF($C871="","",VLOOKUP($C871,'Ürün Kartları'!$B$5:$C$154,2,FALSE)),"— tanımsız ürün —")</f>
      </c>
      <c r="E871" s="8"/>
      <c r="F871" s="10"/>
      <c r="G871" s="11"/>
      <c r="H871" s="16">
        <f>IF(OR($F871="",$G871=""),0,$F871*$G871)</f>
      </c>
      <c r="I871" s="16">
        <f>IFERROR(IF($E871="",0,$H871*VLOOKUP($E871,'Pazaryeri Kartları'!$B$5:$C$24,2,FALSE)+VLOOKUP($E871,'Pazaryeri Kartları'!$B$5:$D$24,3,FALSE)*$G871),0)</f>
      </c>
      <c r="J871" s="16">
        <f>IFERROR(IF($C871="",0,VLOOKUP($C871,'Ürün Kartları'!$B$5:$G$154,6,FALSE)*$G871),0)</f>
      </c>
      <c r="K871" s="11"/>
      <c r="L871" s="10"/>
      <c r="M871" s="21">
        <f>IF($C871="","",IF($K871=1,-($J871*0.5)-$L871,$H871-$I871-$J871-$L871))</f>
      </c>
      <c r="N871" s="22">
        <f>IF(OR($C871="",$H871=0),"",$M871/$H871)</f>
      </c>
    </row>
    <row r="872" spans="2:14" x14ac:dyDescent="0.25">
      <c r="B872" s="23"/>
      <c r="C872" s="12"/>
      <c r="D872" s="20">
        <f>IFERROR(IF($C872="","",VLOOKUP($C872,'Ürün Kartları'!$B$5:$C$154,2,FALSE)),"— tanımsız ürün —")</f>
      </c>
      <c r="E872" s="12"/>
      <c r="F872" s="14"/>
      <c r="G872" s="15"/>
      <c r="H872" s="16">
        <f>IF(OR($F872="",$G872=""),0,$F872*$G872)</f>
      </c>
      <c r="I872" s="16">
        <f>IFERROR(IF($E872="",0,$H872*VLOOKUP($E872,'Pazaryeri Kartları'!$B$5:$C$24,2,FALSE)+VLOOKUP($E872,'Pazaryeri Kartları'!$B$5:$D$24,3,FALSE)*$G872),0)</f>
      </c>
      <c r="J872" s="16">
        <f>IFERROR(IF($C872="",0,VLOOKUP($C872,'Ürün Kartları'!$B$5:$G$154,6,FALSE)*$G872),0)</f>
      </c>
      <c r="K872" s="15"/>
      <c r="L872" s="14"/>
      <c r="M872" s="21">
        <f>IF($C872="","",IF($K872=1,-($J872*0.5)-$L872,$H872-$I872-$J872-$L872))</f>
      </c>
      <c r="N872" s="22">
        <f>IF(OR($C872="",$H872=0),"",$M872/$H872)</f>
      </c>
    </row>
    <row r="873" spans="2:14" x14ac:dyDescent="0.25">
      <c r="B873" s="19"/>
      <c r="C873" s="8"/>
      <c r="D873" s="20">
        <f>IFERROR(IF($C873="","",VLOOKUP($C873,'Ürün Kartları'!$B$5:$C$154,2,FALSE)),"— tanımsız ürün —")</f>
      </c>
      <c r="E873" s="8"/>
      <c r="F873" s="10"/>
      <c r="G873" s="11"/>
      <c r="H873" s="16">
        <f>IF(OR($F873="",$G873=""),0,$F873*$G873)</f>
      </c>
      <c r="I873" s="16">
        <f>IFERROR(IF($E873="",0,$H873*VLOOKUP($E873,'Pazaryeri Kartları'!$B$5:$C$24,2,FALSE)+VLOOKUP($E873,'Pazaryeri Kartları'!$B$5:$D$24,3,FALSE)*$G873),0)</f>
      </c>
      <c r="J873" s="16">
        <f>IFERROR(IF($C873="",0,VLOOKUP($C873,'Ürün Kartları'!$B$5:$G$154,6,FALSE)*$G873),0)</f>
      </c>
      <c r="K873" s="11"/>
      <c r="L873" s="10"/>
      <c r="M873" s="21">
        <f>IF($C873="","",IF($K873=1,-($J873*0.5)-$L873,$H873-$I873-$J873-$L873))</f>
      </c>
      <c r="N873" s="22">
        <f>IF(OR($C873="",$H873=0),"",$M873/$H873)</f>
      </c>
    </row>
    <row r="874" spans="2:14" x14ac:dyDescent="0.25">
      <c r="B874" s="23"/>
      <c r="C874" s="12"/>
      <c r="D874" s="20">
        <f>IFERROR(IF($C874="","",VLOOKUP($C874,'Ürün Kartları'!$B$5:$C$154,2,FALSE)),"— tanımsız ürün —")</f>
      </c>
      <c r="E874" s="12"/>
      <c r="F874" s="14"/>
      <c r="G874" s="15"/>
      <c r="H874" s="16">
        <f>IF(OR($F874="",$G874=""),0,$F874*$G874)</f>
      </c>
      <c r="I874" s="16">
        <f>IFERROR(IF($E874="",0,$H874*VLOOKUP($E874,'Pazaryeri Kartları'!$B$5:$C$24,2,FALSE)+VLOOKUP($E874,'Pazaryeri Kartları'!$B$5:$D$24,3,FALSE)*$G874),0)</f>
      </c>
      <c r="J874" s="16">
        <f>IFERROR(IF($C874="",0,VLOOKUP($C874,'Ürün Kartları'!$B$5:$G$154,6,FALSE)*$G874),0)</f>
      </c>
      <c r="K874" s="15"/>
      <c r="L874" s="14"/>
      <c r="M874" s="21">
        <f>IF($C874="","",IF($K874=1,-($J874*0.5)-$L874,$H874-$I874-$J874-$L874))</f>
      </c>
      <c r="N874" s="22">
        <f>IF(OR($C874="",$H874=0),"",$M874/$H874)</f>
      </c>
    </row>
    <row r="875" spans="2:14" x14ac:dyDescent="0.25">
      <c r="B875" s="19"/>
      <c r="C875" s="8"/>
      <c r="D875" s="20">
        <f>IFERROR(IF($C875="","",VLOOKUP($C875,'Ürün Kartları'!$B$5:$C$154,2,FALSE)),"— tanımsız ürün —")</f>
      </c>
      <c r="E875" s="8"/>
      <c r="F875" s="10"/>
      <c r="G875" s="11"/>
      <c r="H875" s="16">
        <f>IF(OR($F875="",$G875=""),0,$F875*$G875)</f>
      </c>
      <c r="I875" s="16">
        <f>IFERROR(IF($E875="",0,$H875*VLOOKUP($E875,'Pazaryeri Kartları'!$B$5:$C$24,2,FALSE)+VLOOKUP($E875,'Pazaryeri Kartları'!$B$5:$D$24,3,FALSE)*$G875),0)</f>
      </c>
      <c r="J875" s="16">
        <f>IFERROR(IF($C875="",0,VLOOKUP($C875,'Ürün Kartları'!$B$5:$G$154,6,FALSE)*$G875),0)</f>
      </c>
      <c r="K875" s="11"/>
      <c r="L875" s="10"/>
      <c r="M875" s="21">
        <f>IF($C875="","",IF($K875=1,-($J875*0.5)-$L875,$H875-$I875-$J875-$L875))</f>
      </c>
      <c r="N875" s="22">
        <f>IF(OR($C875="",$H875=0),"",$M875/$H875)</f>
      </c>
    </row>
    <row r="876" spans="2:14" x14ac:dyDescent="0.25">
      <c r="B876" s="23"/>
      <c r="C876" s="12"/>
      <c r="D876" s="20">
        <f>IFERROR(IF($C876="","",VLOOKUP($C876,'Ürün Kartları'!$B$5:$C$154,2,FALSE)),"— tanımsız ürün —")</f>
      </c>
      <c r="E876" s="12"/>
      <c r="F876" s="14"/>
      <c r="G876" s="15"/>
      <c r="H876" s="16">
        <f>IF(OR($F876="",$G876=""),0,$F876*$G876)</f>
      </c>
      <c r="I876" s="16">
        <f>IFERROR(IF($E876="",0,$H876*VLOOKUP($E876,'Pazaryeri Kartları'!$B$5:$C$24,2,FALSE)+VLOOKUP($E876,'Pazaryeri Kartları'!$B$5:$D$24,3,FALSE)*$G876),0)</f>
      </c>
      <c r="J876" s="16">
        <f>IFERROR(IF($C876="",0,VLOOKUP($C876,'Ürün Kartları'!$B$5:$G$154,6,FALSE)*$G876),0)</f>
      </c>
      <c r="K876" s="15"/>
      <c r="L876" s="14"/>
      <c r="M876" s="21">
        <f>IF($C876="","",IF($K876=1,-($J876*0.5)-$L876,$H876-$I876-$J876-$L876))</f>
      </c>
      <c r="N876" s="22">
        <f>IF(OR($C876="",$H876=0),"",$M876/$H876)</f>
      </c>
    </row>
    <row r="877" spans="2:14" x14ac:dyDescent="0.25">
      <c r="B877" s="19"/>
      <c r="C877" s="8"/>
      <c r="D877" s="20">
        <f>IFERROR(IF($C877="","",VLOOKUP($C877,'Ürün Kartları'!$B$5:$C$154,2,FALSE)),"— tanımsız ürün —")</f>
      </c>
      <c r="E877" s="8"/>
      <c r="F877" s="10"/>
      <c r="G877" s="11"/>
      <c r="H877" s="16">
        <f>IF(OR($F877="",$G877=""),0,$F877*$G877)</f>
      </c>
      <c r="I877" s="16">
        <f>IFERROR(IF($E877="",0,$H877*VLOOKUP($E877,'Pazaryeri Kartları'!$B$5:$C$24,2,FALSE)+VLOOKUP($E877,'Pazaryeri Kartları'!$B$5:$D$24,3,FALSE)*$G877),0)</f>
      </c>
      <c r="J877" s="16">
        <f>IFERROR(IF($C877="",0,VLOOKUP($C877,'Ürün Kartları'!$B$5:$G$154,6,FALSE)*$G877),0)</f>
      </c>
      <c r="K877" s="11"/>
      <c r="L877" s="10"/>
      <c r="M877" s="21">
        <f>IF($C877="","",IF($K877=1,-($J877*0.5)-$L877,$H877-$I877-$J877-$L877))</f>
      </c>
      <c r="N877" s="22">
        <f>IF(OR($C877="",$H877=0),"",$M877/$H877)</f>
      </c>
    </row>
    <row r="878" spans="2:14" x14ac:dyDescent="0.25">
      <c r="B878" s="23"/>
      <c r="C878" s="12"/>
      <c r="D878" s="20">
        <f>IFERROR(IF($C878="","",VLOOKUP($C878,'Ürün Kartları'!$B$5:$C$154,2,FALSE)),"— tanımsız ürün —")</f>
      </c>
      <c r="E878" s="12"/>
      <c r="F878" s="14"/>
      <c r="G878" s="15"/>
      <c r="H878" s="16">
        <f>IF(OR($F878="",$G878=""),0,$F878*$G878)</f>
      </c>
      <c r="I878" s="16">
        <f>IFERROR(IF($E878="",0,$H878*VLOOKUP($E878,'Pazaryeri Kartları'!$B$5:$C$24,2,FALSE)+VLOOKUP($E878,'Pazaryeri Kartları'!$B$5:$D$24,3,FALSE)*$G878),0)</f>
      </c>
      <c r="J878" s="16">
        <f>IFERROR(IF($C878="",0,VLOOKUP($C878,'Ürün Kartları'!$B$5:$G$154,6,FALSE)*$G878),0)</f>
      </c>
      <c r="K878" s="15"/>
      <c r="L878" s="14"/>
      <c r="M878" s="21">
        <f>IF($C878="","",IF($K878=1,-($J878*0.5)-$L878,$H878-$I878-$J878-$L878))</f>
      </c>
      <c r="N878" s="22">
        <f>IF(OR($C878="",$H878=0),"",$M878/$H878)</f>
      </c>
    </row>
    <row r="879" spans="2:14" x14ac:dyDescent="0.25">
      <c r="B879" s="19"/>
      <c r="C879" s="8"/>
      <c r="D879" s="20">
        <f>IFERROR(IF($C879="","",VLOOKUP($C879,'Ürün Kartları'!$B$5:$C$154,2,FALSE)),"— tanımsız ürün —")</f>
      </c>
      <c r="E879" s="8"/>
      <c r="F879" s="10"/>
      <c r="G879" s="11"/>
      <c r="H879" s="16">
        <f>IF(OR($F879="",$G879=""),0,$F879*$G879)</f>
      </c>
      <c r="I879" s="16">
        <f>IFERROR(IF($E879="",0,$H879*VLOOKUP($E879,'Pazaryeri Kartları'!$B$5:$C$24,2,FALSE)+VLOOKUP($E879,'Pazaryeri Kartları'!$B$5:$D$24,3,FALSE)*$G879),0)</f>
      </c>
      <c r="J879" s="16">
        <f>IFERROR(IF($C879="",0,VLOOKUP($C879,'Ürün Kartları'!$B$5:$G$154,6,FALSE)*$G879),0)</f>
      </c>
      <c r="K879" s="11"/>
      <c r="L879" s="10"/>
      <c r="M879" s="21">
        <f>IF($C879="","",IF($K879=1,-($J879*0.5)-$L879,$H879-$I879-$J879-$L879))</f>
      </c>
      <c r="N879" s="22">
        <f>IF(OR($C879="",$H879=0),"",$M879/$H879)</f>
      </c>
    </row>
    <row r="880" spans="2:14" x14ac:dyDescent="0.25">
      <c r="B880" s="23"/>
      <c r="C880" s="12"/>
      <c r="D880" s="20">
        <f>IFERROR(IF($C880="","",VLOOKUP($C880,'Ürün Kartları'!$B$5:$C$154,2,FALSE)),"— tanımsız ürün —")</f>
      </c>
      <c r="E880" s="12"/>
      <c r="F880" s="14"/>
      <c r="G880" s="15"/>
      <c r="H880" s="16">
        <f>IF(OR($F880="",$G880=""),0,$F880*$G880)</f>
      </c>
      <c r="I880" s="16">
        <f>IFERROR(IF($E880="",0,$H880*VLOOKUP($E880,'Pazaryeri Kartları'!$B$5:$C$24,2,FALSE)+VLOOKUP($E880,'Pazaryeri Kartları'!$B$5:$D$24,3,FALSE)*$G880),0)</f>
      </c>
      <c r="J880" s="16">
        <f>IFERROR(IF($C880="",0,VLOOKUP($C880,'Ürün Kartları'!$B$5:$G$154,6,FALSE)*$G880),0)</f>
      </c>
      <c r="K880" s="15"/>
      <c r="L880" s="14"/>
      <c r="M880" s="21">
        <f>IF($C880="","",IF($K880=1,-($J880*0.5)-$L880,$H880-$I880-$J880-$L880))</f>
      </c>
      <c r="N880" s="22">
        <f>IF(OR($C880="",$H880=0),"",$M880/$H880)</f>
      </c>
    </row>
    <row r="881" spans="2:14" x14ac:dyDescent="0.25">
      <c r="B881" s="19"/>
      <c r="C881" s="8"/>
      <c r="D881" s="20">
        <f>IFERROR(IF($C881="","",VLOOKUP($C881,'Ürün Kartları'!$B$5:$C$154,2,FALSE)),"— tanımsız ürün —")</f>
      </c>
      <c r="E881" s="8"/>
      <c r="F881" s="10"/>
      <c r="G881" s="11"/>
      <c r="H881" s="16">
        <f>IF(OR($F881="",$G881=""),0,$F881*$G881)</f>
      </c>
      <c r="I881" s="16">
        <f>IFERROR(IF($E881="",0,$H881*VLOOKUP($E881,'Pazaryeri Kartları'!$B$5:$C$24,2,FALSE)+VLOOKUP($E881,'Pazaryeri Kartları'!$B$5:$D$24,3,FALSE)*$G881),0)</f>
      </c>
      <c r="J881" s="16">
        <f>IFERROR(IF($C881="",0,VLOOKUP($C881,'Ürün Kartları'!$B$5:$G$154,6,FALSE)*$G881),0)</f>
      </c>
      <c r="K881" s="11"/>
      <c r="L881" s="10"/>
      <c r="M881" s="21">
        <f>IF($C881="","",IF($K881=1,-($J881*0.5)-$L881,$H881-$I881-$J881-$L881))</f>
      </c>
      <c r="N881" s="22">
        <f>IF(OR($C881="",$H881=0),"",$M881/$H881)</f>
      </c>
    </row>
    <row r="882" spans="2:14" x14ac:dyDescent="0.25">
      <c r="B882" s="23"/>
      <c r="C882" s="12"/>
      <c r="D882" s="20">
        <f>IFERROR(IF($C882="","",VLOOKUP($C882,'Ürün Kartları'!$B$5:$C$154,2,FALSE)),"— tanımsız ürün —")</f>
      </c>
      <c r="E882" s="12"/>
      <c r="F882" s="14"/>
      <c r="G882" s="15"/>
      <c r="H882" s="16">
        <f>IF(OR($F882="",$G882=""),0,$F882*$G882)</f>
      </c>
      <c r="I882" s="16">
        <f>IFERROR(IF($E882="",0,$H882*VLOOKUP($E882,'Pazaryeri Kartları'!$B$5:$C$24,2,FALSE)+VLOOKUP($E882,'Pazaryeri Kartları'!$B$5:$D$24,3,FALSE)*$G882),0)</f>
      </c>
      <c r="J882" s="16">
        <f>IFERROR(IF($C882="",0,VLOOKUP($C882,'Ürün Kartları'!$B$5:$G$154,6,FALSE)*$G882),0)</f>
      </c>
      <c r="K882" s="15"/>
      <c r="L882" s="14"/>
      <c r="M882" s="21">
        <f>IF($C882="","",IF($K882=1,-($J882*0.5)-$L882,$H882-$I882-$J882-$L882))</f>
      </c>
      <c r="N882" s="22">
        <f>IF(OR($C882="",$H882=0),"",$M882/$H882)</f>
      </c>
    </row>
    <row r="883" spans="2:14" x14ac:dyDescent="0.25">
      <c r="B883" s="19"/>
      <c r="C883" s="8"/>
      <c r="D883" s="20">
        <f>IFERROR(IF($C883="","",VLOOKUP($C883,'Ürün Kartları'!$B$5:$C$154,2,FALSE)),"— tanımsız ürün —")</f>
      </c>
      <c r="E883" s="8"/>
      <c r="F883" s="10"/>
      <c r="G883" s="11"/>
      <c r="H883" s="16">
        <f>IF(OR($F883="",$G883=""),0,$F883*$G883)</f>
      </c>
      <c r="I883" s="16">
        <f>IFERROR(IF($E883="",0,$H883*VLOOKUP($E883,'Pazaryeri Kartları'!$B$5:$C$24,2,FALSE)+VLOOKUP($E883,'Pazaryeri Kartları'!$B$5:$D$24,3,FALSE)*$G883),0)</f>
      </c>
      <c r="J883" s="16">
        <f>IFERROR(IF($C883="",0,VLOOKUP($C883,'Ürün Kartları'!$B$5:$G$154,6,FALSE)*$G883),0)</f>
      </c>
      <c r="K883" s="11"/>
      <c r="L883" s="10"/>
      <c r="M883" s="21">
        <f>IF($C883="","",IF($K883=1,-($J883*0.5)-$L883,$H883-$I883-$J883-$L883))</f>
      </c>
      <c r="N883" s="22">
        <f>IF(OR($C883="",$H883=0),"",$M883/$H883)</f>
      </c>
    </row>
    <row r="884" spans="2:14" x14ac:dyDescent="0.25">
      <c r="B884" s="23"/>
      <c r="C884" s="12"/>
      <c r="D884" s="20">
        <f>IFERROR(IF($C884="","",VLOOKUP($C884,'Ürün Kartları'!$B$5:$C$154,2,FALSE)),"— tanımsız ürün —")</f>
      </c>
      <c r="E884" s="12"/>
      <c r="F884" s="14"/>
      <c r="G884" s="15"/>
      <c r="H884" s="16">
        <f>IF(OR($F884="",$G884=""),0,$F884*$G884)</f>
      </c>
      <c r="I884" s="16">
        <f>IFERROR(IF($E884="",0,$H884*VLOOKUP($E884,'Pazaryeri Kartları'!$B$5:$C$24,2,FALSE)+VLOOKUP($E884,'Pazaryeri Kartları'!$B$5:$D$24,3,FALSE)*$G884),0)</f>
      </c>
      <c r="J884" s="16">
        <f>IFERROR(IF($C884="",0,VLOOKUP($C884,'Ürün Kartları'!$B$5:$G$154,6,FALSE)*$G884),0)</f>
      </c>
      <c r="K884" s="15"/>
      <c r="L884" s="14"/>
      <c r="M884" s="21">
        <f>IF($C884="","",IF($K884=1,-($J884*0.5)-$L884,$H884-$I884-$J884-$L884))</f>
      </c>
      <c r="N884" s="22">
        <f>IF(OR($C884="",$H884=0),"",$M884/$H884)</f>
      </c>
    </row>
    <row r="885" spans="2:14" x14ac:dyDescent="0.25">
      <c r="B885" s="19"/>
      <c r="C885" s="8"/>
      <c r="D885" s="20">
        <f>IFERROR(IF($C885="","",VLOOKUP($C885,'Ürün Kartları'!$B$5:$C$154,2,FALSE)),"— tanımsız ürün —")</f>
      </c>
      <c r="E885" s="8"/>
      <c r="F885" s="10"/>
      <c r="G885" s="11"/>
      <c r="H885" s="16">
        <f>IF(OR($F885="",$G885=""),0,$F885*$G885)</f>
      </c>
      <c r="I885" s="16">
        <f>IFERROR(IF($E885="",0,$H885*VLOOKUP($E885,'Pazaryeri Kartları'!$B$5:$C$24,2,FALSE)+VLOOKUP($E885,'Pazaryeri Kartları'!$B$5:$D$24,3,FALSE)*$G885),0)</f>
      </c>
      <c r="J885" s="16">
        <f>IFERROR(IF($C885="",0,VLOOKUP($C885,'Ürün Kartları'!$B$5:$G$154,6,FALSE)*$G885),0)</f>
      </c>
      <c r="K885" s="11"/>
      <c r="L885" s="10"/>
      <c r="M885" s="21">
        <f>IF($C885="","",IF($K885=1,-($J885*0.5)-$L885,$H885-$I885-$J885-$L885))</f>
      </c>
      <c r="N885" s="22">
        <f>IF(OR($C885="",$H885=0),"",$M885/$H885)</f>
      </c>
    </row>
    <row r="886" spans="2:14" x14ac:dyDescent="0.25">
      <c r="B886" s="23"/>
      <c r="C886" s="12"/>
      <c r="D886" s="20">
        <f>IFERROR(IF($C886="","",VLOOKUP($C886,'Ürün Kartları'!$B$5:$C$154,2,FALSE)),"— tanımsız ürün —")</f>
      </c>
      <c r="E886" s="12"/>
      <c r="F886" s="14"/>
      <c r="G886" s="15"/>
      <c r="H886" s="16">
        <f>IF(OR($F886="",$G886=""),0,$F886*$G886)</f>
      </c>
      <c r="I886" s="16">
        <f>IFERROR(IF($E886="",0,$H886*VLOOKUP($E886,'Pazaryeri Kartları'!$B$5:$C$24,2,FALSE)+VLOOKUP($E886,'Pazaryeri Kartları'!$B$5:$D$24,3,FALSE)*$G886),0)</f>
      </c>
      <c r="J886" s="16">
        <f>IFERROR(IF($C886="",0,VLOOKUP($C886,'Ürün Kartları'!$B$5:$G$154,6,FALSE)*$G886),0)</f>
      </c>
      <c r="K886" s="15"/>
      <c r="L886" s="14"/>
      <c r="M886" s="21">
        <f>IF($C886="","",IF($K886=1,-($J886*0.5)-$L886,$H886-$I886-$J886-$L886))</f>
      </c>
      <c r="N886" s="22">
        <f>IF(OR($C886="",$H886=0),"",$M886/$H886)</f>
      </c>
    </row>
    <row r="887" spans="2:14" x14ac:dyDescent="0.25">
      <c r="B887" s="19"/>
      <c r="C887" s="8"/>
      <c r="D887" s="20">
        <f>IFERROR(IF($C887="","",VLOOKUP($C887,'Ürün Kartları'!$B$5:$C$154,2,FALSE)),"— tanımsız ürün —")</f>
      </c>
      <c r="E887" s="8"/>
      <c r="F887" s="10"/>
      <c r="G887" s="11"/>
      <c r="H887" s="16">
        <f>IF(OR($F887="",$G887=""),0,$F887*$G887)</f>
      </c>
      <c r="I887" s="16">
        <f>IFERROR(IF($E887="",0,$H887*VLOOKUP($E887,'Pazaryeri Kartları'!$B$5:$C$24,2,FALSE)+VLOOKUP($E887,'Pazaryeri Kartları'!$B$5:$D$24,3,FALSE)*$G887),0)</f>
      </c>
      <c r="J887" s="16">
        <f>IFERROR(IF($C887="",0,VLOOKUP($C887,'Ürün Kartları'!$B$5:$G$154,6,FALSE)*$G887),0)</f>
      </c>
      <c r="K887" s="11"/>
      <c r="L887" s="10"/>
      <c r="M887" s="21">
        <f>IF($C887="","",IF($K887=1,-($J887*0.5)-$L887,$H887-$I887-$J887-$L887))</f>
      </c>
      <c r="N887" s="22">
        <f>IF(OR($C887="",$H887=0),"",$M887/$H887)</f>
      </c>
    </row>
    <row r="888" spans="2:14" x14ac:dyDescent="0.25">
      <c r="B888" s="23"/>
      <c r="C888" s="12"/>
      <c r="D888" s="20">
        <f>IFERROR(IF($C888="","",VLOOKUP($C888,'Ürün Kartları'!$B$5:$C$154,2,FALSE)),"— tanımsız ürün —")</f>
      </c>
      <c r="E888" s="12"/>
      <c r="F888" s="14"/>
      <c r="G888" s="15"/>
      <c r="H888" s="16">
        <f>IF(OR($F888="",$G888=""),0,$F888*$G888)</f>
      </c>
      <c r="I888" s="16">
        <f>IFERROR(IF($E888="",0,$H888*VLOOKUP($E888,'Pazaryeri Kartları'!$B$5:$C$24,2,FALSE)+VLOOKUP($E888,'Pazaryeri Kartları'!$B$5:$D$24,3,FALSE)*$G888),0)</f>
      </c>
      <c r="J888" s="16">
        <f>IFERROR(IF($C888="",0,VLOOKUP($C888,'Ürün Kartları'!$B$5:$G$154,6,FALSE)*$G888),0)</f>
      </c>
      <c r="K888" s="15"/>
      <c r="L888" s="14"/>
      <c r="M888" s="21">
        <f>IF($C888="","",IF($K888=1,-($J888*0.5)-$L888,$H888-$I888-$J888-$L888))</f>
      </c>
      <c r="N888" s="22">
        <f>IF(OR($C888="",$H888=0),"",$M888/$H888)</f>
      </c>
    </row>
    <row r="889" spans="2:14" x14ac:dyDescent="0.25">
      <c r="B889" s="19"/>
      <c r="C889" s="8"/>
      <c r="D889" s="20">
        <f>IFERROR(IF($C889="","",VLOOKUP($C889,'Ürün Kartları'!$B$5:$C$154,2,FALSE)),"— tanımsız ürün —")</f>
      </c>
      <c r="E889" s="8"/>
      <c r="F889" s="10"/>
      <c r="G889" s="11"/>
      <c r="H889" s="16">
        <f>IF(OR($F889="",$G889=""),0,$F889*$G889)</f>
      </c>
      <c r="I889" s="16">
        <f>IFERROR(IF($E889="",0,$H889*VLOOKUP($E889,'Pazaryeri Kartları'!$B$5:$C$24,2,FALSE)+VLOOKUP($E889,'Pazaryeri Kartları'!$B$5:$D$24,3,FALSE)*$G889),0)</f>
      </c>
      <c r="J889" s="16">
        <f>IFERROR(IF($C889="",0,VLOOKUP($C889,'Ürün Kartları'!$B$5:$G$154,6,FALSE)*$G889),0)</f>
      </c>
      <c r="K889" s="11"/>
      <c r="L889" s="10"/>
      <c r="M889" s="21">
        <f>IF($C889="","",IF($K889=1,-($J889*0.5)-$L889,$H889-$I889-$J889-$L889))</f>
      </c>
      <c r="N889" s="22">
        <f>IF(OR($C889="",$H889=0),"",$M889/$H889)</f>
      </c>
    </row>
    <row r="890" spans="2:14" x14ac:dyDescent="0.25">
      <c r="B890" s="23"/>
      <c r="C890" s="12"/>
      <c r="D890" s="20">
        <f>IFERROR(IF($C890="","",VLOOKUP($C890,'Ürün Kartları'!$B$5:$C$154,2,FALSE)),"— tanımsız ürün —")</f>
      </c>
      <c r="E890" s="12"/>
      <c r="F890" s="14"/>
      <c r="G890" s="15"/>
      <c r="H890" s="16">
        <f>IF(OR($F890="",$G890=""),0,$F890*$G890)</f>
      </c>
      <c r="I890" s="16">
        <f>IFERROR(IF($E890="",0,$H890*VLOOKUP($E890,'Pazaryeri Kartları'!$B$5:$C$24,2,FALSE)+VLOOKUP($E890,'Pazaryeri Kartları'!$B$5:$D$24,3,FALSE)*$G890),0)</f>
      </c>
      <c r="J890" s="16">
        <f>IFERROR(IF($C890="",0,VLOOKUP($C890,'Ürün Kartları'!$B$5:$G$154,6,FALSE)*$G890),0)</f>
      </c>
      <c r="K890" s="15"/>
      <c r="L890" s="14"/>
      <c r="M890" s="21">
        <f>IF($C890="","",IF($K890=1,-($J890*0.5)-$L890,$H890-$I890-$J890-$L890))</f>
      </c>
      <c r="N890" s="22">
        <f>IF(OR($C890="",$H890=0),"",$M890/$H890)</f>
      </c>
    </row>
    <row r="891" spans="2:14" x14ac:dyDescent="0.25">
      <c r="B891" s="19"/>
      <c r="C891" s="8"/>
      <c r="D891" s="20">
        <f>IFERROR(IF($C891="","",VLOOKUP($C891,'Ürün Kartları'!$B$5:$C$154,2,FALSE)),"— tanımsız ürün —")</f>
      </c>
      <c r="E891" s="8"/>
      <c r="F891" s="10"/>
      <c r="G891" s="11"/>
      <c r="H891" s="16">
        <f>IF(OR($F891="",$G891=""),0,$F891*$G891)</f>
      </c>
      <c r="I891" s="16">
        <f>IFERROR(IF($E891="",0,$H891*VLOOKUP($E891,'Pazaryeri Kartları'!$B$5:$C$24,2,FALSE)+VLOOKUP($E891,'Pazaryeri Kartları'!$B$5:$D$24,3,FALSE)*$G891),0)</f>
      </c>
      <c r="J891" s="16">
        <f>IFERROR(IF($C891="",0,VLOOKUP($C891,'Ürün Kartları'!$B$5:$G$154,6,FALSE)*$G891),0)</f>
      </c>
      <c r="K891" s="11"/>
      <c r="L891" s="10"/>
      <c r="M891" s="21">
        <f>IF($C891="","",IF($K891=1,-($J891*0.5)-$L891,$H891-$I891-$J891-$L891))</f>
      </c>
      <c r="N891" s="22">
        <f>IF(OR($C891="",$H891=0),"",$M891/$H891)</f>
      </c>
    </row>
    <row r="892" spans="2:14" x14ac:dyDescent="0.25">
      <c r="B892" s="23"/>
      <c r="C892" s="12"/>
      <c r="D892" s="20">
        <f>IFERROR(IF($C892="","",VLOOKUP($C892,'Ürün Kartları'!$B$5:$C$154,2,FALSE)),"— tanımsız ürün —")</f>
      </c>
      <c r="E892" s="12"/>
      <c r="F892" s="14"/>
      <c r="G892" s="15"/>
      <c r="H892" s="16">
        <f>IF(OR($F892="",$G892=""),0,$F892*$G892)</f>
      </c>
      <c r="I892" s="16">
        <f>IFERROR(IF($E892="",0,$H892*VLOOKUP($E892,'Pazaryeri Kartları'!$B$5:$C$24,2,FALSE)+VLOOKUP($E892,'Pazaryeri Kartları'!$B$5:$D$24,3,FALSE)*$G892),0)</f>
      </c>
      <c r="J892" s="16">
        <f>IFERROR(IF($C892="",0,VLOOKUP($C892,'Ürün Kartları'!$B$5:$G$154,6,FALSE)*$G892),0)</f>
      </c>
      <c r="K892" s="15"/>
      <c r="L892" s="14"/>
      <c r="M892" s="21">
        <f>IF($C892="","",IF($K892=1,-($J892*0.5)-$L892,$H892-$I892-$J892-$L892))</f>
      </c>
      <c r="N892" s="22">
        <f>IF(OR($C892="",$H892=0),"",$M892/$H892)</f>
      </c>
    </row>
    <row r="893" spans="2:14" x14ac:dyDescent="0.25">
      <c r="B893" s="19"/>
      <c r="C893" s="8"/>
      <c r="D893" s="20">
        <f>IFERROR(IF($C893="","",VLOOKUP($C893,'Ürün Kartları'!$B$5:$C$154,2,FALSE)),"— tanımsız ürün —")</f>
      </c>
      <c r="E893" s="8"/>
      <c r="F893" s="10"/>
      <c r="G893" s="11"/>
      <c r="H893" s="16">
        <f>IF(OR($F893="",$G893=""),0,$F893*$G893)</f>
      </c>
      <c r="I893" s="16">
        <f>IFERROR(IF($E893="",0,$H893*VLOOKUP($E893,'Pazaryeri Kartları'!$B$5:$C$24,2,FALSE)+VLOOKUP($E893,'Pazaryeri Kartları'!$B$5:$D$24,3,FALSE)*$G893),0)</f>
      </c>
      <c r="J893" s="16">
        <f>IFERROR(IF($C893="",0,VLOOKUP($C893,'Ürün Kartları'!$B$5:$G$154,6,FALSE)*$G893),0)</f>
      </c>
      <c r="K893" s="11"/>
      <c r="L893" s="10"/>
      <c r="M893" s="21">
        <f>IF($C893="","",IF($K893=1,-($J893*0.5)-$L893,$H893-$I893-$J893-$L893))</f>
      </c>
      <c r="N893" s="22">
        <f>IF(OR($C893="",$H893=0),"",$M893/$H893)</f>
      </c>
    </row>
    <row r="894" spans="2:14" x14ac:dyDescent="0.25">
      <c r="B894" s="23"/>
      <c r="C894" s="12"/>
      <c r="D894" s="20">
        <f>IFERROR(IF($C894="","",VLOOKUP($C894,'Ürün Kartları'!$B$5:$C$154,2,FALSE)),"— tanımsız ürün —")</f>
      </c>
      <c r="E894" s="12"/>
      <c r="F894" s="14"/>
      <c r="G894" s="15"/>
      <c r="H894" s="16">
        <f>IF(OR($F894="",$G894=""),0,$F894*$G894)</f>
      </c>
      <c r="I894" s="16">
        <f>IFERROR(IF($E894="",0,$H894*VLOOKUP($E894,'Pazaryeri Kartları'!$B$5:$C$24,2,FALSE)+VLOOKUP($E894,'Pazaryeri Kartları'!$B$5:$D$24,3,FALSE)*$G894),0)</f>
      </c>
      <c r="J894" s="16">
        <f>IFERROR(IF($C894="",0,VLOOKUP($C894,'Ürün Kartları'!$B$5:$G$154,6,FALSE)*$G894),0)</f>
      </c>
      <c r="K894" s="15"/>
      <c r="L894" s="14"/>
      <c r="M894" s="21">
        <f>IF($C894="","",IF($K894=1,-($J894*0.5)-$L894,$H894-$I894-$J894-$L894))</f>
      </c>
      <c r="N894" s="22">
        <f>IF(OR($C894="",$H894=0),"",$M894/$H894)</f>
      </c>
    </row>
    <row r="895" spans="2:14" x14ac:dyDescent="0.25">
      <c r="B895" s="19"/>
      <c r="C895" s="8"/>
      <c r="D895" s="20">
        <f>IFERROR(IF($C895="","",VLOOKUP($C895,'Ürün Kartları'!$B$5:$C$154,2,FALSE)),"— tanımsız ürün —")</f>
      </c>
      <c r="E895" s="8"/>
      <c r="F895" s="10"/>
      <c r="G895" s="11"/>
      <c r="H895" s="16">
        <f>IF(OR($F895="",$G895=""),0,$F895*$G895)</f>
      </c>
      <c r="I895" s="16">
        <f>IFERROR(IF($E895="",0,$H895*VLOOKUP($E895,'Pazaryeri Kartları'!$B$5:$C$24,2,FALSE)+VLOOKUP($E895,'Pazaryeri Kartları'!$B$5:$D$24,3,FALSE)*$G895),0)</f>
      </c>
      <c r="J895" s="16">
        <f>IFERROR(IF($C895="",0,VLOOKUP($C895,'Ürün Kartları'!$B$5:$G$154,6,FALSE)*$G895),0)</f>
      </c>
      <c r="K895" s="11"/>
      <c r="L895" s="10"/>
      <c r="M895" s="21">
        <f>IF($C895="","",IF($K895=1,-($J895*0.5)-$L895,$H895-$I895-$J895-$L895))</f>
      </c>
      <c r="N895" s="22">
        <f>IF(OR($C895="",$H895=0),"",$M895/$H895)</f>
      </c>
    </row>
    <row r="896" spans="2:14" x14ac:dyDescent="0.25">
      <c r="B896" s="23"/>
      <c r="C896" s="12"/>
      <c r="D896" s="20">
        <f>IFERROR(IF($C896="","",VLOOKUP($C896,'Ürün Kartları'!$B$5:$C$154,2,FALSE)),"— tanımsız ürün —")</f>
      </c>
      <c r="E896" s="12"/>
      <c r="F896" s="14"/>
      <c r="G896" s="15"/>
      <c r="H896" s="16">
        <f>IF(OR($F896="",$G896=""),0,$F896*$G896)</f>
      </c>
      <c r="I896" s="16">
        <f>IFERROR(IF($E896="",0,$H896*VLOOKUP($E896,'Pazaryeri Kartları'!$B$5:$C$24,2,FALSE)+VLOOKUP($E896,'Pazaryeri Kartları'!$B$5:$D$24,3,FALSE)*$G896),0)</f>
      </c>
      <c r="J896" s="16">
        <f>IFERROR(IF($C896="",0,VLOOKUP($C896,'Ürün Kartları'!$B$5:$G$154,6,FALSE)*$G896),0)</f>
      </c>
      <c r="K896" s="15"/>
      <c r="L896" s="14"/>
      <c r="M896" s="21">
        <f>IF($C896="","",IF($K896=1,-($J896*0.5)-$L896,$H896-$I896-$J896-$L896))</f>
      </c>
      <c r="N896" s="22">
        <f>IF(OR($C896="",$H896=0),"",$M896/$H896)</f>
      </c>
    </row>
    <row r="897" spans="2:14" x14ac:dyDescent="0.25">
      <c r="B897" s="19"/>
      <c r="C897" s="8"/>
      <c r="D897" s="20">
        <f>IFERROR(IF($C897="","",VLOOKUP($C897,'Ürün Kartları'!$B$5:$C$154,2,FALSE)),"— tanımsız ürün —")</f>
      </c>
      <c r="E897" s="8"/>
      <c r="F897" s="10"/>
      <c r="G897" s="11"/>
      <c r="H897" s="16">
        <f>IF(OR($F897="",$G897=""),0,$F897*$G897)</f>
      </c>
      <c r="I897" s="16">
        <f>IFERROR(IF($E897="",0,$H897*VLOOKUP($E897,'Pazaryeri Kartları'!$B$5:$C$24,2,FALSE)+VLOOKUP($E897,'Pazaryeri Kartları'!$B$5:$D$24,3,FALSE)*$G897),0)</f>
      </c>
      <c r="J897" s="16">
        <f>IFERROR(IF($C897="",0,VLOOKUP($C897,'Ürün Kartları'!$B$5:$G$154,6,FALSE)*$G897),0)</f>
      </c>
      <c r="K897" s="11"/>
      <c r="L897" s="10"/>
      <c r="M897" s="21">
        <f>IF($C897="","",IF($K897=1,-($J897*0.5)-$L897,$H897-$I897-$J897-$L897))</f>
      </c>
      <c r="N897" s="22">
        <f>IF(OR($C897="",$H897=0),"",$M897/$H897)</f>
      </c>
    </row>
    <row r="898" spans="2:14" x14ac:dyDescent="0.25">
      <c r="B898" s="23"/>
      <c r="C898" s="12"/>
      <c r="D898" s="20">
        <f>IFERROR(IF($C898="","",VLOOKUP($C898,'Ürün Kartları'!$B$5:$C$154,2,FALSE)),"— tanımsız ürün —")</f>
      </c>
      <c r="E898" s="12"/>
      <c r="F898" s="14"/>
      <c r="G898" s="15"/>
      <c r="H898" s="16">
        <f>IF(OR($F898="",$G898=""),0,$F898*$G898)</f>
      </c>
      <c r="I898" s="16">
        <f>IFERROR(IF($E898="",0,$H898*VLOOKUP($E898,'Pazaryeri Kartları'!$B$5:$C$24,2,FALSE)+VLOOKUP($E898,'Pazaryeri Kartları'!$B$5:$D$24,3,FALSE)*$G898),0)</f>
      </c>
      <c r="J898" s="16">
        <f>IFERROR(IF($C898="",0,VLOOKUP($C898,'Ürün Kartları'!$B$5:$G$154,6,FALSE)*$G898),0)</f>
      </c>
      <c r="K898" s="15"/>
      <c r="L898" s="14"/>
      <c r="M898" s="21">
        <f>IF($C898="","",IF($K898=1,-($J898*0.5)-$L898,$H898-$I898-$J898-$L898))</f>
      </c>
      <c r="N898" s="22">
        <f>IF(OR($C898="",$H898=0),"",$M898/$H898)</f>
      </c>
    </row>
    <row r="899" spans="2:14" x14ac:dyDescent="0.25">
      <c r="B899" s="19"/>
      <c r="C899" s="8"/>
      <c r="D899" s="20">
        <f>IFERROR(IF($C899="","",VLOOKUP($C899,'Ürün Kartları'!$B$5:$C$154,2,FALSE)),"— tanımsız ürün —")</f>
      </c>
      <c r="E899" s="8"/>
      <c r="F899" s="10"/>
      <c r="G899" s="11"/>
      <c r="H899" s="16">
        <f>IF(OR($F899="",$G899=""),0,$F899*$G899)</f>
      </c>
      <c r="I899" s="16">
        <f>IFERROR(IF($E899="",0,$H899*VLOOKUP($E899,'Pazaryeri Kartları'!$B$5:$C$24,2,FALSE)+VLOOKUP($E899,'Pazaryeri Kartları'!$B$5:$D$24,3,FALSE)*$G899),0)</f>
      </c>
      <c r="J899" s="16">
        <f>IFERROR(IF($C899="",0,VLOOKUP($C899,'Ürün Kartları'!$B$5:$G$154,6,FALSE)*$G899),0)</f>
      </c>
      <c r="K899" s="11"/>
      <c r="L899" s="10"/>
      <c r="M899" s="21">
        <f>IF($C899="","",IF($K899=1,-($J899*0.5)-$L899,$H899-$I899-$J899-$L899))</f>
      </c>
      <c r="N899" s="22">
        <f>IF(OR($C899="",$H899=0),"",$M899/$H899)</f>
      </c>
    </row>
    <row r="900" spans="2:14" x14ac:dyDescent="0.25">
      <c r="B900" s="23"/>
      <c r="C900" s="12"/>
      <c r="D900" s="20">
        <f>IFERROR(IF($C900="","",VLOOKUP($C900,'Ürün Kartları'!$B$5:$C$154,2,FALSE)),"— tanımsız ürün —")</f>
      </c>
      <c r="E900" s="12"/>
      <c r="F900" s="14"/>
      <c r="G900" s="15"/>
      <c r="H900" s="16">
        <f>IF(OR($F900="",$G900=""),0,$F900*$G900)</f>
      </c>
      <c r="I900" s="16">
        <f>IFERROR(IF($E900="",0,$H900*VLOOKUP($E900,'Pazaryeri Kartları'!$B$5:$C$24,2,FALSE)+VLOOKUP($E900,'Pazaryeri Kartları'!$B$5:$D$24,3,FALSE)*$G900),0)</f>
      </c>
      <c r="J900" s="16">
        <f>IFERROR(IF($C900="",0,VLOOKUP($C900,'Ürün Kartları'!$B$5:$G$154,6,FALSE)*$G900),0)</f>
      </c>
      <c r="K900" s="15"/>
      <c r="L900" s="14"/>
      <c r="M900" s="21">
        <f>IF($C900="","",IF($K900=1,-($J900*0.5)-$L900,$H900-$I900-$J900-$L900))</f>
      </c>
      <c r="N900" s="22">
        <f>IF(OR($C900="",$H900=0),"",$M900/$H900)</f>
      </c>
    </row>
    <row r="901" spans="2:14" x14ac:dyDescent="0.25">
      <c r="B901" s="19"/>
      <c r="C901" s="8"/>
      <c r="D901" s="20">
        <f>IFERROR(IF($C901="","",VLOOKUP($C901,'Ürün Kartları'!$B$5:$C$154,2,FALSE)),"— tanımsız ürün —")</f>
      </c>
      <c r="E901" s="8"/>
      <c r="F901" s="10"/>
      <c r="G901" s="11"/>
      <c r="H901" s="16">
        <f>IF(OR($F901="",$G901=""),0,$F901*$G901)</f>
      </c>
      <c r="I901" s="16">
        <f>IFERROR(IF($E901="",0,$H901*VLOOKUP($E901,'Pazaryeri Kartları'!$B$5:$C$24,2,FALSE)+VLOOKUP($E901,'Pazaryeri Kartları'!$B$5:$D$24,3,FALSE)*$G901),0)</f>
      </c>
      <c r="J901" s="16">
        <f>IFERROR(IF($C901="",0,VLOOKUP($C901,'Ürün Kartları'!$B$5:$G$154,6,FALSE)*$G901),0)</f>
      </c>
      <c r="K901" s="11"/>
      <c r="L901" s="10"/>
      <c r="M901" s="21">
        <f>IF($C901="","",IF($K901=1,-($J901*0.5)-$L901,$H901-$I901-$J901-$L901))</f>
      </c>
      <c r="N901" s="22">
        <f>IF(OR($C901="",$H901=0),"",$M901/$H901)</f>
      </c>
    </row>
    <row r="902" spans="2:14" x14ac:dyDescent="0.25">
      <c r="B902" s="23"/>
      <c r="C902" s="12"/>
      <c r="D902" s="20">
        <f>IFERROR(IF($C902="","",VLOOKUP($C902,'Ürün Kartları'!$B$5:$C$154,2,FALSE)),"— tanımsız ürün —")</f>
      </c>
      <c r="E902" s="12"/>
      <c r="F902" s="14"/>
      <c r="G902" s="15"/>
      <c r="H902" s="16">
        <f>IF(OR($F902="",$G902=""),0,$F902*$G902)</f>
      </c>
      <c r="I902" s="16">
        <f>IFERROR(IF($E902="",0,$H902*VLOOKUP($E902,'Pazaryeri Kartları'!$B$5:$C$24,2,FALSE)+VLOOKUP($E902,'Pazaryeri Kartları'!$B$5:$D$24,3,FALSE)*$G902),0)</f>
      </c>
      <c r="J902" s="16">
        <f>IFERROR(IF($C902="",0,VLOOKUP($C902,'Ürün Kartları'!$B$5:$G$154,6,FALSE)*$G902),0)</f>
      </c>
      <c r="K902" s="15"/>
      <c r="L902" s="14"/>
      <c r="M902" s="21">
        <f>IF($C902="","",IF($K902=1,-($J902*0.5)-$L902,$H902-$I902-$J902-$L902))</f>
      </c>
      <c r="N902" s="22">
        <f>IF(OR($C902="",$H902=0),"",$M902/$H902)</f>
      </c>
    </row>
    <row r="903" spans="2:14" x14ac:dyDescent="0.25">
      <c r="B903" s="19"/>
      <c r="C903" s="8"/>
      <c r="D903" s="20">
        <f>IFERROR(IF($C903="","",VLOOKUP($C903,'Ürün Kartları'!$B$5:$C$154,2,FALSE)),"— tanımsız ürün —")</f>
      </c>
      <c r="E903" s="8"/>
      <c r="F903" s="10"/>
      <c r="G903" s="11"/>
      <c r="H903" s="16">
        <f>IF(OR($F903="",$G903=""),0,$F903*$G903)</f>
      </c>
      <c r="I903" s="16">
        <f>IFERROR(IF($E903="",0,$H903*VLOOKUP($E903,'Pazaryeri Kartları'!$B$5:$C$24,2,FALSE)+VLOOKUP($E903,'Pazaryeri Kartları'!$B$5:$D$24,3,FALSE)*$G903),0)</f>
      </c>
      <c r="J903" s="16">
        <f>IFERROR(IF($C903="",0,VLOOKUP($C903,'Ürün Kartları'!$B$5:$G$154,6,FALSE)*$G903),0)</f>
      </c>
      <c r="K903" s="11"/>
      <c r="L903" s="10"/>
      <c r="M903" s="21">
        <f>IF($C903="","",IF($K903=1,-($J903*0.5)-$L903,$H903-$I903-$J903-$L903))</f>
      </c>
      <c r="N903" s="22">
        <f>IF(OR($C903="",$H903=0),"",$M903/$H903)</f>
      </c>
    </row>
    <row r="904" spans="2:14" x14ac:dyDescent="0.25">
      <c r="B904" s="23"/>
      <c r="C904" s="12"/>
      <c r="D904" s="20">
        <f>IFERROR(IF($C904="","",VLOOKUP($C904,'Ürün Kartları'!$B$5:$C$154,2,FALSE)),"— tanımsız ürün —")</f>
      </c>
      <c r="E904" s="12"/>
      <c r="F904" s="14"/>
      <c r="G904" s="15"/>
      <c r="H904" s="16">
        <f>IF(OR($F904="",$G904=""),0,$F904*$G904)</f>
      </c>
      <c r="I904" s="16">
        <f>IFERROR(IF($E904="",0,$H904*VLOOKUP($E904,'Pazaryeri Kartları'!$B$5:$C$24,2,FALSE)+VLOOKUP($E904,'Pazaryeri Kartları'!$B$5:$D$24,3,FALSE)*$G904),0)</f>
      </c>
      <c r="J904" s="16">
        <f>IFERROR(IF($C904="",0,VLOOKUP($C904,'Ürün Kartları'!$B$5:$G$154,6,FALSE)*$G904),0)</f>
      </c>
      <c r="K904" s="15"/>
      <c r="L904" s="14"/>
      <c r="M904" s="21">
        <f>IF($C904="","",IF($K904=1,-($J904*0.5)-$L904,$H904-$I904-$J904-$L904))</f>
      </c>
      <c r="N904" s="22">
        <f>IF(OR($C904="",$H904=0),"",$M904/$H904)</f>
      </c>
    </row>
    <row r="905" spans="2:14" x14ac:dyDescent="0.25">
      <c r="B905" s="19"/>
      <c r="C905" s="8"/>
      <c r="D905" s="20">
        <f>IFERROR(IF($C905="","",VLOOKUP($C905,'Ürün Kartları'!$B$5:$C$154,2,FALSE)),"— tanımsız ürün —")</f>
      </c>
      <c r="E905" s="8"/>
      <c r="F905" s="10"/>
      <c r="G905" s="11"/>
      <c r="H905" s="16">
        <f>IF(OR($F905="",$G905=""),0,$F905*$G905)</f>
      </c>
      <c r="I905" s="16">
        <f>IFERROR(IF($E905="",0,$H905*VLOOKUP($E905,'Pazaryeri Kartları'!$B$5:$C$24,2,FALSE)+VLOOKUP($E905,'Pazaryeri Kartları'!$B$5:$D$24,3,FALSE)*$G905),0)</f>
      </c>
      <c r="J905" s="16">
        <f>IFERROR(IF($C905="",0,VLOOKUP($C905,'Ürün Kartları'!$B$5:$G$154,6,FALSE)*$G905),0)</f>
      </c>
      <c r="K905" s="11"/>
      <c r="L905" s="10"/>
      <c r="M905" s="21">
        <f>IF($C905="","",IF($K905=1,-($J905*0.5)-$L905,$H905-$I905-$J905-$L905))</f>
      </c>
      <c r="N905" s="22">
        <f>IF(OR($C905="",$H905=0),"",$M905/$H905)</f>
      </c>
    </row>
    <row r="906" spans="2:14" x14ac:dyDescent="0.25">
      <c r="B906" s="23"/>
      <c r="C906" s="12"/>
      <c r="D906" s="20">
        <f>IFERROR(IF($C906="","",VLOOKUP($C906,'Ürün Kartları'!$B$5:$C$154,2,FALSE)),"— tanımsız ürün —")</f>
      </c>
      <c r="E906" s="12"/>
      <c r="F906" s="14"/>
      <c r="G906" s="15"/>
      <c r="H906" s="16">
        <f>IF(OR($F906="",$G906=""),0,$F906*$G906)</f>
      </c>
      <c r="I906" s="16">
        <f>IFERROR(IF($E906="",0,$H906*VLOOKUP($E906,'Pazaryeri Kartları'!$B$5:$C$24,2,FALSE)+VLOOKUP($E906,'Pazaryeri Kartları'!$B$5:$D$24,3,FALSE)*$G906),0)</f>
      </c>
      <c r="J906" s="16">
        <f>IFERROR(IF($C906="",0,VLOOKUP($C906,'Ürün Kartları'!$B$5:$G$154,6,FALSE)*$G906),0)</f>
      </c>
      <c r="K906" s="15"/>
      <c r="L906" s="14"/>
      <c r="M906" s="21">
        <f>IF($C906="","",IF($K906=1,-($J906*0.5)-$L906,$H906-$I906-$J906-$L906))</f>
      </c>
      <c r="N906" s="22">
        <f>IF(OR($C906="",$H906=0),"",$M906/$H906)</f>
      </c>
    </row>
    <row r="907" spans="2:14" x14ac:dyDescent="0.25">
      <c r="B907" s="19"/>
      <c r="C907" s="8"/>
      <c r="D907" s="20">
        <f>IFERROR(IF($C907="","",VLOOKUP($C907,'Ürün Kartları'!$B$5:$C$154,2,FALSE)),"— tanımsız ürün —")</f>
      </c>
      <c r="E907" s="8"/>
      <c r="F907" s="10"/>
      <c r="G907" s="11"/>
      <c r="H907" s="16">
        <f>IF(OR($F907="",$G907=""),0,$F907*$G907)</f>
      </c>
      <c r="I907" s="16">
        <f>IFERROR(IF($E907="",0,$H907*VLOOKUP($E907,'Pazaryeri Kartları'!$B$5:$C$24,2,FALSE)+VLOOKUP($E907,'Pazaryeri Kartları'!$B$5:$D$24,3,FALSE)*$G907),0)</f>
      </c>
      <c r="J907" s="16">
        <f>IFERROR(IF($C907="",0,VLOOKUP($C907,'Ürün Kartları'!$B$5:$G$154,6,FALSE)*$G907),0)</f>
      </c>
      <c r="K907" s="11"/>
      <c r="L907" s="10"/>
      <c r="M907" s="21">
        <f>IF($C907="","",IF($K907=1,-($J907*0.5)-$L907,$H907-$I907-$J907-$L907))</f>
      </c>
      <c r="N907" s="22">
        <f>IF(OR($C907="",$H907=0),"",$M907/$H907)</f>
      </c>
    </row>
    <row r="908" spans="2:14" x14ac:dyDescent="0.25">
      <c r="B908" s="23"/>
      <c r="C908" s="12"/>
      <c r="D908" s="20">
        <f>IFERROR(IF($C908="","",VLOOKUP($C908,'Ürün Kartları'!$B$5:$C$154,2,FALSE)),"— tanımsız ürün —")</f>
      </c>
      <c r="E908" s="12"/>
      <c r="F908" s="14"/>
      <c r="G908" s="15"/>
      <c r="H908" s="16">
        <f>IF(OR($F908="",$G908=""),0,$F908*$G908)</f>
      </c>
      <c r="I908" s="16">
        <f>IFERROR(IF($E908="",0,$H908*VLOOKUP($E908,'Pazaryeri Kartları'!$B$5:$C$24,2,FALSE)+VLOOKUP($E908,'Pazaryeri Kartları'!$B$5:$D$24,3,FALSE)*$G908),0)</f>
      </c>
      <c r="J908" s="16">
        <f>IFERROR(IF($C908="",0,VLOOKUP($C908,'Ürün Kartları'!$B$5:$G$154,6,FALSE)*$G908),0)</f>
      </c>
      <c r="K908" s="15"/>
      <c r="L908" s="14"/>
      <c r="M908" s="21">
        <f>IF($C908="","",IF($K908=1,-($J908*0.5)-$L908,$H908-$I908-$J908-$L908))</f>
      </c>
      <c r="N908" s="22">
        <f>IF(OR($C908="",$H908=0),"",$M908/$H908)</f>
      </c>
    </row>
    <row r="909" spans="2:14" x14ac:dyDescent="0.25">
      <c r="B909" s="19"/>
      <c r="C909" s="8"/>
      <c r="D909" s="20">
        <f>IFERROR(IF($C909="","",VLOOKUP($C909,'Ürün Kartları'!$B$5:$C$154,2,FALSE)),"— tanımsız ürün —")</f>
      </c>
      <c r="E909" s="8"/>
      <c r="F909" s="10"/>
      <c r="G909" s="11"/>
      <c r="H909" s="16">
        <f>IF(OR($F909="",$G909=""),0,$F909*$G909)</f>
      </c>
      <c r="I909" s="16">
        <f>IFERROR(IF($E909="",0,$H909*VLOOKUP($E909,'Pazaryeri Kartları'!$B$5:$C$24,2,FALSE)+VLOOKUP($E909,'Pazaryeri Kartları'!$B$5:$D$24,3,FALSE)*$G909),0)</f>
      </c>
      <c r="J909" s="16">
        <f>IFERROR(IF($C909="",0,VLOOKUP($C909,'Ürün Kartları'!$B$5:$G$154,6,FALSE)*$G909),0)</f>
      </c>
      <c r="K909" s="11"/>
      <c r="L909" s="10"/>
      <c r="M909" s="21">
        <f>IF($C909="","",IF($K909=1,-($J909*0.5)-$L909,$H909-$I909-$J909-$L909))</f>
      </c>
      <c r="N909" s="22">
        <f>IF(OR($C909="",$H909=0),"",$M909/$H909)</f>
      </c>
    </row>
    <row r="910" spans="2:14" x14ac:dyDescent="0.25">
      <c r="B910" s="23"/>
      <c r="C910" s="12"/>
      <c r="D910" s="20">
        <f>IFERROR(IF($C910="","",VLOOKUP($C910,'Ürün Kartları'!$B$5:$C$154,2,FALSE)),"— tanımsız ürün —")</f>
      </c>
      <c r="E910" s="12"/>
      <c r="F910" s="14"/>
      <c r="G910" s="15"/>
      <c r="H910" s="16">
        <f>IF(OR($F910="",$G910=""),0,$F910*$G910)</f>
      </c>
      <c r="I910" s="16">
        <f>IFERROR(IF($E910="",0,$H910*VLOOKUP($E910,'Pazaryeri Kartları'!$B$5:$C$24,2,FALSE)+VLOOKUP($E910,'Pazaryeri Kartları'!$B$5:$D$24,3,FALSE)*$G910),0)</f>
      </c>
      <c r="J910" s="16">
        <f>IFERROR(IF($C910="",0,VLOOKUP($C910,'Ürün Kartları'!$B$5:$G$154,6,FALSE)*$G910),0)</f>
      </c>
      <c r="K910" s="15"/>
      <c r="L910" s="14"/>
      <c r="M910" s="21">
        <f>IF($C910="","",IF($K910=1,-($J910*0.5)-$L910,$H910-$I910-$J910-$L910))</f>
      </c>
      <c r="N910" s="22">
        <f>IF(OR($C910="",$H910=0),"",$M910/$H910)</f>
      </c>
    </row>
    <row r="911" spans="2:14" x14ac:dyDescent="0.25">
      <c r="B911" s="19"/>
      <c r="C911" s="8"/>
      <c r="D911" s="20">
        <f>IFERROR(IF($C911="","",VLOOKUP($C911,'Ürün Kartları'!$B$5:$C$154,2,FALSE)),"— tanımsız ürün —")</f>
      </c>
      <c r="E911" s="8"/>
      <c r="F911" s="10"/>
      <c r="G911" s="11"/>
      <c r="H911" s="16">
        <f>IF(OR($F911="",$G911=""),0,$F911*$G911)</f>
      </c>
      <c r="I911" s="16">
        <f>IFERROR(IF($E911="",0,$H911*VLOOKUP($E911,'Pazaryeri Kartları'!$B$5:$C$24,2,FALSE)+VLOOKUP($E911,'Pazaryeri Kartları'!$B$5:$D$24,3,FALSE)*$G911),0)</f>
      </c>
      <c r="J911" s="16">
        <f>IFERROR(IF($C911="",0,VLOOKUP($C911,'Ürün Kartları'!$B$5:$G$154,6,FALSE)*$G911),0)</f>
      </c>
      <c r="K911" s="11"/>
      <c r="L911" s="10"/>
      <c r="M911" s="21">
        <f>IF($C911="","",IF($K911=1,-($J911*0.5)-$L911,$H911-$I911-$J911-$L911))</f>
      </c>
      <c r="N911" s="22">
        <f>IF(OR($C911="",$H911=0),"",$M911/$H911)</f>
      </c>
    </row>
    <row r="912" spans="2:14" x14ac:dyDescent="0.25">
      <c r="B912" s="23"/>
      <c r="C912" s="12"/>
      <c r="D912" s="20">
        <f>IFERROR(IF($C912="","",VLOOKUP($C912,'Ürün Kartları'!$B$5:$C$154,2,FALSE)),"— tanımsız ürün —")</f>
      </c>
      <c r="E912" s="12"/>
      <c r="F912" s="14"/>
      <c r="G912" s="15"/>
      <c r="H912" s="16">
        <f>IF(OR($F912="",$G912=""),0,$F912*$G912)</f>
      </c>
      <c r="I912" s="16">
        <f>IFERROR(IF($E912="",0,$H912*VLOOKUP($E912,'Pazaryeri Kartları'!$B$5:$C$24,2,FALSE)+VLOOKUP($E912,'Pazaryeri Kartları'!$B$5:$D$24,3,FALSE)*$G912),0)</f>
      </c>
      <c r="J912" s="16">
        <f>IFERROR(IF($C912="",0,VLOOKUP($C912,'Ürün Kartları'!$B$5:$G$154,6,FALSE)*$G912),0)</f>
      </c>
      <c r="K912" s="15"/>
      <c r="L912" s="14"/>
      <c r="M912" s="21">
        <f>IF($C912="","",IF($K912=1,-($J912*0.5)-$L912,$H912-$I912-$J912-$L912))</f>
      </c>
      <c r="N912" s="22">
        <f>IF(OR($C912="",$H912=0),"",$M912/$H912)</f>
      </c>
    </row>
    <row r="913" spans="2:14" x14ac:dyDescent="0.25">
      <c r="B913" s="19"/>
      <c r="C913" s="8"/>
      <c r="D913" s="20">
        <f>IFERROR(IF($C913="","",VLOOKUP($C913,'Ürün Kartları'!$B$5:$C$154,2,FALSE)),"— tanımsız ürün —")</f>
      </c>
      <c r="E913" s="8"/>
      <c r="F913" s="10"/>
      <c r="G913" s="11"/>
      <c r="H913" s="16">
        <f>IF(OR($F913="",$G913=""),0,$F913*$G913)</f>
      </c>
      <c r="I913" s="16">
        <f>IFERROR(IF($E913="",0,$H913*VLOOKUP($E913,'Pazaryeri Kartları'!$B$5:$C$24,2,FALSE)+VLOOKUP($E913,'Pazaryeri Kartları'!$B$5:$D$24,3,FALSE)*$G913),0)</f>
      </c>
      <c r="J913" s="16">
        <f>IFERROR(IF($C913="",0,VLOOKUP($C913,'Ürün Kartları'!$B$5:$G$154,6,FALSE)*$G913),0)</f>
      </c>
      <c r="K913" s="11"/>
      <c r="L913" s="10"/>
      <c r="M913" s="21">
        <f>IF($C913="","",IF($K913=1,-($J913*0.5)-$L913,$H913-$I913-$J913-$L913))</f>
      </c>
      <c r="N913" s="22">
        <f>IF(OR($C913="",$H913=0),"",$M913/$H913)</f>
      </c>
    </row>
    <row r="914" spans="2:14" x14ac:dyDescent="0.25">
      <c r="B914" s="23"/>
      <c r="C914" s="12"/>
      <c r="D914" s="20">
        <f>IFERROR(IF($C914="","",VLOOKUP($C914,'Ürün Kartları'!$B$5:$C$154,2,FALSE)),"— tanımsız ürün —")</f>
      </c>
      <c r="E914" s="12"/>
      <c r="F914" s="14"/>
      <c r="G914" s="15"/>
      <c r="H914" s="16">
        <f>IF(OR($F914="",$G914=""),0,$F914*$G914)</f>
      </c>
      <c r="I914" s="16">
        <f>IFERROR(IF($E914="",0,$H914*VLOOKUP($E914,'Pazaryeri Kartları'!$B$5:$C$24,2,FALSE)+VLOOKUP($E914,'Pazaryeri Kartları'!$B$5:$D$24,3,FALSE)*$G914),0)</f>
      </c>
      <c r="J914" s="16">
        <f>IFERROR(IF($C914="",0,VLOOKUP($C914,'Ürün Kartları'!$B$5:$G$154,6,FALSE)*$G914),0)</f>
      </c>
      <c r="K914" s="15"/>
      <c r="L914" s="14"/>
      <c r="M914" s="21">
        <f>IF($C914="","",IF($K914=1,-($J914*0.5)-$L914,$H914-$I914-$J914-$L914))</f>
      </c>
      <c r="N914" s="22">
        <f>IF(OR($C914="",$H914=0),"",$M914/$H914)</f>
      </c>
    </row>
    <row r="915" spans="2:14" x14ac:dyDescent="0.25">
      <c r="B915" s="19"/>
      <c r="C915" s="8"/>
      <c r="D915" s="20">
        <f>IFERROR(IF($C915="","",VLOOKUP($C915,'Ürün Kartları'!$B$5:$C$154,2,FALSE)),"— tanımsız ürün —")</f>
      </c>
      <c r="E915" s="8"/>
      <c r="F915" s="10"/>
      <c r="G915" s="11"/>
      <c r="H915" s="16">
        <f>IF(OR($F915="",$G915=""),0,$F915*$G915)</f>
      </c>
      <c r="I915" s="16">
        <f>IFERROR(IF($E915="",0,$H915*VLOOKUP($E915,'Pazaryeri Kartları'!$B$5:$C$24,2,FALSE)+VLOOKUP($E915,'Pazaryeri Kartları'!$B$5:$D$24,3,FALSE)*$G915),0)</f>
      </c>
      <c r="J915" s="16">
        <f>IFERROR(IF($C915="",0,VLOOKUP($C915,'Ürün Kartları'!$B$5:$G$154,6,FALSE)*$G915),0)</f>
      </c>
      <c r="K915" s="11"/>
      <c r="L915" s="10"/>
      <c r="M915" s="21">
        <f>IF($C915="","",IF($K915=1,-($J915*0.5)-$L915,$H915-$I915-$J915-$L915))</f>
      </c>
      <c r="N915" s="22">
        <f>IF(OR($C915="",$H915=0),"",$M915/$H915)</f>
      </c>
    </row>
    <row r="916" spans="2:14" x14ac:dyDescent="0.25">
      <c r="B916" s="23"/>
      <c r="C916" s="12"/>
      <c r="D916" s="20">
        <f>IFERROR(IF($C916="","",VLOOKUP($C916,'Ürün Kartları'!$B$5:$C$154,2,FALSE)),"— tanımsız ürün —")</f>
      </c>
      <c r="E916" s="12"/>
      <c r="F916" s="14"/>
      <c r="G916" s="15"/>
      <c r="H916" s="16">
        <f>IF(OR($F916="",$G916=""),0,$F916*$G916)</f>
      </c>
      <c r="I916" s="16">
        <f>IFERROR(IF($E916="",0,$H916*VLOOKUP($E916,'Pazaryeri Kartları'!$B$5:$C$24,2,FALSE)+VLOOKUP($E916,'Pazaryeri Kartları'!$B$5:$D$24,3,FALSE)*$G916),0)</f>
      </c>
      <c r="J916" s="16">
        <f>IFERROR(IF($C916="",0,VLOOKUP($C916,'Ürün Kartları'!$B$5:$G$154,6,FALSE)*$G916),0)</f>
      </c>
      <c r="K916" s="15"/>
      <c r="L916" s="14"/>
      <c r="M916" s="21">
        <f>IF($C916="","",IF($K916=1,-($J916*0.5)-$L916,$H916-$I916-$J916-$L916))</f>
      </c>
      <c r="N916" s="22">
        <f>IF(OR($C916="",$H916=0),"",$M916/$H916)</f>
      </c>
    </row>
    <row r="917" spans="2:14" x14ac:dyDescent="0.25">
      <c r="B917" s="19"/>
      <c r="C917" s="8"/>
      <c r="D917" s="20">
        <f>IFERROR(IF($C917="","",VLOOKUP($C917,'Ürün Kartları'!$B$5:$C$154,2,FALSE)),"— tanımsız ürün —")</f>
      </c>
      <c r="E917" s="8"/>
      <c r="F917" s="10"/>
      <c r="G917" s="11"/>
      <c r="H917" s="16">
        <f>IF(OR($F917="",$G917=""),0,$F917*$G917)</f>
      </c>
      <c r="I917" s="16">
        <f>IFERROR(IF($E917="",0,$H917*VLOOKUP($E917,'Pazaryeri Kartları'!$B$5:$C$24,2,FALSE)+VLOOKUP($E917,'Pazaryeri Kartları'!$B$5:$D$24,3,FALSE)*$G917),0)</f>
      </c>
      <c r="J917" s="16">
        <f>IFERROR(IF($C917="",0,VLOOKUP($C917,'Ürün Kartları'!$B$5:$G$154,6,FALSE)*$G917),0)</f>
      </c>
      <c r="K917" s="11"/>
      <c r="L917" s="10"/>
      <c r="M917" s="21">
        <f>IF($C917="","",IF($K917=1,-($J917*0.5)-$L917,$H917-$I917-$J917-$L917))</f>
      </c>
      <c r="N917" s="22">
        <f>IF(OR($C917="",$H917=0),"",$M917/$H917)</f>
      </c>
    </row>
    <row r="918" spans="2:14" x14ac:dyDescent="0.25">
      <c r="B918" s="23"/>
      <c r="C918" s="12"/>
      <c r="D918" s="20">
        <f>IFERROR(IF($C918="","",VLOOKUP($C918,'Ürün Kartları'!$B$5:$C$154,2,FALSE)),"— tanımsız ürün —")</f>
      </c>
      <c r="E918" s="12"/>
      <c r="F918" s="14"/>
      <c r="G918" s="15"/>
      <c r="H918" s="16">
        <f>IF(OR($F918="",$G918=""),0,$F918*$G918)</f>
      </c>
      <c r="I918" s="16">
        <f>IFERROR(IF($E918="",0,$H918*VLOOKUP($E918,'Pazaryeri Kartları'!$B$5:$C$24,2,FALSE)+VLOOKUP($E918,'Pazaryeri Kartları'!$B$5:$D$24,3,FALSE)*$G918),0)</f>
      </c>
      <c r="J918" s="16">
        <f>IFERROR(IF($C918="",0,VLOOKUP($C918,'Ürün Kartları'!$B$5:$G$154,6,FALSE)*$G918),0)</f>
      </c>
      <c r="K918" s="15"/>
      <c r="L918" s="14"/>
      <c r="M918" s="21">
        <f>IF($C918="","",IF($K918=1,-($J918*0.5)-$L918,$H918-$I918-$J918-$L918))</f>
      </c>
      <c r="N918" s="22">
        <f>IF(OR($C918="",$H918=0),"",$M918/$H918)</f>
      </c>
    </row>
    <row r="919" spans="2:14" x14ac:dyDescent="0.25">
      <c r="B919" s="19"/>
      <c r="C919" s="8"/>
      <c r="D919" s="20">
        <f>IFERROR(IF($C919="","",VLOOKUP($C919,'Ürün Kartları'!$B$5:$C$154,2,FALSE)),"— tanımsız ürün —")</f>
      </c>
      <c r="E919" s="8"/>
      <c r="F919" s="10"/>
      <c r="G919" s="11"/>
      <c r="H919" s="16">
        <f>IF(OR($F919="",$G919=""),0,$F919*$G919)</f>
      </c>
      <c r="I919" s="16">
        <f>IFERROR(IF($E919="",0,$H919*VLOOKUP($E919,'Pazaryeri Kartları'!$B$5:$C$24,2,FALSE)+VLOOKUP($E919,'Pazaryeri Kartları'!$B$5:$D$24,3,FALSE)*$G919),0)</f>
      </c>
      <c r="J919" s="16">
        <f>IFERROR(IF($C919="",0,VLOOKUP($C919,'Ürün Kartları'!$B$5:$G$154,6,FALSE)*$G919),0)</f>
      </c>
      <c r="K919" s="11"/>
      <c r="L919" s="10"/>
      <c r="M919" s="21">
        <f>IF($C919="","",IF($K919=1,-($J919*0.5)-$L919,$H919-$I919-$J919-$L919))</f>
      </c>
      <c r="N919" s="22">
        <f>IF(OR($C919="",$H919=0),"",$M919/$H919)</f>
      </c>
    </row>
    <row r="920" spans="2:14" x14ac:dyDescent="0.25">
      <c r="B920" s="23"/>
      <c r="C920" s="12"/>
      <c r="D920" s="20">
        <f>IFERROR(IF($C920="","",VLOOKUP($C920,'Ürün Kartları'!$B$5:$C$154,2,FALSE)),"— tanımsız ürün —")</f>
      </c>
      <c r="E920" s="12"/>
      <c r="F920" s="14"/>
      <c r="G920" s="15"/>
      <c r="H920" s="16">
        <f>IF(OR($F920="",$G920=""),0,$F920*$G920)</f>
      </c>
      <c r="I920" s="16">
        <f>IFERROR(IF($E920="",0,$H920*VLOOKUP($E920,'Pazaryeri Kartları'!$B$5:$C$24,2,FALSE)+VLOOKUP($E920,'Pazaryeri Kartları'!$B$5:$D$24,3,FALSE)*$G920),0)</f>
      </c>
      <c r="J920" s="16">
        <f>IFERROR(IF($C920="",0,VLOOKUP($C920,'Ürün Kartları'!$B$5:$G$154,6,FALSE)*$G920),0)</f>
      </c>
      <c r="K920" s="15"/>
      <c r="L920" s="14"/>
      <c r="M920" s="21">
        <f>IF($C920="","",IF($K920=1,-($J920*0.5)-$L920,$H920-$I920-$J920-$L920))</f>
      </c>
      <c r="N920" s="22">
        <f>IF(OR($C920="",$H920=0),"",$M920/$H920)</f>
      </c>
    </row>
    <row r="921" spans="2:14" x14ac:dyDescent="0.25">
      <c r="B921" s="19"/>
      <c r="C921" s="8"/>
      <c r="D921" s="20">
        <f>IFERROR(IF($C921="","",VLOOKUP($C921,'Ürün Kartları'!$B$5:$C$154,2,FALSE)),"— tanımsız ürün —")</f>
      </c>
      <c r="E921" s="8"/>
      <c r="F921" s="10"/>
      <c r="G921" s="11"/>
      <c r="H921" s="16">
        <f>IF(OR($F921="",$G921=""),0,$F921*$G921)</f>
      </c>
      <c r="I921" s="16">
        <f>IFERROR(IF($E921="",0,$H921*VLOOKUP($E921,'Pazaryeri Kartları'!$B$5:$C$24,2,FALSE)+VLOOKUP($E921,'Pazaryeri Kartları'!$B$5:$D$24,3,FALSE)*$G921),0)</f>
      </c>
      <c r="J921" s="16">
        <f>IFERROR(IF($C921="",0,VLOOKUP($C921,'Ürün Kartları'!$B$5:$G$154,6,FALSE)*$G921),0)</f>
      </c>
      <c r="K921" s="11"/>
      <c r="L921" s="10"/>
      <c r="M921" s="21">
        <f>IF($C921="","",IF($K921=1,-($J921*0.5)-$L921,$H921-$I921-$J921-$L921))</f>
      </c>
      <c r="N921" s="22">
        <f>IF(OR($C921="",$H921=0),"",$M921/$H921)</f>
      </c>
    </row>
    <row r="922" spans="2:14" x14ac:dyDescent="0.25">
      <c r="B922" s="23"/>
      <c r="C922" s="12"/>
      <c r="D922" s="20">
        <f>IFERROR(IF($C922="","",VLOOKUP($C922,'Ürün Kartları'!$B$5:$C$154,2,FALSE)),"— tanımsız ürün —")</f>
      </c>
      <c r="E922" s="12"/>
      <c r="F922" s="14"/>
      <c r="G922" s="15"/>
      <c r="H922" s="16">
        <f>IF(OR($F922="",$G922=""),0,$F922*$G922)</f>
      </c>
      <c r="I922" s="16">
        <f>IFERROR(IF($E922="",0,$H922*VLOOKUP($E922,'Pazaryeri Kartları'!$B$5:$C$24,2,FALSE)+VLOOKUP($E922,'Pazaryeri Kartları'!$B$5:$D$24,3,FALSE)*$G922),0)</f>
      </c>
      <c r="J922" s="16">
        <f>IFERROR(IF($C922="",0,VLOOKUP($C922,'Ürün Kartları'!$B$5:$G$154,6,FALSE)*$G922),0)</f>
      </c>
      <c r="K922" s="15"/>
      <c r="L922" s="14"/>
      <c r="M922" s="21">
        <f>IF($C922="","",IF($K922=1,-($J922*0.5)-$L922,$H922-$I922-$J922-$L922))</f>
      </c>
      <c r="N922" s="22">
        <f>IF(OR($C922="",$H922=0),"",$M922/$H922)</f>
      </c>
    </row>
    <row r="923" spans="2:14" x14ac:dyDescent="0.25">
      <c r="B923" s="19"/>
      <c r="C923" s="8"/>
      <c r="D923" s="20">
        <f>IFERROR(IF($C923="","",VLOOKUP($C923,'Ürün Kartları'!$B$5:$C$154,2,FALSE)),"— tanımsız ürün —")</f>
      </c>
      <c r="E923" s="8"/>
      <c r="F923" s="10"/>
      <c r="G923" s="11"/>
      <c r="H923" s="16">
        <f>IF(OR($F923="",$G923=""),0,$F923*$G923)</f>
      </c>
      <c r="I923" s="16">
        <f>IFERROR(IF($E923="",0,$H923*VLOOKUP($E923,'Pazaryeri Kartları'!$B$5:$C$24,2,FALSE)+VLOOKUP($E923,'Pazaryeri Kartları'!$B$5:$D$24,3,FALSE)*$G923),0)</f>
      </c>
      <c r="J923" s="16">
        <f>IFERROR(IF($C923="",0,VLOOKUP($C923,'Ürün Kartları'!$B$5:$G$154,6,FALSE)*$G923),0)</f>
      </c>
      <c r="K923" s="11"/>
      <c r="L923" s="10"/>
      <c r="M923" s="21">
        <f>IF($C923="","",IF($K923=1,-($J923*0.5)-$L923,$H923-$I923-$J923-$L923))</f>
      </c>
      <c r="N923" s="22">
        <f>IF(OR($C923="",$H923=0),"",$M923/$H923)</f>
      </c>
    </row>
    <row r="924" spans="2:14" x14ac:dyDescent="0.25">
      <c r="B924" s="23"/>
      <c r="C924" s="12"/>
      <c r="D924" s="20">
        <f>IFERROR(IF($C924="","",VLOOKUP($C924,'Ürün Kartları'!$B$5:$C$154,2,FALSE)),"— tanımsız ürün —")</f>
      </c>
      <c r="E924" s="12"/>
      <c r="F924" s="14"/>
      <c r="G924" s="15"/>
      <c r="H924" s="16">
        <f>IF(OR($F924="",$G924=""),0,$F924*$G924)</f>
      </c>
      <c r="I924" s="16">
        <f>IFERROR(IF($E924="",0,$H924*VLOOKUP($E924,'Pazaryeri Kartları'!$B$5:$C$24,2,FALSE)+VLOOKUP($E924,'Pazaryeri Kartları'!$B$5:$D$24,3,FALSE)*$G924),0)</f>
      </c>
      <c r="J924" s="16">
        <f>IFERROR(IF($C924="",0,VLOOKUP($C924,'Ürün Kartları'!$B$5:$G$154,6,FALSE)*$G924),0)</f>
      </c>
      <c r="K924" s="15"/>
      <c r="L924" s="14"/>
      <c r="M924" s="21">
        <f>IF($C924="","",IF($K924=1,-($J924*0.5)-$L924,$H924-$I924-$J924-$L924))</f>
      </c>
      <c r="N924" s="22">
        <f>IF(OR($C924="",$H924=0),"",$M924/$H924)</f>
      </c>
    </row>
    <row r="925" spans="2:14" x14ac:dyDescent="0.25">
      <c r="B925" s="19"/>
      <c r="C925" s="8"/>
      <c r="D925" s="20">
        <f>IFERROR(IF($C925="","",VLOOKUP($C925,'Ürün Kartları'!$B$5:$C$154,2,FALSE)),"— tanımsız ürün —")</f>
      </c>
      <c r="E925" s="8"/>
      <c r="F925" s="10"/>
      <c r="G925" s="11"/>
      <c r="H925" s="16">
        <f>IF(OR($F925="",$G925=""),0,$F925*$G925)</f>
      </c>
      <c r="I925" s="16">
        <f>IFERROR(IF($E925="",0,$H925*VLOOKUP($E925,'Pazaryeri Kartları'!$B$5:$C$24,2,FALSE)+VLOOKUP($E925,'Pazaryeri Kartları'!$B$5:$D$24,3,FALSE)*$G925),0)</f>
      </c>
      <c r="J925" s="16">
        <f>IFERROR(IF($C925="",0,VLOOKUP($C925,'Ürün Kartları'!$B$5:$G$154,6,FALSE)*$G925),0)</f>
      </c>
      <c r="K925" s="11"/>
      <c r="L925" s="10"/>
      <c r="M925" s="21">
        <f>IF($C925="","",IF($K925=1,-($J925*0.5)-$L925,$H925-$I925-$J925-$L925))</f>
      </c>
      <c r="N925" s="22">
        <f>IF(OR($C925="",$H925=0),"",$M925/$H925)</f>
      </c>
    </row>
    <row r="926" spans="2:14" x14ac:dyDescent="0.25">
      <c r="B926" s="23"/>
      <c r="C926" s="12"/>
      <c r="D926" s="20">
        <f>IFERROR(IF($C926="","",VLOOKUP($C926,'Ürün Kartları'!$B$5:$C$154,2,FALSE)),"— tanımsız ürün —")</f>
      </c>
      <c r="E926" s="12"/>
      <c r="F926" s="14"/>
      <c r="G926" s="15"/>
      <c r="H926" s="16">
        <f>IF(OR($F926="",$G926=""),0,$F926*$G926)</f>
      </c>
      <c r="I926" s="16">
        <f>IFERROR(IF($E926="",0,$H926*VLOOKUP($E926,'Pazaryeri Kartları'!$B$5:$C$24,2,FALSE)+VLOOKUP($E926,'Pazaryeri Kartları'!$B$5:$D$24,3,FALSE)*$G926),0)</f>
      </c>
      <c r="J926" s="16">
        <f>IFERROR(IF($C926="",0,VLOOKUP($C926,'Ürün Kartları'!$B$5:$G$154,6,FALSE)*$G926),0)</f>
      </c>
      <c r="K926" s="15"/>
      <c r="L926" s="14"/>
      <c r="M926" s="21">
        <f>IF($C926="","",IF($K926=1,-($J926*0.5)-$L926,$H926-$I926-$J926-$L926))</f>
      </c>
      <c r="N926" s="22">
        <f>IF(OR($C926="",$H926=0),"",$M926/$H926)</f>
      </c>
    </row>
    <row r="927" spans="2:14" x14ac:dyDescent="0.25">
      <c r="B927" s="19"/>
      <c r="C927" s="8"/>
      <c r="D927" s="20">
        <f>IFERROR(IF($C927="","",VLOOKUP($C927,'Ürün Kartları'!$B$5:$C$154,2,FALSE)),"— tanımsız ürün —")</f>
      </c>
      <c r="E927" s="8"/>
      <c r="F927" s="10"/>
      <c r="G927" s="11"/>
      <c r="H927" s="16">
        <f>IF(OR($F927="",$G927=""),0,$F927*$G927)</f>
      </c>
      <c r="I927" s="16">
        <f>IFERROR(IF($E927="",0,$H927*VLOOKUP($E927,'Pazaryeri Kartları'!$B$5:$C$24,2,FALSE)+VLOOKUP($E927,'Pazaryeri Kartları'!$B$5:$D$24,3,FALSE)*$G927),0)</f>
      </c>
      <c r="J927" s="16">
        <f>IFERROR(IF($C927="",0,VLOOKUP($C927,'Ürün Kartları'!$B$5:$G$154,6,FALSE)*$G927),0)</f>
      </c>
      <c r="K927" s="11"/>
      <c r="L927" s="10"/>
      <c r="M927" s="21">
        <f>IF($C927="","",IF($K927=1,-($J927*0.5)-$L927,$H927-$I927-$J927-$L927))</f>
      </c>
      <c r="N927" s="22">
        <f>IF(OR($C927="",$H927=0),"",$M927/$H927)</f>
      </c>
    </row>
    <row r="928" spans="2:14" x14ac:dyDescent="0.25">
      <c r="B928" s="23"/>
      <c r="C928" s="12"/>
      <c r="D928" s="20">
        <f>IFERROR(IF($C928="","",VLOOKUP($C928,'Ürün Kartları'!$B$5:$C$154,2,FALSE)),"— tanımsız ürün —")</f>
      </c>
      <c r="E928" s="12"/>
      <c r="F928" s="14"/>
      <c r="G928" s="15"/>
      <c r="H928" s="16">
        <f>IF(OR($F928="",$G928=""),0,$F928*$G928)</f>
      </c>
      <c r="I928" s="16">
        <f>IFERROR(IF($E928="",0,$H928*VLOOKUP($E928,'Pazaryeri Kartları'!$B$5:$C$24,2,FALSE)+VLOOKUP($E928,'Pazaryeri Kartları'!$B$5:$D$24,3,FALSE)*$G928),0)</f>
      </c>
      <c r="J928" s="16">
        <f>IFERROR(IF($C928="",0,VLOOKUP($C928,'Ürün Kartları'!$B$5:$G$154,6,FALSE)*$G928),0)</f>
      </c>
      <c r="K928" s="15"/>
      <c r="L928" s="14"/>
      <c r="M928" s="21">
        <f>IF($C928="","",IF($K928=1,-($J928*0.5)-$L928,$H928-$I928-$J928-$L928))</f>
      </c>
      <c r="N928" s="22">
        <f>IF(OR($C928="",$H928=0),"",$M928/$H928)</f>
      </c>
    </row>
    <row r="929" spans="2:14" x14ac:dyDescent="0.25">
      <c r="B929" s="19"/>
      <c r="C929" s="8"/>
      <c r="D929" s="20">
        <f>IFERROR(IF($C929="","",VLOOKUP($C929,'Ürün Kartları'!$B$5:$C$154,2,FALSE)),"— tanımsız ürün —")</f>
      </c>
      <c r="E929" s="8"/>
      <c r="F929" s="10"/>
      <c r="G929" s="11"/>
      <c r="H929" s="16">
        <f>IF(OR($F929="",$G929=""),0,$F929*$G929)</f>
      </c>
      <c r="I929" s="16">
        <f>IFERROR(IF($E929="",0,$H929*VLOOKUP($E929,'Pazaryeri Kartları'!$B$5:$C$24,2,FALSE)+VLOOKUP($E929,'Pazaryeri Kartları'!$B$5:$D$24,3,FALSE)*$G929),0)</f>
      </c>
      <c r="J929" s="16">
        <f>IFERROR(IF($C929="",0,VLOOKUP($C929,'Ürün Kartları'!$B$5:$G$154,6,FALSE)*$G929),0)</f>
      </c>
      <c r="K929" s="11"/>
      <c r="L929" s="10"/>
      <c r="M929" s="21">
        <f>IF($C929="","",IF($K929=1,-($J929*0.5)-$L929,$H929-$I929-$J929-$L929))</f>
      </c>
      <c r="N929" s="22">
        <f>IF(OR($C929="",$H929=0),"",$M929/$H929)</f>
      </c>
    </row>
    <row r="930" spans="2:14" x14ac:dyDescent="0.25">
      <c r="B930" s="23"/>
      <c r="C930" s="12"/>
      <c r="D930" s="20">
        <f>IFERROR(IF($C930="","",VLOOKUP($C930,'Ürün Kartları'!$B$5:$C$154,2,FALSE)),"— tanımsız ürün —")</f>
      </c>
      <c r="E930" s="12"/>
      <c r="F930" s="14"/>
      <c r="G930" s="15"/>
      <c r="H930" s="16">
        <f>IF(OR($F930="",$G930=""),0,$F930*$G930)</f>
      </c>
      <c r="I930" s="16">
        <f>IFERROR(IF($E930="",0,$H930*VLOOKUP($E930,'Pazaryeri Kartları'!$B$5:$C$24,2,FALSE)+VLOOKUP($E930,'Pazaryeri Kartları'!$B$5:$D$24,3,FALSE)*$G930),0)</f>
      </c>
      <c r="J930" s="16">
        <f>IFERROR(IF($C930="",0,VLOOKUP($C930,'Ürün Kartları'!$B$5:$G$154,6,FALSE)*$G930),0)</f>
      </c>
      <c r="K930" s="15"/>
      <c r="L930" s="14"/>
      <c r="M930" s="21">
        <f>IF($C930="","",IF($K930=1,-($J930*0.5)-$L930,$H930-$I930-$J930-$L930))</f>
      </c>
      <c r="N930" s="22">
        <f>IF(OR($C930="",$H930=0),"",$M930/$H930)</f>
      </c>
    </row>
    <row r="931" spans="2:14" x14ac:dyDescent="0.25">
      <c r="B931" s="19"/>
      <c r="C931" s="8"/>
      <c r="D931" s="20">
        <f>IFERROR(IF($C931="","",VLOOKUP($C931,'Ürün Kartları'!$B$5:$C$154,2,FALSE)),"— tanımsız ürün —")</f>
      </c>
      <c r="E931" s="8"/>
      <c r="F931" s="10"/>
      <c r="G931" s="11"/>
      <c r="H931" s="16">
        <f>IF(OR($F931="",$G931=""),0,$F931*$G931)</f>
      </c>
      <c r="I931" s="16">
        <f>IFERROR(IF($E931="",0,$H931*VLOOKUP($E931,'Pazaryeri Kartları'!$B$5:$C$24,2,FALSE)+VLOOKUP($E931,'Pazaryeri Kartları'!$B$5:$D$24,3,FALSE)*$G931),0)</f>
      </c>
      <c r="J931" s="16">
        <f>IFERROR(IF($C931="",0,VLOOKUP($C931,'Ürün Kartları'!$B$5:$G$154,6,FALSE)*$G931),0)</f>
      </c>
      <c r="K931" s="11"/>
      <c r="L931" s="10"/>
      <c r="M931" s="21">
        <f>IF($C931="","",IF($K931=1,-($J931*0.5)-$L931,$H931-$I931-$J931-$L931))</f>
      </c>
      <c r="N931" s="22">
        <f>IF(OR($C931="",$H931=0),"",$M931/$H931)</f>
      </c>
    </row>
    <row r="932" spans="2:14" x14ac:dyDescent="0.25">
      <c r="B932" s="23"/>
      <c r="C932" s="12"/>
      <c r="D932" s="20">
        <f>IFERROR(IF($C932="","",VLOOKUP($C932,'Ürün Kartları'!$B$5:$C$154,2,FALSE)),"— tanımsız ürün —")</f>
      </c>
      <c r="E932" s="12"/>
      <c r="F932" s="14"/>
      <c r="G932" s="15"/>
      <c r="H932" s="16">
        <f>IF(OR($F932="",$G932=""),0,$F932*$G932)</f>
      </c>
      <c r="I932" s="16">
        <f>IFERROR(IF($E932="",0,$H932*VLOOKUP($E932,'Pazaryeri Kartları'!$B$5:$C$24,2,FALSE)+VLOOKUP($E932,'Pazaryeri Kartları'!$B$5:$D$24,3,FALSE)*$G932),0)</f>
      </c>
      <c r="J932" s="16">
        <f>IFERROR(IF($C932="",0,VLOOKUP($C932,'Ürün Kartları'!$B$5:$G$154,6,FALSE)*$G932),0)</f>
      </c>
      <c r="K932" s="15"/>
      <c r="L932" s="14"/>
      <c r="M932" s="21">
        <f>IF($C932="","",IF($K932=1,-($J932*0.5)-$L932,$H932-$I932-$J932-$L932))</f>
      </c>
      <c r="N932" s="22">
        <f>IF(OR($C932="",$H932=0),"",$M932/$H932)</f>
      </c>
    </row>
    <row r="933" spans="2:14" x14ac:dyDescent="0.25">
      <c r="B933" s="19"/>
      <c r="C933" s="8"/>
      <c r="D933" s="20">
        <f>IFERROR(IF($C933="","",VLOOKUP($C933,'Ürün Kartları'!$B$5:$C$154,2,FALSE)),"— tanımsız ürün —")</f>
      </c>
      <c r="E933" s="8"/>
      <c r="F933" s="10"/>
      <c r="G933" s="11"/>
      <c r="H933" s="16">
        <f>IF(OR($F933="",$G933=""),0,$F933*$G933)</f>
      </c>
      <c r="I933" s="16">
        <f>IFERROR(IF($E933="",0,$H933*VLOOKUP($E933,'Pazaryeri Kartları'!$B$5:$C$24,2,FALSE)+VLOOKUP($E933,'Pazaryeri Kartları'!$B$5:$D$24,3,FALSE)*$G933),0)</f>
      </c>
      <c r="J933" s="16">
        <f>IFERROR(IF($C933="",0,VLOOKUP($C933,'Ürün Kartları'!$B$5:$G$154,6,FALSE)*$G933),0)</f>
      </c>
      <c r="K933" s="11"/>
      <c r="L933" s="10"/>
      <c r="M933" s="21">
        <f>IF($C933="","",IF($K933=1,-($J933*0.5)-$L933,$H933-$I933-$J933-$L933))</f>
      </c>
      <c r="N933" s="22">
        <f>IF(OR($C933="",$H933=0),"",$M933/$H933)</f>
      </c>
    </row>
    <row r="934" spans="2:14" x14ac:dyDescent="0.25">
      <c r="B934" s="23"/>
      <c r="C934" s="12"/>
      <c r="D934" s="20">
        <f>IFERROR(IF($C934="","",VLOOKUP($C934,'Ürün Kartları'!$B$5:$C$154,2,FALSE)),"— tanımsız ürün —")</f>
      </c>
      <c r="E934" s="12"/>
      <c r="F934" s="14"/>
      <c r="G934" s="15"/>
      <c r="H934" s="16">
        <f>IF(OR($F934="",$G934=""),0,$F934*$G934)</f>
      </c>
      <c r="I934" s="16">
        <f>IFERROR(IF($E934="",0,$H934*VLOOKUP($E934,'Pazaryeri Kartları'!$B$5:$C$24,2,FALSE)+VLOOKUP($E934,'Pazaryeri Kartları'!$B$5:$D$24,3,FALSE)*$G934),0)</f>
      </c>
      <c r="J934" s="16">
        <f>IFERROR(IF($C934="",0,VLOOKUP($C934,'Ürün Kartları'!$B$5:$G$154,6,FALSE)*$G934),0)</f>
      </c>
      <c r="K934" s="15"/>
      <c r="L934" s="14"/>
      <c r="M934" s="21">
        <f>IF($C934="","",IF($K934=1,-($J934*0.5)-$L934,$H934-$I934-$J934-$L934))</f>
      </c>
      <c r="N934" s="22">
        <f>IF(OR($C934="",$H934=0),"",$M934/$H934)</f>
      </c>
    </row>
    <row r="935" spans="2:14" x14ac:dyDescent="0.25">
      <c r="B935" s="19"/>
      <c r="C935" s="8"/>
      <c r="D935" s="20">
        <f>IFERROR(IF($C935="","",VLOOKUP($C935,'Ürün Kartları'!$B$5:$C$154,2,FALSE)),"— tanımsız ürün —")</f>
      </c>
      <c r="E935" s="8"/>
      <c r="F935" s="10"/>
      <c r="G935" s="11"/>
      <c r="H935" s="16">
        <f>IF(OR($F935="",$G935=""),0,$F935*$G935)</f>
      </c>
      <c r="I935" s="16">
        <f>IFERROR(IF($E935="",0,$H935*VLOOKUP($E935,'Pazaryeri Kartları'!$B$5:$C$24,2,FALSE)+VLOOKUP($E935,'Pazaryeri Kartları'!$B$5:$D$24,3,FALSE)*$G935),0)</f>
      </c>
      <c r="J935" s="16">
        <f>IFERROR(IF($C935="",0,VLOOKUP($C935,'Ürün Kartları'!$B$5:$G$154,6,FALSE)*$G935),0)</f>
      </c>
      <c r="K935" s="11"/>
      <c r="L935" s="10"/>
      <c r="M935" s="21">
        <f>IF($C935="","",IF($K935=1,-($J935*0.5)-$L935,$H935-$I935-$J935-$L935))</f>
      </c>
      <c r="N935" s="22">
        <f>IF(OR($C935="",$H935=0),"",$M935/$H935)</f>
      </c>
    </row>
    <row r="936" spans="2:14" x14ac:dyDescent="0.25">
      <c r="B936" s="23"/>
      <c r="C936" s="12"/>
      <c r="D936" s="20">
        <f>IFERROR(IF($C936="","",VLOOKUP($C936,'Ürün Kartları'!$B$5:$C$154,2,FALSE)),"— tanımsız ürün —")</f>
      </c>
      <c r="E936" s="12"/>
      <c r="F936" s="14"/>
      <c r="G936" s="15"/>
      <c r="H936" s="16">
        <f>IF(OR($F936="",$G936=""),0,$F936*$G936)</f>
      </c>
      <c r="I936" s="16">
        <f>IFERROR(IF($E936="",0,$H936*VLOOKUP($E936,'Pazaryeri Kartları'!$B$5:$C$24,2,FALSE)+VLOOKUP($E936,'Pazaryeri Kartları'!$B$5:$D$24,3,FALSE)*$G936),0)</f>
      </c>
      <c r="J936" s="16">
        <f>IFERROR(IF($C936="",0,VLOOKUP($C936,'Ürün Kartları'!$B$5:$G$154,6,FALSE)*$G936),0)</f>
      </c>
      <c r="K936" s="15"/>
      <c r="L936" s="14"/>
      <c r="M936" s="21">
        <f>IF($C936="","",IF($K936=1,-($J936*0.5)-$L936,$H936-$I936-$J936-$L936))</f>
      </c>
      <c r="N936" s="22">
        <f>IF(OR($C936="",$H936=0),"",$M936/$H936)</f>
      </c>
    </row>
    <row r="937" spans="2:14" x14ac:dyDescent="0.25">
      <c r="B937" s="19"/>
      <c r="C937" s="8"/>
      <c r="D937" s="20">
        <f>IFERROR(IF($C937="","",VLOOKUP($C937,'Ürün Kartları'!$B$5:$C$154,2,FALSE)),"— tanımsız ürün —")</f>
      </c>
      <c r="E937" s="8"/>
      <c r="F937" s="10"/>
      <c r="G937" s="11"/>
      <c r="H937" s="16">
        <f>IF(OR($F937="",$G937=""),0,$F937*$G937)</f>
      </c>
      <c r="I937" s="16">
        <f>IFERROR(IF($E937="",0,$H937*VLOOKUP($E937,'Pazaryeri Kartları'!$B$5:$C$24,2,FALSE)+VLOOKUP($E937,'Pazaryeri Kartları'!$B$5:$D$24,3,FALSE)*$G937),0)</f>
      </c>
      <c r="J937" s="16">
        <f>IFERROR(IF($C937="",0,VLOOKUP($C937,'Ürün Kartları'!$B$5:$G$154,6,FALSE)*$G937),0)</f>
      </c>
      <c r="K937" s="11"/>
      <c r="L937" s="10"/>
      <c r="M937" s="21">
        <f>IF($C937="","",IF($K937=1,-($J937*0.5)-$L937,$H937-$I937-$J937-$L937))</f>
      </c>
      <c r="N937" s="22">
        <f>IF(OR($C937="",$H937=0),"",$M937/$H937)</f>
      </c>
    </row>
    <row r="938" spans="2:14" x14ac:dyDescent="0.25">
      <c r="B938" s="23"/>
      <c r="C938" s="12"/>
      <c r="D938" s="20">
        <f>IFERROR(IF($C938="","",VLOOKUP($C938,'Ürün Kartları'!$B$5:$C$154,2,FALSE)),"— tanımsız ürün —")</f>
      </c>
      <c r="E938" s="12"/>
      <c r="F938" s="14"/>
      <c r="G938" s="15"/>
      <c r="H938" s="16">
        <f>IF(OR($F938="",$G938=""),0,$F938*$G938)</f>
      </c>
      <c r="I938" s="16">
        <f>IFERROR(IF($E938="",0,$H938*VLOOKUP($E938,'Pazaryeri Kartları'!$B$5:$C$24,2,FALSE)+VLOOKUP($E938,'Pazaryeri Kartları'!$B$5:$D$24,3,FALSE)*$G938),0)</f>
      </c>
      <c r="J938" s="16">
        <f>IFERROR(IF($C938="",0,VLOOKUP($C938,'Ürün Kartları'!$B$5:$G$154,6,FALSE)*$G938),0)</f>
      </c>
      <c r="K938" s="15"/>
      <c r="L938" s="14"/>
      <c r="M938" s="21">
        <f>IF($C938="","",IF($K938=1,-($J938*0.5)-$L938,$H938-$I938-$J938-$L938))</f>
      </c>
      <c r="N938" s="22">
        <f>IF(OR($C938="",$H938=0),"",$M938/$H938)</f>
      </c>
    </row>
    <row r="939" spans="2:14" x14ac:dyDescent="0.25">
      <c r="B939" s="19"/>
      <c r="C939" s="8"/>
      <c r="D939" s="20">
        <f>IFERROR(IF($C939="","",VLOOKUP($C939,'Ürün Kartları'!$B$5:$C$154,2,FALSE)),"— tanımsız ürün —")</f>
      </c>
      <c r="E939" s="8"/>
      <c r="F939" s="10"/>
      <c r="G939" s="11"/>
      <c r="H939" s="16">
        <f>IF(OR($F939="",$G939=""),0,$F939*$G939)</f>
      </c>
      <c r="I939" s="16">
        <f>IFERROR(IF($E939="",0,$H939*VLOOKUP($E939,'Pazaryeri Kartları'!$B$5:$C$24,2,FALSE)+VLOOKUP($E939,'Pazaryeri Kartları'!$B$5:$D$24,3,FALSE)*$G939),0)</f>
      </c>
      <c r="J939" s="16">
        <f>IFERROR(IF($C939="",0,VLOOKUP($C939,'Ürün Kartları'!$B$5:$G$154,6,FALSE)*$G939),0)</f>
      </c>
      <c r="K939" s="11"/>
      <c r="L939" s="10"/>
      <c r="M939" s="21">
        <f>IF($C939="","",IF($K939=1,-($J939*0.5)-$L939,$H939-$I939-$J939-$L939))</f>
      </c>
      <c r="N939" s="22">
        <f>IF(OR($C939="",$H939=0),"",$M939/$H939)</f>
      </c>
    </row>
    <row r="940" spans="2:14" x14ac:dyDescent="0.25">
      <c r="B940" s="23"/>
      <c r="C940" s="12"/>
      <c r="D940" s="20">
        <f>IFERROR(IF($C940="","",VLOOKUP($C940,'Ürün Kartları'!$B$5:$C$154,2,FALSE)),"— tanımsız ürün —")</f>
      </c>
      <c r="E940" s="12"/>
      <c r="F940" s="14"/>
      <c r="G940" s="15"/>
      <c r="H940" s="16">
        <f>IF(OR($F940="",$G940=""),0,$F940*$G940)</f>
      </c>
      <c r="I940" s="16">
        <f>IFERROR(IF($E940="",0,$H940*VLOOKUP($E940,'Pazaryeri Kartları'!$B$5:$C$24,2,FALSE)+VLOOKUP($E940,'Pazaryeri Kartları'!$B$5:$D$24,3,FALSE)*$G940),0)</f>
      </c>
      <c r="J940" s="16">
        <f>IFERROR(IF($C940="",0,VLOOKUP($C940,'Ürün Kartları'!$B$5:$G$154,6,FALSE)*$G940),0)</f>
      </c>
      <c r="K940" s="15"/>
      <c r="L940" s="14"/>
      <c r="M940" s="21">
        <f>IF($C940="","",IF($K940=1,-($J940*0.5)-$L940,$H940-$I940-$J940-$L940))</f>
      </c>
      <c r="N940" s="22">
        <f>IF(OR($C940="",$H940=0),"",$M940/$H940)</f>
      </c>
    </row>
    <row r="941" spans="2:14" x14ac:dyDescent="0.25">
      <c r="B941" s="19"/>
      <c r="C941" s="8"/>
      <c r="D941" s="20">
        <f>IFERROR(IF($C941="","",VLOOKUP($C941,'Ürün Kartları'!$B$5:$C$154,2,FALSE)),"— tanımsız ürün —")</f>
      </c>
      <c r="E941" s="8"/>
      <c r="F941" s="10"/>
      <c r="G941" s="11"/>
      <c r="H941" s="16">
        <f>IF(OR($F941="",$G941=""),0,$F941*$G941)</f>
      </c>
      <c r="I941" s="16">
        <f>IFERROR(IF($E941="",0,$H941*VLOOKUP($E941,'Pazaryeri Kartları'!$B$5:$C$24,2,FALSE)+VLOOKUP($E941,'Pazaryeri Kartları'!$B$5:$D$24,3,FALSE)*$G941),0)</f>
      </c>
      <c r="J941" s="16">
        <f>IFERROR(IF($C941="",0,VLOOKUP($C941,'Ürün Kartları'!$B$5:$G$154,6,FALSE)*$G941),0)</f>
      </c>
      <c r="K941" s="11"/>
      <c r="L941" s="10"/>
      <c r="M941" s="21">
        <f>IF($C941="","",IF($K941=1,-($J941*0.5)-$L941,$H941-$I941-$J941-$L941))</f>
      </c>
      <c r="N941" s="22">
        <f>IF(OR($C941="",$H941=0),"",$M941/$H941)</f>
      </c>
    </row>
    <row r="942" spans="2:14" x14ac:dyDescent="0.25">
      <c r="B942" s="23"/>
      <c r="C942" s="12"/>
      <c r="D942" s="20">
        <f>IFERROR(IF($C942="","",VLOOKUP($C942,'Ürün Kartları'!$B$5:$C$154,2,FALSE)),"— tanımsız ürün —")</f>
      </c>
      <c r="E942" s="12"/>
      <c r="F942" s="14"/>
      <c r="G942" s="15"/>
      <c r="H942" s="16">
        <f>IF(OR($F942="",$G942=""),0,$F942*$G942)</f>
      </c>
      <c r="I942" s="16">
        <f>IFERROR(IF($E942="",0,$H942*VLOOKUP($E942,'Pazaryeri Kartları'!$B$5:$C$24,2,FALSE)+VLOOKUP($E942,'Pazaryeri Kartları'!$B$5:$D$24,3,FALSE)*$G942),0)</f>
      </c>
      <c r="J942" s="16">
        <f>IFERROR(IF($C942="",0,VLOOKUP($C942,'Ürün Kartları'!$B$5:$G$154,6,FALSE)*$G942),0)</f>
      </c>
      <c r="K942" s="15"/>
      <c r="L942" s="14"/>
      <c r="M942" s="21">
        <f>IF($C942="","",IF($K942=1,-($J942*0.5)-$L942,$H942-$I942-$J942-$L942))</f>
      </c>
      <c r="N942" s="22">
        <f>IF(OR($C942="",$H942=0),"",$M942/$H942)</f>
      </c>
    </row>
    <row r="943" spans="2:14" x14ac:dyDescent="0.25">
      <c r="B943" s="19"/>
      <c r="C943" s="8"/>
      <c r="D943" s="20">
        <f>IFERROR(IF($C943="","",VLOOKUP($C943,'Ürün Kartları'!$B$5:$C$154,2,FALSE)),"— tanımsız ürün —")</f>
      </c>
      <c r="E943" s="8"/>
      <c r="F943" s="10"/>
      <c r="G943" s="11"/>
      <c r="H943" s="16">
        <f>IF(OR($F943="",$G943=""),0,$F943*$G943)</f>
      </c>
      <c r="I943" s="16">
        <f>IFERROR(IF($E943="",0,$H943*VLOOKUP($E943,'Pazaryeri Kartları'!$B$5:$C$24,2,FALSE)+VLOOKUP($E943,'Pazaryeri Kartları'!$B$5:$D$24,3,FALSE)*$G943),0)</f>
      </c>
      <c r="J943" s="16">
        <f>IFERROR(IF($C943="",0,VLOOKUP($C943,'Ürün Kartları'!$B$5:$G$154,6,FALSE)*$G943),0)</f>
      </c>
      <c r="K943" s="11"/>
      <c r="L943" s="10"/>
      <c r="M943" s="21">
        <f>IF($C943="","",IF($K943=1,-($J943*0.5)-$L943,$H943-$I943-$J943-$L943))</f>
      </c>
      <c r="N943" s="22">
        <f>IF(OR($C943="",$H943=0),"",$M943/$H943)</f>
      </c>
    </row>
    <row r="944" spans="2:14" x14ac:dyDescent="0.25">
      <c r="B944" s="23"/>
      <c r="C944" s="12"/>
      <c r="D944" s="20">
        <f>IFERROR(IF($C944="","",VLOOKUP($C944,'Ürün Kartları'!$B$5:$C$154,2,FALSE)),"— tanımsız ürün —")</f>
      </c>
      <c r="E944" s="12"/>
      <c r="F944" s="14"/>
      <c r="G944" s="15"/>
      <c r="H944" s="16">
        <f>IF(OR($F944="",$G944=""),0,$F944*$G944)</f>
      </c>
      <c r="I944" s="16">
        <f>IFERROR(IF($E944="",0,$H944*VLOOKUP($E944,'Pazaryeri Kartları'!$B$5:$C$24,2,FALSE)+VLOOKUP($E944,'Pazaryeri Kartları'!$B$5:$D$24,3,FALSE)*$G944),0)</f>
      </c>
      <c r="J944" s="16">
        <f>IFERROR(IF($C944="",0,VLOOKUP($C944,'Ürün Kartları'!$B$5:$G$154,6,FALSE)*$G944),0)</f>
      </c>
      <c r="K944" s="15"/>
      <c r="L944" s="14"/>
      <c r="M944" s="21">
        <f>IF($C944="","",IF($K944=1,-($J944*0.5)-$L944,$H944-$I944-$J944-$L944))</f>
      </c>
      <c r="N944" s="22">
        <f>IF(OR($C944="",$H944=0),"",$M944/$H944)</f>
      </c>
    </row>
    <row r="945" spans="2:14" x14ac:dyDescent="0.25">
      <c r="B945" s="19"/>
      <c r="C945" s="8"/>
      <c r="D945" s="20">
        <f>IFERROR(IF($C945="","",VLOOKUP($C945,'Ürün Kartları'!$B$5:$C$154,2,FALSE)),"— tanımsız ürün —")</f>
      </c>
      <c r="E945" s="8"/>
      <c r="F945" s="10"/>
      <c r="G945" s="11"/>
      <c r="H945" s="16">
        <f>IF(OR($F945="",$G945=""),0,$F945*$G945)</f>
      </c>
      <c r="I945" s="16">
        <f>IFERROR(IF($E945="",0,$H945*VLOOKUP($E945,'Pazaryeri Kartları'!$B$5:$C$24,2,FALSE)+VLOOKUP($E945,'Pazaryeri Kartları'!$B$5:$D$24,3,FALSE)*$G945),0)</f>
      </c>
      <c r="J945" s="16">
        <f>IFERROR(IF($C945="",0,VLOOKUP($C945,'Ürün Kartları'!$B$5:$G$154,6,FALSE)*$G945),0)</f>
      </c>
      <c r="K945" s="11"/>
      <c r="L945" s="10"/>
      <c r="M945" s="21">
        <f>IF($C945="","",IF($K945=1,-($J945*0.5)-$L945,$H945-$I945-$J945-$L945))</f>
      </c>
      <c r="N945" s="22">
        <f>IF(OR($C945="",$H945=0),"",$M945/$H945)</f>
      </c>
    </row>
    <row r="946" spans="2:14" x14ac:dyDescent="0.25">
      <c r="B946" s="23"/>
      <c r="C946" s="12"/>
      <c r="D946" s="20">
        <f>IFERROR(IF($C946="","",VLOOKUP($C946,'Ürün Kartları'!$B$5:$C$154,2,FALSE)),"— tanımsız ürün —")</f>
      </c>
      <c r="E946" s="12"/>
      <c r="F946" s="14"/>
      <c r="G946" s="15"/>
      <c r="H946" s="16">
        <f>IF(OR($F946="",$G946=""),0,$F946*$G946)</f>
      </c>
      <c r="I946" s="16">
        <f>IFERROR(IF($E946="",0,$H946*VLOOKUP($E946,'Pazaryeri Kartları'!$B$5:$C$24,2,FALSE)+VLOOKUP($E946,'Pazaryeri Kartları'!$B$5:$D$24,3,FALSE)*$G946),0)</f>
      </c>
      <c r="J946" s="16">
        <f>IFERROR(IF($C946="",0,VLOOKUP($C946,'Ürün Kartları'!$B$5:$G$154,6,FALSE)*$G946),0)</f>
      </c>
      <c r="K946" s="15"/>
      <c r="L946" s="14"/>
      <c r="M946" s="21">
        <f>IF($C946="","",IF($K946=1,-($J946*0.5)-$L946,$H946-$I946-$J946-$L946))</f>
      </c>
      <c r="N946" s="22">
        <f>IF(OR($C946="",$H946=0),"",$M946/$H946)</f>
      </c>
    </row>
    <row r="947" spans="2:14" x14ac:dyDescent="0.25">
      <c r="B947" s="19"/>
      <c r="C947" s="8"/>
      <c r="D947" s="20">
        <f>IFERROR(IF($C947="","",VLOOKUP($C947,'Ürün Kartları'!$B$5:$C$154,2,FALSE)),"— tanımsız ürün —")</f>
      </c>
      <c r="E947" s="8"/>
      <c r="F947" s="10"/>
      <c r="G947" s="11"/>
      <c r="H947" s="16">
        <f>IF(OR($F947="",$G947=""),0,$F947*$G947)</f>
      </c>
      <c r="I947" s="16">
        <f>IFERROR(IF($E947="",0,$H947*VLOOKUP($E947,'Pazaryeri Kartları'!$B$5:$C$24,2,FALSE)+VLOOKUP($E947,'Pazaryeri Kartları'!$B$5:$D$24,3,FALSE)*$G947),0)</f>
      </c>
      <c r="J947" s="16">
        <f>IFERROR(IF($C947="",0,VLOOKUP($C947,'Ürün Kartları'!$B$5:$G$154,6,FALSE)*$G947),0)</f>
      </c>
      <c r="K947" s="11"/>
      <c r="L947" s="10"/>
      <c r="M947" s="21">
        <f>IF($C947="","",IF($K947=1,-($J947*0.5)-$L947,$H947-$I947-$J947-$L947))</f>
      </c>
      <c r="N947" s="22">
        <f>IF(OR($C947="",$H947=0),"",$M947/$H947)</f>
      </c>
    </row>
    <row r="948" spans="2:14" x14ac:dyDescent="0.25">
      <c r="B948" s="23"/>
      <c r="C948" s="12"/>
      <c r="D948" s="20">
        <f>IFERROR(IF($C948="","",VLOOKUP($C948,'Ürün Kartları'!$B$5:$C$154,2,FALSE)),"— tanımsız ürün —")</f>
      </c>
      <c r="E948" s="12"/>
      <c r="F948" s="14"/>
      <c r="G948" s="15"/>
      <c r="H948" s="16">
        <f>IF(OR($F948="",$G948=""),0,$F948*$G948)</f>
      </c>
      <c r="I948" s="16">
        <f>IFERROR(IF($E948="",0,$H948*VLOOKUP($E948,'Pazaryeri Kartları'!$B$5:$C$24,2,FALSE)+VLOOKUP($E948,'Pazaryeri Kartları'!$B$5:$D$24,3,FALSE)*$G948),0)</f>
      </c>
      <c r="J948" s="16">
        <f>IFERROR(IF($C948="",0,VLOOKUP($C948,'Ürün Kartları'!$B$5:$G$154,6,FALSE)*$G948),0)</f>
      </c>
      <c r="K948" s="15"/>
      <c r="L948" s="14"/>
      <c r="M948" s="21">
        <f>IF($C948="","",IF($K948=1,-($J948*0.5)-$L948,$H948-$I948-$J948-$L948))</f>
      </c>
      <c r="N948" s="22">
        <f>IF(OR($C948="",$H948=0),"",$M948/$H948)</f>
      </c>
    </row>
    <row r="949" spans="2:14" x14ac:dyDescent="0.25">
      <c r="B949" s="19"/>
      <c r="C949" s="8"/>
      <c r="D949" s="20">
        <f>IFERROR(IF($C949="","",VLOOKUP($C949,'Ürün Kartları'!$B$5:$C$154,2,FALSE)),"— tanımsız ürün —")</f>
      </c>
      <c r="E949" s="8"/>
      <c r="F949" s="10"/>
      <c r="G949" s="11"/>
      <c r="H949" s="16">
        <f>IF(OR($F949="",$G949=""),0,$F949*$G949)</f>
      </c>
      <c r="I949" s="16">
        <f>IFERROR(IF($E949="",0,$H949*VLOOKUP($E949,'Pazaryeri Kartları'!$B$5:$C$24,2,FALSE)+VLOOKUP($E949,'Pazaryeri Kartları'!$B$5:$D$24,3,FALSE)*$G949),0)</f>
      </c>
      <c r="J949" s="16">
        <f>IFERROR(IF($C949="",0,VLOOKUP($C949,'Ürün Kartları'!$B$5:$G$154,6,FALSE)*$G949),0)</f>
      </c>
      <c r="K949" s="11"/>
      <c r="L949" s="10"/>
      <c r="M949" s="21">
        <f>IF($C949="","",IF($K949=1,-($J949*0.5)-$L949,$H949-$I949-$J949-$L949))</f>
      </c>
      <c r="N949" s="22">
        <f>IF(OR($C949="",$H949=0),"",$M949/$H949)</f>
      </c>
    </row>
    <row r="950" spans="2:14" x14ac:dyDescent="0.25">
      <c r="B950" s="23"/>
      <c r="C950" s="12"/>
      <c r="D950" s="20">
        <f>IFERROR(IF($C950="","",VLOOKUP($C950,'Ürün Kartları'!$B$5:$C$154,2,FALSE)),"— tanımsız ürün —")</f>
      </c>
      <c r="E950" s="12"/>
      <c r="F950" s="14"/>
      <c r="G950" s="15"/>
      <c r="H950" s="16">
        <f>IF(OR($F950="",$G950=""),0,$F950*$G950)</f>
      </c>
      <c r="I950" s="16">
        <f>IFERROR(IF($E950="",0,$H950*VLOOKUP($E950,'Pazaryeri Kartları'!$B$5:$C$24,2,FALSE)+VLOOKUP($E950,'Pazaryeri Kartları'!$B$5:$D$24,3,FALSE)*$G950),0)</f>
      </c>
      <c r="J950" s="16">
        <f>IFERROR(IF($C950="",0,VLOOKUP($C950,'Ürün Kartları'!$B$5:$G$154,6,FALSE)*$G950),0)</f>
      </c>
      <c r="K950" s="15"/>
      <c r="L950" s="14"/>
      <c r="M950" s="21">
        <f>IF($C950="","",IF($K950=1,-($J950*0.5)-$L950,$H950-$I950-$J950-$L950))</f>
      </c>
      <c r="N950" s="22">
        <f>IF(OR($C950="",$H950=0),"",$M950/$H950)</f>
      </c>
    </row>
    <row r="951" spans="2:14" x14ac:dyDescent="0.25">
      <c r="B951" s="19"/>
      <c r="C951" s="8"/>
      <c r="D951" s="20">
        <f>IFERROR(IF($C951="","",VLOOKUP($C951,'Ürün Kartları'!$B$5:$C$154,2,FALSE)),"— tanımsız ürün —")</f>
      </c>
      <c r="E951" s="8"/>
      <c r="F951" s="10"/>
      <c r="G951" s="11"/>
      <c r="H951" s="16">
        <f>IF(OR($F951="",$G951=""),0,$F951*$G951)</f>
      </c>
      <c r="I951" s="16">
        <f>IFERROR(IF($E951="",0,$H951*VLOOKUP($E951,'Pazaryeri Kartları'!$B$5:$C$24,2,FALSE)+VLOOKUP($E951,'Pazaryeri Kartları'!$B$5:$D$24,3,FALSE)*$G951),0)</f>
      </c>
      <c r="J951" s="16">
        <f>IFERROR(IF($C951="",0,VLOOKUP($C951,'Ürün Kartları'!$B$5:$G$154,6,FALSE)*$G951),0)</f>
      </c>
      <c r="K951" s="11"/>
      <c r="L951" s="10"/>
      <c r="M951" s="21">
        <f>IF($C951="","",IF($K951=1,-($J951*0.5)-$L951,$H951-$I951-$J951-$L951))</f>
      </c>
      <c r="N951" s="22">
        <f>IF(OR($C951="",$H951=0),"",$M951/$H951)</f>
      </c>
    </row>
    <row r="952" spans="2:14" x14ac:dyDescent="0.25">
      <c r="B952" s="23"/>
      <c r="C952" s="12"/>
      <c r="D952" s="20">
        <f>IFERROR(IF($C952="","",VLOOKUP($C952,'Ürün Kartları'!$B$5:$C$154,2,FALSE)),"— tanımsız ürün —")</f>
      </c>
      <c r="E952" s="12"/>
      <c r="F952" s="14"/>
      <c r="G952" s="15"/>
      <c r="H952" s="16">
        <f>IF(OR($F952="",$G952=""),0,$F952*$G952)</f>
      </c>
      <c r="I952" s="16">
        <f>IFERROR(IF($E952="",0,$H952*VLOOKUP($E952,'Pazaryeri Kartları'!$B$5:$C$24,2,FALSE)+VLOOKUP($E952,'Pazaryeri Kartları'!$B$5:$D$24,3,FALSE)*$G952),0)</f>
      </c>
      <c r="J952" s="16">
        <f>IFERROR(IF($C952="",0,VLOOKUP($C952,'Ürün Kartları'!$B$5:$G$154,6,FALSE)*$G952),0)</f>
      </c>
      <c r="K952" s="15"/>
      <c r="L952" s="14"/>
      <c r="M952" s="21">
        <f>IF($C952="","",IF($K952=1,-($J952*0.5)-$L952,$H952-$I952-$J952-$L952))</f>
      </c>
      <c r="N952" s="22">
        <f>IF(OR($C952="",$H952=0),"",$M952/$H952)</f>
      </c>
    </row>
    <row r="953" spans="2:14" x14ac:dyDescent="0.25">
      <c r="B953" s="19"/>
      <c r="C953" s="8"/>
      <c r="D953" s="20">
        <f>IFERROR(IF($C953="","",VLOOKUP($C953,'Ürün Kartları'!$B$5:$C$154,2,FALSE)),"— tanımsız ürün —")</f>
      </c>
      <c r="E953" s="8"/>
      <c r="F953" s="10"/>
      <c r="G953" s="11"/>
      <c r="H953" s="16">
        <f>IF(OR($F953="",$G953=""),0,$F953*$G953)</f>
      </c>
      <c r="I953" s="16">
        <f>IFERROR(IF($E953="",0,$H953*VLOOKUP($E953,'Pazaryeri Kartları'!$B$5:$C$24,2,FALSE)+VLOOKUP($E953,'Pazaryeri Kartları'!$B$5:$D$24,3,FALSE)*$G953),0)</f>
      </c>
      <c r="J953" s="16">
        <f>IFERROR(IF($C953="",0,VLOOKUP($C953,'Ürün Kartları'!$B$5:$G$154,6,FALSE)*$G953),0)</f>
      </c>
      <c r="K953" s="11"/>
      <c r="L953" s="10"/>
      <c r="M953" s="21">
        <f>IF($C953="","",IF($K953=1,-($J953*0.5)-$L953,$H953-$I953-$J953-$L953))</f>
      </c>
      <c r="N953" s="22">
        <f>IF(OR($C953="",$H953=0),"",$M953/$H953)</f>
      </c>
    </row>
    <row r="954" spans="2:14" x14ac:dyDescent="0.25">
      <c r="B954" s="23"/>
      <c r="C954" s="12"/>
      <c r="D954" s="20">
        <f>IFERROR(IF($C954="","",VLOOKUP($C954,'Ürün Kartları'!$B$5:$C$154,2,FALSE)),"— tanımsız ürün —")</f>
      </c>
      <c r="E954" s="12"/>
      <c r="F954" s="14"/>
      <c r="G954" s="15"/>
      <c r="H954" s="16">
        <f>IF(OR($F954="",$G954=""),0,$F954*$G954)</f>
      </c>
      <c r="I954" s="16">
        <f>IFERROR(IF($E954="",0,$H954*VLOOKUP($E954,'Pazaryeri Kartları'!$B$5:$C$24,2,FALSE)+VLOOKUP($E954,'Pazaryeri Kartları'!$B$5:$D$24,3,FALSE)*$G954),0)</f>
      </c>
      <c r="J954" s="16">
        <f>IFERROR(IF($C954="",0,VLOOKUP($C954,'Ürün Kartları'!$B$5:$G$154,6,FALSE)*$G954),0)</f>
      </c>
      <c r="K954" s="15"/>
      <c r="L954" s="14"/>
      <c r="M954" s="21">
        <f>IF($C954="","",IF($K954=1,-($J954*0.5)-$L954,$H954-$I954-$J954-$L954))</f>
      </c>
      <c r="N954" s="22">
        <f>IF(OR($C954="",$H954=0),"",$M954/$H954)</f>
      </c>
    </row>
    <row r="955" spans="2:14" x14ac:dyDescent="0.25">
      <c r="B955" s="19"/>
      <c r="C955" s="8"/>
      <c r="D955" s="20">
        <f>IFERROR(IF($C955="","",VLOOKUP($C955,'Ürün Kartları'!$B$5:$C$154,2,FALSE)),"— tanımsız ürün —")</f>
      </c>
      <c r="E955" s="8"/>
      <c r="F955" s="10"/>
      <c r="G955" s="11"/>
      <c r="H955" s="16">
        <f>IF(OR($F955="",$G955=""),0,$F955*$G955)</f>
      </c>
      <c r="I955" s="16">
        <f>IFERROR(IF($E955="",0,$H955*VLOOKUP($E955,'Pazaryeri Kartları'!$B$5:$C$24,2,FALSE)+VLOOKUP($E955,'Pazaryeri Kartları'!$B$5:$D$24,3,FALSE)*$G955),0)</f>
      </c>
      <c r="J955" s="16">
        <f>IFERROR(IF($C955="",0,VLOOKUP($C955,'Ürün Kartları'!$B$5:$G$154,6,FALSE)*$G955),0)</f>
      </c>
      <c r="K955" s="11"/>
      <c r="L955" s="10"/>
      <c r="M955" s="21">
        <f>IF($C955="","",IF($K955=1,-($J955*0.5)-$L955,$H955-$I955-$J955-$L955))</f>
      </c>
      <c r="N955" s="22">
        <f>IF(OR($C955="",$H955=0),"",$M955/$H955)</f>
      </c>
    </row>
    <row r="956" spans="2:14" x14ac:dyDescent="0.25">
      <c r="B956" s="23"/>
      <c r="C956" s="12"/>
      <c r="D956" s="20">
        <f>IFERROR(IF($C956="","",VLOOKUP($C956,'Ürün Kartları'!$B$5:$C$154,2,FALSE)),"— tanımsız ürün —")</f>
      </c>
      <c r="E956" s="12"/>
      <c r="F956" s="14"/>
      <c r="G956" s="15"/>
      <c r="H956" s="16">
        <f>IF(OR($F956="",$G956=""),0,$F956*$G956)</f>
      </c>
      <c r="I956" s="16">
        <f>IFERROR(IF($E956="",0,$H956*VLOOKUP($E956,'Pazaryeri Kartları'!$B$5:$C$24,2,FALSE)+VLOOKUP($E956,'Pazaryeri Kartları'!$B$5:$D$24,3,FALSE)*$G956),0)</f>
      </c>
      <c r="J956" s="16">
        <f>IFERROR(IF($C956="",0,VLOOKUP($C956,'Ürün Kartları'!$B$5:$G$154,6,FALSE)*$G956),0)</f>
      </c>
      <c r="K956" s="15"/>
      <c r="L956" s="14"/>
      <c r="M956" s="21">
        <f>IF($C956="","",IF($K956=1,-($J956*0.5)-$L956,$H956-$I956-$J956-$L956))</f>
      </c>
      <c r="N956" s="22">
        <f>IF(OR($C956="",$H956=0),"",$M956/$H956)</f>
      </c>
    </row>
    <row r="957" spans="2:14" x14ac:dyDescent="0.25">
      <c r="B957" s="19"/>
      <c r="C957" s="8"/>
      <c r="D957" s="20">
        <f>IFERROR(IF($C957="","",VLOOKUP($C957,'Ürün Kartları'!$B$5:$C$154,2,FALSE)),"— tanımsız ürün —")</f>
      </c>
      <c r="E957" s="8"/>
      <c r="F957" s="10"/>
      <c r="G957" s="11"/>
      <c r="H957" s="16">
        <f>IF(OR($F957="",$G957=""),0,$F957*$G957)</f>
      </c>
      <c r="I957" s="16">
        <f>IFERROR(IF($E957="",0,$H957*VLOOKUP($E957,'Pazaryeri Kartları'!$B$5:$C$24,2,FALSE)+VLOOKUP($E957,'Pazaryeri Kartları'!$B$5:$D$24,3,FALSE)*$G957),0)</f>
      </c>
      <c r="J957" s="16">
        <f>IFERROR(IF($C957="",0,VLOOKUP($C957,'Ürün Kartları'!$B$5:$G$154,6,FALSE)*$G957),0)</f>
      </c>
      <c r="K957" s="11"/>
      <c r="L957" s="10"/>
      <c r="M957" s="21">
        <f>IF($C957="","",IF($K957=1,-($J957*0.5)-$L957,$H957-$I957-$J957-$L957))</f>
      </c>
      <c r="N957" s="22">
        <f>IF(OR($C957="",$H957=0),"",$M957/$H957)</f>
      </c>
    </row>
    <row r="958" spans="2:14" x14ac:dyDescent="0.25">
      <c r="B958" s="23"/>
      <c r="C958" s="12"/>
      <c r="D958" s="20">
        <f>IFERROR(IF($C958="","",VLOOKUP($C958,'Ürün Kartları'!$B$5:$C$154,2,FALSE)),"— tanımsız ürün —")</f>
      </c>
      <c r="E958" s="12"/>
      <c r="F958" s="14"/>
      <c r="G958" s="15"/>
      <c r="H958" s="16">
        <f>IF(OR($F958="",$G958=""),0,$F958*$G958)</f>
      </c>
      <c r="I958" s="16">
        <f>IFERROR(IF($E958="",0,$H958*VLOOKUP($E958,'Pazaryeri Kartları'!$B$5:$C$24,2,FALSE)+VLOOKUP($E958,'Pazaryeri Kartları'!$B$5:$D$24,3,FALSE)*$G958),0)</f>
      </c>
      <c r="J958" s="16">
        <f>IFERROR(IF($C958="",0,VLOOKUP($C958,'Ürün Kartları'!$B$5:$G$154,6,FALSE)*$G958),0)</f>
      </c>
      <c r="K958" s="15"/>
      <c r="L958" s="14"/>
      <c r="M958" s="21">
        <f>IF($C958="","",IF($K958=1,-($J958*0.5)-$L958,$H958-$I958-$J958-$L958))</f>
      </c>
      <c r="N958" s="22">
        <f>IF(OR($C958="",$H958=0),"",$M958/$H958)</f>
      </c>
    </row>
    <row r="959" spans="2:14" x14ac:dyDescent="0.25">
      <c r="B959" s="19"/>
      <c r="C959" s="8"/>
      <c r="D959" s="20">
        <f>IFERROR(IF($C959="","",VLOOKUP($C959,'Ürün Kartları'!$B$5:$C$154,2,FALSE)),"— tanımsız ürün —")</f>
      </c>
      <c r="E959" s="8"/>
      <c r="F959" s="10"/>
      <c r="G959" s="11"/>
      <c r="H959" s="16">
        <f>IF(OR($F959="",$G959=""),0,$F959*$G959)</f>
      </c>
      <c r="I959" s="16">
        <f>IFERROR(IF($E959="",0,$H959*VLOOKUP($E959,'Pazaryeri Kartları'!$B$5:$C$24,2,FALSE)+VLOOKUP($E959,'Pazaryeri Kartları'!$B$5:$D$24,3,FALSE)*$G959),0)</f>
      </c>
      <c r="J959" s="16">
        <f>IFERROR(IF($C959="",0,VLOOKUP($C959,'Ürün Kartları'!$B$5:$G$154,6,FALSE)*$G959),0)</f>
      </c>
      <c r="K959" s="11"/>
      <c r="L959" s="10"/>
      <c r="M959" s="21">
        <f>IF($C959="","",IF($K959=1,-($J959*0.5)-$L959,$H959-$I959-$J959-$L959))</f>
      </c>
      <c r="N959" s="22">
        <f>IF(OR($C959="",$H959=0),"",$M959/$H959)</f>
      </c>
    </row>
    <row r="960" spans="2:14" x14ac:dyDescent="0.25">
      <c r="B960" s="23"/>
      <c r="C960" s="12"/>
      <c r="D960" s="20">
        <f>IFERROR(IF($C960="","",VLOOKUP($C960,'Ürün Kartları'!$B$5:$C$154,2,FALSE)),"— tanımsız ürün —")</f>
      </c>
      <c r="E960" s="12"/>
      <c r="F960" s="14"/>
      <c r="G960" s="15"/>
      <c r="H960" s="16">
        <f>IF(OR($F960="",$G960=""),0,$F960*$G960)</f>
      </c>
      <c r="I960" s="16">
        <f>IFERROR(IF($E960="",0,$H960*VLOOKUP($E960,'Pazaryeri Kartları'!$B$5:$C$24,2,FALSE)+VLOOKUP($E960,'Pazaryeri Kartları'!$B$5:$D$24,3,FALSE)*$G960),0)</f>
      </c>
      <c r="J960" s="16">
        <f>IFERROR(IF($C960="",0,VLOOKUP($C960,'Ürün Kartları'!$B$5:$G$154,6,FALSE)*$G960),0)</f>
      </c>
      <c r="K960" s="15"/>
      <c r="L960" s="14"/>
      <c r="M960" s="21">
        <f>IF($C960="","",IF($K960=1,-($J960*0.5)-$L960,$H960-$I960-$J960-$L960))</f>
      </c>
      <c r="N960" s="22">
        <f>IF(OR($C960="",$H960=0),"",$M960/$H960)</f>
      </c>
    </row>
    <row r="961" spans="2:14" x14ac:dyDescent="0.25">
      <c r="B961" s="19"/>
      <c r="C961" s="8"/>
      <c r="D961" s="20">
        <f>IFERROR(IF($C961="","",VLOOKUP($C961,'Ürün Kartları'!$B$5:$C$154,2,FALSE)),"— tanımsız ürün —")</f>
      </c>
      <c r="E961" s="8"/>
      <c r="F961" s="10"/>
      <c r="G961" s="11"/>
      <c r="H961" s="16">
        <f>IF(OR($F961="",$G961=""),0,$F961*$G961)</f>
      </c>
      <c r="I961" s="16">
        <f>IFERROR(IF($E961="",0,$H961*VLOOKUP($E961,'Pazaryeri Kartları'!$B$5:$C$24,2,FALSE)+VLOOKUP($E961,'Pazaryeri Kartları'!$B$5:$D$24,3,FALSE)*$G961),0)</f>
      </c>
      <c r="J961" s="16">
        <f>IFERROR(IF($C961="",0,VLOOKUP($C961,'Ürün Kartları'!$B$5:$G$154,6,FALSE)*$G961),0)</f>
      </c>
      <c r="K961" s="11"/>
      <c r="L961" s="10"/>
      <c r="M961" s="21">
        <f>IF($C961="","",IF($K961=1,-($J961*0.5)-$L961,$H961-$I961-$J961-$L961))</f>
      </c>
      <c r="N961" s="22">
        <f>IF(OR($C961="",$H961=0),"",$M961/$H961)</f>
      </c>
    </row>
    <row r="962" spans="2:14" x14ac:dyDescent="0.25">
      <c r="B962" s="23"/>
      <c r="C962" s="12"/>
      <c r="D962" s="20">
        <f>IFERROR(IF($C962="","",VLOOKUP($C962,'Ürün Kartları'!$B$5:$C$154,2,FALSE)),"— tanımsız ürün —")</f>
      </c>
      <c r="E962" s="12"/>
      <c r="F962" s="14"/>
      <c r="G962" s="15"/>
      <c r="H962" s="16">
        <f>IF(OR($F962="",$G962=""),0,$F962*$G962)</f>
      </c>
      <c r="I962" s="16">
        <f>IFERROR(IF($E962="",0,$H962*VLOOKUP($E962,'Pazaryeri Kartları'!$B$5:$C$24,2,FALSE)+VLOOKUP($E962,'Pazaryeri Kartları'!$B$5:$D$24,3,FALSE)*$G962),0)</f>
      </c>
      <c r="J962" s="16">
        <f>IFERROR(IF($C962="",0,VLOOKUP($C962,'Ürün Kartları'!$B$5:$G$154,6,FALSE)*$G962),0)</f>
      </c>
      <c r="K962" s="15"/>
      <c r="L962" s="14"/>
      <c r="M962" s="21">
        <f>IF($C962="","",IF($K962=1,-($J962*0.5)-$L962,$H962-$I962-$J962-$L962))</f>
      </c>
      <c r="N962" s="22">
        <f>IF(OR($C962="",$H962=0),"",$M962/$H962)</f>
      </c>
    </row>
    <row r="963" spans="2:14" x14ac:dyDescent="0.25">
      <c r="B963" s="19"/>
      <c r="C963" s="8"/>
      <c r="D963" s="20">
        <f>IFERROR(IF($C963="","",VLOOKUP($C963,'Ürün Kartları'!$B$5:$C$154,2,FALSE)),"— tanımsız ürün —")</f>
      </c>
      <c r="E963" s="8"/>
      <c r="F963" s="10"/>
      <c r="G963" s="11"/>
      <c r="H963" s="16">
        <f>IF(OR($F963="",$G963=""),0,$F963*$G963)</f>
      </c>
      <c r="I963" s="16">
        <f>IFERROR(IF($E963="",0,$H963*VLOOKUP($E963,'Pazaryeri Kartları'!$B$5:$C$24,2,FALSE)+VLOOKUP($E963,'Pazaryeri Kartları'!$B$5:$D$24,3,FALSE)*$G963),0)</f>
      </c>
      <c r="J963" s="16">
        <f>IFERROR(IF($C963="",0,VLOOKUP($C963,'Ürün Kartları'!$B$5:$G$154,6,FALSE)*$G963),0)</f>
      </c>
      <c r="K963" s="11"/>
      <c r="L963" s="10"/>
      <c r="M963" s="21">
        <f>IF($C963="","",IF($K963=1,-($J963*0.5)-$L963,$H963-$I963-$J963-$L963))</f>
      </c>
      <c r="N963" s="22">
        <f>IF(OR($C963="",$H963=0),"",$M963/$H963)</f>
      </c>
    </row>
    <row r="964" spans="2:14" x14ac:dyDescent="0.25">
      <c r="B964" s="23"/>
      <c r="C964" s="12"/>
      <c r="D964" s="20">
        <f>IFERROR(IF($C964="","",VLOOKUP($C964,'Ürün Kartları'!$B$5:$C$154,2,FALSE)),"— tanımsız ürün —")</f>
      </c>
      <c r="E964" s="12"/>
      <c r="F964" s="14"/>
      <c r="G964" s="15"/>
      <c r="H964" s="16">
        <f>IF(OR($F964="",$G964=""),0,$F964*$G964)</f>
      </c>
      <c r="I964" s="16">
        <f>IFERROR(IF($E964="",0,$H964*VLOOKUP($E964,'Pazaryeri Kartları'!$B$5:$C$24,2,FALSE)+VLOOKUP($E964,'Pazaryeri Kartları'!$B$5:$D$24,3,FALSE)*$G964),0)</f>
      </c>
      <c r="J964" s="16">
        <f>IFERROR(IF($C964="",0,VLOOKUP($C964,'Ürün Kartları'!$B$5:$G$154,6,FALSE)*$G964),0)</f>
      </c>
      <c r="K964" s="15"/>
      <c r="L964" s="14"/>
      <c r="M964" s="21">
        <f>IF($C964="","",IF($K964=1,-($J964*0.5)-$L964,$H964-$I964-$J964-$L964))</f>
      </c>
      <c r="N964" s="22">
        <f>IF(OR($C964="",$H964=0),"",$M964/$H964)</f>
      </c>
    </row>
    <row r="965" spans="2:14" x14ac:dyDescent="0.25">
      <c r="B965" s="19"/>
      <c r="C965" s="8"/>
      <c r="D965" s="20">
        <f>IFERROR(IF($C965="","",VLOOKUP($C965,'Ürün Kartları'!$B$5:$C$154,2,FALSE)),"— tanımsız ürün —")</f>
      </c>
      <c r="E965" s="8"/>
      <c r="F965" s="10"/>
      <c r="G965" s="11"/>
      <c r="H965" s="16">
        <f>IF(OR($F965="",$G965=""),0,$F965*$G965)</f>
      </c>
      <c r="I965" s="16">
        <f>IFERROR(IF($E965="",0,$H965*VLOOKUP($E965,'Pazaryeri Kartları'!$B$5:$C$24,2,FALSE)+VLOOKUP($E965,'Pazaryeri Kartları'!$B$5:$D$24,3,FALSE)*$G965),0)</f>
      </c>
      <c r="J965" s="16">
        <f>IFERROR(IF($C965="",0,VLOOKUP($C965,'Ürün Kartları'!$B$5:$G$154,6,FALSE)*$G965),0)</f>
      </c>
      <c r="K965" s="11"/>
      <c r="L965" s="10"/>
      <c r="M965" s="21">
        <f>IF($C965="","",IF($K965=1,-($J965*0.5)-$L965,$H965-$I965-$J965-$L965))</f>
      </c>
      <c r="N965" s="22">
        <f>IF(OR($C965="",$H965=0),"",$M965/$H965)</f>
      </c>
    </row>
    <row r="966" spans="2:14" x14ac:dyDescent="0.25">
      <c r="B966" s="23"/>
      <c r="C966" s="12"/>
      <c r="D966" s="20">
        <f>IFERROR(IF($C966="","",VLOOKUP($C966,'Ürün Kartları'!$B$5:$C$154,2,FALSE)),"— tanımsız ürün —")</f>
      </c>
      <c r="E966" s="12"/>
      <c r="F966" s="14"/>
      <c r="G966" s="15"/>
      <c r="H966" s="16">
        <f>IF(OR($F966="",$G966=""),0,$F966*$G966)</f>
      </c>
      <c r="I966" s="16">
        <f>IFERROR(IF($E966="",0,$H966*VLOOKUP($E966,'Pazaryeri Kartları'!$B$5:$C$24,2,FALSE)+VLOOKUP($E966,'Pazaryeri Kartları'!$B$5:$D$24,3,FALSE)*$G966),0)</f>
      </c>
      <c r="J966" s="16">
        <f>IFERROR(IF($C966="",0,VLOOKUP($C966,'Ürün Kartları'!$B$5:$G$154,6,FALSE)*$G966),0)</f>
      </c>
      <c r="K966" s="15"/>
      <c r="L966" s="14"/>
      <c r="M966" s="21">
        <f>IF($C966="","",IF($K966=1,-($J966*0.5)-$L966,$H966-$I966-$J966-$L966))</f>
      </c>
      <c r="N966" s="22">
        <f>IF(OR($C966="",$H966=0),"",$M966/$H966)</f>
      </c>
    </row>
    <row r="967" spans="2:14" x14ac:dyDescent="0.25">
      <c r="B967" s="19"/>
      <c r="C967" s="8"/>
      <c r="D967" s="20">
        <f>IFERROR(IF($C967="","",VLOOKUP($C967,'Ürün Kartları'!$B$5:$C$154,2,FALSE)),"— tanımsız ürün —")</f>
      </c>
      <c r="E967" s="8"/>
      <c r="F967" s="10"/>
      <c r="G967" s="11"/>
      <c r="H967" s="16">
        <f>IF(OR($F967="",$G967=""),0,$F967*$G967)</f>
      </c>
      <c r="I967" s="16">
        <f>IFERROR(IF($E967="",0,$H967*VLOOKUP($E967,'Pazaryeri Kartları'!$B$5:$C$24,2,FALSE)+VLOOKUP($E967,'Pazaryeri Kartları'!$B$5:$D$24,3,FALSE)*$G967),0)</f>
      </c>
      <c r="J967" s="16">
        <f>IFERROR(IF($C967="",0,VLOOKUP($C967,'Ürün Kartları'!$B$5:$G$154,6,FALSE)*$G967),0)</f>
      </c>
      <c r="K967" s="11"/>
      <c r="L967" s="10"/>
      <c r="M967" s="21">
        <f>IF($C967="","",IF($K967=1,-($J967*0.5)-$L967,$H967-$I967-$J967-$L967))</f>
      </c>
      <c r="N967" s="22">
        <f>IF(OR($C967="",$H967=0),"",$M967/$H967)</f>
      </c>
    </row>
    <row r="968" spans="2:14" x14ac:dyDescent="0.25">
      <c r="B968" s="23"/>
      <c r="C968" s="12"/>
      <c r="D968" s="20">
        <f>IFERROR(IF($C968="","",VLOOKUP($C968,'Ürün Kartları'!$B$5:$C$154,2,FALSE)),"— tanımsız ürün —")</f>
      </c>
      <c r="E968" s="12"/>
      <c r="F968" s="14"/>
      <c r="G968" s="15"/>
      <c r="H968" s="16">
        <f>IF(OR($F968="",$G968=""),0,$F968*$G968)</f>
      </c>
      <c r="I968" s="16">
        <f>IFERROR(IF($E968="",0,$H968*VLOOKUP($E968,'Pazaryeri Kartları'!$B$5:$C$24,2,FALSE)+VLOOKUP($E968,'Pazaryeri Kartları'!$B$5:$D$24,3,FALSE)*$G968),0)</f>
      </c>
      <c r="J968" s="16">
        <f>IFERROR(IF($C968="",0,VLOOKUP($C968,'Ürün Kartları'!$B$5:$G$154,6,FALSE)*$G968),0)</f>
      </c>
      <c r="K968" s="15"/>
      <c r="L968" s="14"/>
      <c r="M968" s="21">
        <f>IF($C968="","",IF($K968=1,-($J968*0.5)-$L968,$H968-$I968-$J968-$L968))</f>
      </c>
      <c r="N968" s="22">
        <f>IF(OR($C968="",$H968=0),"",$M968/$H968)</f>
      </c>
    </row>
    <row r="969" spans="2:14" x14ac:dyDescent="0.25">
      <c r="B969" s="19"/>
      <c r="C969" s="8"/>
      <c r="D969" s="20">
        <f>IFERROR(IF($C969="","",VLOOKUP($C969,'Ürün Kartları'!$B$5:$C$154,2,FALSE)),"— tanımsız ürün —")</f>
      </c>
      <c r="E969" s="8"/>
      <c r="F969" s="10"/>
      <c r="G969" s="11"/>
      <c r="H969" s="16">
        <f>IF(OR($F969="",$G969=""),0,$F969*$G969)</f>
      </c>
      <c r="I969" s="16">
        <f>IFERROR(IF($E969="",0,$H969*VLOOKUP($E969,'Pazaryeri Kartları'!$B$5:$C$24,2,FALSE)+VLOOKUP($E969,'Pazaryeri Kartları'!$B$5:$D$24,3,FALSE)*$G969),0)</f>
      </c>
      <c r="J969" s="16">
        <f>IFERROR(IF($C969="",0,VLOOKUP($C969,'Ürün Kartları'!$B$5:$G$154,6,FALSE)*$G969),0)</f>
      </c>
      <c r="K969" s="11"/>
      <c r="L969" s="10"/>
      <c r="M969" s="21">
        <f>IF($C969="","",IF($K969=1,-($J969*0.5)-$L969,$H969-$I969-$J969-$L969))</f>
      </c>
      <c r="N969" s="22">
        <f>IF(OR($C969="",$H969=0),"",$M969/$H969)</f>
      </c>
    </row>
    <row r="970" spans="2:14" x14ac:dyDescent="0.25">
      <c r="B970" s="23"/>
      <c r="C970" s="12"/>
      <c r="D970" s="20">
        <f>IFERROR(IF($C970="","",VLOOKUP($C970,'Ürün Kartları'!$B$5:$C$154,2,FALSE)),"— tanımsız ürün —")</f>
      </c>
      <c r="E970" s="12"/>
      <c r="F970" s="14"/>
      <c r="G970" s="15"/>
      <c r="H970" s="16">
        <f>IF(OR($F970="",$G970=""),0,$F970*$G970)</f>
      </c>
      <c r="I970" s="16">
        <f>IFERROR(IF($E970="",0,$H970*VLOOKUP($E970,'Pazaryeri Kartları'!$B$5:$C$24,2,FALSE)+VLOOKUP($E970,'Pazaryeri Kartları'!$B$5:$D$24,3,FALSE)*$G970),0)</f>
      </c>
      <c r="J970" s="16">
        <f>IFERROR(IF($C970="",0,VLOOKUP($C970,'Ürün Kartları'!$B$5:$G$154,6,FALSE)*$G970),0)</f>
      </c>
      <c r="K970" s="15"/>
      <c r="L970" s="14"/>
      <c r="M970" s="21">
        <f>IF($C970="","",IF($K970=1,-($J970*0.5)-$L970,$H970-$I970-$J970-$L970))</f>
      </c>
      <c r="N970" s="22">
        <f>IF(OR($C970="",$H970=0),"",$M970/$H970)</f>
      </c>
    </row>
    <row r="971" spans="2:14" x14ac:dyDescent="0.25">
      <c r="B971" s="19"/>
      <c r="C971" s="8"/>
      <c r="D971" s="20">
        <f>IFERROR(IF($C971="","",VLOOKUP($C971,'Ürün Kartları'!$B$5:$C$154,2,FALSE)),"— tanımsız ürün —")</f>
      </c>
      <c r="E971" s="8"/>
      <c r="F971" s="10"/>
      <c r="G971" s="11"/>
      <c r="H971" s="16">
        <f>IF(OR($F971="",$G971=""),0,$F971*$G971)</f>
      </c>
      <c r="I971" s="16">
        <f>IFERROR(IF($E971="",0,$H971*VLOOKUP($E971,'Pazaryeri Kartları'!$B$5:$C$24,2,FALSE)+VLOOKUP($E971,'Pazaryeri Kartları'!$B$5:$D$24,3,FALSE)*$G971),0)</f>
      </c>
      <c r="J971" s="16">
        <f>IFERROR(IF($C971="",0,VLOOKUP($C971,'Ürün Kartları'!$B$5:$G$154,6,FALSE)*$G971),0)</f>
      </c>
      <c r="K971" s="11"/>
      <c r="L971" s="10"/>
      <c r="M971" s="21">
        <f>IF($C971="","",IF($K971=1,-($J971*0.5)-$L971,$H971-$I971-$J971-$L971))</f>
      </c>
      <c r="N971" s="22">
        <f>IF(OR($C971="",$H971=0),"",$M971/$H971)</f>
      </c>
    </row>
    <row r="972" spans="2:14" x14ac:dyDescent="0.25">
      <c r="B972" s="23"/>
      <c r="C972" s="12"/>
      <c r="D972" s="20">
        <f>IFERROR(IF($C972="","",VLOOKUP($C972,'Ürün Kartları'!$B$5:$C$154,2,FALSE)),"— tanımsız ürün —")</f>
      </c>
      <c r="E972" s="12"/>
      <c r="F972" s="14"/>
      <c r="G972" s="15"/>
      <c r="H972" s="16">
        <f>IF(OR($F972="",$G972=""),0,$F972*$G972)</f>
      </c>
      <c r="I972" s="16">
        <f>IFERROR(IF($E972="",0,$H972*VLOOKUP($E972,'Pazaryeri Kartları'!$B$5:$C$24,2,FALSE)+VLOOKUP($E972,'Pazaryeri Kartları'!$B$5:$D$24,3,FALSE)*$G972),0)</f>
      </c>
      <c r="J972" s="16">
        <f>IFERROR(IF($C972="",0,VLOOKUP($C972,'Ürün Kartları'!$B$5:$G$154,6,FALSE)*$G972),0)</f>
      </c>
      <c r="K972" s="15"/>
      <c r="L972" s="14"/>
      <c r="M972" s="21">
        <f>IF($C972="","",IF($K972=1,-($J972*0.5)-$L972,$H972-$I972-$J972-$L972))</f>
      </c>
      <c r="N972" s="22">
        <f>IF(OR($C972="",$H972=0),"",$M972/$H972)</f>
      </c>
    </row>
    <row r="973" spans="2:14" x14ac:dyDescent="0.25">
      <c r="B973" s="19"/>
      <c r="C973" s="8"/>
      <c r="D973" s="20">
        <f>IFERROR(IF($C973="","",VLOOKUP($C973,'Ürün Kartları'!$B$5:$C$154,2,FALSE)),"— tanımsız ürün —")</f>
      </c>
      <c r="E973" s="8"/>
      <c r="F973" s="10"/>
      <c r="G973" s="11"/>
      <c r="H973" s="16">
        <f>IF(OR($F973="",$G973=""),0,$F973*$G973)</f>
      </c>
      <c r="I973" s="16">
        <f>IFERROR(IF($E973="",0,$H973*VLOOKUP($E973,'Pazaryeri Kartları'!$B$5:$C$24,2,FALSE)+VLOOKUP($E973,'Pazaryeri Kartları'!$B$5:$D$24,3,FALSE)*$G973),0)</f>
      </c>
      <c r="J973" s="16">
        <f>IFERROR(IF($C973="",0,VLOOKUP($C973,'Ürün Kartları'!$B$5:$G$154,6,FALSE)*$G973),0)</f>
      </c>
      <c r="K973" s="11"/>
      <c r="L973" s="10"/>
      <c r="M973" s="21">
        <f>IF($C973="","",IF($K973=1,-($J973*0.5)-$L973,$H973-$I973-$J973-$L973))</f>
      </c>
      <c r="N973" s="22">
        <f>IF(OR($C973="",$H973=0),"",$M973/$H973)</f>
      </c>
    </row>
    <row r="974" spans="2:14" x14ac:dyDescent="0.25">
      <c r="B974" s="23"/>
      <c r="C974" s="12"/>
      <c r="D974" s="20">
        <f>IFERROR(IF($C974="","",VLOOKUP($C974,'Ürün Kartları'!$B$5:$C$154,2,FALSE)),"— tanımsız ürün —")</f>
      </c>
      <c r="E974" s="12"/>
      <c r="F974" s="14"/>
      <c r="G974" s="15"/>
      <c r="H974" s="16">
        <f>IF(OR($F974="",$G974=""),0,$F974*$G974)</f>
      </c>
      <c r="I974" s="16">
        <f>IFERROR(IF($E974="",0,$H974*VLOOKUP($E974,'Pazaryeri Kartları'!$B$5:$C$24,2,FALSE)+VLOOKUP($E974,'Pazaryeri Kartları'!$B$5:$D$24,3,FALSE)*$G974),0)</f>
      </c>
      <c r="J974" s="16">
        <f>IFERROR(IF($C974="",0,VLOOKUP($C974,'Ürün Kartları'!$B$5:$G$154,6,FALSE)*$G974),0)</f>
      </c>
      <c r="K974" s="15"/>
      <c r="L974" s="14"/>
      <c r="M974" s="21">
        <f>IF($C974="","",IF($K974=1,-($J974*0.5)-$L974,$H974-$I974-$J974-$L974))</f>
      </c>
      <c r="N974" s="22">
        <f>IF(OR($C974="",$H974=0),"",$M974/$H974)</f>
      </c>
    </row>
    <row r="975" spans="2:14" x14ac:dyDescent="0.25">
      <c r="B975" s="19"/>
      <c r="C975" s="8"/>
      <c r="D975" s="20">
        <f>IFERROR(IF($C975="","",VLOOKUP($C975,'Ürün Kartları'!$B$5:$C$154,2,FALSE)),"— tanımsız ürün —")</f>
      </c>
      <c r="E975" s="8"/>
      <c r="F975" s="10"/>
      <c r="G975" s="11"/>
      <c r="H975" s="16">
        <f>IF(OR($F975="",$G975=""),0,$F975*$G975)</f>
      </c>
      <c r="I975" s="16">
        <f>IFERROR(IF($E975="",0,$H975*VLOOKUP($E975,'Pazaryeri Kartları'!$B$5:$C$24,2,FALSE)+VLOOKUP($E975,'Pazaryeri Kartları'!$B$5:$D$24,3,FALSE)*$G975),0)</f>
      </c>
      <c r="J975" s="16">
        <f>IFERROR(IF($C975="",0,VLOOKUP($C975,'Ürün Kartları'!$B$5:$G$154,6,FALSE)*$G975),0)</f>
      </c>
      <c r="K975" s="11"/>
      <c r="L975" s="10"/>
      <c r="M975" s="21">
        <f>IF($C975="","",IF($K975=1,-($J975*0.5)-$L975,$H975-$I975-$J975-$L975))</f>
      </c>
      <c r="N975" s="22">
        <f>IF(OR($C975="",$H975=0),"",$M975/$H975)</f>
      </c>
    </row>
    <row r="976" spans="2:14" x14ac:dyDescent="0.25">
      <c r="B976" s="23"/>
      <c r="C976" s="12"/>
      <c r="D976" s="20">
        <f>IFERROR(IF($C976="","",VLOOKUP($C976,'Ürün Kartları'!$B$5:$C$154,2,FALSE)),"— tanımsız ürün —")</f>
      </c>
      <c r="E976" s="12"/>
      <c r="F976" s="14"/>
      <c r="G976" s="15"/>
      <c r="H976" s="16">
        <f>IF(OR($F976="",$G976=""),0,$F976*$G976)</f>
      </c>
      <c r="I976" s="16">
        <f>IFERROR(IF($E976="",0,$H976*VLOOKUP($E976,'Pazaryeri Kartları'!$B$5:$C$24,2,FALSE)+VLOOKUP($E976,'Pazaryeri Kartları'!$B$5:$D$24,3,FALSE)*$G976),0)</f>
      </c>
      <c r="J976" s="16">
        <f>IFERROR(IF($C976="",0,VLOOKUP($C976,'Ürün Kartları'!$B$5:$G$154,6,FALSE)*$G976),0)</f>
      </c>
      <c r="K976" s="15"/>
      <c r="L976" s="14"/>
      <c r="M976" s="21">
        <f>IF($C976="","",IF($K976=1,-($J976*0.5)-$L976,$H976-$I976-$J976-$L976))</f>
      </c>
      <c r="N976" s="22">
        <f>IF(OR($C976="",$H976=0),"",$M976/$H976)</f>
      </c>
    </row>
    <row r="977" spans="2:14" x14ac:dyDescent="0.25">
      <c r="B977" s="19"/>
      <c r="C977" s="8"/>
      <c r="D977" s="20">
        <f>IFERROR(IF($C977="","",VLOOKUP($C977,'Ürün Kartları'!$B$5:$C$154,2,FALSE)),"— tanımsız ürün —")</f>
      </c>
      <c r="E977" s="8"/>
      <c r="F977" s="10"/>
      <c r="G977" s="11"/>
      <c r="H977" s="16">
        <f>IF(OR($F977="",$G977=""),0,$F977*$G977)</f>
      </c>
      <c r="I977" s="16">
        <f>IFERROR(IF($E977="",0,$H977*VLOOKUP($E977,'Pazaryeri Kartları'!$B$5:$C$24,2,FALSE)+VLOOKUP($E977,'Pazaryeri Kartları'!$B$5:$D$24,3,FALSE)*$G977),0)</f>
      </c>
      <c r="J977" s="16">
        <f>IFERROR(IF($C977="",0,VLOOKUP($C977,'Ürün Kartları'!$B$5:$G$154,6,FALSE)*$G977),0)</f>
      </c>
      <c r="K977" s="11"/>
      <c r="L977" s="10"/>
      <c r="M977" s="21">
        <f>IF($C977="","",IF($K977=1,-($J977*0.5)-$L977,$H977-$I977-$J977-$L977))</f>
      </c>
      <c r="N977" s="22">
        <f>IF(OR($C977="",$H977=0),"",$M977/$H977)</f>
      </c>
    </row>
    <row r="978" spans="2:14" x14ac:dyDescent="0.25">
      <c r="B978" s="23"/>
      <c r="C978" s="12"/>
      <c r="D978" s="20">
        <f>IFERROR(IF($C978="","",VLOOKUP($C978,'Ürün Kartları'!$B$5:$C$154,2,FALSE)),"— tanımsız ürün —")</f>
      </c>
      <c r="E978" s="12"/>
      <c r="F978" s="14"/>
      <c r="G978" s="15"/>
      <c r="H978" s="16">
        <f>IF(OR($F978="",$G978=""),0,$F978*$G978)</f>
      </c>
      <c r="I978" s="16">
        <f>IFERROR(IF($E978="",0,$H978*VLOOKUP($E978,'Pazaryeri Kartları'!$B$5:$C$24,2,FALSE)+VLOOKUP($E978,'Pazaryeri Kartları'!$B$5:$D$24,3,FALSE)*$G978),0)</f>
      </c>
      <c r="J978" s="16">
        <f>IFERROR(IF($C978="",0,VLOOKUP($C978,'Ürün Kartları'!$B$5:$G$154,6,FALSE)*$G978),0)</f>
      </c>
      <c r="K978" s="15"/>
      <c r="L978" s="14"/>
      <c r="M978" s="21">
        <f>IF($C978="","",IF($K978=1,-($J978*0.5)-$L978,$H978-$I978-$J978-$L978))</f>
      </c>
      <c r="N978" s="22">
        <f>IF(OR($C978="",$H978=0),"",$M978/$H978)</f>
      </c>
    </row>
    <row r="979" spans="2:14" x14ac:dyDescent="0.25">
      <c r="B979" s="19"/>
      <c r="C979" s="8"/>
      <c r="D979" s="20">
        <f>IFERROR(IF($C979="","",VLOOKUP($C979,'Ürün Kartları'!$B$5:$C$154,2,FALSE)),"— tanımsız ürün —")</f>
      </c>
      <c r="E979" s="8"/>
      <c r="F979" s="10"/>
      <c r="G979" s="11"/>
      <c r="H979" s="16">
        <f>IF(OR($F979="",$G979=""),0,$F979*$G979)</f>
      </c>
      <c r="I979" s="16">
        <f>IFERROR(IF($E979="",0,$H979*VLOOKUP($E979,'Pazaryeri Kartları'!$B$5:$C$24,2,FALSE)+VLOOKUP($E979,'Pazaryeri Kartları'!$B$5:$D$24,3,FALSE)*$G979),0)</f>
      </c>
      <c r="J979" s="16">
        <f>IFERROR(IF($C979="",0,VLOOKUP($C979,'Ürün Kartları'!$B$5:$G$154,6,FALSE)*$G979),0)</f>
      </c>
      <c r="K979" s="11"/>
      <c r="L979" s="10"/>
      <c r="M979" s="21">
        <f>IF($C979="","",IF($K979=1,-($J979*0.5)-$L979,$H979-$I979-$J979-$L979))</f>
      </c>
      <c r="N979" s="22">
        <f>IF(OR($C979="",$H979=0),"",$M979/$H979)</f>
      </c>
    </row>
    <row r="980" spans="2:14" x14ac:dyDescent="0.25">
      <c r="B980" s="23"/>
      <c r="C980" s="12"/>
      <c r="D980" s="20">
        <f>IFERROR(IF($C980="","",VLOOKUP($C980,'Ürün Kartları'!$B$5:$C$154,2,FALSE)),"— tanımsız ürün —")</f>
      </c>
      <c r="E980" s="12"/>
      <c r="F980" s="14"/>
      <c r="G980" s="15"/>
      <c r="H980" s="16">
        <f>IF(OR($F980="",$G980=""),0,$F980*$G980)</f>
      </c>
      <c r="I980" s="16">
        <f>IFERROR(IF($E980="",0,$H980*VLOOKUP($E980,'Pazaryeri Kartları'!$B$5:$C$24,2,FALSE)+VLOOKUP($E980,'Pazaryeri Kartları'!$B$5:$D$24,3,FALSE)*$G980),0)</f>
      </c>
      <c r="J980" s="16">
        <f>IFERROR(IF($C980="",0,VLOOKUP($C980,'Ürün Kartları'!$B$5:$G$154,6,FALSE)*$G980),0)</f>
      </c>
      <c r="K980" s="15"/>
      <c r="L980" s="14"/>
      <c r="M980" s="21">
        <f>IF($C980="","",IF($K980=1,-($J980*0.5)-$L980,$H980-$I980-$J980-$L980))</f>
      </c>
      <c r="N980" s="22">
        <f>IF(OR($C980="",$H980=0),"",$M980/$H980)</f>
      </c>
    </row>
    <row r="981" spans="2:14" x14ac:dyDescent="0.25">
      <c r="B981" s="19"/>
      <c r="C981" s="8"/>
      <c r="D981" s="20">
        <f>IFERROR(IF($C981="","",VLOOKUP($C981,'Ürün Kartları'!$B$5:$C$154,2,FALSE)),"— tanımsız ürün —")</f>
      </c>
      <c r="E981" s="8"/>
      <c r="F981" s="10"/>
      <c r="G981" s="11"/>
      <c r="H981" s="16">
        <f>IF(OR($F981="",$G981=""),0,$F981*$G981)</f>
      </c>
      <c r="I981" s="16">
        <f>IFERROR(IF($E981="",0,$H981*VLOOKUP($E981,'Pazaryeri Kartları'!$B$5:$C$24,2,FALSE)+VLOOKUP($E981,'Pazaryeri Kartları'!$B$5:$D$24,3,FALSE)*$G981),0)</f>
      </c>
      <c r="J981" s="16">
        <f>IFERROR(IF($C981="",0,VLOOKUP($C981,'Ürün Kartları'!$B$5:$G$154,6,FALSE)*$G981),0)</f>
      </c>
      <c r="K981" s="11"/>
      <c r="L981" s="10"/>
      <c r="M981" s="21">
        <f>IF($C981="","",IF($K981=1,-($J981*0.5)-$L981,$H981-$I981-$J981-$L981))</f>
      </c>
      <c r="N981" s="22">
        <f>IF(OR($C981="",$H981=0),"",$M981/$H981)</f>
      </c>
    </row>
    <row r="982" spans="2:14" x14ac:dyDescent="0.25">
      <c r="B982" s="23"/>
      <c r="C982" s="12"/>
      <c r="D982" s="20">
        <f>IFERROR(IF($C982="","",VLOOKUP($C982,'Ürün Kartları'!$B$5:$C$154,2,FALSE)),"— tanımsız ürün —")</f>
      </c>
      <c r="E982" s="12"/>
      <c r="F982" s="14"/>
      <c r="G982" s="15"/>
      <c r="H982" s="16">
        <f>IF(OR($F982="",$G982=""),0,$F982*$G982)</f>
      </c>
      <c r="I982" s="16">
        <f>IFERROR(IF($E982="",0,$H982*VLOOKUP($E982,'Pazaryeri Kartları'!$B$5:$C$24,2,FALSE)+VLOOKUP($E982,'Pazaryeri Kartları'!$B$5:$D$24,3,FALSE)*$G982),0)</f>
      </c>
      <c r="J982" s="16">
        <f>IFERROR(IF($C982="",0,VLOOKUP($C982,'Ürün Kartları'!$B$5:$G$154,6,FALSE)*$G982),0)</f>
      </c>
      <c r="K982" s="15"/>
      <c r="L982" s="14"/>
      <c r="M982" s="21">
        <f>IF($C982="","",IF($K982=1,-($J982*0.5)-$L982,$H982-$I982-$J982-$L982))</f>
      </c>
      <c r="N982" s="22">
        <f>IF(OR($C982="",$H982=0),"",$M982/$H982)</f>
      </c>
    </row>
    <row r="983" spans="2:14" x14ac:dyDescent="0.25">
      <c r="B983" s="19"/>
      <c r="C983" s="8"/>
      <c r="D983" s="20">
        <f>IFERROR(IF($C983="","",VLOOKUP($C983,'Ürün Kartları'!$B$5:$C$154,2,FALSE)),"— tanımsız ürün —")</f>
      </c>
      <c r="E983" s="8"/>
      <c r="F983" s="10"/>
      <c r="G983" s="11"/>
      <c r="H983" s="16">
        <f>IF(OR($F983="",$G983=""),0,$F983*$G983)</f>
      </c>
      <c r="I983" s="16">
        <f>IFERROR(IF($E983="",0,$H983*VLOOKUP($E983,'Pazaryeri Kartları'!$B$5:$C$24,2,FALSE)+VLOOKUP($E983,'Pazaryeri Kartları'!$B$5:$D$24,3,FALSE)*$G983),0)</f>
      </c>
      <c r="J983" s="16">
        <f>IFERROR(IF($C983="",0,VLOOKUP($C983,'Ürün Kartları'!$B$5:$G$154,6,FALSE)*$G983),0)</f>
      </c>
      <c r="K983" s="11"/>
      <c r="L983" s="10"/>
      <c r="M983" s="21">
        <f>IF($C983="","",IF($K983=1,-($J983*0.5)-$L983,$H983-$I983-$J983-$L983))</f>
      </c>
      <c r="N983" s="22">
        <f>IF(OR($C983="",$H983=0),"",$M983/$H983)</f>
      </c>
    </row>
    <row r="984" spans="2:14" x14ac:dyDescent="0.25">
      <c r="B984" s="23"/>
      <c r="C984" s="12"/>
      <c r="D984" s="20">
        <f>IFERROR(IF($C984="","",VLOOKUP($C984,'Ürün Kartları'!$B$5:$C$154,2,FALSE)),"— tanımsız ürün —")</f>
      </c>
      <c r="E984" s="12"/>
      <c r="F984" s="14"/>
      <c r="G984" s="15"/>
      <c r="H984" s="16">
        <f>IF(OR($F984="",$G984=""),0,$F984*$G984)</f>
      </c>
      <c r="I984" s="16">
        <f>IFERROR(IF($E984="",0,$H984*VLOOKUP($E984,'Pazaryeri Kartları'!$B$5:$C$24,2,FALSE)+VLOOKUP($E984,'Pazaryeri Kartları'!$B$5:$D$24,3,FALSE)*$G984),0)</f>
      </c>
      <c r="J984" s="16">
        <f>IFERROR(IF($C984="",0,VLOOKUP($C984,'Ürün Kartları'!$B$5:$G$154,6,FALSE)*$G984),0)</f>
      </c>
      <c r="K984" s="15"/>
      <c r="L984" s="14"/>
      <c r="M984" s="21">
        <f>IF($C984="","",IF($K984=1,-($J984*0.5)-$L984,$H984-$I984-$J984-$L984))</f>
      </c>
      <c r="N984" s="22">
        <f>IF(OR($C984="",$H984=0),"",$M984/$H984)</f>
      </c>
    </row>
    <row r="985" spans="2:14" x14ac:dyDescent="0.25">
      <c r="B985" s="19"/>
      <c r="C985" s="8"/>
      <c r="D985" s="20">
        <f>IFERROR(IF($C985="","",VLOOKUP($C985,'Ürün Kartları'!$B$5:$C$154,2,FALSE)),"— tanımsız ürün —")</f>
      </c>
      <c r="E985" s="8"/>
      <c r="F985" s="10"/>
      <c r="G985" s="11"/>
      <c r="H985" s="16">
        <f>IF(OR($F985="",$G985=""),0,$F985*$G985)</f>
      </c>
      <c r="I985" s="16">
        <f>IFERROR(IF($E985="",0,$H985*VLOOKUP($E985,'Pazaryeri Kartları'!$B$5:$C$24,2,FALSE)+VLOOKUP($E985,'Pazaryeri Kartları'!$B$5:$D$24,3,FALSE)*$G985),0)</f>
      </c>
      <c r="J985" s="16">
        <f>IFERROR(IF($C985="",0,VLOOKUP($C985,'Ürün Kartları'!$B$5:$G$154,6,FALSE)*$G985),0)</f>
      </c>
      <c r="K985" s="11"/>
      <c r="L985" s="10"/>
      <c r="M985" s="21">
        <f>IF($C985="","",IF($K985=1,-($J985*0.5)-$L985,$H985-$I985-$J985-$L985))</f>
      </c>
      <c r="N985" s="22">
        <f>IF(OR($C985="",$H985=0),"",$M985/$H985)</f>
      </c>
    </row>
    <row r="986" spans="2:14" x14ac:dyDescent="0.25">
      <c r="B986" s="23"/>
      <c r="C986" s="12"/>
      <c r="D986" s="20">
        <f>IFERROR(IF($C986="","",VLOOKUP($C986,'Ürün Kartları'!$B$5:$C$154,2,FALSE)),"— tanımsız ürün —")</f>
      </c>
      <c r="E986" s="12"/>
      <c r="F986" s="14"/>
      <c r="G986" s="15"/>
      <c r="H986" s="16">
        <f>IF(OR($F986="",$G986=""),0,$F986*$G986)</f>
      </c>
      <c r="I986" s="16">
        <f>IFERROR(IF($E986="",0,$H986*VLOOKUP($E986,'Pazaryeri Kartları'!$B$5:$C$24,2,FALSE)+VLOOKUP($E986,'Pazaryeri Kartları'!$B$5:$D$24,3,FALSE)*$G986),0)</f>
      </c>
      <c r="J986" s="16">
        <f>IFERROR(IF($C986="",0,VLOOKUP($C986,'Ürün Kartları'!$B$5:$G$154,6,FALSE)*$G986),0)</f>
      </c>
      <c r="K986" s="15"/>
      <c r="L986" s="14"/>
      <c r="M986" s="21">
        <f>IF($C986="","",IF($K986=1,-($J986*0.5)-$L986,$H986-$I986-$J986-$L986))</f>
      </c>
      <c r="N986" s="22">
        <f>IF(OR($C986="",$H986=0),"",$M986/$H986)</f>
      </c>
    </row>
    <row r="987" spans="2:14" x14ac:dyDescent="0.25">
      <c r="B987" s="19"/>
      <c r="C987" s="8"/>
      <c r="D987" s="20">
        <f>IFERROR(IF($C987="","",VLOOKUP($C987,'Ürün Kartları'!$B$5:$C$154,2,FALSE)),"— tanımsız ürün —")</f>
      </c>
      <c r="E987" s="8"/>
      <c r="F987" s="10"/>
      <c r="G987" s="11"/>
      <c r="H987" s="16">
        <f>IF(OR($F987="",$G987=""),0,$F987*$G987)</f>
      </c>
      <c r="I987" s="16">
        <f>IFERROR(IF($E987="",0,$H987*VLOOKUP($E987,'Pazaryeri Kartları'!$B$5:$C$24,2,FALSE)+VLOOKUP($E987,'Pazaryeri Kartları'!$B$5:$D$24,3,FALSE)*$G987),0)</f>
      </c>
      <c r="J987" s="16">
        <f>IFERROR(IF($C987="",0,VLOOKUP($C987,'Ürün Kartları'!$B$5:$G$154,6,FALSE)*$G987),0)</f>
      </c>
      <c r="K987" s="11"/>
      <c r="L987" s="10"/>
      <c r="M987" s="21">
        <f>IF($C987="","",IF($K987=1,-($J987*0.5)-$L987,$H987-$I987-$J987-$L987))</f>
      </c>
      <c r="N987" s="22">
        <f>IF(OR($C987="",$H987=0),"",$M987/$H987)</f>
      </c>
    </row>
    <row r="988" spans="2:14" x14ac:dyDescent="0.25">
      <c r="B988" s="23"/>
      <c r="C988" s="12"/>
      <c r="D988" s="20">
        <f>IFERROR(IF($C988="","",VLOOKUP($C988,'Ürün Kartları'!$B$5:$C$154,2,FALSE)),"— tanımsız ürün —")</f>
      </c>
      <c r="E988" s="12"/>
      <c r="F988" s="14"/>
      <c r="G988" s="15"/>
      <c r="H988" s="16">
        <f>IF(OR($F988="",$G988=""),0,$F988*$G988)</f>
      </c>
      <c r="I988" s="16">
        <f>IFERROR(IF($E988="",0,$H988*VLOOKUP($E988,'Pazaryeri Kartları'!$B$5:$C$24,2,FALSE)+VLOOKUP($E988,'Pazaryeri Kartları'!$B$5:$D$24,3,FALSE)*$G988),0)</f>
      </c>
      <c r="J988" s="16">
        <f>IFERROR(IF($C988="",0,VLOOKUP($C988,'Ürün Kartları'!$B$5:$G$154,6,FALSE)*$G988),0)</f>
      </c>
      <c r="K988" s="15"/>
      <c r="L988" s="14"/>
      <c r="M988" s="21">
        <f>IF($C988="","",IF($K988=1,-($J988*0.5)-$L988,$H988-$I988-$J988-$L988))</f>
      </c>
      <c r="N988" s="22">
        <f>IF(OR($C988="",$H988=0),"",$M988/$H988)</f>
      </c>
    </row>
    <row r="989" spans="2:14" x14ac:dyDescent="0.25">
      <c r="B989" s="19"/>
      <c r="C989" s="8"/>
      <c r="D989" s="20">
        <f>IFERROR(IF($C989="","",VLOOKUP($C989,'Ürün Kartları'!$B$5:$C$154,2,FALSE)),"— tanımsız ürün —")</f>
      </c>
      <c r="E989" s="8"/>
      <c r="F989" s="10"/>
      <c r="G989" s="11"/>
      <c r="H989" s="16">
        <f>IF(OR($F989="",$G989=""),0,$F989*$G989)</f>
      </c>
      <c r="I989" s="16">
        <f>IFERROR(IF($E989="",0,$H989*VLOOKUP($E989,'Pazaryeri Kartları'!$B$5:$C$24,2,FALSE)+VLOOKUP($E989,'Pazaryeri Kartları'!$B$5:$D$24,3,FALSE)*$G989),0)</f>
      </c>
      <c r="J989" s="16">
        <f>IFERROR(IF($C989="",0,VLOOKUP($C989,'Ürün Kartları'!$B$5:$G$154,6,FALSE)*$G989),0)</f>
      </c>
      <c r="K989" s="11"/>
      <c r="L989" s="10"/>
      <c r="M989" s="21">
        <f>IF($C989="","",IF($K989=1,-($J989*0.5)-$L989,$H989-$I989-$J989-$L989))</f>
      </c>
      <c r="N989" s="22">
        <f>IF(OR($C989="",$H989=0),"",$M989/$H989)</f>
      </c>
    </row>
    <row r="990" spans="2:14" x14ac:dyDescent="0.25">
      <c r="B990" s="23"/>
      <c r="C990" s="12"/>
      <c r="D990" s="20">
        <f>IFERROR(IF($C990="","",VLOOKUP($C990,'Ürün Kartları'!$B$5:$C$154,2,FALSE)),"— tanımsız ürün —")</f>
      </c>
      <c r="E990" s="12"/>
      <c r="F990" s="14"/>
      <c r="G990" s="15"/>
      <c r="H990" s="16">
        <f>IF(OR($F990="",$G990=""),0,$F990*$G990)</f>
      </c>
      <c r="I990" s="16">
        <f>IFERROR(IF($E990="",0,$H990*VLOOKUP($E990,'Pazaryeri Kartları'!$B$5:$C$24,2,FALSE)+VLOOKUP($E990,'Pazaryeri Kartları'!$B$5:$D$24,3,FALSE)*$G990),0)</f>
      </c>
      <c r="J990" s="16">
        <f>IFERROR(IF($C990="",0,VLOOKUP($C990,'Ürün Kartları'!$B$5:$G$154,6,FALSE)*$G990),0)</f>
      </c>
      <c r="K990" s="15"/>
      <c r="L990" s="14"/>
      <c r="M990" s="21">
        <f>IF($C990="","",IF($K990=1,-($J990*0.5)-$L990,$H990-$I990-$J990-$L990))</f>
      </c>
      <c r="N990" s="22">
        <f>IF(OR($C990="",$H990=0),"",$M990/$H990)</f>
      </c>
    </row>
    <row r="991" spans="2:14" x14ac:dyDescent="0.25">
      <c r="B991" s="19"/>
      <c r="C991" s="8"/>
      <c r="D991" s="20">
        <f>IFERROR(IF($C991="","",VLOOKUP($C991,'Ürün Kartları'!$B$5:$C$154,2,FALSE)),"— tanımsız ürün —")</f>
      </c>
      <c r="E991" s="8"/>
      <c r="F991" s="10"/>
      <c r="G991" s="11"/>
      <c r="H991" s="16">
        <f>IF(OR($F991="",$G991=""),0,$F991*$G991)</f>
      </c>
      <c r="I991" s="16">
        <f>IFERROR(IF($E991="",0,$H991*VLOOKUP($E991,'Pazaryeri Kartları'!$B$5:$C$24,2,FALSE)+VLOOKUP($E991,'Pazaryeri Kartları'!$B$5:$D$24,3,FALSE)*$G991),0)</f>
      </c>
      <c r="J991" s="16">
        <f>IFERROR(IF($C991="",0,VLOOKUP($C991,'Ürün Kartları'!$B$5:$G$154,6,FALSE)*$G991),0)</f>
      </c>
      <c r="K991" s="11"/>
      <c r="L991" s="10"/>
      <c r="M991" s="21">
        <f>IF($C991="","",IF($K991=1,-($J991*0.5)-$L991,$H991-$I991-$J991-$L991))</f>
      </c>
      <c r="N991" s="22">
        <f>IF(OR($C991="",$H991=0),"",$M991/$H991)</f>
      </c>
    </row>
    <row r="992" spans="2:14" x14ac:dyDescent="0.25">
      <c r="B992" s="23"/>
      <c r="C992" s="12"/>
      <c r="D992" s="20">
        <f>IFERROR(IF($C992="","",VLOOKUP($C992,'Ürün Kartları'!$B$5:$C$154,2,FALSE)),"— tanımsız ürün —")</f>
      </c>
      <c r="E992" s="12"/>
      <c r="F992" s="14"/>
      <c r="G992" s="15"/>
      <c r="H992" s="16">
        <f>IF(OR($F992="",$G992=""),0,$F992*$G992)</f>
      </c>
      <c r="I992" s="16">
        <f>IFERROR(IF($E992="",0,$H992*VLOOKUP($E992,'Pazaryeri Kartları'!$B$5:$C$24,2,FALSE)+VLOOKUP($E992,'Pazaryeri Kartları'!$B$5:$D$24,3,FALSE)*$G992),0)</f>
      </c>
      <c r="J992" s="16">
        <f>IFERROR(IF($C992="",0,VLOOKUP($C992,'Ürün Kartları'!$B$5:$G$154,6,FALSE)*$G992),0)</f>
      </c>
      <c r="K992" s="15"/>
      <c r="L992" s="14"/>
      <c r="M992" s="21">
        <f>IF($C992="","",IF($K992=1,-($J992*0.5)-$L992,$H992-$I992-$J992-$L992))</f>
      </c>
      <c r="N992" s="22">
        <f>IF(OR($C992="",$H992=0),"",$M992/$H992)</f>
      </c>
    </row>
    <row r="993" spans="2:14" x14ac:dyDescent="0.25">
      <c r="B993" s="19"/>
      <c r="C993" s="8"/>
      <c r="D993" s="20">
        <f>IFERROR(IF($C993="","",VLOOKUP($C993,'Ürün Kartları'!$B$5:$C$154,2,FALSE)),"— tanımsız ürün —")</f>
      </c>
      <c r="E993" s="8"/>
      <c r="F993" s="10"/>
      <c r="G993" s="11"/>
      <c r="H993" s="16">
        <f>IF(OR($F993="",$G993=""),0,$F993*$G993)</f>
      </c>
      <c r="I993" s="16">
        <f>IFERROR(IF($E993="",0,$H993*VLOOKUP($E993,'Pazaryeri Kartları'!$B$5:$C$24,2,FALSE)+VLOOKUP($E993,'Pazaryeri Kartları'!$B$5:$D$24,3,FALSE)*$G993),0)</f>
      </c>
      <c r="J993" s="16">
        <f>IFERROR(IF($C993="",0,VLOOKUP($C993,'Ürün Kartları'!$B$5:$G$154,6,FALSE)*$G993),0)</f>
      </c>
      <c r="K993" s="11"/>
      <c r="L993" s="10"/>
      <c r="M993" s="21">
        <f>IF($C993="","",IF($K993=1,-($J993*0.5)-$L993,$H993-$I993-$J993-$L993))</f>
      </c>
      <c r="N993" s="22">
        <f>IF(OR($C993="",$H993=0),"",$M993/$H993)</f>
      </c>
    </row>
    <row r="994" spans="2:14" x14ac:dyDescent="0.25">
      <c r="B994" s="23"/>
      <c r="C994" s="12"/>
      <c r="D994" s="20">
        <f>IFERROR(IF($C994="","",VLOOKUP($C994,'Ürün Kartları'!$B$5:$C$154,2,FALSE)),"— tanımsız ürün —")</f>
      </c>
      <c r="E994" s="12"/>
      <c r="F994" s="14"/>
      <c r="G994" s="15"/>
      <c r="H994" s="16">
        <f>IF(OR($F994="",$G994=""),0,$F994*$G994)</f>
      </c>
      <c r="I994" s="16">
        <f>IFERROR(IF($E994="",0,$H994*VLOOKUP($E994,'Pazaryeri Kartları'!$B$5:$C$24,2,FALSE)+VLOOKUP($E994,'Pazaryeri Kartları'!$B$5:$D$24,3,FALSE)*$G994),0)</f>
      </c>
      <c r="J994" s="16">
        <f>IFERROR(IF($C994="",0,VLOOKUP($C994,'Ürün Kartları'!$B$5:$G$154,6,FALSE)*$G994),0)</f>
      </c>
      <c r="K994" s="15"/>
      <c r="L994" s="14"/>
      <c r="M994" s="21">
        <f>IF($C994="","",IF($K994=1,-($J994*0.5)-$L994,$H994-$I994-$J994-$L994))</f>
      </c>
      <c r="N994" s="22">
        <f>IF(OR($C994="",$H994=0),"",$M994/$H994)</f>
      </c>
    </row>
    <row r="995" spans="2:14" x14ac:dyDescent="0.25">
      <c r="B995" s="19"/>
      <c r="C995" s="8"/>
      <c r="D995" s="20">
        <f>IFERROR(IF($C995="","",VLOOKUP($C995,'Ürün Kartları'!$B$5:$C$154,2,FALSE)),"— tanımsız ürün —")</f>
      </c>
      <c r="E995" s="8"/>
      <c r="F995" s="10"/>
      <c r="G995" s="11"/>
      <c r="H995" s="16">
        <f>IF(OR($F995="",$G995=""),0,$F995*$G995)</f>
      </c>
      <c r="I995" s="16">
        <f>IFERROR(IF($E995="",0,$H995*VLOOKUP($E995,'Pazaryeri Kartları'!$B$5:$C$24,2,FALSE)+VLOOKUP($E995,'Pazaryeri Kartları'!$B$5:$D$24,3,FALSE)*$G995),0)</f>
      </c>
      <c r="J995" s="16">
        <f>IFERROR(IF($C995="",0,VLOOKUP($C995,'Ürün Kartları'!$B$5:$G$154,6,FALSE)*$G995),0)</f>
      </c>
      <c r="K995" s="11"/>
      <c r="L995" s="10"/>
      <c r="M995" s="21">
        <f>IF($C995="","",IF($K995=1,-($J995*0.5)-$L995,$H995-$I995-$J995-$L995))</f>
      </c>
      <c r="N995" s="22">
        <f>IF(OR($C995="",$H995=0),"",$M995/$H995)</f>
      </c>
    </row>
    <row r="996" spans="2:14" x14ac:dyDescent="0.25">
      <c r="B996" s="23"/>
      <c r="C996" s="12"/>
      <c r="D996" s="20">
        <f>IFERROR(IF($C996="","",VLOOKUP($C996,'Ürün Kartları'!$B$5:$C$154,2,FALSE)),"— tanımsız ürün —")</f>
      </c>
      <c r="E996" s="12"/>
      <c r="F996" s="14"/>
      <c r="G996" s="15"/>
      <c r="H996" s="16">
        <f>IF(OR($F996="",$G996=""),0,$F996*$G996)</f>
      </c>
      <c r="I996" s="16">
        <f>IFERROR(IF($E996="",0,$H996*VLOOKUP($E996,'Pazaryeri Kartları'!$B$5:$C$24,2,FALSE)+VLOOKUP($E996,'Pazaryeri Kartları'!$B$5:$D$24,3,FALSE)*$G996),0)</f>
      </c>
      <c r="J996" s="16">
        <f>IFERROR(IF($C996="",0,VLOOKUP($C996,'Ürün Kartları'!$B$5:$G$154,6,FALSE)*$G996),0)</f>
      </c>
      <c r="K996" s="15"/>
      <c r="L996" s="14"/>
      <c r="M996" s="21">
        <f>IF($C996="","",IF($K996=1,-($J996*0.5)-$L996,$H996-$I996-$J996-$L996))</f>
      </c>
      <c r="N996" s="22">
        <f>IF(OR($C996="",$H996=0),"",$M996/$H996)</f>
      </c>
    </row>
    <row r="997" spans="2:14" x14ac:dyDescent="0.25">
      <c r="B997" s="19"/>
      <c r="C997" s="8"/>
      <c r="D997" s="20">
        <f>IFERROR(IF($C997="","",VLOOKUP($C997,'Ürün Kartları'!$B$5:$C$154,2,FALSE)),"— tanımsız ürün —")</f>
      </c>
      <c r="E997" s="8"/>
      <c r="F997" s="10"/>
      <c r="G997" s="11"/>
      <c r="H997" s="16">
        <f>IF(OR($F997="",$G997=""),0,$F997*$G997)</f>
      </c>
      <c r="I997" s="16">
        <f>IFERROR(IF($E997="",0,$H997*VLOOKUP($E997,'Pazaryeri Kartları'!$B$5:$C$24,2,FALSE)+VLOOKUP($E997,'Pazaryeri Kartları'!$B$5:$D$24,3,FALSE)*$G997),0)</f>
      </c>
      <c r="J997" s="16">
        <f>IFERROR(IF($C997="",0,VLOOKUP($C997,'Ürün Kartları'!$B$5:$G$154,6,FALSE)*$G997),0)</f>
      </c>
      <c r="K997" s="11"/>
      <c r="L997" s="10"/>
      <c r="M997" s="21">
        <f>IF($C997="","",IF($K997=1,-($J997*0.5)-$L997,$H997-$I997-$J997-$L997))</f>
      </c>
      <c r="N997" s="22">
        <f>IF(OR($C997="",$H997=0),"",$M997/$H997)</f>
      </c>
    </row>
    <row r="998" spans="2:14" x14ac:dyDescent="0.25">
      <c r="B998" s="23"/>
      <c r="C998" s="12"/>
      <c r="D998" s="20">
        <f>IFERROR(IF($C998="","",VLOOKUP($C998,'Ürün Kartları'!$B$5:$C$154,2,FALSE)),"— tanımsız ürün —")</f>
      </c>
      <c r="E998" s="12"/>
      <c r="F998" s="14"/>
      <c r="G998" s="15"/>
      <c r="H998" s="16">
        <f>IF(OR($F998="",$G998=""),0,$F998*$G998)</f>
      </c>
      <c r="I998" s="16">
        <f>IFERROR(IF($E998="",0,$H998*VLOOKUP($E998,'Pazaryeri Kartları'!$B$5:$C$24,2,FALSE)+VLOOKUP($E998,'Pazaryeri Kartları'!$B$5:$D$24,3,FALSE)*$G998),0)</f>
      </c>
      <c r="J998" s="16">
        <f>IFERROR(IF($C998="",0,VLOOKUP($C998,'Ürün Kartları'!$B$5:$G$154,6,FALSE)*$G998),0)</f>
      </c>
      <c r="K998" s="15"/>
      <c r="L998" s="14"/>
      <c r="M998" s="21">
        <f>IF($C998="","",IF($K998=1,-($J998*0.5)-$L998,$H998-$I998-$J998-$L998))</f>
      </c>
      <c r="N998" s="22">
        <f>IF(OR($C998="",$H998=0),"",$M998/$H998)</f>
      </c>
    </row>
    <row r="999" spans="2:14" x14ac:dyDescent="0.25">
      <c r="B999" s="19"/>
      <c r="C999" s="8"/>
      <c r="D999" s="20">
        <f>IFERROR(IF($C999="","",VLOOKUP($C999,'Ürün Kartları'!$B$5:$C$154,2,FALSE)),"— tanımsız ürün —")</f>
      </c>
      <c r="E999" s="8"/>
      <c r="F999" s="10"/>
      <c r="G999" s="11"/>
      <c r="H999" s="16">
        <f>IF(OR($F999="",$G999=""),0,$F999*$G999)</f>
      </c>
      <c r="I999" s="16">
        <f>IFERROR(IF($E999="",0,$H999*VLOOKUP($E999,'Pazaryeri Kartları'!$B$5:$C$24,2,FALSE)+VLOOKUP($E999,'Pazaryeri Kartları'!$B$5:$D$24,3,FALSE)*$G999),0)</f>
      </c>
      <c r="J999" s="16">
        <f>IFERROR(IF($C999="",0,VLOOKUP($C999,'Ürün Kartları'!$B$5:$G$154,6,FALSE)*$G999),0)</f>
      </c>
      <c r="K999" s="11"/>
      <c r="L999" s="10"/>
      <c r="M999" s="21">
        <f>IF($C999="","",IF($K999=1,-($J999*0.5)-$L999,$H999-$I999-$J999-$L999))</f>
      </c>
      <c r="N999" s="22">
        <f>IF(OR($C999="",$H999=0),"",$M999/$H999)</f>
      </c>
    </row>
    <row r="1000" spans="2:14" x14ac:dyDescent="0.25">
      <c r="B1000" s="23"/>
      <c r="C1000" s="12"/>
      <c r="D1000" s="20">
        <f>IFERROR(IF($C1000="","",VLOOKUP($C1000,'Ürün Kartları'!$B$5:$C$154,2,FALSE)),"— tanımsız ürün —")</f>
      </c>
      <c r="E1000" s="12"/>
      <c r="F1000" s="14"/>
      <c r="G1000" s="15"/>
      <c r="H1000" s="16">
        <f>IF(OR($F1000="",$G1000=""),0,$F1000*$G1000)</f>
      </c>
      <c r="I1000" s="16">
        <f>IFERROR(IF($E1000="",0,$H1000*VLOOKUP($E1000,'Pazaryeri Kartları'!$B$5:$C$24,2,FALSE)+VLOOKUP($E1000,'Pazaryeri Kartları'!$B$5:$D$24,3,FALSE)*$G1000),0)</f>
      </c>
      <c r="J1000" s="16">
        <f>IFERROR(IF($C1000="",0,VLOOKUP($C1000,'Ürün Kartları'!$B$5:$G$154,6,FALSE)*$G1000),0)</f>
      </c>
      <c r="K1000" s="15"/>
      <c r="L1000" s="14"/>
      <c r="M1000" s="21">
        <f>IF($C1000="","",IF($K1000=1,-($J1000*0.5)-$L1000,$H1000-$I1000-$J1000-$L1000))</f>
      </c>
      <c r="N1000" s="22">
        <f>IF(OR($C1000="",$H1000=0),"",$M1000/$H1000)</f>
      </c>
    </row>
    <row r="1001" spans="2:14" x14ac:dyDescent="0.25">
      <c r="B1001" s="19"/>
      <c r="C1001" s="8"/>
      <c r="D1001" s="20">
        <f>IFERROR(IF($C1001="","",VLOOKUP($C1001,'Ürün Kartları'!$B$5:$C$154,2,FALSE)),"— tanımsız ürün —")</f>
      </c>
      <c r="E1001" s="8"/>
      <c r="F1001" s="10"/>
      <c r="G1001" s="11"/>
      <c r="H1001" s="16">
        <f>IF(OR($F1001="",$G1001=""),0,$F1001*$G1001)</f>
      </c>
      <c r="I1001" s="16">
        <f>IFERROR(IF($E1001="",0,$H1001*VLOOKUP($E1001,'Pazaryeri Kartları'!$B$5:$C$24,2,FALSE)+VLOOKUP($E1001,'Pazaryeri Kartları'!$B$5:$D$24,3,FALSE)*$G1001),0)</f>
      </c>
      <c r="J1001" s="16">
        <f>IFERROR(IF($C1001="",0,VLOOKUP($C1001,'Ürün Kartları'!$B$5:$G$154,6,FALSE)*$G1001),0)</f>
      </c>
      <c r="K1001" s="11"/>
      <c r="L1001" s="10"/>
      <c r="M1001" s="21">
        <f>IF($C1001="","",IF($K1001=1,-($J1001*0.5)-$L1001,$H1001-$I1001-$J1001-$L1001))</f>
      </c>
      <c r="N1001" s="22">
        <f>IF(OR($C1001="",$H1001=0),"",$M1001/$H1001)</f>
      </c>
    </row>
    <row r="1002" spans="2:14" x14ac:dyDescent="0.25">
      <c r="B1002" s="23"/>
      <c r="C1002" s="12"/>
      <c r="D1002" s="20">
        <f>IFERROR(IF($C1002="","",VLOOKUP($C1002,'Ürün Kartları'!$B$5:$C$154,2,FALSE)),"— tanımsız ürün —")</f>
      </c>
      <c r="E1002" s="12"/>
      <c r="F1002" s="14"/>
      <c r="G1002" s="15"/>
      <c r="H1002" s="16">
        <f>IF(OR($F1002="",$G1002=""),0,$F1002*$G1002)</f>
      </c>
      <c r="I1002" s="16">
        <f>IFERROR(IF($E1002="",0,$H1002*VLOOKUP($E1002,'Pazaryeri Kartları'!$B$5:$C$24,2,FALSE)+VLOOKUP($E1002,'Pazaryeri Kartları'!$B$5:$D$24,3,FALSE)*$G1002),0)</f>
      </c>
      <c r="J1002" s="16">
        <f>IFERROR(IF($C1002="",0,VLOOKUP($C1002,'Ürün Kartları'!$B$5:$G$154,6,FALSE)*$G1002),0)</f>
      </c>
      <c r="K1002" s="15"/>
      <c r="L1002" s="14"/>
      <c r="M1002" s="21">
        <f>IF($C1002="","",IF($K1002=1,-($J1002*0.5)-$L1002,$H1002-$I1002-$J1002-$L1002))</f>
      </c>
      <c r="N1002" s="22">
        <f>IF(OR($C1002="",$H1002=0),"",$M1002/$H1002)</f>
      </c>
    </row>
    <row r="1003" spans="2:14" x14ac:dyDescent="0.25">
      <c r="B1003" s="19"/>
      <c r="C1003" s="8"/>
      <c r="D1003" s="20">
        <f>IFERROR(IF($C1003="","",VLOOKUP($C1003,'Ürün Kartları'!$B$5:$C$154,2,FALSE)),"— tanımsız ürün —")</f>
      </c>
      <c r="E1003" s="8"/>
      <c r="F1003" s="10"/>
      <c r="G1003" s="11"/>
      <c r="H1003" s="16">
        <f>IF(OR($F1003="",$G1003=""),0,$F1003*$G1003)</f>
      </c>
      <c r="I1003" s="16">
        <f>IFERROR(IF($E1003="",0,$H1003*VLOOKUP($E1003,'Pazaryeri Kartları'!$B$5:$C$24,2,FALSE)+VLOOKUP($E1003,'Pazaryeri Kartları'!$B$5:$D$24,3,FALSE)*$G1003),0)</f>
      </c>
      <c r="J1003" s="16">
        <f>IFERROR(IF($C1003="",0,VLOOKUP($C1003,'Ürün Kartları'!$B$5:$G$154,6,FALSE)*$G1003),0)</f>
      </c>
      <c r="K1003" s="11"/>
      <c r="L1003" s="10"/>
      <c r="M1003" s="21">
        <f>IF($C1003="","",IF($K1003=1,-($J1003*0.5)-$L1003,$H1003-$I1003-$J1003-$L1003))</f>
      </c>
      <c r="N1003" s="22">
        <f>IF(OR($C1003="",$H1003=0),"",$M1003/$H1003)</f>
      </c>
    </row>
    <row r="1004" spans="2:14" x14ac:dyDescent="0.25">
      <c r="B1004" s="23"/>
      <c r="C1004" s="12"/>
      <c r="D1004" s="20">
        <f>IFERROR(IF($C1004="","",VLOOKUP($C1004,'Ürün Kartları'!$B$5:$C$154,2,FALSE)),"— tanımsız ürün —")</f>
      </c>
      <c r="E1004" s="12"/>
      <c r="F1004" s="14"/>
      <c r="G1004" s="15"/>
      <c r="H1004" s="16">
        <f>IF(OR($F1004="",$G1004=""),0,$F1004*$G1004)</f>
      </c>
      <c r="I1004" s="16">
        <f>IFERROR(IF($E1004="",0,$H1004*VLOOKUP($E1004,'Pazaryeri Kartları'!$B$5:$C$24,2,FALSE)+VLOOKUP($E1004,'Pazaryeri Kartları'!$B$5:$D$24,3,FALSE)*$G1004),0)</f>
      </c>
      <c r="J1004" s="16">
        <f>IFERROR(IF($C1004="",0,VLOOKUP($C1004,'Ürün Kartları'!$B$5:$G$154,6,FALSE)*$G1004),0)</f>
      </c>
      <c r="K1004" s="15"/>
      <c r="L1004" s="14"/>
      <c r="M1004" s="21">
        <f>IF($C1004="","",IF($K1004=1,-($J1004*0.5)-$L1004,$H1004-$I1004-$J1004-$L1004))</f>
      </c>
      <c r="N1004" s="22">
        <f>IF(OR($C1004="",$H1004=0),"",$M1004/$H1004)</f>
      </c>
    </row>
  </sheetData>
  <autoFilter ref="B4:N4"/>
  <mergeCells count="2">
    <mergeCell ref="A1:N1"/>
    <mergeCell ref="A2:N2"/>
  </mergeCells>
  <dataValidations count="2">
    <dataValidation type="list" allowBlank="1" sqref="C5:C1004">
      <formula1>=UrunKodlari</formula1>
    </dataValidation>
    <dataValidation type="list" allowBlank="1" sqref="E5:E1004">
      <formula1>=Pazaryerleri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J1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4" customWidth="1"/>
    <col min="3" max="3" width="32" customWidth="1"/>
    <col min="4" max="4" width="14" customWidth="1"/>
    <col min="5" max="8" width="16" customWidth="1"/>
    <col min="9" max="9" width="14" customWidth="1"/>
    <col min="10" max="10" width="16" customWidth="1"/>
  </cols>
  <sheetData>
    <row r="1" ht="34" customHeight="1" spans="1:10" x14ac:dyDescent="0.25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61</v>
      </c>
      <c r="B2" s="2"/>
      <c r="C2" s="2"/>
      <c r="D2" s="2"/>
      <c r="E2" s="2"/>
      <c r="F2" s="2"/>
      <c r="G2" s="2"/>
      <c r="H2" s="2"/>
      <c r="I2" s="2"/>
      <c r="J2" s="2"/>
    </row>
    <row r="4" ht="30" customHeight="1" spans="1:10" x14ac:dyDescent="0.25">
      <c r="A4" s="7" t="s">
        <v>22</v>
      </c>
      <c r="B4" s="7" t="s">
        <v>34</v>
      </c>
      <c r="C4" s="7" t="s">
        <v>35</v>
      </c>
      <c r="D4" s="7" t="s">
        <v>62</v>
      </c>
      <c r="E4" s="7" t="s">
        <v>54</v>
      </c>
      <c r="F4" s="7" t="s">
        <v>24</v>
      </c>
      <c r="G4" s="7" t="s">
        <v>63</v>
      </c>
      <c r="H4" s="7" t="s">
        <v>64</v>
      </c>
      <c r="I4" s="7" t="s">
        <v>58</v>
      </c>
      <c r="J4" s="7" t="s">
        <v>59</v>
      </c>
    </row>
    <row r="5" spans="2:10" x14ac:dyDescent="0.25">
      <c r="B5" s="20">
        <f>IF('Ürün Kartları'!B5="","",'Ürün Kartları'!B5)</f>
      </c>
      <c r="C5" s="20">
        <f>IF('Ürün Kartları'!C5="","",'Ürün Kartları'!C5)</f>
      </c>
      <c r="D5" s="24">
        <f>IF($B5="",0,SUMIF('Satışlar'!$C$5:$C$1004,$B5,'Satışlar'!$G$5:$G$1004))</f>
      </c>
      <c r="E5" s="16">
        <f>IF($B5="",0,SUMIF('Satışlar'!$C$5:$C$1004,$B5,'Satışlar'!$H$5:$H$1004))</f>
      </c>
      <c r="F5" s="16">
        <f>IF($B5="",0,SUMIF('Satışlar'!$C$5:$C$1004,$B5,'Satışlar'!$I$5:$I$1004))</f>
      </c>
      <c r="G5" s="16">
        <f>IF($B5="",0,SUMIF('Satışlar'!$C$5:$C$1004,$B5,'Satışlar'!$J$5:$J$1004))</f>
      </c>
      <c r="H5" s="16">
        <f>IF($B5="",0,SUMIF('Satışlar'!$C$5:$C$1004,$B5,'Satışlar'!$L$5:$L$1004))</f>
      </c>
      <c r="I5" s="21">
        <f>IF($B5="",0,SUMIF('Satışlar'!$C$5:$C$1004,$B5,'Satışlar'!$M$5:$M$1004))</f>
      </c>
      <c r="J5" s="22">
        <f>IF(OR($B5="",$E5=0),"",$I5/$E5)</f>
      </c>
    </row>
    <row r="6" spans="2:10" x14ac:dyDescent="0.25">
      <c r="B6" s="20">
        <f>IF('Ürün Kartları'!B6="","",'Ürün Kartları'!B6)</f>
      </c>
      <c r="C6" s="20">
        <f>IF('Ürün Kartları'!C6="","",'Ürün Kartları'!C6)</f>
      </c>
      <c r="D6" s="24">
        <f>IF($B6="",0,SUMIF('Satışlar'!$C$5:$C$1004,$B6,'Satışlar'!$G$5:$G$1004))</f>
      </c>
      <c r="E6" s="16">
        <f>IF($B6="",0,SUMIF('Satışlar'!$C$5:$C$1004,$B6,'Satışlar'!$H$5:$H$1004))</f>
      </c>
      <c r="F6" s="16">
        <f>IF($B6="",0,SUMIF('Satışlar'!$C$5:$C$1004,$B6,'Satışlar'!$I$5:$I$1004))</f>
      </c>
      <c r="G6" s="16">
        <f>IF($B6="",0,SUMIF('Satışlar'!$C$5:$C$1004,$B6,'Satışlar'!$J$5:$J$1004))</f>
      </c>
      <c r="H6" s="16">
        <f>IF($B6="",0,SUMIF('Satışlar'!$C$5:$C$1004,$B6,'Satışlar'!$L$5:$L$1004))</f>
      </c>
      <c r="I6" s="21">
        <f>IF($B6="",0,SUMIF('Satışlar'!$C$5:$C$1004,$B6,'Satışlar'!$M$5:$M$1004))</f>
      </c>
      <c r="J6" s="22">
        <f>IF(OR($B6="",$E6=0),"",$I6/$E6)</f>
      </c>
    </row>
    <row r="7" spans="2:10" x14ac:dyDescent="0.25">
      <c r="B7" s="20">
        <f>IF('Ürün Kartları'!B7="","",'Ürün Kartları'!B7)</f>
      </c>
      <c r="C7" s="20">
        <f>IF('Ürün Kartları'!C7="","",'Ürün Kartları'!C7)</f>
      </c>
      <c r="D7" s="24">
        <f>IF($B7="",0,SUMIF('Satışlar'!$C$5:$C$1004,$B7,'Satışlar'!$G$5:$G$1004))</f>
      </c>
      <c r="E7" s="16">
        <f>IF($B7="",0,SUMIF('Satışlar'!$C$5:$C$1004,$B7,'Satışlar'!$H$5:$H$1004))</f>
      </c>
      <c r="F7" s="16">
        <f>IF($B7="",0,SUMIF('Satışlar'!$C$5:$C$1004,$B7,'Satışlar'!$I$5:$I$1004))</f>
      </c>
      <c r="G7" s="16">
        <f>IF($B7="",0,SUMIF('Satışlar'!$C$5:$C$1004,$B7,'Satışlar'!$J$5:$J$1004))</f>
      </c>
      <c r="H7" s="16">
        <f>IF($B7="",0,SUMIF('Satışlar'!$C$5:$C$1004,$B7,'Satışlar'!$L$5:$L$1004))</f>
      </c>
      <c r="I7" s="21">
        <f>IF($B7="",0,SUMIF('Satışlar'!$C$5:$C$1004,$B7,'Satışlar'!$M$5:$M$1004))</f>
      </c>
      <c r="J7" s="22">
        <f>IF(OR($B7="",$E7=0),"",$I7/$E7)</f>
      </c>
    </row>
    <row r="8" spans="2:10" x14ac:dyDescent="0.25">
      <c r="B8" s="20">
        <f>IF('Ürün Kartları'!B8="","",'Ürün Kartları'!B8)</f>
      </c>
      <c r="C8" s="20">
        <f>IF('Ürün Kartları'!C8="","",'Ürün Kartları'!C8)</f>
      </c>
      <c r="D8" s="24">
        <f>IF($B8="",0,SUMIF('Satışlar'!$C$5:$C$1004,$B8,'Satışlar'!$G$5:$G$1004))</f>
      </c>
      <c r="E8" s="16">
        <f>IF($B8="",0,SUMIF('Satışlar'!$C$5:$C$1004,$B8,'Satışlar'!$H$5:$H$1004))</f>
      </c>
      <c r="F8" s="16">
        <f>IF($B8="",0,SUMIF('Satışlar'!$C$5:$C$1004,$B8,'Satışlar'!$I$5:$I$1004))</f>
      </c>
      <c r="G8" s="16">
        <f>IF($B8="",0,SUMIF('Satışlar'!$C$5:$C$1004,$B8,'Satışlar'!$J$5:$J$1004))</f>
      </c>
      <c r="H8" s="16">
        <f>IF($B8="",0,SUMIF('Satışlar'!$C$5:$C$1004,$B8,'Satışlar'!$L$5:$L$1004))</f>
      </c>
      <c r="I8" s="21">
        <f>IF($B8="",0,SUMIF('Satışlar'!$C$5:$C$1004,$B8,'Satışlar'!$M$5:$M$1004))</f>
      </c>
      <c r="J8" s="22">
        <f>IF(OR($B8="",$E8=0),"",$I8/$E8)</f>
      </c>
    </row>
    <row r="9" spans="2:10" x14ac:dyDescent="0.25">
      <c r="B9" s="20">
        <f>IF('Ürün Kartları'!B9="","",'Ürün Kartları'!B9)</f>
      </c>
      <c r="C9" s="20">
        <f>IF('Ürün Kartları'!C9="","",'Ürün Kartları'!C9)</f>
      </c>
      <c r="D9" s="24">
        <f>IF($B9="",0,SUMIF('Satışlar'!$C$5:$C$1004,$B9,'Satışlar'!$G$5:$G$1004))</f>
      </c>
      <c r="E9" s="16">
        <f>IF($B9="",0,SUMIF('Satışlar'!$C$5:$C$1004,$B9,'Satışlar'!$H$5:$H$1004))</f>
      </c>
      <c r="F9" s="16">
        <f>IF($B9="",0,SUMIF('Satışlar'!$C$5:$C$1004,$B9,'Satışlar'!$I$5:$I$1004))</f>
      </c>
      <c r="G9" s="16">
        <f>IF($B9="",0,SUMIF('Satışlar'!$C$5:$C$1004,$B9,'Satışlar'!$J$5:$J$1004))</f>
      </c>
      <c r="H9" s="16">
        <f>IF($B9="",0,SUMIF('Satışlar'!$C$5:$C$1004,$B9,'Satışlar'!$L$5:$L$1004))</f>
      </c>
      <c r="I9" s="21">
        <f>IF($B9="",0,SUMIF('Satışlar'!$C$5:$C$1004,$B9,'Satışlar'!$M$5:$M$1004))</f>
      </c>
      <c r="J9" s="22">
        <f>IF(OR($B9="",$E9=0),"",$I9/$E9)</f>
      </c>
    </row>
    <row r="10" spans="2:10" x14ac:dyDescent="0.25">
      <c r="B10" s="20">
        <f>IF('Ürün Kartları'!B10="","",'Ürün Kartları'!B10)</f>
      </c>
      <c r="C10" s="20">
        <f>IF('Ürün Kartları'!C10="","",'Ürün Kartları'!C10)</f>
      </c>
      <c r="D10" s="24">
        <f>IF($B10="",0,SUMIF('Satışlar'!$C$5:$C$1004,$B10,'Satışlar'!$G$5:$G$1004))</f>
      </c>
      <c r="E10" s="16">
        <f>IF($B10="",0,SUMIF('Satışlar'!$C$5:$C$1004,$B10,'Satışlar'!$H$5:$H$1004))</f>
      </c>
      <c r="F10" s="16">
        <f>IF($B10="",0,SUMIF('Satışlar'!$C$5:$C$1004,$B10,'Satışlar'!$I$5:$I$1004))</f>
      </c>
      <c r="G10" s="16">
        <f>IF($B10="",0,SUMIF('Satışlar'!$C$5:$C$1004,$B10,'Satışlar'!$J$5:$J$1004))</f>
      </c>
      <c r="H10" s="16">
        <f>IF($B10="",0,SUMIF('Satışlar'!$C$5:$C$1004,$B10,'Satışlar'!$L$5:$L$1004))</f>
      </c>
      <c r="I10" s="21">
        <f>IF($B10="",0,SUMIF('Satışlar'!$C$5:$C$1004,$B10,'Satışlar'!$M$5:$M$1004))</f>
      </c>
      <c r="J10" s="22">
        <f>IF(OR($B10="",$E10=0),"",$I10/$E10)</f>
      </c>
    </row>
    <row r="11" spans="2:10" x14ac:dyDescent="0.25">
      <c r="B11" s="20">
        <f>IF('Ürün Kartları'!B11="","",'Ürün Kartları'!B11)</f>
      </c>
      <c r="C11" s="20">
        <f>IF('Ürün Kartları'!C11="","",'Ürün Kartları'!C11)</f>
      </c>
      <c r="D11" s="24">
        <f>IF($B11="",0,SUMIF('Satışlar'!$C$5:$C$1004,$B11,'Satışlar'!$G$5:$G$1004))</f>
      </c>
      <c r="E11" s="16">
        <f>IF($B11="",0,SUMIF('Satışlar'!$C$5:$C$1004,$B11,'Satışlar'!$H$5:$H$1004))</f>
      </c>
      <c r="F11" s="16">
        <f>IF($B11="",0,SUMIF('Satışlar'!$C$5:$C$1004,$B11,'Satışlar'!$I$5:$I$1004))</f>
      </c>
      <c r="G11" s="16">
        <f>IF($B11="",0,SUMIF('Satışlar'!$C$5:$C$1004,$B11,'Satışlar'!$J$5:$J$1004))</f>
      </c>
      <c r="H11" s="16">
        <f>IF($B11="",0,SUMIF('Satışlar'!$C$5:$C$1004,$B11,'Satışlar'!$L$5:$L$1004))</f>
      </c>
      <c r="I11" s="21">
        <f>IF($B11="",0,SUMIF('Satışlar'!$C$5:$C$1004,$B11,'Satışlar'!$M$5:$M$1004))</f>
      </c>
      <c r="J11" s="22">
        <f>IF(OR($B11="",$E11=0),"",$I11/$E11)</f>
      </c>
    </row>
    <row r="12" spans="2:10" x14ac:dyDescent="0.25">
      <c r="B12" s="20">
        <f>IF('Ürün Kartları'!B12="","",'Ürün Kartları'!B12)</f>
      </c>
      <c r="C12" s="20">
        <f>IF('Ürün Kartları'!C12="","",'Ürün Kartları'!C12)</f>
      </c>
      <c r="D12" s="24">
        <f>IF($B12="",0,SUMIF('Satışlar'!$C$5:$C$1004,$B12,'Satışlar'!$G$5:$G$1004))</f>
      </c>
      <c r="E12" s="16">
        <f>IF($B12="",0,SUMIF('Satışlar'!$C$5:$C$1004,$B12,'Satışlar'!$H$5:$H$1004))</f>
      </c>
      <c r="F12" s="16">
        <f>IF($B12="",0,SUMIF('Satışlar'!$C$5:$C$1004,$B12,'Satışlar'!$I$5:$I$1004))</f>
      </c>
      <c r="G12" s="16">
        <f>IF($B12="",0,SUMIF('Satışlar'!$C$5:$C$1004,$B12,'Satışlar'!$J$5:$J$1004))</f>
      </c>
      <c r="H12" s="16">
        <f>IF($B12="",0,SUMIF('Satışlar'!$C$5:$C$1004,$B12,'Satışlar'!$L$5:$L$1004))</f>
      </c>
      <c r="I12" s="21">
        <f>IF($B12="",0,SUMIF('Satışlar'!$C$5:$C$1004,$B12,'Satışlar'!$M$5:$M$1004))</f>
      </c>
      <c r="J12" s="22">
        <f>IF(OR($B12="",$E12=0),"",$I12/$E12)</f>
      </c>
    </row>
    <row r="13" spans="2:10" x14ac:dyDescent="0.25">
      <c r="B13" s="20">
        <f>IF('Ürün Kartları'!B13="","",'Ürün Kartları'!B13)</f>
      </c>
      <c r="C13" s="20">
        <f>IF('Ürün Kartları'!C13="","",'Ürün Kartları'!C13)</f>
      </c>
      <c r="D13" s="24">
        <f>IF($B13="",0,SUMIF('Satışlar'!$C$5:$C$1004,$B13,'Satışlar'!$G$5:$G$1004))</f>
      </c>
      <c r="E13" s="16">
        <f>IF($B13="",0,SUMIF('Satışlar'!$C$5:$C$1004,$B13,'Satışlar'!$H$5:$H$1004))</f>
      </c>
      <c r="F13" s="16">
        <f>IF($B13="",0,SUMIF('Satışlar'!$C$5:$C$1004,$B13,'Satışlar'!$I$5:$I$1004))</f>
      </c>
      <c r="G13" s="16">
        <f>IF($B13="",0,SUMIF('Satışlar'!$C$5:$C$1004,$B13,'Satışlar'!$J$5:$J$1004))</f>
      </c>
      <c r="H13" s="16">
        <f>IF($B13="",0,SUMIF('Satışlar'!$C$5:$C$1004,$B13,'Satışlar'!$L$5:$L$1004))</f>
      </c>
      <c r="I13" s="21">
        <f>IF($B13="",0,SUMIF('Satışlar'!$C$5:$C$1004,$B13,'Satışlar'!$M$5:$M$1004))</f>
      </c>
      <c r="J13" s="22">
        <f>IF(OR($B13="",$E13=0),"",$I13/$E13)</f>
      </c>
    </row>
    <row r="14" spans="2:10" x14ac:dyDescent="0.25">
      <c r="B14" s="20">
        <f>IF('Ürün Kartları'!B14="","",'Ürün Kartları'!B14)</f>
      </c>
      <c r="C14" s="20">
        <f>IF('Ürün Kartları'!C14="","",'Ürün Kartları'!C14)</f>
      </c>
      <c r="D14" s="24">
        <f>IF($B14="",0,SUMIF('Satışlar'!$C$5:$C$1004,$B14,'Satışlar'!$G$5:$G$1004))</f>
      </c>
      <c r="E14" s="16">
        <f>IF($B14="",0,SUMIF('Satışlar'!$C$5:$C$1004,$B14,'Satışlar'!$H$5:$H$1004))</f>
      </c>
      <c r="F14" s="16">
        <f>IF($B14="",0,SUMIF('Satışlar'!$C$5:$C$1004,$B14,'Satışlar'!$I$5:$I$1004))</f>
      </c>
      <c r="G14" s="16">
        <f>IF($B14="",0,SUMIF('Satışlar'!$C$5:$C$1004,$B14,'Satışlar'!$J$5:$J$1004))</f>
      </c>
      <c r="H14" s="16">
        <f>IF($B14="",0,SUMIF('Satışlar'!$C$5:$C$1004,$B14,'Satışlar'!$L$5:$L$1004))</f>
      </c>
      <c r="I14" s="21">
        <f>IF($B14="",0,SUMIF('Satışlar'!$C$5:$C$1004,$B14,'Satışlar'!$M$5:$M$1004))</f>
      </c>
      <c r="J14" s="22">
        <f>IF(OR($B14="",$E14=0),"",$I14/$E14)</f>
      </c>
    </row>
    <row r="15" spans="2:10" x14ac:dyDescent="0.25">
      <c r="B15" s="20">
        <f>IF('Ürün Kartları'!B15="","",'Ürün Kartları'!B15)</f>
      </c>
      <c r="C15" s="20">
        <f>IF('Ürün Kartları'!C15="","",'Ürün Kartları'!C15)</f>
      </c>
      <c r="D15" s="24">
        <f>IF($B15="",0,SUMIF('Satışlar'!$C$5:$C$1004,$B15,'Satışlar'!$G$5:$G$1004))</f>
      </c>
      <c r="E15" s="16">
        <f>IF($B15="",0,SUMIF('Satışlar'!$C$5:$C$1004,$B15,'Satışlar'!$H$5:$H$1004))</f>
      </c>
      <c r="F15" s="16">
        <f>IF($B15="",0,SUMIF('Satışlar'!$C$5:$C$1004,$B15,'Satışlar'!$I$5:$I$1004))</f>
      </c>
      <c r="G15" s="16">
        <f>IF($B15="",0,SUMIF('Satışlar'!$C$5:$C$1004,$B15,'Satışlar'!$J$5:$J$1004))</f>
      </c>
      <c r="H15" s="16">
        <f>IF($B15="",0,SUMIF('Satışlar'!$C$5:$C$1004,$B15,'Satışlar'!$L$5:$L$1004))</f>
      </c>
      <c r="I15" s="21">
        <f>IF($B15="",0,SUMIF('Satışlar'!$C$5:$C$1004,$B15,'Satışlar'!$M$5:$M$1004))</f>
      </c>
      <c r="J15" s="22">
        <f>IF(OR($B15="",$E15=0),"",$I15/$E15)</f>
      </c>
    </row>
    <row r="16" spans="2:10" x14ac:dyDescent="0.25">
      <c r="B16" s="20">
        <f>IF('Ürün Kartları'!B16="","",'Ürün Kartları'!B16)</f>
      </c>
      <c r="C16" s="20">
        <f>IF('Ürün Kartları'!C16="","",'Ürün Kartları'!C16)</f>
      </c>
      <c r="D16" s="24">
        <f>IF($B16="",0,SUMIF('Satışlar'!$C$5:$C$1004,$B16,'Satışlar'!$G$5:$G$1004))</f>
      </c>
      <c r="E16" s="16">
        <f>IF($B16="",0,SUMIF('Satışlar'!$C$5:$C$1004,$B16,'Satışlar'!$H$5:$H$1004))</f>
      </c>
      <c r="F16" s="16">
        <f>IF($B16="",0,SUMIF('Satışlar'!$C$5:$C$1004,$B16,'Satışlar'!$I$5:$I$1004))</f>
      </c>
      <c r="G16" s="16">
        <f>IF($B16="",0,SUMIF('Satışlar'!$C$5:$C$1004,$B16,'Satışlar'!$J$5:$J$1004))</f>
      </c>
      <c r="H16" s="16">
        <f>IF($B16="",0,SUMIF('Satışlar'!$C$5:$C$1004,$B16,'Satışlar'!$L$5:$L$1004))</f>
      </c>
      <c r="I16" s="21">
        <f>IF($B16="",0,SUMIF('Satışlar'!$C$5:$C$1004,$B16,'Satışlar'!$M$5:$M$1004))</f>
      </c>
      <c r="J16" s="22">
        <f>IF(OR($B16="",$E16=0),"",$I16/$E16)</f>
      </c>
    </row>
    <row r="17" spans="2:10" x14ac:dyDescent="0.25">
      <c r="B17" s="20">
        <f>IF('Ürün Kartları'!B17="","",'Ürün Kartları'!B17)</f>
      </c>
      <c r="C17" s="20">
        <f>IF('Ürün Kartları'!C17="","",'Ürün Kartları'!C17)</f>
      </c>
      <c r="D17" s="24">
        <f>IF($B17="",0,SUMIF('Satışlar'!$C$5:$C$1004,$B17,'Satışlar'!$G$5:$G$1004))</f>
      </c>
      <c r="E17" s="16">
        <f>IF($B17="",0,SUMIF('Satışlar'!$C$5:$C$1004,$B17,'Satışlar'!$H$5:$H$1004))</f>
      </c>
      <c r="F17" s="16">
        <f>IF($B17="",0,SUMIF('Satışlar'!$C$5:$C$1004,$B17,'Satışlar'!$I$5:$I$1004))</f>
      </c>
      <c r="G17" s="16">
        <f>IF($B17="",0,SUMIF('Satışlar'!$C$5:$C$1004,$B17,'Satışlar'!$J$5:$J$1004))</f>
      </c>
      <c r="H17" s="16">
        <f>IF($B17="",0,SUMIF('Satışlar'!$C$5:$C$1004,$B17,'Satışlar'!$L$5:$L$1004))</f>
      </c>
      <c r="I17" s="21">
        <f>IF($B17="",0,SUMIF('Satışlar'!$C$5:$C$1004,$B17,'Satışlar'!$M$5:$M$1004))</f>
      </c>
      <c r="J17" s="22">
        <f>IF(OR($B17="",$E17=0),"",$I17/$E17)</f>
      </c>
    </row>
    <row r="18" spans="2:10" x14ac:dyDescent="0.25">
      <c r="B18" s="20">
        <f>IF('Ürün Kartları'!B18="","",'Ürün Kartları'!B18)</f>
      </c>
      <c r="C18" s="20">
        <f>IF('Ürün Kartları'!C18="","",'Ürün Kartları'!C18)</f>
      </c>
      <c r="D18" s="24">
        <f>IF($B18="",0,SUMIF('Satışlar'!$C$5:$C$1004,$B18,'Satışlar'!$G$5:$G$1004))</f>
      </c>
      <c r="E18" s="16">
        <f>IF($B18="",0,SUMIF('Satışlar'!$C$5:$C$1004,$B18,'Satışlar'!$H$5:$H$1004))</f>
      </c>
      <c r="F18" s="16">
        <f>IF($B18="",0,SUMIF('Satışlar'!$C$5:$C$1004,$B18,'Satışlar'!$I$5:$I$1004))</f>
      </c>
      <c r="G18" s="16">
        <f>IF($B18="",0,SUMIF('Satışlar'!$C$5:$C$1004,$B18,'Satışlar'!$J$5:$J$1004))</f>
      </c>
      <c r="H18" s="16">
        <f>IF($B18="",0,SUMIF('Satışlar'!$C$5:$C$1004,$B18,'Satışlar'!$L$5:$L$1004))</f>
      </c>
      <c r="I18" s="21">
        <f>IF($B18="",0,SUMIF('Satışlar'!$C$5:$C$1004,$B18,'Satışlar'!$M$5:$M$1004))</f>
      </c>
      <c r="J18" s="22">
        <f>IF(OR($B18="",$E18=0),"",$I18/$E18)</f>
      </c>
    </row>
    <row r="19" spans="2:10" x14ac:dyDescent="0.25">
      <c r="B19" s="20">
        <f>IF('Ürün Kartları'!B19="","",'Ürün Kartları'!B19)</f>
      </c>
      <c r="C19" s="20">
        <f>IF('Ürün Kartları'!C19="","",'Ürün Kartları'!C19)</f>
      </c>
      <c r="D19" s="24">
        <f>IF($B19="",0,SUMIF('Satışlar'!$C$5:$C$1004,$B19,'Satışlar'!$G$5:$G$1004))</f>
      </c>
      <c r="E19" s="16">
        <f>IF($B19="",0,SUMIF('Satışlar'!$C$5:$C$1004,$B19,'Satışlar'!$H$5:$H$1004))</f>
      </c>
      <c r="F19" s="16">
        <f>IF($B19="",0,SUMIF('Satışlar'!$C$5:$C$1004,$B19,'Satışlar'!$I$5:$I$1004))</f>
      </c>
      <c r="G19" s="16">
        <f>IF($B19="",0,SUMIF('Satışlar'!$C$5:$C$1004,$B19,'Satışlar'!$J$5:$J$1004))</f>
      </c>
      <c r="H19" s="16">
        <f>IF($B19="",0,SUMIF('Satışlar'!$C$5:$C$1004,$B19,'Satışlar'!$L$5:$L$1004))</f>
      </c>
      <c r="I19" s="21">
        <f>IF($B19="",0,SUMIF('Satışlar'!$C$5:$C$1004,$B19,'Satışlar'!$M$5:$M$1004))</f>
      </c>
      <c r="J19" s="22">
        <f>IF(OR($B19="",$E19=0),"",$I19/$E19)</f>
      </c>
    </row>
    <row r="20" spans="2:10" x14ac:dyDescent="0.25">
      <c r="B20" s="20">
        <f>IF('Ürün Kartları'!B20="","",'Ürün Kartları'!B20)</f>
      </c>
      <c r="C20" s="20">
        <f>IF('Ürün Kartları'!C20="","",'Ürün Kartları'!C20)</f>
      </c>
      <c r="D20" s="24">
        <f>IF($B20="",0,SUMIF('Satışlar'!$C$5:$C$1004,$B20,'Satışlar'!$G$5:$G$1004))</f>
      </c>
      <c r="E20" s="16">
        <f>IF($B20="",0,SUMIF('Satışlar'!$C$5:$C$1004,$B20,'Satışlar'!$H$5:$H$1004))</f>
      </c>
      <c r="F20" s="16">
        <f>IF($B20="",0,SUMIF('Satışlar'!$C$5:$C$1004,$B20,'Satışlar'!$I$5:$I$1004))</f>
      </c>
      <c r="G20" s="16">
        <f>IF($B20="",0,SUMIF('Satışlar'!$C$5:$C$1004,$B20,'Satışlar'!$J$5:$J$1004))</f>
      </c>
      <c r="H20" s="16">
        <f>IF($B20="",0,SUMIF('Satışlar'!$C$5:$C$1004,$B20,'Satışlar'!$L$5:$L$1004))</f>
      </c>
      <c r="I20" s="21">
        <f>IF($B20="",0,SUMIF('Satışlar'!$C$5:$C$1004,$B20,'Satışlar'!$M$5:$M$1004))</f>
      </c>
      <c r="J20" s="22">
        <f>IF(OR($B20="",$E20=0),"",$I20/$E20)</f>
      </c>
    </row>
    <row r="21" spans="2:10" x14ac:dyDescent="0.25">
      <c r="B21" s="20">
        <f>IF('Ürün Kartları'!B21="","",'Ürün Kartları'!B21)</f>
      </c>
      <c r="C21" s="20">
        <f>IF('Ürün Kartları'!C21="","",'Ürün Kartları'!C21)</f>
      </c>
      <c r="D21" s="24">
        <f>IF($B21="",0,SUMIF('Satışlar'!$C$5:$C$1004,$B21,'Satışlar'!$G$5:$G$1004))</f>
      </c>
      <c r="E21" s="16">
        <f>IF($B21="",0,SUMIF('Satışlar'!$C$5:$C$1004,$B21,'Satışlar'!$H$5:$H$1004))</f>
      </c>
      <c r="F21" s="16">
        <f>IF($B21="",0,SUMIF('Satışlar'!$C$5:$C$1004,$B21,'Satışlar'!$I$5:$I$1004))</f>
      </c>
      <c r="G21" s="16">
        <f>IF($B21="",0,SUMIF('Satışlar'!$C$5:$C$1004,$B21,'Satışlar'!$J$5:$J$1004))</f>
      </c>
      <c r="H21" s="16">
        <f>IF($B21="",0,SUMIF('Satışlar'!$C$5:$C$1004,$B21,'Satışlar'!$L$5:$L$1004))</f>
      </c>
      <c r="I21" s="21">
        <f>IF($B21="",0,SUMIF('Satışlar'!$C$5:$C$1004,$B21,'Satışlar'!$M$5:$M$1004))</f>
      </c>
      <c r="J21" s="22">
        <f>IF(OR($B21="",$E21=0),"",$I21/$E21)</f>
      </c>
    </row>
    <row r="22" spans="2:10" x14ac:dyDescent="0.25">
      <c r="B22" s="20">
        <f>IF('Ürün Kartları'!B22="","",'Ürün Kartları'!B22)</f>
      </c>
      <c r="C22" s="20">
        <f>IF('Ürün Kartları'!C22="","",'Ürün Kartları'!C22)</f>
      </c>
      <c r="D22" s="24">
        <f>IF($B22="",0,SUMIF('Satışlar'!$C$5:$C$1004,$B22,'Satışlar'!$G$5:$G$1004))</f>
      </c>
      <c r="E22" s="16">
        <f>IF($B22="",0,SUMIF('Satışlar'!$C$5:$C$1004,$B22,'Satışlar'!$H$5:$H$1004))</f>
      </c>
      <c r="F22" s="16">
        <f>IF($B22="",0,SUMIF('Satışlar'!$C$5:$C$1004,$B22,'Satışlar'!$I$5:$I$1004))</f>
      </c>
      <c r="G22" s="16">
        <f>IF($B22="",0,SUMIF('Satışlar'!$C$5:$C$1004,$B22,'Satışlar'!$J$5:$J$1004))</f>
      </c>
      <c r="H22" s="16">
        <f>IF($B22="",0,SUMIF('Satışlar'!$C$5:$C$1004,$B22,'Satışlar'!$L$5:$L$1004))</f>
      </c>
      <c r="I22" s="21">
        <f>IF($B22="",0,SUMIF('Satışlar'!$C$5:$C$1004,$B22,'Satışlar'!$M$5:$M$1004))</f>
      </c>
      <c r="J22" s="22">
        <f>IF(OR($B22="",$E22=0),"",$I22/$E22)</f>
      </c>
    </row>
    <row r="23" spans="2:10" x14ac:dyDescent="0.25">
      <c r="B23" s="20">
        <f>IF('Ürün Kartları'!B23="","",'Ürün Kartları'!B23)</f>
      </c>
      <c r="C23" s="20">
        <f>IF('Ürün Kartları'!C23="","",'Ürün Kartları'!C23)</f>
      </c>
      <c r="D23" s="24">
        <f>IF($B23="",0,SUMIF('Satışlar'!$C$5:$C$1004,$B23,'Satışlar'!$G$5:$G$1004))</f>
      </c>
      <c r="E23" s="16">
        <f>IF($B23="",0,SUMIF('Satışlar'!$C$5:$C$1004,$B23,'Satışlar'!$H$5:$H$1004))</f>
      </c>
      <c r="F23" s="16">
        <f>IF($B23="",0,SUMIF('Satışlar'!$C$5:$C$1004,$B23,'Satışlar'!$I$5:$I$1004))</f>
      </c>
      <c r="G23" s="16">
        <f>IF($B23="",0,SUMIF('Satışlar'!$C$5:$C$1004,$B23,'Satışlar'!$J$5:$J$1004))</f>
      </c>
      <c r="H23" s="16">
        <f>IF($B23="",0,SUMIF('Satışlar'!$C$5:$C$1004,$B23,'Satışlar'!$L$5:$L$1004))</f>
      </c>
      <c r="I23" s="21">
        <f>IF($B23="",0,SUMIF('Satışlar'!$C$5:$C$1004,$B23,'Satışlar'!$M$5:$M$1004))</f>
      </c>
      <c r="J23" s="22">
        <f>IF(OR($B23="",$E23=0),"",$I23/$E23)</f>
      </c>
    </row>
    <row r="24" spans="2:10" x14ac:dyDescent="0.25">
      <c r="B24" s="20">
        <f>IF('Ürün Kartları'!B24="","",'Ürün Kartları'!B24)</f>
      </c>
      <c r="C24" s="20">
        <f>IF('Ürün Kartları'!C24="","",'Ürün Kartları'!C24)</f>
      </c>
      <c r="D24" s="24">
        <f>IF($B24="",0,SUMIF('Satışlar'!$C$5:$C$1004,$B24,'Satışlar'!$G$5:$G$1004))</f>
      </c>
      <c r="E24" s="16">
        <f>IF($B24="",0,SUMIF('Satışlar'!$C$5:$C$1004,$B24,'Satışlar'!$H$5:$H$1004))</f>
      </c>
      <c r="F24" s="16">
        <f>IF($B24="",0,SUMIF('Satışlar'!$C$5:$C$1004,$B24,'Satışlar'!$I$5:$I$1004))</f>
      </c>
      <c r="G24" s="16">
        <f>IF($B24="",0,SUMIF('Satışlar'!$C$5:$C$1004,$B24,'Satışlar'!$J$5:$J$1004))</f>
      </c>
      <c r="H24" s="16">
        <f>IF($B24="",0,SUMIF('Satışlar'!$C$5:$C$1004,$B24,'Satışlar'!$L$5:$L$1004))</f>
      </c>
      <c r="I24" s="21">
        <f>IF($B24="",0,SUMIF('Satışlar'!$C$5:$C$1004,$B24,'Satışlar'!$M$5:$M$1004))</f>
      </c>
      <c r="J24" s="22">
        <f>IF(OR($B24="",$E24=0),"",$I24/$E24)</f>
      </c>
    </row>
    <row r="25" spans="2:10" x14ac:dyDescent="0.25">
      <c r="B25" s="20">
        <f>IF('Ürün Kartları'!B25="","",'Ürün Kartları'!B25)</f>
      </c>
      <c r="C25" s="20">
        <f>IF('Ürün Kartları'!C25="","",'Ürün Kartları'!C25)</f>
      </c>
      <c r="D25" s="24">
        <f>IF($B25="",0,SUMIF('Satışlar'!$C$5:$C$1004,$B25,'Satışlar'!$G$5:$G$1004))</f>
      </c>
      <c r="E25" s="16">
        <f>IF($B25="",0,SUMIF('Satışlar'!$C$5:$C$1004,$B25,'Satışlar'!$H$5:$H$1004))</f>
      </c>
      <c r="F25" s="16">
        <f>IF($B25="",0,SUMIF('Satışlar'!$C$5:$C$1004,$B25,'Satışlar'!$I$5:$I$1004))</f>
      </c>
      <c r="G25" s="16">
        <f>IF($B25="",0,SUMIF('Satışlar'!$C$5:$C$1004,$B25,'Satışlar'!$J$5:$J$1004))</f>
      </c>
      <c r="H25" s="16">
        <f>IF($B25="",0,SUMIF('Satışlar'!$C$5:$C$1004,$B25,'Satışlar'!$L$5:$L$1004))</f>
      </c>
      <c r="I25" s="21">
        <f>IF($B25="",0,SUMIF('Satışlar'!$C$5:$C$1004,$B25,'Satışlar'!$M$5:$M$1004))</f>
      </c>
      <c r="J25" s="22">
        <f>IF(OR($B25="",$E25=0),"",$I25/$E25)</f>
      </c>
    </row>
    <row r="26" spans="2:10" x14ac:dyDescent="0.25">
      <c r="B26" s="20">
        <f>IF('Ürün Kartları'!B26="","",'Ürün Kartları'!B26)</f>
      </c>
      <c r="C26" s="20">
        <f>IF('Ürün Kartları'!C26="","",'Ürün Kartları'!C26)</f>
      </c>
      <c r="D26" s="24">
        <f>IF($B26="",0,SUMIF('Satışlar'!$C$5:$C$1004,$B26,'Satışlar'!$G$5:$G$1004))</f>
      </c>
      <c r="E26" s="16">
        <f>IF($B26="",0,SUMIF('Satışlar'!$C$5:$C$1004,$B26,'Satışlar'!$H$5:$H$1004))</f>
      </c>
      <c r="F26" s="16">
        <f>IF($B26="",0,SUMIF('Satışlar'!$C$5:$C$1004,$B26,'Satışlar'!$I$5:$I$1004))</f>
      </c>
      <c r="G26" s="16">
        <f>IF($B26="",0,SUMIF('Satışlar'!$C$5:$C$1004,$B26,'Satışlar'!$J$5:$J$1004))</f>
      </c>
      <c r="H26" s="16">
        <f>IF($B26="",0,SUMIF('Satışlar'!$C$5:$C$1004,$B26,'Satışlar'!$L$5:$L$1004))</f>
      </c>
      <c r="I26" s="21">
        <f>IF($B26="",0,SUMIF('Satışlar'!$C$5:$C$1004,$B26,'Satışlar'!$M$5:$M$1004))</f>
      </c>
      <c r="J26" s="22">
        <f>IF(OR($B26="",$E26=0),"",$I26/$E26)</f>
      </c>
    </row>
    <row r="27" spans="2:10" x14ac:dyDescent="0.25">
      <c r="B27" s="20">
        <f>IF('Ürün Kartları'!B27="","",'Ürün Kartları'!B27)</f>
      </c>
      <c r="C27" s="20">
        <f>IF('Ürün Kartları'!C27="","",'Ürün Kartları'!C27)</f>
      </c>
      <c r="D27" s="24">
        <f>IF($B27="",0,SUMIF('Satışlar'!$C$5:$C$1004,$B27,'Satışlar'!$G$5:$G$1004))</f>
      </c>
      <c r="E27" s="16">
        <f>IF($B27="",0,SUMIF('Satışlar'!$C$5:$C$1004,$B27,'Satışlar'!$H$5:$H$1004))</f>
      </c>
      <c r="F27" s="16">
        <f>IF($B27="",0,SUMIF('Satışlar'!$C$5:$C$1004,$B27,'Satışlar'!$I$5:$I$1004))</f>
      </c>
      <c r="G27" s="16">
        <f>IF($B27="",0,SUMIF('Satışlar'!$C$5:$C$1004,$B27,'Satışlar'!$J$5:$J$1004))</f>
      </c>
      <c r="H27" s="16">
        <f>IF($B27="",0,SUMIF('Satışlar'!$C$5:$C$1004,$B27,'Satışlar'!$L$5:$L$1004))</f>
      </c>
      <c r="I27" s="21">
        <f>IF($B27="",0,SUMIF('Satışlar'!$C$5:$C$1004,$B27,'Satışlar'!$M$5:$M$1004))</f>
      </c>
      <c r="J27" s="22">
        <f>IF(OR($B27="",$E27=0),"",$I27/$E27)</f>
      </c>
    </row>
    <row r="28" spans="2:10" x14ac:dyDescent="0.25">
      <c r="B28" s="20">
        <f>IF('Ürün Kartları'!B28="","",'Ürün Kartları'!B28)</f>
      </c>
      <c r="C28" s="20">
        <f>IF('Ürün Kartları'!C28="","",'Ürün Kartları'!C28)</f>
      </c>
      <c r="D28" s="24">
        <f>IF($B28="",0,SUMIF('Satışlar'!$C$5:$C$1004,$B28,'Satışlar'!$G$5:$G$1004))</f>
      </c>
      <c r="E28" s="16">
        <f>IF($B28="",0,SUMIF('Satışlar'!$C$5:$C$1004,$B28,'Satışlar'!$H$5:$H$1004))</f>
      </c>
      <c r="F28" s="16">
        <f>IF($B28="",0,SUMIF('Satışlar'!$C$5:$C$1004,$B28,'Satışlar'!$I$5:$I$1004))</f>
      </c>
      <c r="G28" s="16">
        <f>IF($B28="",0,SUMIF('Satışlar'!$C$5:$C$1004,$B28,'Satışlar'!$J$5:$J$1004))</f>
      </c>
      <c r="H28" s="16">
        <f>IF($B28="",0,SUMIF('Satışlar'!$C$5:$C$1004,$B28,'Satışlar'!$L$5:$L$1004))</f>
      </c>
      <c r="I28" s="21">
        <f>IF($B28="",0,SUMIF('Satışlar'!$C$5:$C$1004,$B28,'Satışlar'!$M$5:$M$1004))</f>
      </c>
      <c r="J28" s="22">
        <f>IF(OR($B28="",$E28=0),"",$I28/$E28)</f>
      </c>
    </row>
    <row r="29" spans="2:10" x14ac:dyDescent="0.25">
      <c r="B29" s="20">
        <f>IF('Ürün Kartları'!B29="","",'Ürün Kartları'!B29)</f>
      </c>
      <c r="C29" s="20">
        <f>IF('Ürün Kartları'!C29="","",'Ürün Kartları'!C29)</f>
      </c>
      <c r="D29" s="24">
        <f>IF($B29="",0,SUMIF('Satışlar'!$C$5:$C$1004,$B29,'Satışlar'!$G$5:$G$1004))</f>
      </c>
      <c r="E29" s="16">
        <f>IF($B29="",0,SUMIF('Satışlar'!$C$5:$C$1004,$B29,'Satışlar'!$H$5:$H$1004))</f>
      </c>
      <c r="F29" s="16">
        <f>IF($B29="",0,SUMIF('Satışlar'!$C$5:$C$1004,$B29,'Satışlar'!$I$5:$I$1004))</f>
      </c>
      <c r="G29" s="16">
        <f>IF($B29="",0,SUMIF('Satışlar'!$C$5:$C$1004,$B29,'Satışlar'!$J$5:$J$1004))</f>
      </c>
      <c r="H29" s="16">
        <f>IF($B29="",0,SUMIF('Satışlar'!$C$5:$C$1004,$B29,'Satışlar'!$L$5:$L$1004))</f>
      </c>
      <c r="I29" s="21">
        <f>IF($B29="",0,SUMIF('Satışlar'!$C$5:$C$1004,$B29,'Satışlar'!$M$5:$M$1004))</f>
      </c>
      <c r="J29" s="22">
        <f>IF(OR($B29="",$E29=0),"",$I29/$E29)</f>
      </c>
    </row>
    <row r="30" spans="2:10" x14ac:dyDescent="0.25">
      <c r="B30" s="20">
        <f>IF('Ürün Kartları'!B30="","",'Ürün Kartları'!B30)</f>
      </c>
      <c r="C30" s="20">
        <f>IF('Ürün Kartları'!C30="","",'Ürün Kartları'!C30)</f>
      </c>
      <c r="D30" s="24">
        <f>IF($B30="",0,SUMIF('Satışlar'!$C$5:$C$1004,$B30,'Satışlar'!$G$5:$G$1004))</f>
      </c>
      <c r="E30" s="16">
        <f>IF($B30="",0,SUMIF('Satışlar'!$C$5:$C$1004,$B30,'Satışlar'!$H$5:$H$1004))</f>
      </c>
      <c r="F30" s="16">
        <f>IF($B30="",0,SUMIF('Satışlar'!$C$5:$C$1004,$B30,'Satışlar'!$I$5:$I$1004))</f>
      </c>
      <c r="G30" s="16">
        <f>IF($B30="",0,SUMIF('Satışlar'!$C$5:$C$1004,$B30,'Satışlar'!$J$5:$J$1004))</f>
      </c>
      <c r="H30" s="16">
        <f>IF($B30="",0,SUMIF('Satışlar'!$C$5:$C$1004,$B30,'Satışlar'!$L$5:$L$1004))</f>
      </c>
      <c r="I30" s="21">
        <f>IF($B30="",0,SUMIF('Satışlar'!$C$5:$C$1004,$B30,'Satışlar'!$M$5:$M$1004))</f>
      </c>
      <c r="J30" s="22">
        <f>IF(OR($B30="",$E30=0),"",$I30/$E30)</f>
      </c>
    </row>
    <row r="31" spans="2:10" x14ac:dyDescent="0.25">
      <c r="B31" s="20">
        <f>IF('Ürün Kartları'!B31="","",'Ürün Kartları'!B31)</f>
      </c>
      <c r="C31" s="20">
        <f>IF('Ürün Kartları'!C31="","",'Ürün Kartları'!C31)</f>
      </c>
      <c r="D31" s="24">
        <f>IF($B31="",0,SUMIF('Satışlar'!$C$5:$C$1004,$B31,'Satışlar'!$G$5:$G$1004))</f>
      </c>
      <c r="E31" s="16">
        <f>IF($B31="",0,SUMIF('Satışlar'!$C$5:$C$1004,$B31,'Satışlar'!$H$5:$H$1004))</f>
      </c>
      <c r="F31" s="16">
        <f>IF($B31="",0,SUMIF('Satışlar'!$C$5:$C$1004,$B31,'Satışlar'!$I$5:$I$1004))</f>
      </c>
      <c r="G31" s="16">
        <f>IF($B31="",0,SUMIF('Satışlar'!$C$5:$C$1004,$B31,'Satışlar'!$J$5:$J$1004))</f>
      </c>
      <c r="H31" s="16">
        <f>IF($B31="",0,SUMIF('Satışlar'!$C$5:$C$1004,$B31,'Satışlar'!$L$5:$L$1004))</f>
      </c>
      <c r="I31" s="21">
        <f>IF($B31="",0,SUMIF('Satışlar'!$C$5:$C$1004,$B31,'Satışlar'!$M$5:$M$1004))</f>
      </c>
      <c r="J31" s="22">
        <f>IF(OR($B31="",$E31=0),"",$I31/$E31)</f>
      </c>
    </row>
    <row r="32" spans="2:10" x14ac:dyDescent="0.25">
      <c r="B32" s="20">
        <f>IF('Ürün Kartları'!B32="","",'Ürün Kartları'!B32)</f>
      </c>
      <c r="C32" s="20">
        <f>IF('Ürün Kartları'!C32="","",'Ürün Kartları'!C32)</f>
      </c>
      <c r="D32" s="24">
        <f>IF($B32="",0,SUMIF('Satışlar'!$C$5:$C$1004,$B32,'Satışlar'!$G$5:$G$1004))</f>
      </c>
      <c r="E32" s="16">
        <f>IF($B32="",0,SUMIF('Satışlar'!$C$5:$C$1004,$B32,'Satışlar'!$H$5:$H$1004))</f>
      </c>
      <c r="F32" s="16">
        <f>IF($B32="",0,SUMIF('Satışlar'!$C$5:$C$1004,$B32,'Satışlar'!$I$5:$I$1004))</f>
      </c>
      <c r="G32" s="16">
        <f>IF($B32="",0,SUMIF('Satışlar'!$C$5:$C$1004,$B32,'Satışlar'!$J$5:$J$1004))</f>
      </c>
      <c r="H32" s="16">
        <f>IF($B32="",0,SUMIF('Satışlar'!$C$5:$C$1004,$B32,'Satışlar'!$L$5:$L$1004))</f>
      </c>
      <c r="I32" s="21">
        <f>IF($B32="",0,SUMIF('Satışlar'!$C$5:$C$1004,$B32,'Satışlar'!$M$5:$M$1004))</f>
      </c>
      <c r="J32" s="22">
        <f>IF(OR($B32="",$E32=0),"",$I32/$E32)</f>
      </c>
    </row>
    <row r="33" spans="2:10" x14ac:dyDescent="0.25">
      <c r="B33" s="20">
        <f>IF('Ürün Kartları'!B33="","",'Ürün Kartları'!B33)</f>
      </c>
      <c r="C33" s="20">
        <f>IF('Ürün Kartları'!C33="","",'Ürün Kartları'!C33)</f>
      </c>
      <c r="D33" s="24">
        <f>IF($B33="",0,SUMIF('Satışlar'!$C$5:$C$1004,$B33,'Satışlar'!$G$5:$G$1004))</f>
      </c>
      <c r="E33" s="16">
        <f>IF($B33="",0,SUMIF('Satışlar'!$C$5:$C$1004,$B33,'Satışlar'!$H$5:$H$1004))</f>
      </c>
      <c r="F33" s="16">
        <f>IF($B33="",0,SUMIF('Satışlar'!$C$5:$C$1004,$B33,'Satışlar'!$I$5:$I$1004))</f>
      </c>
      <c r="G33" s="16">
        <f>IF($B33="",0,SUMIF('Satışlar'!$C$5:$C$1004,$B33,'Satışlar'!$J$5:$J$1004))</f>
      </c>
      <c r="H33" s="16">
        <f>IF($B33="",0,SUMIF('Satışlar'!$C$5:$C$1004,$B33,'Satışlar'!$L$5:$L$1004))</f>
      </c>
      <c r="I33" s="21">
        <f>IF($B33="",0,SUMIF('Satışlar'!$C$5:$C$1004,$B33,'Satışlar'!$M$5:$M$1004))</f>
      </c>
      <c r="J33" s="22">
        <f>IF(OR($B33="",$E33=0),"",$I33/$E33)</f>
      </c>
    </row>
    <row r="34" spans="2:10" x14ac:dyDescent="0.25">
      <c r="B34" s="20">
        <f>IF('Ürün Kartları'!B34="","",'Ürün Kartları'!B34)</f>
      </c>
      <c r="C34" s="20">
        <f>IF('Ürün Kartları'!C34="","",'Ürün Kartları'!C34)</f>
      </c>
      <c r="D34" s="24">
        <f>IF($B34="",0,SUMIF('Satışlar'!$C$5:$C$1004,$B34,'Satışlar'!$G$5:$G$1004))</f>
      </c>
      <c r="E34" s="16">
        <f>IF($B34="",0,SUMIF('Satışlar'!$C$5:$C$1004,$B34,'Satışlar'!$H$5:$H$1004))</f>
      </c>
      <c r="F34" s="16">
        <f>IF($B34="",0,SUMIF('Satışlar'!$C$5:$C$1004,$B34,'Satışlar'!$I$5:$I$1004))</f>
      </c>
      <c r="G34" s="16">
        <f>IF($B34="",0,SUMIF('Satışlar'!$C$5:$C$1004,$B34,'Satışlar'!$J$5:$J$1004))</f>
      </c>
      <c r="H34" s="16">
        <f>IF($B34="",0,SUMIF('Satışlar'!$C$5:$C$1004,$B34,'Satışlar'!$L$5:$L$1004))</f>
      </c>
      <c r="I34" s="21">
        <f>IF($B34="",0,SUMIF('Satışlar'!$C$5:$C$1004,$B34,'Satışlar'!$M$5:$M$1004))</f>
      </c>
      <c r="J34" s="22">
        <f>IF(OR($B34="",$E34=0),"",$I34/$E34)</f>
      </c>
    </row>
    <row r="35" spans="2:10" x14ac:dyDescent="0.25">
      <c r="B35" s="20">
        <f>IF('Ürün Kartları'!B35="","",'Ürün Kartları'!B35)</f>
      </c>
      <c r="C35" s="20">
        <f>IF('Ürün Kartları'!C35="","",'Ürün Kartları'!C35)</f>
      </c>
      <c r="D35" s="24">
        <f>IF($B35="",0,SUMIF('Satışlar'!$C$5:$C$1004,$B35,'Satışlar'!$G$5:$G$1004))</f>
      </c>
      <c r="E35" s="16">
        <f>IF($B35="",0,SUMIF('Satışlar'!$C$5:$C$1004,$B35,'Satışlar'!$H$5:$H$1004))</f>
      </c>
      <c r="F35" s="16">
        <f>IF($B35="",0,SUMIF('Satışlar'!$C$5:$C$1004,$B35,'Satışlar'!$I$5:$I$1004))</f>
      </c>
      <c r="G35" s="16">
        <f>IF($B35="",0,SUMIF('Satışlar'!$C$5:$C$1004,$B35,'Satışlar'!$J$5:$J$1004))</f>
      </c>
      <c r="H35" s="16">
        <f>IF($B35="",0,SUMIF('Satışlar'!$C$5:$C$1004,$B35,'Satışlar'!$L$5:$L$1004))</f>
      </c>
      <c r="I35" s="21">
        <f>IF($B35="",0,SUMIF('Satışlar'!$C$5:$C$1004,$B35,'Satışlar'!$M$5:$M$1004))</f>
      </c>
      <c r="J35" s="22">
        <f>IF(OR($B35="",$E35=0),"",$I35/$E35)</f>
      </c>
    </row>
    <row r="36" spans="2:10" x14ac:dyDescent="0.25">
      <c r="B36" s="20">
        <f>IF('Ürün Kartları'!B36="","",'Ürün Kartları'!B36)</f>
      </c>
      <c r="C36" s="20">
        <f>IF('Ürün Kartları'!C36="","",'Ürün Kartları'!C36)</f>
      </c>
      <c r="D36" s="24">
        <f>IF($B36="",0,SUMIF('Satışlar'!$C$5:$C$1004,$B36,'Satışlar'!$G$5:$G$1004))</f>
      </c>
      <c r="E36" s="16">
        <f>IF($B36="",0,SUMIF('Satışlar'!$C$5:$C$1004,$B36,'Satışlar'!$H$5:$H$1004))</f>
      </c>
      <c r="F36" s="16">
        <f>IF($B36="",0,SUMIF('Satışlar'!$C$5:$C$1004,$B36,'Satışlar'!$I$5:$I$1004))</f>
      </c>
      <c r="G36" s="16">
        <f>IF($B36="",0,SUMIF('Satışlar'!$C$5:$C$1004,$B36,'Satışlar'!$J$5:$J$1004))</f>
      </c>
      <c r="H36" s="16">
        <f>IF($B36="",0,SUMIF('Satışlar'!$C$5:$C$1004,$B36,'Satışlar'!$L$5:$L$1004))</f>
      </c>
      <c r="I36" s="21">
        <f>IF($B36="",0,SUMIF('Satışlar'!$C$5:$C$1004,$B36,'Satışlar'!$M$5:$M$1004))</f>
      </c>
      <c r="J36" s="22">
        <f>IF(OR($B36="",$E36=0),"",$I36/$E36)</f>
      </c>
    </row>
    <row r="37" spans="2:10" x14ac:dyDescent="0.25">
      <c r="B37" s="20">
        <f>IF('Ürün Kartları'!B37="","",'Ürün Kartları'!B37)</f>
      </c>
      <c r="C37" s="20">
        <f>IF('Ürün Kartları'!C37="","",'Ürün Kartları'!C37)</f>
      </c>
      <c r="D37" s="24">
        <f>IF($B37="",0,SUMIF('Satışlar'!$C$5:$C$1004,$B37,'Satışlar'!$G$5:$G$1004))</f>
      </c>
      <c r="E37" s="16">
        <f>IF($B37="",0,SUMIF('Satışlar'!$C$5:$C$1004,$B37,'Satışlar'!$H$5:$H$1004))</f>
      </c>
      <c r="F37" s="16">
        <f>IF($B37="",0,SUMIF('Satışlar'!$C$5:$C$1004,$B37,'Satışlar'!$I$5:$I$1004))</f>
      </c>
      <c r="G37" s="16">
        <f>IF($B37="",0,SUMIF('Satışlar'!$C$5:$C$1004,$B37,'Satışlar'!$J$5:$J$1004))</f>
      </c>
      <c r="H37" s="16">
        <f>IF($B37="",0,SUMIF('Satışlar'!$C$5:$C$1004,$B37,'Satışlar'!$L$5:$L$1004))</f>
      </c>
      <c r="I37" s="21">
        <f>IF($B37="",0,SUMIF('Satışlar'!$C$5:$C$1004,$B37,'Satışlar'!$M$5:$M$1004))</f>
      </c>
      <c r="J37" s="22">
        <f>IF(OR($B37="",$E37=0),"",$I37/$E37)</f>
      </c>
    </row>
    <row r="38" spans="2:10" x14ac:dyDescent="0.25">
      <c r="B38" s="20">
        <f>IF('Ürün Kartları'!B38="","",'Ürün Kartları'!B38)</f>
      </c>
      <c r="C38" s="20">
        <f>IF('Ürün Kartları'!C38="","",'Ürün Kartları'!C38)</f>
      </c>
      <c r="D38" s="24">
        <f>IF($B38="",0,SUMIF('Satışlar'!$C$5:$C$1004,$B38,'Satışlar'!$G$5:$G$1004))</f>
      </c>
      <c r="E38" s="16">
        <f>IF($B38="",0,SUMIF('Satışlar'!$C$5:$C$1004,$B38,'Satışlar'!$H$5:$H$1004))</f>
      </c>
      <c r="F38" s="16">
        <f>IF($B38="",0,SUMIF('Satışlar'!$C$5:$C$1004,$B38,'Satışlar'!$I$5:$I$1004))</f>
      </c>
      <c r="G38" s="16">
        <f>IF($B38="",0,SUMIF('Satışlar'!$C$5:$C$1004,$B38,'Satışlar'!$J$5:$J$1004))</f>
      </c>
      <c r="H38" s="16">
        <f>IF($B38="",0,SUMIF('Satışlar'!$C$5:$C$1004,$B38,'Satışlar'!$L$5:$L$1004))</f>
      </c>
      <c r="I38" s="21">
        <f>IF($B38="",0,SUMIF('Satışlar'!$C$5:$C$1004,$B38,'Satışlar'!$M$5:$M$1004))</f>
      </c>
      <c r="J38" s="22">
        <f>IF(OR($B38="",$E38=0),"",$I38/$E38)</f>
      </c>
    </row>
    <row r="39" spans="2:10" x14ac:dyDescent="0.25">
      <c r="B39" s="20">
        <f>IF('Ürün Kartları'!B39="","",'Ürün Kartları'!B39)</f>
      </c>
      <c r="C39" s="20">
        <f>IF('Ürün Kartları'!C39="","",'Ürün Kartları'!C39)</f>
      </c>
      <c r="D39" s="24">
        <f>IF($B39="",0,SUMIF('Satışlar'!$C$5:$C$1004,$B39,'Satışlar'!$G$5:$G$1004))</f>
      </c>
      <c r="E39" s="16">
        <f>IF($B39="",0,SUMIF('Satışlar'!$C$5:$C$1004,$B39,'Satışlar'!$H$5:$H$1004))</f>
      </c>
      <c r="F39" s="16">
        <f>IF($B39="",0,SUMIF('Satışlar'!$C$5:$C$1004,$B39,'Satışlar'!$I$5:$I$1004))</f>
      </c>
      <c r="G39" s="16">
        <f>IF($B39="",0,SUMIF('Satışlar'!$C$5:$C$1004,$B39,'Satışlar'!$J$5:$J$1004))</f>
      </c>
      <c r="H39" s="16">
        <f>IF($B39="",0,SUMIF('Satışlar'!$C$5:$C$1004,$B39,'Satışlar'!$L$5:$L$1004))</f>
      </c>
      <c r="I39" s="21">
        <f>IF($B39="",0,SUMIF('Satışlar'!$C$5:$C$1004,$B39,'Satışlar'!$M$5:$M$1004))</f>
      </c>
      <c r="J39" s="22">
        <f>IF(OR($B39="",$E39=0),"",$I39/$E39)</f>
      </c>
    </row>
    <row r="40" spans="2:10" x14ac:dyDescent="0.25">
      <c r="B40" s="20">
        <f>IF('Ürün Kartları'!B40="","",'Ürün Kartları'!B40)</f>
      </c>
      <c r="C40" s="20">
        <f>IF('Ürün Kartları'!C40="","",'Ürün Kartları'!C40)</f>
      </c>
      <c r="D40" s="24">
        <f>IF($B40="",0,SUMIF('Satışlar'!$C$5:$C$1004,$B40,'Satışlar'!$G$5:$G$1004))</f>
      </c>
      <c r="E40" s="16">
        <f>IF($B40="",0,SUMIF('Satışlar'!$C$5:$C$1004,$B40,'Satışlar'!$H$5:$H$1004))</f>
      </c>
      <c r="F40" s="16">
        <f>IF($B40="",0,SUMIF('Satışlar'!$C$5:$C$1004,$B40,'Satışlar'!$I$5:$I$1004))</f>
      </c>
      <c r="G40" s="16">
        <f>IF($B40="",0,SUMIF('Satışlar'!$C$5:$C$1004,$B40,'Satışlar'!$J$5:$J$1004))</f>
      </c>
      <c r="H40" s="16">
        <f>IF($B40="",0,SUMIF('Satışlar'!$C$5:$C$1004,$B40,'Satışlar'!$L$5:$L$1004))</f>
      </c>
      <c r="I40" s="21">
        <f>IF($B40="",0,SUMIF('Satışlar'!$C$5:$C$1004,$B40,'Satışlar'!$M$5:$M$1004))</f>
      </c>
      <c r="J40" s="22">
        <f>IF(OR($B40="",$E40=0),"",$I40/$E40)</f>
      </c>
    </row>
    <row r="41" spans="2:10" x14ac:dyDescent="0.25">
      <c r="B41" s="20">
        <f>IF('Ürün Kartları'!B41="","",'Ürün Kartları'!B41)</f>
      </c>
      <c r="C41" s="20">
        <f>IF('Ürün Kartları'!C41="","",'Ürün Kartları'!C41)</f>
      </c>
      <c r="D41" s="24">
        <f>IF($B41="",0,SUMIF('Satışlar'!$C$5:$C$1004,$B41,'Satışlar'!$G$5:$G$1004))</f>
      </c>
      <c r="E41" s="16">
        <f>IF($B41="",0,SUMIF('Satışlar'!$C$5:$C$1004,$B41,'Satışlar'!$H$5:$H$1004))</f>
      </c>
      <c r="F41" s="16">
        <f>IF($B41="",0,SUMIF('Satışlar'!$C$5:$C$1004,$B41,'Satışlar'!$I$5:$I$1004))</f>
      </c>
      <c r="G41" s="16">
        <f>IF($B41="",0,SUMIF('Satışlar'!$C$5:$C$1004,$B41,'Satışlar'!$J$5:$J$1004))</f>
      </c>
      <c r="H41" s="16">
        <f>IF($B41="",0,SUMIF('Satışlar'!$C$5:$C$1004,$B41,'Satışlar'!$L$5:$L$1004))</f>
      </c>
      <c r="I41" s="21">
        <f>IF($B41="",0,SUMIF('Satışlar'!$C$5:$C$1004,$B41,'Satışlar'!$M$5:$M$1004))</f>
      </c>
      <c r="J41" s="22">
        <f>IF(OR($B41="",$E41=0),"",$I41/$E41)</f>
      </c>
    </row>
    <row r="42" spans="2:10" x14ac:dyDescent="0.25">
      <c r="B42" s="20">
        <f>IF('Ürün Kartları'!B42="","",'Ürün Kartları'!B42)</f>
      </c>
      <c r="C42" s="20">
        <f>IF('Ürün Kartları'!C42="","",'Ürün Kartları'!C42)</f>
      </c>
      <c r="D42" s="24">
        <f>IF($B42="",0,SUMIF('Satışlar'!$C$5:$C$1004,$B42,'Satışlar'!$G$5:$G$1004))</f>
      </c>
      <c r="E42" s="16">
        <f>IF($B42="",0,SUMIF('Satışlar'!$C$5:$C$1004,$B42,'Satışlar'!$H$5:$H$1004))</f>
      </c>
      <c r="F42" s="16">
        <f>IF($B42="",0,SUMIF('Satışlar'!$C$5:$C$1004,$B42,'Satışlar'!$I$5:$I$1004))</f>
      </c>
      <c r="G42" s="16">
        <f>IF($B42="",0,SUMIF('Satışlar'!$C$5:$C$1004,$B42,'Satışlar'!$J$5:$J$1004))</f>
      </c>
      <c r="H42" s="16">
        <f>IF($B42="",0,SUMIF('Satışlar'!$C$5:$C$1004,$B42,'Satışlar'!$L$5:$L$1004))</f>
      </c>
      <c r="I42" s="21">
        <f>IF($B42="",0,SUMIF('Satışlar'!$C$5:$C$1004,$B42,'Satışlar'!$M$5:$M$1004))</f>
      </c>
      <c r="J42" s="22">
        <f>IF(OR($B42="",$E42=0),"",$I42/$E42)</f>
      </c>
    </row>
    <row r="43" spans="2:10" x14ac:dyDescent="0.25">
      <c r="B43" s="20">
        <f>IF('Ürün Kartları'!B43="","",'Ürün Kartları'!B43)</f>
      </c>
      <c r="C43" s="20">
        <f>IF('Ürün Kartları'!C43="","",'Ürün Kartları'!C43)</f>
      </c>
      <c r="D43" s="24">
        <f>IF($B43="",0,SUMIF('Satışlar'!$C$5:$C$1004,$B43,'Satışlar'!$G$5:$G$1004))</f>
      </c>
      <c r="E43" s="16">
        <f>IF($B43="",0,SUMIF('Satışlar'!$C$5:$C$1004,$B43,'Satışlar'!$H$5:$H$1004))</f>
      </c>
      <c r="F43" s="16">
        <f>IF($B43="",0,SUMIF('Satışlar'!$C$5:$C$1004,$B43,'Satışlar'!$I$5:$I$1004))</f>
      </c>
      <c r="G43" s="16">
        <f>IF($B43="",0,SUMIF('Satışlar'!$C$5:$C$1004,$B43,'Satışlar'!$J$5:$J$1004))</f>
      </c>
      <c r="H43" s="16">
        <f>IF($B43="",0,SUMIF('Satışlar'!$C$5:$C$1004,$B43,'Satışlar'!$L$5:$L$1004))</f>
      </c>
      <c r="I43" s="21">
        <f>IF($B43="",0,SUMIF('Satışlar'!$C$5:$C$1004,$B43,'Satışlar'!$M$5:$M$1004))</f>
      </c>
      <c r="J43" s="22">
        <f>IF(OR($B43="",$E43=0),"",$I43/$E43)</f>
      </c>
    </row>
    <row r="44" spans="2:10" x14ac:dyDescent="0.25">
      <c r="B44" s="20">
        <f>IF('Ürün Kartları'!B44="","",'Ürün Kartları'!B44)</f>
      </c>
      <c r="C44" s="20">
        <f>IF('Ürün Kartları'!C44="","",'Ürün Kartları'!C44)</f>
      </c>
      <c r="D44" s="24">
        <f>IF($B44="",0,SUMIF('Satışlar'!$C$5:$C$1004,$B44,'Satışlar'!$G$5:$G$1004))</f>
      </c>
      <c r="E44" s="16">
        <f>IF($B44="",0,SUMIF('Satışlar'!$C$5:$C$1004,$B44,'Satışlar'!$H$5:$H$1004))</f>
      </c>
      <c r="F44" s="16">
        <f>IF($B44="",0,SUMIF('Satışlar'!$C$5:$C$1004,$B44,'Satışlar'!$I$5:$I$1004))</f>
      </c>
      <c r="G44" s="16">
        <f>IF($B44="",0,SUMIF('Satışlar'!$C$5:$C$1004,$B44,'Satışlar'!$J$5:$J$1004))</f>
      </c>
      <c r="H44" s="16">
        <f>IF($B44="",0,SUMIF('Satışlar'!$C$5:$C$1004,$B44,'Satışlar'!$L$5:$L$1004))</f>
      </c>
      <c r="I44" s="21">
        <f>IF($B44="",0,SUMIF('Satışlar'!$C$5:$C$1004,$B44,'Satışlar'!$M$5:$M$1004))</f>
      </c>
      <c r="J44" s="22">
        <f>IF(OR($B44="",$E44=0),"",$I44/$E44)</f>
      </c>
    </row>
    <row r="45" spans="2:10" x14ac:dyDescent="0.25">
      <c r="B45" s="20">
        <f>IF('Ürün Kartları'!B45="","",'Ürün Kartları'!B45)</f>
      </c>
      <c r="C45" s="20">
        <f>IF('Ürün Kartları'!C45="","",'Ürün Kartları'!C45)</f>
      </c>
      <c r="D45" s="24">
        <f>IF($B45="",0,SUMIF('Satışlar'!$C$5:$C$1004,$B45,'Satışlar'!$G$5:$G$1004))</f>
      </c>
      <c r="E45" s="16">
        <f>IF($B45="",0,SUMIF('Satışlar'!$C$5:$C$1004,$B45,'Satışlar'!$H$5:$H$1004))</f>
      </c>
      <c r="F45" s="16">
        <f>IF($B45="",0,SUMIF('Satışlar'!$C$5:$C$1004,$B45,'Satışlar'!$I$5:$I$1004))</f>
      </c>
      <c r="G45" s="16">
        <f>IF($B45="",0,SUMIF('Satışlar'!$C$5:$C$1004,$B45,'Satışlar'!$J$5:$J$1004))</f>
      </c>
      <c r="H45" s="16">
        <f>IF($B45="",0,SUMIF('Satışlar'!$C$5:$C$1004,$B45,'Satışlar'!$L$5:$L$1004))</f>
      </c>
      <c r="I45" s="21">
        <f>IF($B45="",0,SUMIF('Satışlar'!$C$5:$C$1004,$B45,'Satışlar'!$M$5:$M$1004))</f>
      </c>
      <c r="J45" s="22">
        <f>IF(OR($B45="",$E45=0),"",$I45/$E45)</f>
      </c>
    </row>
    <row r="46" spans="2:10" x14ac:dyDescent="0.25">
      <c r="B46" s="20">
        <f>IF('Ürün Kartları'!B46="","",'Ürün Kartları'!B46)</f>
      </c>
      <c r="C46" s="20">
        <f>IF('Ürün Kartları'!C46="","",'Ürün Kartları'!C46)</f>
      </c>
      <c r="D46" s="24">
        <f>IF($B46="",0,SUMIF('Satışlar'!$C$5:$C$1004,$B46,'Satışlar'!$G$5:$G$1004))</f>
      </c>
      <c r="E46" s="16">
        <f>IF($B46="",0,SUMIF('Satışlar'!$C$5:$C$1004,$B46,'Satışlar'!$H$5:$H$1004))</f>
      </c>
      <c r="F46" s="16">
        <f>IF($B46="",0,SUMIF('Satışlar'!$C$5:$C$1004,$B46,'Satışlar'!$I$5:$I$1004))</f>
      </c>
      <c r="G46" s="16">
        <f>IF($B46="",0,SUMIF('Satışlar'!$C$5:$C$1004,$B46,'Satışlar'!$J$5:$J$1004))</f>
      </c>
      <c r="H46" s="16">
        <f>IF($B46="",0,SUMIF('Satışlar'!$C$5:$C$1004,$B46,'Satışlar'!$L$5:$L$1004))</f>
      </c>
      <c r="I46" s="21">
        <f>IF($B46="",0,SUMIF('Satışlar'!$C$5:$C$1004,$B46,'Satışlar'!$M$5:$M$1004))</f>
      </c>
      <c r="J46" s="22">
        <f>IF(OR($B46="",$E46=0),"",$I46/$E46)</f>
      </c>
    </row>
    <row r="47" spans="2:10" x14ac:dyDescent="0.25">
      <c r="B47" s="20">
        <f>IF('Ürün Kartları'!B47="","",'Ürün Kartları'!B47)</f>
      </c>
      <c r="C47" s="20">
        <f>IF('Ürün Kartları'!C47="","",'Ürün Kartları'!C47)</f>
      </c>
      <c r="D47" s="24">
        <f>IF($B47="",0,SUMIF('Satışlar'!$C$5:$C$1004,$B47,'Satışlar'!$G$5:$G$1004))</f>
      </c>
      <c r="E47" s="16">
        <f>IF($B47="",0,SUMIF('Satışlar'!$C$5:$C$1004,$B47,'Satışlar'!$H$5:$H$1004))</f>
      </c>
      <c r="F47" s="16">
        <f>IF($B47="",0,SUMIF('Satışlar'!$C$5:$C$1004,$B47,'Satışlar'!$I$5:$I$1004))</f>
      </c>
      <c r="G47" s="16">
        <f>IF($B47="",0,SUMIF('Satışlar'!$C$5:$C$1004,$B47,'Satışlar'!$J$5:$J$1004))</f>
      </c>
      <c r="H47" s="16">
        <f>IF($B47="",0,SUMIF('Satışlar'!$C$5:$C$1004,$B47,'Satışlar'!$L$5:$L$1004))</f>
      </c>
      <c r="I47" s="21">
        <f>IF($B47="",0,SUMIF('Satışlar'!$C$5:$C$1004,$B47,'Satışlar'!$M$5:$M$1004))</f>
      </c>
      <c r="J47" s="22">
        <f>IF(OR($B47="",$E47=0),"",$I47/$E47)</f>
      </c>
    </row>
    <row r="48" spans="2:10" x14ac:dyDescent="0.25">
      <c r="B48" s="20">
        <f>IF('Ürün Kartları'!B48="","",'Ürün Kartları'!B48)</f>
      </c>
      <c r="C48" s="20">
        <f>IF('Ürün Kartları'!C48="","",'Ürün Kartları'!C48)</f>
      </c>
      <c r="D48" s="24">
        <f>IF($B48="",0,SUMIF('Satışlar'!$C$5:$C$1004,$B48,'Satışlar'!$G$5:$G$1004))</f>
      </c>
      <c r="E48" s="16">
        <f>IF($B48="",0,SUMIF('Satışlar'!$C$5:$C$1004,$B48,'Satışlar'!$H$5:$H$1004))</f>
      </c>
      <c r="F48" s="16">
        <f>IF($B48="",0,SUMIF('Satışlar'!$C$5:$C$1004,$B48,'Satışlar'!$I$5:$I$1004))</f>
      </c>
      <c r="G48" s="16">
        <f>IF($B48="",0,SUMIF('Satışlar'!$C$5:$C$1004,$B48,'Satışlar'!$J$5:$J$1004))</f>
      </c>
      <c r="H48" s="16">
        <f>IF($B48="",0,SUMIF('Satışlar'!$C$5:$C$1004,$B48,'Satışlar'!$L$5:$L$1004))</f>
      </c>
      <c r="I48" s="21">
        <f>IF($B48="",0,SUMIF('Satışlar'!$C$5:$C$1004,$B48,'Satışlar'!$M$5:$M$1004))</f>
      </c>
      <c r="J48" s="22">
        <f>IF(OR($B48="",$E48=0),"",$I48/$E48)</f>
      </c>
    </row>
    <row r="49" spans="2:10" x14ac:dyDescent="0.25">
      <c r="B49" s="20">
        <f>IF('Ürün Kartları'!B49="","",'Ürün Kartları'!B49)</f>
      </c>
      <c r="C49" s="20">
        <f>IF('Ürün Kartları'!C49="","",'Ürün Kartları'!C49)</f>
      </c>
      <c r="D49" s="24">
        <f>IF($B49="",0,SUMIF('Satışlar'!$C$5:$C$1004,$B49,'Satışlar'!$G$5:$G$1004))</f>
      </c>
      <c r="E49" s="16">
        <f>IF($B49="",0,SUMIF('Satışlar'!$C$5:$C$1004,$B49,'Satışlar'!$H$5:$H$1004))</f>
      </c>
      <c r="F49" s="16">
        <f>IF($B49="",0,SUMIF('Satışlar'!$C$5:$C$1004,$B49,'Satışlar'!$I$5:$I$1004))</f>
      </c>
      <c r="G49" s="16">
        <f>IF($B49="",0,SUMIF('Satışlar'!$C$5:$C$1004,$B49,'Satışlar'!$J$5:$J$1004))</f>
      </c>
      <c r="H49" s="16">
        <f>IF($B49="",0,SUMIF('Satışlar'!$C$5:$C$1004,$B49,'Satışlar'!$L$5:$L$1004))</f>
      </c>
      <c r="I49" s="21">
        <f>IF($B49="",0,SUMIF('Satışlar'!$C$5:$C$1004,$B49,'Satışlar'!$M$5:$M$1004))</f>
      </c>
      <c r="J49" s="22">
        <f>IF(OR($B49="",$E49=0),"",$I49/$E49)</f>
      </c>
    </row>
    <row r="50" spans="2:10" x14ac:dyDescent="0.25">
      <c r="B50" s="20">
        <f>IF('Ürün Kartları'!B50="","",'Ürün Kartları'!B50)</f>
      </c>
      <c r="C50" s="20">
        <f>IF('Ürün Kartları'!C50="","",'Ürün Kartları'!C50)</f>
      </c>
      <c r="D50" s="24">
        <f>IF($B50="",0,SUMIF('Satışlar'!$C$5:$C$1004,$B50,'Satışlar'!$G$5:$G$1004))</f>
      </c>
      <c r="E50" s="16">
        <f>IF($B50="",0,SUMIF('Satışlar'!$C$5:$C$1004,$B50,'Satışlar'!$H$5:$H$1004))</f>
      </c>
      <c r="F50" s="16">
        <f>IF($B50="",0,SUMIF('Satışlar'!$C$5:$C$1004,$B50,'Satışlar'!$I$5:$I$1004))</f>
      </c>
      <c r="G50" s="16">
        <f>IF($B50="",0,SUMIF('Satışlar'!$C$5:$C$1004,$B50,'Satışlar'!$J$5:$J$1004))</f>
      </c>
      <c r="H50" s="16">
        <f>IF($B50="",0,SUMIF('Satışlar'!$C$5:$C$1004,$B50,'Satışlar'!$L$5:$L$1004))</f>
      </c>
      <c r="I50" s="21">
        <f>IF($B50="",0,SUMIF('Satışlar'!$C$5:$C$1004,$B50,'Satışlar'!$M$5:$M$1004))</f>
      </c>
      <c r="J50" s="22">
        <f>IF(OR($B50="",$E50=0),"",$I50/$E50)</f>
      </c>
    </row>
    <row r="51" spans="2:10" x14ac:dyDescent="0.25">
      <c r="B51" s="20">
        <f>IF('Ürün Kartları'!B51="","",'Ürün Kartları'!B51)</f>
      </c>
      <c r="C51" s="20">
        <f>IF('Ürün Kartları'!C51="","",'Ürün Kartları'!C51)</f>
      </c>
      <c r="D51" s="24">
        <f>IF($B51="",0,SUMIF('Satışlar'!$C$5:$C$1004,$B51,'Satışlar'!$G$5:$G$1004))</f>
      </c>
      <c r="E51" s="16">
        <f>IF($B51="",0,SUMIF('Satışlar'!$C$5:$C$1004,$B51,'Satışlar'!$H$5:$H$1004))</f>
      </c>
      <c r="F51" s="16">
        <f>IF($B51="",0,SUMIF('Satışlar'!$C$5:$C$1004,$B51,'Satışlar'!$I$5:$I$1004))</f>
      </c>
      <c r="G51" s="16">
        <f>IF($B51="",0,SUMIF('Satışlar'!$C$5:$C$1004,$B51,'Satışlar'!$J$5:$J$1004))</f>
      </c>
      <c r="H51" s="16">
        <f>IF($B51="",0,SUMIF('Satışlar'!$C$5:$C$1004,$B51,'Satışlar'!$L$5:$L$1004))</f>
      </c>
      <c r="I51" s="21">
        <f>IF($B51="",0,SUMIF('Satışlar'!$C$5:$C$1004,$B51,'Satışlar'!$M$5:$M$1004))</f>
      </c>
      <c r="J51" s="22">
        <f>IF(OR($B51="",$E51=0),"",$I51/$E51)</f>
      </c>
    </row>
    <row r="52" spans="2:10" x14ac:dyDescent="0.25">
      <c r="B52" s="20">
        <f>IF('Ürün Kartları'!B52="","",'Ürün Kartları'!B52)</f>
      </c>
      <c r="C52" s="20">
        <f>IF('Ürün Kartları'!C52="","",'Ürün Kartları'!C52)</f>
      </c>
      <c r="D52" s="24">
        <f>IF($B52="",0,SUMIF('Satışlar'!$C$5:$C$1004,$B52,'Satışlar'!$G$5:$G$1004))</f>
      </c>
      <c r="E52" s="16">
        <f>IF($B52="",0,SUMIF('Satışlar'!$C$5:$C$1004,$B52,'Satışlar'!$H$5:$H$1004))</f>
      </c>
      <c r="F52" s="16">
        <f>IF($B52="",0,SUMIF('Satışlar'!$C$5:$C$1004,$B52,'Satışlar'!$I$5:$I$1004))</f>
      </c>
      <c r="G52" s="16">
        <f>IF($B52="",0,SUMIF('Satışlar'!$C$5:$C$1004,$B52,'Satışlar'!$J$5:$J$1004))</f>
      </c>
      <c r="H52" s="16">
        <f>IF($B52="",0,SUMIF('Satışlar'!$C$5:$C$1004,$B52,'Satışlar'!$L$5:$L$1004))</f>
      </c>
      <c r="I52" s="21">
        <f>IF($B52="",0,SUMIF('Satışlar'!$C$5:$C$1004,$B52,'Satışlar'!$M$5:$M$1004))</f>
      </c>
      <c r="J52" s="22">
        <f>IF(OR($B52="",$E52=0),"",$I52/$E52)</f>
      </c>
    </row>
    <row r="53" spans="2:10" x14ac:dyDescent="0.25">
      <c r="B53" s="20">
        <f>IF('Ürün Kartları'!B53="","",'Ürün Kartları'!B53)</f>
      </c>
      <c r="C53" s="20">
        <f>IF('Ürün Kartları'!C53="","",'Ürün Kartları'!C53)</f>
      </c>
      <c r="D53" s="24">
        <f>IF($B53="",0,SUMIF('Satışlar'!$C$5:$C$1004,$B53,'Satışlar'!$G$5:$G$1004))</f>
      </c>
      <c r="E53" s="16">
        <f>IF($B53="",0,SUMIF('Satışlar'!$C$5:$C$1004,$B53,'Satışlar'!$H$5:$H$1004))</f>
      </c>
      <c r="F53" s="16">
        <f>IF($B53="",0,SUMIF('Satışlar'!$C$5:$C$1004,$B53,'Satışlar'!$I$5:$I$1004))</f>
      </c>
      <c r="G53" s="16">
        <f>IF($B53="",0,SUMIF('Satışlar'!$C$5:$C$1004,$B53,'Satışlar'!$J$5:$J$1004))</f>
      </c>
      <c r="H53" s="16">
        <f>IF($B53="",0,SUMIF('Satışlar'!$C$5:$C$1004,$B53,'Satışlar'!$L$5:$L$1004))</f>
      </c>
      <c r="I53" s="21">
        <f>IF($B53="",0,SUMIF('Satışlar'!$C$5:$C$1004,$B53,'Satışlar'!$M$5:$M$1004))</f>
      </c>
      <c r="J53" s="22">
        <f>IF(OR($B53="",$E53=0),"",$I53/$E53)</f>
      </c>
    </row>
    <row r="54" spans="2:10" x14ac:dyDescent="0.25">
      <c r="B54" s="20">
        <f>IF('Ürün Kartları'!B54="","",'Ürün Kartları'!B54)</f>
      </c>
      <c r="C54" s="20">
        <f>IF('Ürün Kartları'!C54="","",'Ürün Kartları'!C54)</f>
      </c>
      <c r="D54" s="24">
        <f>IF($B54="",0,SUMIF('Satışlar'!$C$5:$C$1004,$B54,'Satışlar'!$G$5:$G$1004))</f>
      </c>
      <c r="E54" s="16">
        <f>IF($B54="",0,SUMIF('Satışlar'!$C$5:$C$1004,$B54,'Satışlar'!$H$5:$H$1004))</f>
      </c>
      <c r="F54" s="16">
        <f>IF($B54="",0,SUMIF('Satışlar'!$C$5:$C$1004,$B54,'Satışlar'!$I$5:$I$1004))</f>
      </c>
      <c r="G54" s="16">
        <f>IF($B54="",0,SUMIF('Satışlar'!$C$5:$C$1004,$B54,'Satışlar'!$J$5:$J$1004))</f>
      </c>
      <c r="H54" s="16">
        <f>IF($B54="",0,SUMIF('Satışlar'!$C$5:$C$1004,$B54,'Satışlar'!$L$5:$L$1004))</f>
      </c>
      <c r="I54" s="21">
        <f>IF($B54="",0,SUMIF('Satışlar'!$C$5:$C$1004,$B54,'Satışlar'!$M$5:$M$1004))</f>
      </c>
      <c r="J54" s="22">
        <f>IF(OR($B54="",$E54=0),"",$I54/$E54)</f>
      </c>
    </row>
    <row r="55" spans="2:10" x14ac:dyDescent="0.25">
      <c r="B55" s="20">
        <f>IF('Ürün Kartları'!B55="","",'Ürün Kartları'!B55)</f>
      </c>
      <c r="C55" s="20">
        <f>IF('Ürün Kartları'!C55="","",'Ürün Kartları'!C55)</f>
      </c>
      <c r="D55" s="24">
        <f>IF($B55="",0,SUMIF('Satışlar'!$C$5:$C$1004,$B55,'Satışlar'!$G$5:$G$1004))</f>
      </c>
      <c r="E55" s="16">
        <f>IF($B55="",0,SUMIF('Satışlar'!$C$5:$C$1004,$B55,'Satışlar'!$H$5:$H$1004))</f>
      </c>
      <c r="F55" s="16">
        <f>IF($B55="",0,SUMIF('Satışlar'!$C$5:$C$1004,$B55,'Satışlar'!$I$5:$I$1004))</f>
      </c>
      <c r="G55" s="16">
        <f>IF($B55="",0,SUMIF('Satışlar'!$C$5:$C$1004,$B55,'Satışlar'!$J$5:$J$1004))</f>
      </c>
      <c r="H55" s="16">
        <f>IF($B55="",0,SUMIF('Satışlar'!$C$5:$C$1004,$B55,'Satışlar'!$L$5:$L$1004))</f>
      </c>
      <c r="I55" s="21">
        <f>IF($B55="",0,SUMIF('Satışlar'!$C$5:$C$1004,$B55,'Satışlar'!$M$5:$M$1004))</f>
      </c>
      <c r="J55" s="22">
        <f>IF(OR($B55="",$E55=0),"",$I55/$E55)</f>
      </c>
    </row>
    <row r="56" spans="2:10" x14ac:dyDescent="0.25">
      <c r="B56" s="20">
        <f>IF('Ürün Kartları'!B56="","",'Ürün Kartları'!B56)</f>
      </c>
      <c r="C56" s="20">
        <f>IF('Ürün Kartları'!C56="","",'Ürün Kartları'!C56)</f>
      </c>
      <c r="D56" s="24">
        <f>IF($B56="",0,SUMIF('Satışlar'!$C$5:$C$1004,$B56,'Satışlar'!$G$5:$G$1004))</f>
      </c>
      <c r="E56" s="16">
        <f>IF($B56="",0,SUMIF('Satışlar'!$C$5:$C$1004,$B56,'Satışlar'!$H$5:$H$1004))</f>
      </c>
      <c r="F56" s="16">
        <f>IF($B56="",0,SUMIF('Satışlar'!$C$5:$C$1004,$B56,'Satışlar'!$I$5:$I$1004))</f>
      </c>
      <c r="G56" s="16">
        <f>IF($B56="",0,SUMIF('Satışlar'!$C$5:$C$1004,$B56,'Satışlar'!$J$5:$J$1004))</f>
      </c>
      <c r="H56" s="16">
        <f>IF($B56="",0,SUMIF('Satışlar'!$C$5:$C$1004,$B56,'Satışlar'!$L$5:$L$1004))</f>
      </c>
      <c r="I56" s="21">
        <f>IF($B56="",0,SUMIF('Satışlar'!$C$5:$C$1004,$B56,'Satışlar'!$M$5:$M$1004))</f>
      </c>
      <c r="J56" s="22">
        <f>IF(OR($B56="",$E56=0),"",$I56/$E56)</f>
      </c>
    </row>
    <row r="57" spans="2:10" x14ac:dyDescent="0.25">
      <c r="B57" s="20">
        <f>IF('Ürün Kartları'!B57="","",'Ürün Kartları'!B57)</f>
      </c>
      <c r="C57" s="20">
        <f>IF('Ürün Kartları'!C57="","",'Ürün Kartları'!C57)</f>
      </c>
      <c r="D57" s="24">
        <f>IF($B57="",0,SUMIF('Satışlar'!$C$5:$C$1004,$B57,'Satışlar'!$G$5:$G$1004))</f>
      </c>
      <c r="E57" s="16">
        <f>IF($B57="",0,SUMIF('Satışlar'!$C$5:$C$1004,$B57,'Satışlar'!$H$5:$H$1004))</f>
      </c>
      <c r="F57" s="16">
        <f>IF($B57="",0,SUMIF('Satışlar'!$C$5:$C$1004,$B57,'Satışlar'!$I$5:$I$1004))</f>
      </c>
      <c r="G57" s="16">
        <f>IF($B57="",0,SUMIF('Satışlar'!$C$5:$C$1004,$B57,'Satışlar'!$J$5:$J$1004))</f>
      </c>
      <c r="H57" s="16">
        <f>IF($B57="",0,SUMIF('Satışlar'!$C$5:$C$1004,$B57,'Satışlar'!$L$5:$L$1004))</f>
      </c>
      <c r="I57" s="21">
        <f>IF($B57="",0,SUMIF('Satışlar'!$C$5:$C$1004,$B57,'Satışlar'!$M$5:$M$1004))</f>
      </c>
      <c r="J57" s="22">
        <f>IF(OR($B57="",$E57=0),"",$I57/$E57)</f>
      </c>
    </row>
    <row r="58" spans="2:10" x14ac:dyDescent="0.25">
      <c r="B58" s="20">
        <f>IF('Ürün Kartları'!B58="","",'Ürün Kartları'!B58)</f>
      </c>
      <c r="C58" s="20">
        <f>IF('Ürün Kartları'!C58="","",'Ürün Kartları'!C58)</f>
      </c>
      <c r="D58" s="24">
        <f>IF($B58="",0,SUMIF('Satışlar'!$C$5:$C$1004,$B58,'Satışlar'!$G$5:$G$1004))</f>
      </c>
      <c r="E58" s="16">
        <f>IF($B58="",0,SUMIF('Satışlar'!$C$5:$C$1004,$B58,'Satışlar'!$H$5:$H$1004))</f>
      </c>
      <c r="F58" s="16">
        <f>IF($B58="",0,SUMIF('Satışlar'!$C$5:$C$1004,$B58,'Satışlar'!$I$5:$I$1004))</f>
      </c>
      <c r="G58" s="16">
        <f>IF($B58="",0,SUMIF('Satışlar'!$C$5:$C$1004,$B58,'Satışlar'!$J$5:$J$1004))</f>
      </c>
      <c r="H58" s="16">
        <f>IF($B58="",0,SUMIF('Satışlar'!$C$5:$C$1004,$B58,'Satışlar'!$L$5:$L$1004))</f>
      </c>
      <c r="I58" s="21">
        <f>IF($B58="",0,SUMIF('Satışlar'!$C$5:$C$1004,$B58,'Satışlar'!$M$5:$M$1004))</f>
      </c>
      <c r="J58" s="22">
        <f>IF(OR($B58="",$E58=0),"",$I58/$E58)</f>
      </c>
    </row>
    <row r="59" spans="2:10" x14ac:dyDescent="0.25">
      <c r="B59" s="20">
        <f>IF('Ürün Kartları'!B59="","",'Ürün Kartları'!B59)</f>
      </c>
      <c r="C59" s="20">
        <f>IF('Ürün Kartları'!C59="","",'Ürün Kartları'!C59)</f>
      </c>
      <c r="D59" s="24">
        <f>IF($B59="",0,SUMIF('Satışlar'!$C$5:$C$1004,$B59,'Satışlar'!$G$5:$G$1004))</f>
      </c>
      <c r="E59" s="16">
        <f>IF($B59="",0,SUMIF('Satışlar'!$C$5:$C$1004,$B59,'Satışlar'!$H$5:$H$1004))</f>
      </c>
      <c r="F59" s="16">
        <f>IF($B59="",0,SUMIF('Satışlar'!$C$5:$C$1004,$B59,'Satışlar'!$I$5:$I$1004))</f>
      </c>
      <c r="G59" s="16">
        <f>IF($B59="",0,SUMIF('Satışlar'!$C$5:$C$1004,$B59,'Satışlar'!$J$5:$J$1004))</f>
      </c>
      <c r="H59" s="16">
        <f>IF($B59="",0,SUMIF('Satışlar'!$C$5:$C$1004,$B59,'Satışlar'!$L$5:$L$1004))</f>
      </c>
      <c r="I59" s="21">
        <f>IF($B59="",0,SUMIF('Satışlar'!$C$5:$C$1004,$B59,'Satışlar'!$M$5:$M$1004))</f>
      </c>
      <c r="J59" s="22">
        <f>IF(OR($B59="",$E59=0),"",$I59/$E59)</f>
      </c>
    </row>
    <row r="60" spans="2:10" x14ac:dyDescent="0.25">
      <c r="B60" s="20">
        <f>IF('Ürün Kartları'!B60="","",'Ürün Kartları'!B60)</f>
      </c>
      <c r="C60" s="20">
        <f>IF('Ürün Kartları'!C60="","",'Ürün Kartları'!C60)</f>
      </c>
      <c r="D60" s="24">
        <f>IF($B60="",0,SUMIF('Satışlar'!$C$5:$C$1004,$B60,'Satışlar'!$G$5:$G$1004))</f>
      </c>
      <c r="E60" s="16">
        <f>IF($B60="",0,SUMIF('Satışlar'!$C$5:$C$1004,$B60,'Satışlar'!$H$5:$H$1004))</f>
      </c>
      <c r="F60" s="16">
        <f>IF($B60="",0,SUMIF('Satışlar'!$C$5:$C$1004,$B60,'Satışlar'!$I$5:$I$1004))</f>
      </c>
      <c r="G60" s="16">
        <f>IF($B60="",0,SUMIF('Satışlar'!$C$5:$C$1004,$B60,'Satışlar'!$J$5:$J$1004))</f>
      </c>
      <c r="H60" s="16">
        <f>IF($B60="",0,SUMIF('Satışlar'!$C$5:$C$1004,$B60,'Satışlar'!$L$5:$L$1004))</f>
      </c>
      <c r="I60" s="21">
        <f>IF($B60="",0,SUMIF('Satışlar'!$C$5:$C$1004,$B60,'Satışlar'!$M$5:$M$1004))</f>
      </c>
      <c r="J60" s="22">
        <f>IF(OR($B60="",$E60=0),"",$I60/$E60)</f>
      </c>
    </row>
    <row r="61" spans="2:10" x14ac:dyDescent="0.25">
      <c r="B61" s="20">
        <f>IF('Ürün Kartları'!B61="","",'Ürün Kartları'!B61)</f>
      </c>
      <c r="C61" s="20">
        <f>IF('Ürün Kartları'!C61="","",'Ürün Kartları'!C61)</f>
      </c>
      <c r="D61" s="24">
        <f>IF($B61="",0,SUMIF('Satışlar'!$C$5:$C$1004,$B61,'Satışlar'!$G$5:$G$1004))</f>
      </c>
      <c r="E61" s="16">
        <f>IF($B61="",0,SUMIF('Satışlar'!$C$5:$C$1004,$B61,'Satışlar'!$H$5:$H$1004))</f>
      </c>
      <c r="F61" s="16">
        <f>IF($B61="",0,SUMIF('Satışlar'!$C$5:$C$1004,$B61,'Satışlar'!$I$5:$I$1004))</f>
      </c>
      <c r="G61" s="16">
        <f>IF($B61="",0,SUMIF('Satışlar'!$C$5:$C$1004,$B61,'Satışlar'!$J$5:$J$1004))</f>
      </c>
      <c r="H61" s="16">
        <f>IF($B61="",0,SUMIF('Satışlar'!$C$5:$C$1004,$B61,'Satışlar'!$L$5:$L$1004))</f>
      </c>
      <c r="I61" s="21">
        <f>IF($B61="",0,SUMIF('Satışlar'!$C$5:$C$1004,$B61,'Satışlar'!$M$5:$M$1004))</f>
      </c>
      <c r="J61" s="22">
        <f>IF(OR($B61="",$E61=0),"",$I61/$E61)</f>
      </c>
    </row>
    <row r="62" spans="2:10" x14ac:dyDescent="0.25">
      <c r="B62" s="20">
        <f>IF('Ürün Kartları'!B62="","",'Ürün Kartları'!B62)</f>
      </c>
      <c r="C62" s="20">
        <f>IF('Ürün Kartları'!C62="","",'Ürün Kartları'!C62)</f>
      </c>
      <c r="D62" s="24">
        <f>IF($B62="",0,SUMIF('Satışlar'!$C$5:$C$1004,$B62,'Satışlar'!$G$5:$G$1004))</f>
      </c>
      <c r="E62" s="16">
        <f>IF($B62="",0,SUMIF('Satışlar'!$C$5:$C$1004,$B62,'Satışlar'!$H$5:$H$1004))</f>
      </c>
      <c r="F62" s="16">
        <f>IF($B62="",0,SUMIF('Satışlar'!$C$5:$C$1004,$B62,'Satışlar'!$I$5:$I$1004))</f>
      </c>
      <c r="G62" s="16">
        <f>IF($B62="",0,SUMIF('Satışlar'!$C$5:$C$1004,$B62,'Satışlar'!$J$5:$J$1004))</f>
      </c>
      <c r="H62" s="16">
        <f>IF($B62="",0,SUMIF('Satışlar'!$C$5:$C$1004,$B62,'Satışlar'!$L$5:$L$1004))</f>
      </c>
      <c r="I62" s="21">
        <f>IF($B62="",0,SUMIF('Satışlar'!$C$5:$C$1004,$B62,'Satışlar'!$M$5:$M$1004))</f>
      </c>
      <c r="J62" s="22">
        <f>IF(OR($B62="",$E62=0),"",$I62/$E62)</f>
      </c>
    </row>
    <row r="63" spans="2:10" x14ac:dyDescent="0.25">
      <c r="B63" s="20">
        <f>IF('Ürün Kartları'!B63="","",'Ürün Kartları'!B63)</f>
      </c>
      <c r="C63" s="20">
        <f>IF('Ürün Kartları'!C63="","",'Ürün Kartları'!C63)</f>
      </c>
      <c r="D63" s="24">
        <f>IF($B63="",0,SUMIF('Satışlar'!$C$5:$C$1004,$B63,'Satışlar'!$G$5:$G$1004))</f>
      </c>
      <c r="E63" s="16">
        <f>IF($B63="",0,SUMIF('Satışlar'!$C$5:$C$1004,$B63,'Satışlar'!$H$5:$H$1004))</f>
      </c>
      <c r="F63" s="16">
        <f>IF($B63="",0,SUMIF('Satışlar'!$C$5:$C$1004,$B63,'Satışlar'!$I$5:$I$1004))</f>
      </c>
      <c r="G63" s="16">
        <f>IF($B63="",0,SUMIF('Satışlar'!$C$5:$C$1004,$B63,'Satışlar'!$J$5:$J$1004))</f>
      </c>
      <c r="H63" s="16">
        <f>IF($B63="",0,SUMIF('Satışlar'!$C$5:$C$1004,$B63,'Satışlar'!$L$5:$L$1004))</f>
      </c>
      <c r="I63" s="21">
        <f>IF($B63="",0,SUMIF('Satışlar'!$C$5:$C$1004,$B63,'Satışlar'!$M$5:$M$1004))</f>
      </c>
      <c r="J63" s="22">
        <f>IF(OR($B63="",$E63=0),"",$I63/$E63)</f>
      </c>
    </row>
    <row r="64" spans="2:10" x14ac:dyDescent="0.25">
      <c r="B64" s="20">
        <f>IF('Ürün Kartları'!B64="","",'Ürün Kartları'!B64)</f>
      </c>
      <c r="C64" s="20">
        <f>IF('Ürün Kartları'!C64="","",'Ürün Kartları'!C64)</f>
      </c>
      <c r="D64" s="24">
        <f>IF($B64="",0,SUMIF('Satışlar'!$C$5:$C$1004,$B64,'Satışlar'!$G$5:$G$1004))</f>
      </c>
      <c r="E64" s="16">
        <f>IF($B64="",0,SUMIF('Satışlar'!$C$5:$C$1004,$B64,'Satışlar'!$H$5:$H$1004))</f>
      </c>
      <c r="F64" s="16">
        <f>IF($B64="",0,SUMIF('Satışlar'!$C$5:$C$1004,$B64,'Satışlar'!$I$5:$I$1004))</f>
      </c>
      <c r="G64" s="16">
        <f>IF($B64="",0,SUMIF('Satışlar'!$C$5:$C$1004,$B64,'Satışlar'!$J$5:$J$1004))</f>
      </c>
      <c r="H64" s="16">
        <f>IF($B64="",0,SUMIF('Satışlar'!$C$5:$C$1004,$B64,'Satışlar'!$L$5:$L$1004))</f>
      </c>
      <c r="I64" s="21">
        <f>IF($B64="",0,SUMIF('Satışlar'!$C$5:$C$1004,$B64,'Satışlar'!$M$5:$M$1004))</f>
      </c>
      <c r="J64" s="22">
        <f>IF(OR($B64="",$E64=0),"",$I64/$E64)</f>
      </c>
    </row>
    <row r="65" spans="2:10" x14ac:dyDescent="0.25">
      <c r="B65" s="20">
        <f>IF('Ürün Kartları'!B65="","",'Ürün Kartları'!B65)</f>
      </c>
      <c r="C65" s="20">
        <f>IF('Ürün Kartları'!C65="","",'Ürün Kartları'!C65)</f>
      </c>
      <c r="D65" s="24">
        <f>IF($B65="",0,SUMIF('Satışlar'!$C$5:$C$1004,$B65,'Satışlar'!$G$5:$G$1004))</f>
      </c>
      <c r="E65" s="16">
        <f>IF($B65="",0,SUMIF('Satışlar'!$C$5:$C$1004,$B65,'Satışlar'!$H$5:$H$1004))</f>
      </c>
      <c r="F65" s="16">
        <f>IF($B65="",0,SUMIF('Satışlar'!$C$5:$C$1004,$B65,'Satışlar'!$I$5:$I$1004))</f>
      </c>
      <c r="G65" s="16">
        <f>IF($B65="",0,SUMIF('Satışlar'!$C$5:$C$1004,$B65,'Satışlar'!$J$5:$J$1004))</f>
      </c>
      <c r="H65" s="16">
        <f>IF($B65="",0,SUMIF('Satışlar'!$C$5:$C$1004,$B65,'Satışlar'!$L$5:$L$1004))</f>
      </c>
      <c r="I65" s="21">
        <f>IF($B65="",0,SUMIF('Satışlar'!$C$5:$C$1004,$B65,'Satışlar'!$M$5:$M$1004))</f>
      </c>
      <c r="J65" s="22">
        <f>IF(OR($B65="",$E65=0),"",$I65/$E65)</f>
      </c>
    </row>
    <row r="66" spans="2:10" x14ac:dyDescent="0.25">
      <c r="B66" s="20">
        <f>IF('Ürün Kartları'!B66="","",'Ürün Kartları'!B66)</f>
      </c>
      <c r="C66" s="20">
        <f>IF('Ürün Kartları'!C66="","",'Ürün Kartları'!C66)</f>
      </c>
      <c r="D66" s="24">
        <f>IF($B66="",0,SUMIF('Satışlar'!$C$5:$C$1004,$B66,'Satışlar'!$G$5:$G$1004))</f>
      </c>
      <c r="E66" s="16">
        <f>IF($B66="",0,SUMIF('Satışlar'!$C$5:$C$1004,$B66,'Satışlar'!$H$5:$H$1004))</f>
      </c>
      <c r="F66" s="16">
        <f>IF($B66="",0,SUMIF('Satışlar'!$C$5:$C$1004,$B66,'Satışlar'!$I$5:$I$1004))</f>
      </c>
      <c r="G66" s="16">
        <f>IF($B66="",0,SUMIF('Satışlar'!$C$5:$C$1004,$B66,'Satışlar'!$J$5:$J$1004))</f>
      </c>
      <c r="H66" s="16">
        <f>IF($B66="",0,SUMIF('Satışlar'!$C$5:$C$1004,$B66,'Satışlar'!$L$5:$L$1004))</f>
      </c>
      <c r="I66" s="21">
        <f>IF($B66="",0,SUMIF('Satışlar'!$C$5:$C$1004,$B66,'Satışlar'!$M$5:$M$1004))</f>
      </c>
      <c r="J66" s="22">
        <f>IF(OR($B66="",$E66=0),"",$I66/$E66)</f>
      </c>
    </row>
    <row r="67" spans="2:10" x14ac:dyDescent="0.25">
      <c r="B67" s="20">
        <f>IF('Ürün Kartları'!B67="","",'Ürün Kartları'!B67)</f>
      </c>
      <c r="C67" s="20">
        <f>IF('Ürün Kartları'!C67="","",'Ürün Kartları'!C67)</f>
      </c>
      <c r="D67" s="24">
        <f>IF($B67="",0,SUMIF('Satışlar'!$C$5:$C$1004,$B67,'Satışlar'!$G$5:$G$1004))</f>
      </c>
      <c r="E67" s="16">
        <f>IF($B67="",0,SUMIF('Satışlar'!$C$5:$C$1004,$B67,'Satışlar'!$H$5:$H$1004))</f>
      </c>
      <c r="F67" s="16">
        <f>IF($B67="",0,SUMIF('Satışlar'!$C$5:$C$1004,$B67,'Satışlar'!$I$5:$I$1004))</f>
      </c>
      <c r="G67" s="16">
        <f>IF($B67="",0,SUMIF('Satışlar'!$C$5:$C$1004,$B67,'Satışlar'!$J$5:$J$1004))</f>
      </c>
      <c r="H67" s="16">
        <f>IF($B67="",0,SUMIF('Satışlar'!$C$5:$C$1004,$B67,'Satışlar'!$L$5:$L$1004))</f>
      </c>
      <c r="I67" s="21">
        <f>IF($B67="",0,SUMIF('Satışlar'!$C$5:$C$1004,$B67,'Satışlar'!$M$5:$M$1004))</f>
      </c>
      <c r="J67" s="22">
        <f>IF(OR($B67="",$E67=0),"",$I67/$E67)</f>
      </c>
    </row>
    <row r="68" spans="2:10" x14ac:dyDescent="0.25">
      <c r="B68" s="20">
        <f>IF('Ürün Kartları'!B68="","",'Ürün Kartları'!B68)</f>
      </c>
      <c r="C68" s="20">
        <f>IF('Ürün Kartları'!C68="","",'Ürün Kartları'!C68)</f>
      </c>
      <c r="D68" s="24">
        <f>IF($B68="",0,SUMIF('Satışlar'!$C$5:$C$1004,$B68,'Satışlar'!$G$5:$G$1004))</f>
      </c>
      <c r="E68" s="16">
        <f>IF($B68="",0,SUMIF('Satışlar'!$C$5:$C$1004,$B68,'Satışlar'!$H$5:$H$1004))</f>
      </c>
      <c r="F68" s="16">
        <f>IF($B68="",0,SUMIF('Satışlar'!$C$5:$C$1004,$B68,'Satışlar'!$I$5:$I$1004))</f>
      </c>
      <c r="G68" s="16">
        <f>IF($B68="",0,SUMIF('Satışlar'!$C$5:$C$1004,$B68,'Satışlar'!$J$5:$J$1004))</f>
      </c>
      <c r="H68" s="16">
        <f>IF($B68="",0,SUMIF('Satışlar'!$C$5:$C$1004,$B68,'Satışlar'!$L$5:$L$1004))</f>
      </c>
      <c r="I68" s="21">
        <f>IF($B68="",0,SUMIF('Satışlar'!$C$5:$C$1004,$B68,'Satışlar'!$M$5:$M$1004))</f>
      </c>
      <c r="J68" s="22">
        <f>IF(OR($B68="",$E68=0),"",$I68/$E68)</f>
      </c>
    </row>
    <row r="69" spans="2:10" x14ac:dyDescent="0.25">
      <c r="B69" s="20">
        <f>IF('Ürün Kartları'!B69="","",'Ürün Kartları'!B69)</f>
      </c>
      <c r="C69" s="20">
        <f>IF('Ürün Kartları'!C69="","",'Ürün Kartları'!C69)</f>
      </c>
      <c r="D69" s="24">
        <f>IF($B69="",0,SUMIF('Satışlar'!$C$5:$C$1004,$B69,'Satışlar'!$G$5:$G$1004))</f>
      </c>
      <c r="E69" s="16">
        <f>IF($B69="",0,SUMIF('Satışlar'!$C$5:$C$1004,$B69,'Satışlar'!$H$5:$H$1004))</f>
      </c>
      <c r="F69" s="16">
        <f>IF($B69="",0,SUMIF('Satışlar'!$C$5:$C$1004,$B69,'Satışlar'!$I$5:$I$1004))</f>
      </c>
      <c r="G69" s="16">
        <f>IF($B69="",0,SUMIF('Satışlar'!$C$5:$C$1004,$B69,'Satışlar'!$J$5:$J$1004))</f>
      </c>
      <c r="H69" s="16">
        <f>IF($B69="",0,SUMIF('Satışlar'!$C$5:$C$1004,$B69,'Satışlar'!$L$5:$L$1004))</f>
      </c>
      <c r="I69" s="21">
        <f>IF($B69="",0,SUMIF('Satışlar'!$C$5:$C$1004,$B69,'Satışlar'!$M$5:$M$1004))</f>
      </c>
      <c r="J69" s="22">
        <f>IF(OR($B69="",$E69=0),"",$I69/$E69)</f>
      </c>
    </row>
    <row r="70" spans="2:10" x14ac:dyDescent="0.25">
      <c r="B70" s="20">
        <f>IF('Ürün Kartları'!B70="","",'Ürün Kartları'!B70)</f>
      </c>
      <c r="C70" s="20">
        <f>IF('Ürün Kartları'!C70="","",'Ürün Kartları'!C70)</f>
      </c>
      <c r="D70" s="24">
        <f>IF($B70="",0,SUMIF('Satışlar'!$C$5:$C$1004,$B70,'Satışlar'!$G$5:$G$1004))</f>
      </c>
      <c r="E70" s="16">
        <f>IF($B70="",0,SUMIF('Satışlar'!$C$5:$C$1004,$B70,'Satışlar'!$H$5:$H$1004))</f>
      </c>
      <c r="F70" s="16">
        <f>IF($B70="",0,SUMIF('Satışlar'!$C$5:$C$1004,$B70,'Satışlar'!$I$5:$I$1004))</f>
      </c>
      <c r="G70" s="16">
        <f>IF($B70="",0,SUMIF('Satışlar'!$C$5:$C$1004,$B70,'Satışlar'!$J$5:$J$1004))</f>
      </c>
      <c r="H70" s="16">
        <f>IF($B70="",0,SUMIF('Satışlar'!$C$5:$C$1004,$B70,'Satışlar'!$L$5:$L$1004))</f>
      </c>
      <c r="I70" s="21">
        <f>IF($B70="",0,SUMIF('Satışlar'!$C$5:$C$1004,$B70,'Satışlar'!$M$5:$M$1004))</f>
      </c>
      <c r="J70" s="22">
        <f>IF(OR($B70="",$E70=0),"",$I70/$E70)</f>
      </c>
    </row>
    <row r="71" spans="2:10" x14ac:dyDescent="0.25">
      <c r="B71" s="20">
        <f>IF('Ürün Kartları'!B71="","",'Ürün Kartları'!B71)</f>
      </c>
      <c r="C71" s="20">
        <f>IF('Ürün Kartları'!C71="","",'Ürün Kartları'!C71)</f>
      </c>
      <c r="D71" s="24">
        <f>IF($B71="",0,SUMIF('Satışlar'!$C$5:$C$1004,$B71,'Satışlar'!$G$5:$G$1004))</f>
      </c>
      <c r="E71" s="16">
        <f>IF($B71="",0,SUMIF('Satışlar'!$C$5:$C$1004,$B71,'Satışlar'!$H$5:$H$1004))</f>
      </c>
      <c r="F71" s="16">
        <f>IF($B71="",0,SUMIF('Satışlar'!$C$5:$C$1004,$B71,'Satışlar'!$I$5:$I$1004))</f>
      </c>
      <c r="G71" s="16">
        <f>IF($B71="",0,SUMIF('Satışlar'!$C$5:$C$1004,$B71,'Satışlar'!$J$5:$J$1004))</f>
      </c>
      <c r="H71" s="16">
        <f>IF($B71="",0,SUMIF('Satışlar'!$C$5:$C$1004,$B71,'Satışlar'!$L$5:$L$1004))</f>
      </c>
      <c r="I71" s="21">
        <f>IF($B71="",0,SUMIF('Satışlar'!$C$5:$C$1004,$B71,'Satışlar'!$M$5:$M$1004))</f>
      </c>
      <c r="J71" s="22">
        <f>IF(OR($B71="",$E71=0),"",$I71/$E71)</f>
      </c>
    </row>
    <row r="72" spans="2:10" x14ac:dyDescent="0.25">
      <c r="B72" s="20">
        <f>IF('Ürün Kartları'!B72="","",'Ürün Kartları'!B72)</f>
      </c>
      <c r="C72" s="20">
        <f>IF('Ürün Kartları'!C72="","",'Ürün Kartları'!C72)</f>
      </c>
      <c r="D72" s="24">
        <f>IF($B72="",0,SUMIF('Satışlar'!$C$5:$C$1004,$B72,'Satışlar'!$G$5:$G$1004))</f>
      </c>
      <c r="E72" s="16">
        <f>IF($B72="",0,SUMIF('Satışlar'!$C$5:$C$1004,$B72,'Satışlar'!$H$5:$H$1004))</f>
      </c>
      <c r="F72" s="16">
        <f>IF($B72="",0,SUMIF('Satışlar'!$C$5:$C$1004,$B72,'Satışlar'!$I$5:$I$1004))</f>
      </c>
      <c r="G72" s="16">
        <f>IF($B72="",0,SUMIF('Satışlar'!$C$5:$C$1004,$B72,'Satışlar'!$J$5:$J$1004))</f>
      </c>
      <c r="H72" s="16">
        <f>IF($B72="",0,SUMIF('Satışlar'!$C$5:$C$1004,$B72,'Satışlar'!$L$5:$L$1004))</f>
      </c>
      <c r="I72" s="21">
        <f>IF($B72="",0,SUMIF('Satışlar'!$C$5:$C$1004,$B72,'Satışlar'!$M$5:$M$1004))</f>
      </c>
      <c r="J72" s="22">
        <f>IF(OR($B72="",$E72=0),"",$I72/$E72)</f>
      </c>
    </row>
    <row r="73" spans="2:10" x14ac:dyDescent="0.25">
      <c r="B73" s="20">
        <f>IF('Ürün Kartları'!B73="","",'Ürün Kartları'!B73)</f>
      </c>
      <c r="C73" s="20">
        <f>IF('Ürün Kartları'!C73="","",'Ürün Kartları'!C73)</f>
      </c>
      <c r="D73" s="24">
        <f>IF($B73="",0,SUMIF('Satışlar'!$C$5:$C$1004,$B73,'Satışlar'!$G$5:$G$1004))</f>
      </c>
      <c r="E73" s="16">
        <f>IF($B73="",0,SUMIF('Satışlar'!$C$5:$C$1004,$B73,'Satışlar'!$H$5:$H$1004))</f>
      </c>
      <c r="F73" s="16">
        <f>IF($B73="",0,SUMIF('Satışlar'!$C$5:$C$1004,$B73,'Satışlar'!$I$5:$I$1004))</f>
      </c>
      <c r="G73" s="16">
        <f>IF($B73="",0,SUMIF('Satışlar'!$C$5:$C$1004,$B73,'Satışlar'!$J$5:$J$1004))</f>
      </c>
      <c r="H73" s="16">
        <f>IF($B73="",0,SUMIF('Satışlar'!$C$5:$C$1004,$B73,'Satışlar'!$L$5:$L$1004))</f>
      </c>
      <c r="I73" s="21">
        <f>IF($B73="",0,SUMIF('Satışlar'!$C$5:$C$1004,$B73,'Satışlar'!$M$5:$M$1004))</f>
      </c>
      <c r="J73" s="22">
        <f>IF(OR($B73="",$E73=0),"",$I73/$E73)</f>
      </c>
    </row>
    <row r="74" spans="2:10" x14ac:dyDescent="0.25">
      <c r="B74" s="20">
        <f>IF('Ürün Kartları'!B74="","",'Ürün Kartları'!B74)</f>
      </c>
      <c r="C74" s="20">
        <f>IF('Ürün Kartları'!C74="","",'Ürün Kartları'!C74)</f>
      </c>
      <c r="D74" s="24">
        <f>IF($B74="",0,SUMIF('Satışlar'!$C$5:$C$1004,$B74,'Satışlar'!$G$5:$G$1004))</f>
      </c>
      <c r="E74" s="16">
        <f>IF($B74="",0,SUMIF('Satışlar'!$C$5:$C$1004,$B74,'Satışlar'!$H$5:$H$1004))</f>
      </c>
      <c r="F74" s="16">
        <f>IF($B74="",0,SUMIF('Satışlar'!$C$5:$C$1004,$B74,'Satışlar'!$I$5:$I$1004))</f>
      </c>
      <c r="G74" s="16">
        <f>IF($B74="",0,SUMIF('Satışlar'!$C$5:$C$1004,$B74,'Satışlar'!$J$5:$J$1004))</f>
      </c>
      <c r="H74" s="16">
        <f>IF($B74="",0,SUMIF('Satışlar'!$C$5:$C$1004,$B74,'Satışlar'!$L$5:$L$1004))</f>
      </c>
      <c r="I74" s="21">
        <f>IF($B74="",0,SUMIF('Satışlar'!$C$5:$C$1004,$B74,'Satışlar'!$M$5:$M$1004))</f>
      </c>
      <c r="J74" s="22">
        <f>IF(OR($B74="",$E74=0),"",$I74/$E74)</f>
      </c>
    </row>
    <row r="75" spans="2:10" x14ac:dyDescent="0.25">
      <c r="B75" s="20">
        <f>IF('Ürün Kartları'!B75="","",'Ürün Kartları'!B75)</f>
      </c>
      <c r="C75" s="20">
        <f>IF('Ürün Kartları'!C75="","",'Ürün Kartları'!C75)</f>
      </c>
      <c r="D75" s="24">
        <f>IF($B75="",0,SUMIF('Satışlar'!$C$5:$C$1004,$B75,'Satışlar'!$G$5:$G$1004))</f>
      </c>
      <c r="E75" s="16">
        <f>IF($B75="",0,SUMIF('Satışlar'!$C$5:$C$1004,$B75,'Satışlar'!$H$5:$H$1004))</f>
      </c>
      <c r="F75" s="16">
        <f>IF($B75="",0,SUMIF('Satışlar'!$C$5:$C$1004,$B75,'Satışlar'!$I$5:$I$1004))</f>
      </c>
      <c r="G75" s="16">
        <f>IF($B75="",0,SUMIF('Satışlar'!$C$5:$C$1004,$B75,'Satışlar'!$J$5:$J$1004))</f>
      </c>
      <c r="H75" s="16">
        <f>IF($B75="",0,SUMIF('Satışlar'!$C$5:$C$1004,$B75,'Satışlar'!$L$5:$L$1004))</f>
      </c>
      <c r="I75" s="21">
        <f>IF($B75="",0,SUMIF('Satışlar'!$C$5:$C$1004,$B75,'Satışlar'!$M$5:$M$1004))</f>
      </c>
      <c r="J75" s="22">
        <f>IF(OR($B75="",$E75=0),"",$I75/$E75)</f>
      </c>
    </row>
    <row r="76" spans="2:10" x14ac:dyDescent="0.25">
      <c r="B76" s="20">
        <f>IF('Ürün Kartları'!B76="","",'Ürün Kartları'!B76)</f>
      </c>
      <c r="C76" s="20">
        <f>IF('Ürün Kartları'!C76="","",'Ürün Kartları'!C76)</f>
      </c>
      <c r="D76" s="24">
        <f>IF($B76="",0,SUMIF('Satışlar'!$C$5:$C$1004,$B76,'Satışlar'!$G$5:$G$1004))</f>
      </c>
      <c r="E76" s="16">
        <f>IF($B76="",0,SUMIF('Satışlar'!$C$5:$C$1004,$B76,'Satışlar'!$H$5:$H$1004))</f>
      </c>
      <c r="F76" s="16">
        <f>IF($B76="",0,SUMIF('Satışlar'!$C$5:$C$1004,$B76,'Satışlar'!$I$5:$I$1004))</f>
      </c>
      <c r="G76" s="16">
        <f>IF($B76="",0,SUMIF('Satışlar'!$C$5:$C$1004,$B76,'Satışlar'!$J$5:$J$1004))</f>
      </c>
      <c r="H76" s="16">
        <f>IF($B76="",0,SUMIF('Satışlar'!$C$5:$C$1004,$B76,'Satışlar'!$L$5:$L$1004))</f>
      </c>
      <c r="I76" s="21">
        <f>IF($B76="",0,SUMIF('Satışlar'!$C$5:$C$1004,$B76,'Satışlar'!$M$5:$M$1004))</f>
      </c>
      <c r="J76" s="22">
        <f>IF(OR($B76="",$E76=0),"",$I76/$E76)</f>
      </c>
    </row>
    <row r="77" spans="2:10" x14ac:dyDescent="0.25">
      <c r="B77" s="20">
        <f>IF('Ürün Kartları'!B77="","",'Ürün Kartları'!B77)</f>
      </c>
      <c r="C77" s="20">
        <f>IF('Ürün Kartları'!C77="","",'Ürün Kartları'!C77)</f>
      </c>
      <c r="D77" s="24">
        <f>IF($B77="",0,SUMIF('Satışlar'!$C$5:$C$1004,$B77,'Satışlar'!$G$5:$G$1004))</f>
      </c>
      <c r="E77" s="16">
        <f>IF($B77="",0,SUMIF('Satışlar'!$C$5:$C$1004,$B77,'Satışlar'!$H$5:$H$1004))</f>
      </c>
      <c r="F77" s="16">
        <f>IF($B77="",0,SUMIF('Satışlar'!$C$5:$C$1004,$B77,'Satışlar'!$I$5:$I$1004))</f>
      </c>
      <c r="G77" s="16">
        <f>IF($B77="",0,SUMIF('Satışlar'!$C$5:$C$1004,$B77,'Satışlar'!$J$5:$J$1004))</f>
      </c>
      <c r="H77" s="16">
        <f>IF($B77="",0,SUMIF('Satışlar'!$C$5:$C$1004,$B77,'Satışlar'!$L$5:$L$1004))</f>
      </c>
      <c r="I77" s="21">
        <f>IF($B77="",0,SUMIF('Satışlar'!$C$5:$C$1004,$B77,'Satışlar'!$M$5:$M$1004))</f>
      </c>
      <c r="J77" s="22">
        <f>IF(OR($B77="",$E77=0),"",$I77/$E77)</f>
      </c>
    </row>
    <row r="78" spans="2:10" x14ac:dyDescent="0.25">
      <c r="B78" s="20">
        <f>IF('Ürün Kartları'!B78="","",'Ürün Kartları'!B78)</f>
      </c>
      <c r="C78" s="20">
        <f>IF('Ürün Kartları'!C78="","",'Ürün Kartları'!C78)</f>
      </c>
      <c r="D78" s="24">
        <f>IF($B78="",0,SUMIF('Satışlar'!$C$5:$C$1004,$B78,'Satışlar'!$G$5:$G$1004))</f>
      </c>
      <c r="E78" s="16">
        <f>IF($B78="",0,SUMIF('Satışlar'!$C$5:$C$1004,$B78,'Satışlar'!$H$5:$H$1004))</f>
      </c>
      <c r="F78" s="16">
        <f>IF($B78="",0,SUMIF('Satışlar'!$C$5:$C$1004,$B78,'Satışlar'!$I$5:$I$1004))</f>
      </c>
      <c r="G78" s="16">
        <f>IF($B78="",0,SUMIF('Satışlar'!$C$5:$C$1004,$B78,'Satışlar'!$J$5:$J$1004))</f>
      </c>
      <c r="H78" s="16">
        <f>IF($B78="",0,SUMIF('Satışlar'!$C$5:$C$1004,$B78,'Satışlar'!$L$5:$L$1004))</f>
      </c>
      <c r="I78" s="21">
        <f>IF($B78="",0,SUMIF('Satışlar'!$C$5:$C$1004,$B78,'Satışlar'!$M$5:$M$1004))</f>
      </c>
      <c r="J78" s="22">
        <f>IF(OR($B78="",$E78=0),"",$I78/$E78)</f>
      </c>
    </row>
    <row r="79" spans="2:10" x14ac:dyDescent="0.25">
      <c r="B79" s="20">
        <f>IF('Ürün Kartları'!B79="","",'Ürün Kartları'!B79)</f>
      </c>
      <c r="C79" s="20">
        <f>IF('Ürün Kartları'!C79="","",'Ürün Kartları'!C79)</f>
      </c>
      <c r="D79" s="24">
        <f>IF($B79="",0,SUMIF('Satışlar'!$C$5:$C$1004,$B79,'Satışlar'!$G$5:$G$1004))</f>
      </c>
      <c r="E79" s="16">
        <f>IF($B79="",0,SUMIF('Satışlar'!$C$5:$C$1004,$B79,'Satışlar'!$H$5:$H$1004))</f>
      </c>
      <c r="F79" s="16">
        <f>IF($B79="",0,SUMIF('Satışlar'!$C$5:$C$1004,$B79,'Satışlar'!$I$5:$I$1004))</f>
      </c>
      <c r="G79" s="16">
        <f>IF($B79="",0,SUMIF('Satışlar'!$C$5:$C$1004,$B79,'Satışlar'!$J$5:$J$1004))</f>
      </c>
      <c r="H79" s="16">
        <f>IF($B79="",0,SUMIF('Satışlar'!$C$5:$C$1004,$B79,'Satışlar'!$L$5:$L$1004))</f>
      </c>
      <c r="I79" s="21">
        <f>IF($B79="",0,SUMIF('Satışlar'!$C$5:$C$1004,$B79,'Satışlar'!$M$5:$M$1004))</f>
      </c>
      <c r="J79" s="22">
        <f>IF(OR($B79="",$E79=0),"",$I79/$E79)</f>
      </c>
    </row>
    <row r="80" spans="2:10" x14ac:dyDescent="0.25">
      <c r="B80" s="20">
        <f>IF('Ürün Kartları'!B80="","",'Ürün Kartları'!B80)</f>
      </c>
      <c r="C80" s="20">
        <f>IF('Ürün Kartları'!C80="","",'Ürün Kartları'!C80)</f>
      </c>
      <c r="D80" s="24">
        <f>IF($B80="",0,SUMIF('Satışlar'!$C$5:$C$1004,$B80,'Satışlar'!$G$5:$G$1004))</f>
      </c>
      <c r="E80" s="16">
        <f>IF($B80="",0,SUMIF('Satışlar'!$C$5:$C$1004,$B80,'Satışlar'!$H$5:$H$1004))</f>
      </c>
      <c r="F80" s="16">
        <f>IF($B80="",0,SUMIF('Satışlar'!$C$5:$C$1004,$B80,'Satışlar'!$I$5:$I$1004))</f>
      </c>
      <c r="G80" s="16">
        <f>IF($B80="",0,SUMIF('Satışlar'!$C$5:$C$1004,$B80,'Satışlar'!$J$5:$J$1004))</f>
      </c>
      <c r="H80" s="16">
        <f>IF($B80="",0,SUMIF('Satışlar'!$C$5:$C$1004,$B80,'Satışlar'!$L$5:$L$1004))</f>
      </c>
      <c r="I80" s="21">
        <f>IF($B80="",0,SUMIF('Satışlar'!$C$5:$C$1004,$B80,'Satışlar'!$M$5:$M$1004))</f>
      </c>
      <c r="J80" s="22">
        <f>IF(OR($B80="",$E80=0),"",$I80/$E80)</f>
      </c>
    </row>
    <row r="81" spans="2:10" x14ac:dyDescent="0.25">
      <c r="B81" s="20">
        <f>IF('Ürün Kartları'!B81="","",'Ürün Kartları'!B81)</f>
      </c>
      <c r="C81" s="20">
        <f>IF('Ürün Kartları'!C81="","",'Ürün Kartları'!C81)</f>
      </c>
      <c r="D81" s="24">
        <f>IF($B81="",0,SUMIF('Satışlar'!$C$5:$C$1004,$B81,'Satışlar'!$G$5:$G$1004))</f>
      </c>
      <c r="E81" s="16">
        <f>IF($B81="",0,SUMIF('Satışlar'!$C$5:$C$1004,$B81,'Satışlar'!$H$5:$H$1004))</f>
      </c>
      <c r="F81" s="16">
        <f>IF($B81="",0,SUMIF('Satışlar'!$C$5:$C$1004,$B81,'Satışlar'!$I$5:$I$1004))</f>
      </c>
      <c r="G81" s="16">
        <f>IF($B81="",0,SUMIF('Satışlar'!$C$5:$C$1004,$B81,'Satışlar'!$J$5:$J$1004))</f>
      </c>
      <c r="H81" s="16">
        <f>IF($B81="",0,SUMIF('Satışlar'!$C$5:$C$1004,$B81,'Satışlar'!$L$5:$L$1004))</f>
      </c>
      <c r="I81" s="21">
        <f>IF($B81="",0,SUMIF('Satışlar'!$C$5:$C$1004,$B81,'Satışlar'!$M$5:$M$1004))</f>
      </c>
      <c r="J81" s="22">
        <f>IF(OR($B81="",$E81=0),"",$I81/$E81)</f>
      </c>
    </row>
    <row r="82" spans="2:10" x14ac:dyDescent="0.25">
      <c r="B82" s="20">
        <f>IF('Ürün Kartları'!B82="","",'Ürün Kartları'!B82)</f>
      </c>
      <c r="C82" s="20">
        <f>IF('Ürün Kartları'!C82="","",'Ürün Kartları'!C82)</f>
      </c>
      <c r="D82" s="24">
        <f>IF($B82="",0,SUMIF('Satışlar'!$C$5:$C$1004,$B82,'Satışlar'!$G$5:$G$1004))</f>
      </c>
      <c r="E82" s="16">
        <f>IF($B82="",0,SUMIF('Satışlar'!$C$5:$C$1004,$B82,'Satışlar'!$H$5:$H$1004))</f>
      </c>
      <c r="F82" s="16">
        <f>IF($B82="",0,SUMIF('Satışlar'!$C$5:$C$1004,$B82,'Satışlar'!$I$5:$I$1004))</f>
      </c>
      <c r="G82" s="16">
        <f>IF($B82="",0,SUMIF('Satışlar'!$C$5:$C$1004,$B82,'Satışlar'!$J$5:$J$1004))</f>
      </c>
      <c r="H82" s="16">
        <f>IF($B82="",0,SUMIF('Satışlar'!$C$5:$C$1004,$B82,'Satışlar'!$L$5:$L$1004))</f>
      </c>
      <c r="I82" s="21">
        <f>IF($B82="",0,SUMIF('Satışlar'!$C$5:$C$1004,$B82,'Satışlar'!$M$5:$M$1004))</f>
      </c>
      <c r="J82" s="22">
        <f>IF(OR($B82="",$E82=0),"",$I82/$E82)</f>
      </c>
    </row>
    <row r="83" spans="2:10" x14ac:dyDescent="0.25">
      <c r="B83" s="20">
        <f>IF('Ürün Kartları'!B83="","",'Ürün Kartları'!B83)</f>
      </c>
      <c r="C83" s="20">
        <f>IF('Ürün Kartları'!C83="","",'Ürün Kartları'!C83)</f>
      </c>
      <c r="D83" s="24">
        <f>IF($B83="",0,SUMIF('Satışlar'!$C$5:$C$1004,$B83,'Satışlar'!$G$5:$G$1004))</f>
      </c>
      <c r="E83" s="16">
        <f>IF($B83="",0,SUMIF('Satışlar'!$C$5:$C$1004,$B83,'Satışlar'!$H$5:$H$1004))</f>
      </c>
      <c r="F83" s="16">
        <f>IF($B83="",0,SUMIF('Satışlar'!$C$5:$C$1004,$B83,'Satışlar'!$I$5:$I$1004))</f>
      </c>
      <c r="G83" s="16">
        <f>IF($B83="",0,SUMIF('Satışlar'!$C$5:$C$1004,$B83,'Satışlar'!$J$5:$J$1004))</f>
      </c>
      <c r="H83" s="16">
        <f>IF($B83="",0,SUMIF('Satışlar'!$C$5:$C$1004,$B83,'Satışlar'!$L$5:$L$1004))</f>
      </c>
      <c r="I83" s="21">
        <f>IF($B83="",0,SUMIF('Satışlar'!$C$5:$C$1004,$B83,'Satışlar'!$M$5:$M$1004))</f>
      </c>
      <c r="J83" s="22">
        <f>IF(OR($B83="",$E83=0),"",$I83/$E83)</f>
      </c>
    </row>
    <row r="84" spans="2:10" x14ac:dyDescent="0.25">
      <c r="B84" s="20">
        <f>IF('Ürün Kartları'!B84="","",'Ürün Kartları'!B84)</f>
      </c>
      <c r="C84" s="20">
        <f>IF('Ürün Kartları'!C84="","",'Ürün Kartları'!C84)</f>
      </c>
      <c r="D84" s="24">
        <f>IF($B84="",0,SUMIF('Satışlar'!$C$5:$C$1004,$B84,'Satışlar'!$G$5:$G$1004))</f>
      </c>
      <c r="E84" s="16">
        <f>IF($B84="",0,SUMIF('Satışlar'!$C$5:$C$1004,$B84,'Satışlar'!$H$5:$H$1004))</f>
      </c>
      <c r="F84" s="16">
        <f>IF($B84="",0,SUMIF('Satışlar'!$C$5:$C$1004,$B84,'Satışlar'!$I$5:$I$1004))</f>
      </c>
      <c r="G84" s="16">
        <f>IF($B84="",0,SUMIF('Satışlar'!$C$5:$C$1004,$B84,'Satışlar'!$J$5:$J$1004))</f>
      </c>
      <c r="H84" s="16">
        <f>IF($B84="",0,SUMIF('Satışlar'!$C$5:$C$1004,$B84,'Satışlar'!$L$5:$L$1004))</f>
      </c>
      <c r="I84" s="21">
        <f>IF($B84="",0,SUMIF('Satışlar'!$C$5:$C$1004,$B84,'Satışlar'!$M$5:$M$1004))</f>
      </c>
      <c r="J84" s="22">
        <f>IF(OR($B84="",$E84=0),"",$I84/$E84)</f>
      </c>
    </row>
    <row r="85" spans="2:10" x14ac:dyDescent="0.25">
      <c r="B85" s="20">
        <f>IF('Ürün Kartları'!B85="","",'Ürün Kartları'!B85)</f>
      </c>
      <c r="C85" s="20">
        <f>IF('Ürün Kartları'!C85="","",'Ürün Kartları'!C85)</f>
      </c>
      <c r="D85" s="24">
        <f>IF($B85="",0,SUMIF('Satışlar'!$C$5:$C$1004,$B85,'Satışlar'!$G$5:$G$1004))</f>
      </c>
      <c r="E85" s="16">
        <f>IF($B85="",0,SUMIF('Satışlar'!$C$5:$C$1004,$B85,'Satışlar'!$H$5:$H$1004))</f>
      </c>
      <c r="F85" s="16">
        <f>IF($B85="",0,SUMIF('Satışlar'!$C$5:$C$1004,$B85,'Satışlar'!$I$5:$I$1004))</f>
      </c>
      <c r="G85" s="16">
        <f>IF($B85="",0,SUMIF('Satışlar'!$C$5:$C$1004,$B85,'Satışlar'!$J$5:$J$1004))</f>
      </c>
      <c r="H85" s="16">
        <f>IF($B85="",0,SUMIF('Satışlar'!$C$5:$C$1004,$B85,'Satışlar'!$L$5:$L$1004))</f>
      </c>
      <c r="I85" s="21">
        <f>IF($B85="",0,SUMIF('Satışlar'!$C$5:$C$1004,$B85,'Satışlar'!$M$5:$M$1004))</f>
      </c>
      <c r="J85" s="22">
        <f>IF(OR($B85="",$E85=0),"",$I85/$E85)</f>
      </c>
    </row>
    <row r="86" spans="2:10" x14ac:dyDescent="0.25">
      <c r="B86" s="20">
        <f>IF('Ürün Kartları'!B86="","",'Ürün Kartları'!B86)</f>
      </c>
      <c r="C86" s="20">
        <f>IF('Ürün Kartları'!C86="","",'Ürün Kartları'!C86)</f>
      </c>
      <c r="D86" s="24">
        <f>IF($B86="",0,SUMIF('Satışlar'!$C$5:$C$1004,$B86,'Satışlar'!$G$5:$G$1004))</f>
      </c>
      <c r="E86" s="16">
        <f>IF($B86="",0,SUMIF('Satışlar'!$C$5:$C$1004,$B86,'Satışlar'!$H$5:$H$1004))</f>
      </c>
      <c r="F86" s="16">
        <f>IF($B86="",0,SUMIF('Satışlar'!$C$5:$C$1004,$B86,'Satışlar'!$I$5:$I$1004))</f>
      </c>
      <c r="G86" s="16">
        <f>IF($B86="",0,SUMIF('Satışlar'!$C$5:$C$1004,$B86,'Satışlar'!$J$5:$J$1004))</f>
      </c>
      <c r="H86" s="16">
        <f>IF($B86="",0,SUMIF('Satışlar'!$C$5:$C$1004,$B86,'Satışlar'!$L$5:$L$1004))</f>
      </c>
      <c r="I86" s="21">
        <f>IF($B86="",0,SUMIF('Satışlar'!$C$5:$C$1004,$B86,'Satışlar'!$M$5:$M$1004))</f>
      </c>
      <c r="J86" s="22">
        <f>IF(OR($B86="",$E86=0),"",$I86/$E86)</f>
      </c>
    </row>
    <row r="87" spans="2:10" x14ac:dyDescent="0.25">
      <c r="B87" s="20">
        <f>IF('Ürün Kartları'!B87="","",'Ürün Kartları'!B87)</f>
      </c>
      <c r="C87" s="20">
        <f>IF('Ürün Kartları'!C87="","",'Ürün Kartları'!C87)</f>
      </c>
      <c r="D87" s="24">
        <f>IF($B87="",0,SUMIF('Satışlar'!$C$5:$C$1004,$B87,'Satışlar'!$G$5:$G$1004))</f>
      </c>
      <c r="E87" s="16">
        <f>IF($B87="",0,SUMIF('Satışlar'!$C$5:$C$1004,$B87,'Satışlar'!$H$5:$H$1004))</f>
      </c>
      <c r="F87" s="16">
        <f>IF($B87="",0,SUMIF('Satışlar'!$C$5:$C$1004,$B87,'Satışlar'!$I$5:$I$1004))</f>
      </c>
      <c r="G87" s="16">
        <f>IF($B87="",0,SUMIF('Satışlar'!$C$5:$C$1004,$B87,'Satışlar'!$J$5:$J$1004))</f>
      </c>
      <c r="H87" s="16">
        <f>IF($B87="",0,SUMIF('Satışlar'!$C$5:$C$1004,$B87,'Satışlar'!$L$5:$L$1004))</f>
      </c>
      <c r="I87" s="21">
        <f>IF($B87="",0,SUMIF('Satışlar'!$C$5:$C$1004,$B87,'Satışlar'!$M$5:$M$1004))</f>
      </c>
      <c r="J87" s="22">
        <f>IF(OR($B87="",$E87=0),"",$I87/$E87)</f>
      </c>
    </row>
    <row r="88" spans="2:10" x14ac:dyDescent="0.25">
      <c r="B88" s="20">
        <f>IF('Ürün Kartları'!B88="","",'Ürün Kartları'!B88)</f>
      </c>
      <c r="C88" s="20">
        <f>IF('Ürün Kartları'!C88="","",'Ürün Kartları'!C88)</f>
      </c>
      <c r="D88" s="24">
        <f>IF($B88="",0,SUMIF('Satışlar'!$C$5:$C$1004,$B88,'Satışlar'!$G$5:$G$1004))</f>
      </c>
      <c r="E88" s="16">
        <f>IF($B88="",0,SUMIF('Satışlar'!$C$5:$C$1004,$B88,'Satışlar'!$H$5:$H$1004))</f>
      </c>
      <c r="F88" s="16">
        <f>IF($B88="",0,SUMIF('Satışlar'!$C$5:$C$1004,$B88,'Satışlar'!$I$5:$I$1004))</f>
      </c>
      <c r="G88" s="16">
        <f>IF($B88="",0,SUMIF('Satışlar'!$C$5:$C$1004,$B88,'Satışlar'!$J$5:$J$1004))</f>
      </c>
      <c r="H88" s="16">
        <f>IF($B88="",0,SUMIF('Satışlar'!$C$5:$C$1004,$B88,'Satışlar'!$L$5:$L$1004))</f>
      </c>
      <c r="I88" s="21">
        <f>IF($B88="",0,SUMIF('Satışlar'!$C$5:$C$1004,$B88,'Satışlar'!$M$5:$M$1004))</f>
      </c>
      <c r="J88" s="22">
        <f>IF(OR($B88="",$E88=0),"",$I88/$E88)</f>
      </c>
    </row>
    <row r="89" spans="2:10" x14ac:dyDescent="0.25">
      <c r="B89" s="20">
        <f>IF('Ürün Kartları'!B89="","",'Ürün Kartları'!B89)</f>
      </c>
      <c r="C89" s="20">
        <f>IF('Ürün Kartları'!C89="","",'Ürün Kartları'!C89)</f>
      </c>
      <c r="D89" s="24">
        <f>IF($B89="",0,SUMIF('Satışlar'!$C$5:$C$1004,$B89,'Satışlar'!$G$5:$G$1004))</f>
      </c>
      <c r="E89" s="16">
        <f>IF($B89="",0,SUMIF('Satışlar'!$C$5:$C$1004,$B89,'Satışlar'!$H$5:$H$1004))</f>
      </c>
      <c r="F89" s="16">
        <f>IF($B89="",0,SUMIF('Satışlar'!$C$5:$C$1004,$B89,'Satışlar'!$I$5:$I$1004))</f>
      </c>
      <c r="G89" s="16">
        <f>IF($B89="",0,SUMIF('Satışlar'!$C$5:$C$1004,$B89,'Satışlar'!$J$5:$J$1004))</f>
      </c>
      <c r="H89" s="16">
        <f>IF($B89="",0,SUMIF('Satışlar'!$C$5:$C$1004,$B89,'Satışlar'!$L$5:$L$1004))</f>
      </c>
      <c r="I89" s="21">
        <f>IF($B89="",0,SUMIF('Satışlar'!$C$5:$C$1004,$B89,'Satışlar'!$M$5:$M$1004))</f>
      </c>
      <c r="J89" s="22">
        <f>IF(OR($B89="",$E89=0),"",$I89/$E89)</f>
      </c>
    </row>
    <row r="90" spans="2:10" x14ac:dyDescent="0.25">
      <c r="B90" s="20">
        <f>IF('Ürün Kartları'!B90="","",'Ürün Kartları'!B90)</f>
      </c>
      <c r="C90" s="20">
        <f>IF('Ürün Kartları'!C90="","",'Ürün Kartları'!C90)</f>
      </c>
      <c r="D90" s="24">
        <f>IF($B90="",0,SUMIF('Satışlar'!$C$5:$C$1004,$B90,'Satışlar'!$G$5:$G$1004))</f>
      </c>
      <c r="E90" s="16">
        <f>IF($B90="",0,SUMIF('Satışlar'!$C$5:$C$1004,$B90,'Satışlar'!$H$5:$H$1004))</f>
      </c>
      <c r="F90" s="16">
        <f>IF($B90="",0,SUMIF('Satışlar'!$C$5:$C$1004,$B90,'Satışlar'!$I$5:$I$1004))</f>
      </c>
      <c r="G90" s="16">
        <f>IF($B90="",0,SUMIF('Satışlar'!$C$5:$C$1004,$B90,'Satışlar'!$J$5:$J$1004))</f>
      </c>
      <c r="H90" s="16">
        <f>IF($B90="",0,SUMIF('Satışlar'!$C$5:$C$1004,$B90,'Satışlar'!$L$5:$L$1004))</f>
      </c>
      <c r="I90" s="21">
        <f>IF($B90="",0,SUMIF('Satışlar'!$C$5:$C$1004,$B90,'Satışlar'!$M$5:$M$1004))</f>
      </c>
      <c r="J90" s="22">
        <f>IF(OR($B90="",$E90=0),"",$I90/$E90)</f>
      </c>
    </row>
    <row r="91" spans="2:10" x14ac:dyDescent="0.25">
      <c r="B91" s="20">
        <f>IF('Ürün Kartları'!B91="","",'Ürün Kartları'!B91)</f>
      </c>
      <c r="C91" s="20">
        <f>IF('Ürün Kartları'!C91="","",'Ürün Kartları'!C91)</f>
      </c>
      <c r="D91" s="24">
        <f>IF($B91="",0,SUMIF('Satışlar'!$C$5:$C$1004,$B91,'Satışlar'!$G$5:$G$1004))</f>
      </c>
      <c r="E91" s="16">
        <f>IF($B91="",0,SUMIF('Satışlar'!$C$5:$C$1004,$B91,'Satışlar'!$H$5:$H$1004))</f>
      </c>
      <c r="F91" s="16">
        <f>IF($B91="",0,SUMIF('Satışlar'!$C$5:$C$1004,$B91,'Satışlar'!$I$5:$I$1004))</f>
      </c>
      <c r="G91" s="16">
        <f>IF($B91="",0,SUMIF('Satışlar'!$C$5:$C$1004,$B91,'Satışlar'!$J$5:$J$1004))</f>
      </c>
      <c r="H91" s="16">
        <f>IF($B91="",0,SUMIF('Satışlar'!$C$5:$C$1004,$B91,'Satışlar'!$L$5:$L$1004))</f>
      </c>
      <c r="I91" s="21">
        <f>IF($B91="",0,SUMIF('Satışlar'!$C$5:$C$1004,$B91,'Satışlar'!$M$5:$M$1004))</f>
      </c>
      <c r="J91" s="22">
        <f>IF(OR($B91="",$E91=0),"",$I91/$E91)</f>
      </c>
    </row>
    <row r="92" spans="2:10" x14ac:dyDescent="0.25">
      <c r="B92" s="20">
        <f>IF('Ürün Kartları'!B92="","",'Ürün Kartları'!B92)</f>
      </c>
      <c r="C92" s="20">
        <f>IF('Ürün Kartları'!C92="","",'Ürün Kartları'!C92)</f>
      </c>
      <c r="D92" s="24">
        <f>IF($B92="",0,SUMIF('Satışlar'!$C$5:$C$1004,$B92,'Satışlar'!$G$5:$G$1004))</f>
      </c>
      <c r="E92" s="16">
        <f>IF($B92="",0,SUMIF('Satışlar'!$C$5:$C$1004,$B92,'Satışlar'!$H$5:$H$1004))</f>
      </c>
      <c r="F92" s="16">
        <f>IF($B92="",0,SUMIF('Satışlar'!$C$5:$C$1004,$B92,'Satışlar'!$I$5:$I$1004))</f>
      </c>
      <c r="G92" s="16">
        <f>IF($B92="",0,SUMIF('Satışlar'!$C$5:$C$1004,$B92,'Satışlar'!$J$5:$J$1004))</f>
      </c>
      <c r="H92" s="16">
        <f>IF($B92="",0,SUMIF('Satışlar'!$C$5:$C$1004,$B92,'Satışlar'!$L$5:$L$1004))</f>
      </c>
      <c r="I92" s="21">
        <f>IF($B92="",0,SUMIF('Satışlar'!$C$5:$C$1004,$B92,'Satışlar'!$M$5:$M$1004))</f>
      </c>
      <c r="J92" s="22">
        <f>IF(OR($B92="",$E92=0),"",$I92/$E92)</f>
      </c>
    </row>
    <row r="93" spans="2:10" x14ac:dyDescent="0.25">
      <c r="B93" s="20">
        <f>IF('Ürün Kartları'!B93="","",'Ürün Kartları'!B93)</f>
      </c>
      <c r="C93" s="20">
        <f>IF('Ürün Kartları'!C93="","",'Ürün Kartları'!C93)</f>
      </c>
      <c r="D93" s="24">
        <f>IF($B93="",0,SUMIF('Satışlar'!$C$5:$C$1004,$B93,'Satışlar'!$G$5:$G$1004))</f>
      </c>
      <c r="E93" s="16">
        <f>IF($B93="",0,SUMIF('Satışlar'!$C$5:$C$1004,$B93,'Satışlar'!$H$5:$H$1004))</f>
      </c>
      <c r="F93" s="16">
        <f>IF($B93="",0,SUMIF('Satışlar'!$C$5:$C$1004,$B93,'Satışlar'!$I$5:$I$1004))</f>
      </c>
      <c r="G93" s="16">
        <f>IF($B93="",0,SUMIF('Satışlar'!$C$5:$C$1004,$B93,'Satışlar'!$J$5:$J$1004))</f>
      </c>
      <c r="H93" s="16">
        <f>IF($B93="",0,SUMIF('Satışlar'!$C$5:$C$1004,$B93,'Satışlar'!$L$5:$L$1004))</f>
      </c>
      <c r="I93" s="21">
        <f>IF($B93="",0,SUMIF('Satışlar'!$C$5:$C$1004,$B93,'Satışlar'!$M$5:$M$1004))</f>
      </c>
      <c r="J93" s="22">
        <f>IF(OR($B93="",$E93=0),"",$I93/$E93)</f>
      </c>
    </row>
    <row r="94" spans="2:10" x14ac:dyDescent="0.25">
      <c r="B94" s="20">
        <f>IF('Ürün Kartları'!B94="","",'Ürün Kartları'!B94)</f>
      </c>
      <c r="C94" s="20">
        <f>IF('Ürün Kartları'!C94="","",'Ürün Kartları'!C94)</f>
      </c>
      <c r="D94" s="24">
        <f>IF($B94="",0,SUMIF('Satışlar'!$C$5:$C$1004,$B94,'Satışlar'!$G$5:$G$1004))</f>
      </c>
      <c r="E94" s="16">
        <f>IF($B94="",0,SUMIF('Satışlar'!$C$5:$C$1004,$B94,'Satışlar'!$H$5:$H$1004))</f>
      </c>
      <c r="F94" s="16">
        <f>IF($B94="",0,SUMIF('Satışlar'!$C$5:$C$1004,$B94,'Satışlar'!$I$5:$I$1004))</f>
      </c>
      <c r="G94" s="16">
        <f>IF($B94="",0,SUMIF('Satışlar'!$C$5:$C$1004,$B94,'Satışlar'!$J$5:$J$1004))</f>
      </c>
      <c r="H94" s="16">
        <f>IF($B94="",0,SUMIF('Satışlar'!$C$5:$C$1004,$B94,'Satışlar'!$L$5:$L$1004))</f>
      </c>
      <c r="I94" s="21">
        <f>IF($B94="",0,SUMIF('Satışlar'!$C$5:$C$1004,$B94,'Satışlar'!$M$5:$M$1004))</f>
      </c>
      <c r="J94" s="22">
        <f>IF(OR($B94="",$E94=0),"",$I94/$E94)</f>
      </c>
    </row>
    <row r="95" spans="2:10" x14ac:dyDescent="0.25">
      <c r="B95" s="20">
        <f>IF('Ürün Kartları'!B95="","",'Ürün Kartları'!B95)</f>
      </c>
      <c r="C95" s="20">
        <f>IF('Ürün Kartları'!C95="","",'Ürün Kartları'!C95)</f>
      </c>
      <c r="D95" s="24">
        <f>IF($B95="",0,SUMIF('Satışlar'!$C$5:$C$1004,$B95,'Satışlar'!$G$5:$G$1004))</f>
      </c>
      <c r="E95" s="16">
        <f>IF($B95="",0,SUMIF('Satışlar'!$C$5:$C$1004,$B95,'Satışlar'!$H$5:$H$1004))</f>
      </c>
      <c r="F95" s="16">
        <f>IF($B95="",0,SUMIF('Satışlar'!$C$5:$C$1004,$B95,'Satışlar'!$I$5:$I$1004))</f>
      </c>
      <c r="G95" s="16">
        <f>IF($B95="",0,SUMIF('Satışlar'!$C$5:$C$1004,$B95,'Satışlar'!$J$5:$J$1004))</f>
      </c>
      <c r="H95" s="16">
        <f>IF($B95="",0,SUMIF('Satışlar'!$C$5:$C$1004,$B95,'Satışlar'!$L$5:$L$1004))</f>
      </c>
      <c r="I95" s="21">
        <f>IF($B95="",0,SUMIF('Satışlar'!$C$5:$C$1004,$B95,'Satışlar'!$M$5:$M$1004))</f>
      </c>
      <c r="J95" s="22">
        <f>IF(OR($B95="",$E95=0),"",$I95/$E95)</f>
      </c>
    </row>
    <row r="96" spans="2:10" x14ac:dyDescent="0.25">
      <c r="B96" s="20">
        <f>IF('Ürün Kartları'!B96="","",'Ürün Kartları'!B96)</f>
      </c>
      <c r="C96" s="20">
        <f>IF('Ürün Kartları'!C96="","",'Ürün Kartları'!C96)</f>
      </c>
      <c r="D96" s="24">
        <f>IF($B96="",0,SUMIF('Satışlar'!$C$5:$C$1004,$B96,'Satışlar'!$G$5:$G$1004))</f>
      </c>
      <c r="E96" s="16">
        <f>IF($B96="",0,SUMIF('Satışlar'!$C$5:$C$1004,$B96,'Satışlar'!$H$5:$H$1004))</f>
      </c>
      <c r="F96" s="16">
        <f>IF($B96="",0,SUMIF('Satışlar'!$C$5:$C$1004,$B96,'Satışlar'!$I$5:$I$1004))</f>
      </c>
      <c r="G96" s="16">
        <f>IF($B96="",0,SUMIF('Satışlar'!$C$5:$C$1004,$B96,'Satışlar'!$J$5:$J$1004))</f>
      </c>
      <c r="H96" s="16">
        <f>IF($B96="",0,SUMIF('Satışlar'!$C$5:$C$1004,$B96,'Satışlar'!$L$5:$L$1004))</f>
      </c>
      <c r="I96" s="21">
        <f>IF($B96="",0,SUMIF('Satışlar'!$C$5:$C$1004,$B96,'Satışlar'!$M$5:$M$1004))</f>
      </c>
      <c r="J96" s="22">
        <f>IF(OR($B96="",$E96=0),"",$I96/$E96)</f>
      </c>
    </row>
    <row r="97" spans="2:10" x14ac:dyDescent="0.25">
      <c r="B97" s="20">
        <f>IF('Ürün Kartları'!B97="","",'Ürün Kartları'!B97)</f>
      </c>
      <c r="C97" s="20">
        <f>IF('Ürün Kartları'!C97="","",'Ürün Kartları'!C97)</f>
      </c>
      <c r="D97" s="24">
        <f>IF($B97="",0,SUMIF('Satışlar'!$C$5:$C$1004,$B97,'Satışlar'!$G$5:$G$1004))</f>
      </c>
      <c r="E97" s="16">
        <f>IF($B97="",0,SUMIF('Satışlar'!$C$5:$C$1004,$B97,'Satışlar'!$H$5:$H$1004))</f>
      </c>
      <c r="F97" s="16">
        <f>IF($B97="",0,SUMIF('Satışlar'!$C$5:$C$1004,$B97,'Satışlar'!$I$5:$I$1004))</f>
      </c>
      <c r="G97" s="16">
        <f>IF($B97="",0,SUMIF('Satışlar'!$C$5:$C$1004,$B97,'Satışlar'!$J$5:$J$1004))</f>
      </c>
      <c r="H97" s="16">
        <f>IF($B97="",0,SUMIF('Satışlar'!$C$5:$C$1004,$B97,'Satışlar'!$L$5:$L$1004))</f>
      </c>
      <c r="I97" s="21">
        <f>IF($B97="",0,SUMIF('Satışlar'!$C$5:$C$1004,$B97,'Satışlar'!$M$5:$M$1004))</f>
      </c>
      <c r="J97" s="22">
        <f>IF(OR($B97="",$E97=0),"",$I97/$E97)</f>
      </c>
    </row>
    <row r="98" spans="2:10" x14ac:dyDescent="0.25">
      <c r="B98" s="20">
        <f>IF('Ürün Kartları'!B98="","",'Ürün Kartları'!B98)</f>
      </c>
      <c r="C98" s="20">
        <f>IF('Ürün Kartları'!C98="","",'Ürün Kartları'!C98)</f>
      </c>
      <c r="D98" s="24">
        <f>IF($B98="",0,SUMIF('Satışlar'!$C$5:$C$1004,$B98,'Satışlar'!$G$5:$G$1004))</f>
      </c>
      <c r="E98" s="16">
        <f>IF($B98="",0,SUMIF('Satışlar'!$C$5:$C$1004,$B98,'Satışlar'!$H$5:$H$1004))</f>
      </c>
      <c r="F98" s="16">
        <f>IF($B98="",0,SUMIF('Satışlar'!$C$5:$C$1004,$B98,'Satışlar'!$I$5:$I$1004))</f>
      </c>
      <c r="G98" s="16">
        <f>IF($B98="",0,SUMIF('Satışlar'!$C$5:$C$1004,$B98,'Satışlar'!$J$5:$J$1004))</f>
      </c>
      <c r="H98" s="16">
        <f>IF($B98="",0,SUMIF('Satışlar'!$C$5:$C$1004,$B98,'Satışlar'!$L$5:$L$1004))</f>
      </c>
      <c r="I98" s="21">
        <f>IF($B98="",0,SUMIF('Satışlar'!$C$5:$C$1004,$B98,'Satışlar'!$M$5:$M$1004))</f>
      </c>
      <c r="J98" s="22">
        <f>IF(OR($B98="",$E98=0),"",$I98/$E98)</f>
      </c>
    </row>
    <row r="99" spans="2:10" x14ac:dyDescent="0.25">
      <c r="B99" s="20">
        <f>IF('Ürün Kartları'!B99="","",'Ürün Kartları'!B99)</f>
      </c>
      <c r="C99" s="20">
        <f>IF('Ürün Kartları'!C99="","",'Ürün Kartları'!C99)</f>
      </c>
      <c r="D99" s="24">
        <f>IF($B99="",0,SUMIF('Satışlar'!$C$5:$C$1004,$B99,'Satışlar'!$G$5:$G$1004))</f>
      </c>
      <c r="E99" s="16">
        <f>IF($B99="",0,SUMIF('Satışlar'!$C$5:$C$1004,$B99,'Satışlar'!$H$5:$H$1004))</f>
      </c>
      <c r="F99" s="16">
        <f>IF($B99="",0,SUMIF('Satışlar'!$C$5:$C$1004,$B99,'Satışlar'!$I$5:$I$1004))</f>
      </c>
      <c r="G99" s="16">
        <f>IF($B99="",0,SUMIF('Satışlar'!$C$5:$C$1004,$B99,'Satışlar'!$J$5:$J$1004))</f>
      </c>
      <c r="H99" s="16">
        <f>IF($B99="",0,SUMIF('Satışlar'!$C$5:$C$1004,$B99,'Satışlar'!$L$5:$L$1004))</f>
      </c>
      <c r="I99" s="21">
        <f>IF($B99="",0,SUMIF('Satışlar'!$C$5:$C$1004,$B99,'Satışlar'!$M$5:$M$1004))</f>
      </c>
      <c r="J99" s="22">
        <f>IF(OR($B99="",$E99=0),"",$I99/$E99)</f>
      </c>
    </row>
    <row r="100" spans="2:10" x14ac:dyDescent="0.25">
      <c r="B100" s="20">
        <f>IF('Ürün Kartları'!B100="","",'Ürün Kartları'!B100)</f>
      </c>
      <c r="C100" s="20">
        <f>IF('Ürün Kartları'!C100="","",'Ürün Kartları'!C100)</f>
      </c>
      <c r="D100" s="24">
        <f>IF($B100="",0,SUMIF('Satışlar'!$C$5:$C$1004,$B100,'Satışlar'!$G$5:$G$1004))</f>
      </c>
      <c r="E100" s="16">
        <f>IF($B100="",0,SUMIF('Satışlar'!$C$5:$C$1004,$B100,'Satışlar'!$H$5:$H$1004))</f>
      </c>
      <c r="F100" s="16">
        <f>IF($B100="",0,SUMIF('Satışlar'!$C$5:$C$1004,$B100,'Satışlar'!$I$5:$I$1004))</f>
      </c>
      <c r="G100" s="16">
        <f>IF($B100="",0,SUMIF('Satışlar'!$C$5:$C$1004,$B100,'Satışlar'!$J$5:$J$1004))</f>
      </c>
      <c r="H100" s="16">
        <f>IF($B100="",0,SUMIF('Satışlar'!$C$5:$C$1004,$B100,'Satışlar'!$L$5:$L$1004))</f>
      </c>
      <c r="I100" s="21">
        <f>IF($B100="",0,SUMIF('Satışlar'!$C$5:$C$1004,$B100,'Satışlar'!$M$5:$M$1004))</f>
      </c>
      <c r="J100" s="22">
        <f>IF(OR($B100="",$E100=0),"",$I100/$E100)</f>
      </c>
    </row>
    <row r="101" spans="2:10" x14ac:dyDescent="0.25">
      <c r="B101" s="20">
        <f>IF('Ürün Kartları'!B101="","",'Ürün Kartları'!B101)</f>
      </c>
      <c r="C101" s="20">
        <f>IF('Ürün Kartları'!C101="","",'Ürün Kartları'!C101)</f>
      </c>
      <c r="D101" s="24">
        <f>IF($B101="",0,SUMIF('Satışlar'!$C$5:$C$1004,$B101,'Satışlar'!$G$5:$G$1004))</f>
      </c>
      <c r="E101" s="16">
        <f>IF($B101="",0,SUMIF('Satışlar'!$C$5:$C$1004,$B101,'Satışlar'!$H$5:$H$1004))</f>
      </c>
      <c r="F101" s="16">
        <f>IF($B101="",0,SUMIF('Satışlar'!$C$5:$C$1004,$B101,'Satışlar'!$I$5:$I$1004))</f>
      </c>
      <c r="G101" s="16">
        <f>IF($B101="",0,SUMIF('Satışlar'!$C$5:$C$1004,$B101,'Satışlar'!$J$5:$J$1004))</f>
      </c>
      <c r="H101" s="16">
        <f>IF($B101="",0,SUMIF('Satışlar'!$C$5:$C$1004,$B101,'Satışlar'!$L$5:$L$1004))</f>
      </c>
      <c r="I101" s="21">
        <f>IF($B101="",0,SUMIF('Satışlar'!$C$5:$C$1004,$B101,'Satışlar'!$M$5:$M$1004))</f>
      </c>
      <c r="J101" s="22">
        <f>IF(OR($B101="",$E101=0),"",$I101/$E101)</f>
      </c>
    </row>
    <row r="102" spans="2:10" x14ac:dyDescent="0.25">
      <c r="B102" s="20">
        <f>IF('Ürün Kartları'!B102="","",'Ürün Kartları'!B102)</f>
      </c>
      <c r="C102" s="20">
        <f>IF('Ürün Kartları'!C102="","",'Ürün Kartları'!C102)</f>
      </c>
      <c r="D102" s="24">
        <f>IF($B102="",0,SUMIF('Satışlar'!$C$5:$C$1004,$B102,'Satışlar'!$G$5:$G$1004))</f>
      </c>
      <c r="E102" s="16">
        <f>IF($B102="",0,SUMIF('Satışlar'!$C$5:$C$1004,$B102,'Satışlar'!$H$5:$H$1004))</f>
      </c>
      <c r="F102" s="16">
        <f>IF($B102="",0,SUMIF('Satışlar'!$C$5:$C$1004,$B102,'Satışlar'!$I$5:$I$1004))</f>
      </c>
      <c r="G102" s="16">
        <f>IF($B102="",0,SUMIF('Satışlar'!$C$5:$C$1004,$B102,'Satışlar'!$J$5:$J$1004))</f>
      </c>
      <c r="H102" s="16">
        <f>IF($B102="",0,SUMIF('Satışlar'!$C$5:$C$1004,$B102,'Satışlar'!$L$5:$L$1004))</f>
      </c>
      <c r="I102" s="21">
        <f>IF($B102="",0,SUMIF('Satışlar'!$C$5:$C$1004,$B102,'Satışlar'!$M$5:$M$1004))</f>
      </c>
      <c r="J102" s="22">
        <f>IF(OR($B102="",$E102=0),"",$I102/$E102)</f>
      </c>
    </row>
    <row r="103" spans="2:10" x14ac:dyDescent="0.25">
      <c r="B103" s="20">
        <f>IF('Ürün Kartları'!B103="","",'Ürün Kartları'!B103)</f>
      </c>
      <c r="C103" s="20">
        <f>IF('Ürün Kartları'!C103="","",'Ürün Kartları'!C103)</f>
      </c>
      <c r="D103" s="24">
        <f>IF($B103="",0,SUMIF('Satışlar'!$C$5:$C$1004,$B103,'Satışlar'!$G$5:$G$1004))</f>
      </c>
      <c r="E103" s="16">
        <f>IF($B103="",0,SUMIF('Satışlar'!$C$5:$C$1004,$B103,'Satışlar'!$H$5:$H$1004))</f>
      </c>
      <c r="F103" s="16">
        <f>IF($B103="",0,SUMIF('Satışlar'!$C$5:$C$1004,$B103,'Satışlar'!$I$5:$I$1004))</f>
      </c>
      <c r="G103" s="16">
        <f>IF($B103="",0,SUMIF('Satışlar'!$C$5:$C$1004,$B103,'Satışlar'!$J$5:$J$1004))</f>
      </c>
      <c r="H103" s="16">
        <f>IF($B103="",0,SUMIF('Satışlar'!$C$5:$C$1004,$B103,'Satışlar'!$L$5:$L$1004))</f>
      </c>
      <c r="I103" s="21">
        <f>IF($B103="",0,SUMIF('Satışlar'!$C$5:$C$1004,$B103,'Satışlar'!$M$5:$M$1004))</f>
      </c>
      <c r="J103" s="22">
        <f>IF(OR($B103="",$E103=0),"",$I103/$E103)</f>
      </c>
    </row>
    <row r="104" spans="2:10" x14ac:dyDescent="0.25">
      <c r="B104" s="20">
        <f>IF('Ürün Kartları'!B104="","",'Ürün Kartları'!B104)</f>
      </c>
      <c r="C104" s="20">
        <f>IF('Ürün Kartları'!C104="","",'Ürün Kartları'!C104)</f>
      </c>
      <c r="D104" s="24">
        <f>IF($B104="",0,SUMIF('Satışlar'!$C$5:$C$1004,$B104,'Satışlar'!$G$5:$G$1004))</f>
      </c>
      <c r="E104" s="16">
        <f>IF($B104="",0,SUMIF('Satışlar'!$C$5:$C$1004,$B104,'Satışlar'!$H$5:$H$1004))</f>
      </c>
      <c r="F104" s="16">
        <f>IF($B104="",0,SUMIF('Satışlar'!$C$5:$C$1004,$B104,'Satışlar'!$I$5:$I$1004))</f>
      </c>
      <c r="G104" s="16">
        <f>IF($B104="",0,SUMIF('Satışlar'!$C$5:$C$1004,$B104,'Satışlar'!$J$5:$J$1004))</f>
      </c>
      <c r="H104" s="16">
        <f>IF($B104="",0,SUMIF('Satışlar'!$C$5:$C$1004,$B104,'Satışlar'!$L$5:$L$1004))</f>
      </c>
      <c r="I104" s="21">
        <f>IF($B104="",0,SUMIF('Satışlar'!$C$5:$C$1004,$B104,'Satışlar'!$M$5:$M$1004))</f>
      </c>
      <c r="J104" s="22">
        <f>IF(OR($B104="",$E104=0),"",$I104/$E104)</f>
      </c>
    </row>
    <row r="105" spans="2:10" x14ac:dyDescent="0.25">
      <c r="B105" s="20">
        <f>IF('Ürün Kartları'!B105="","",'Ürün Kartları'!B105)</f>
      </c>
      <c r="C105" s="20">
        <f>IF('Ürün Kartları'!C105="","",'Ürün Kartları'!C105)</f>
      </c>
      <c r="D105" s="24">
        <f>IF($B105="",0,SUMIF('Satışlar'!$C$5:$C$1004,$B105,'Satışlar'!$G$5:$G$1004))</f>
      </c>
      <c r="E105" s="16">
        <f>IF($B105="",0,SUMIF('Satışlar'!$C$5:$C$1004,$B105,'Satışlar'!$H$5:$H$1004))</f>
      </c>
      <c r="F105" s="16">
        <f>IF($B105="",0,SUMIF('Satışlar'!$C$5:$C$1004,$B105,'Satışlar'!$I$5:$I$1004))</f>
      </c>
      <c r="G105" s="16">
        <f>IF($B105="",0,SUMIF('Satışlar'!$C$5:$C$1004,$B105,'Satışlar'!$J$5:$J$1004))</f>
      </c>
      <c r="H105" s="16">
        <f>IF($B105="",0,SUMIF('Satışlar'!$C$5:$C$1004,$B105,'Satışlar'!$L$5:$L$1004))</f>
      </c>
      <c r="I105" s="21">
        <f>IF($B105="",0,SUMIF('Satışlar'!$C$5:$C$1004,$B105,'Satışlar'!$M$5:$M$1004))</f>
      </c>
      <c r="J105" s="22">
        <f>IF(OR($B105="",$E105=0),"",$I105/$E105)</f>
      </c>
    </row>
    <row r="106" spans="2:10" x14ac:dyDescent="0.25">
      <c r="B106" s="20">
        <f>IF('Ürün Kartları'!B106="","",'Ürün Kartları'!B106)</f>
      </c>
      <c r="C106" s="20">
        <f>IF('Ürün Kartları'!C106="","",'Ürün Kartları'!C106)</f>
      </c>
      <c r="D106" s="24">
        <f>IF($B106="",0,SUMIF('Satışlar'!$C$5:$C$1004,$B106,'Satışlar'!$G$5:$G$1004))</f>
      </c>
      <c r="E106" s="16">
        <f>IF($B106="",0,SUMIF('Satışlar'!$C$5:$C$1004,$B106,'Satışlar'!$H$5:$H$1004))</f>
      </c>
      <c r="F106" s="16">
        <f>IF($B106="",0,SUMIF('Satışlar'!$C$5:$C$1004,$B106,'Satışlar'!$I$5:$I$1004))</f>
      </c>
      <c r="G106" s="16">
        <f>IF($B106="",0,SUMIF('Satışlar'!$C$5:$C$1004,$B106,'Satışlar'!$J$5:$J$1004))</f>
      </c>
      <c r="H106" s="16">
        <f>IF($B106="",0,SUMIF('Satışlar'!$C$5:$C$1004,$B106,'Satışlar'!$L$5:$L$1004))</f>
      </c>
      <c r="I106" s="21">
        <f>IF($B106="",0,SUMIF('Satışlar'!$C$5:$C$1004,$B106,'Satışlar'!$M$5:$M$1004))</f>
      </c>
      <c r="J106" s="22">
        <f>IF(OR($B106="",$E106=0),"",$I106/$E106)</f>
      </c>
    </row>
    <row r="107" spans="2:10" x14ac:dyDescent="0.25">
      <c r="B107" s="20">
        <f>IF('Ürün Kartları'!B107="","",'Ürün Kartları'!B107)</f>
      </c>
      <c r="C107" s="20">
        <f>IF('Ürün Kartları'!C107="","",'Ürün Kartları'!C107)</f>
      </c>
      <c r="D107" s="24">
        <f>IF($B107="",0,SUMIF('Satışlar'!$C$5:$C$1004,$B107,'Satışlar'!$G$5:$G$1004))</f>
      </c>
      <c r="E107" s="16">
        <f>IF($B107="",0,SUMIF('Satışlar'!$C$5:$C$1004,$B107,'Satışlar'!$H$5:$H$1004))</f>
      </c>
      <c r="F107" s="16">
        <f>IF($B107="",0,SUMIF('Satışlar'!$C$5:$C$1004,$B107,'Satışlar'!$I$5:$I$1004))</f>
      </c>
      <c r="G107" s="16">
        <f>IF($B107="",0,SUMIF('Satışlar'!$C$5:$C$1004,$B107,'Satışlar'!$J$5:$J$1004))</f>
      </c>
      <c r="H107" s="16">
        <f>IF($B107="",0,SUMIF('Satışlar'!$C$5:$C$1004,$B107,'Satışlar'!$L$5:$L$1004))</f>
      </c>
      <c r="I107" s="21">
        <f>IF($B107="",0,SUMIF('Satışlar'!$C$5:$C$1004,$B107,'Satışlar'!$M$5:$M$1004))</f>
      </c>
      <c r="J107" s="22">
        <f>IF(OR($B107="",$E107=0),"",$I107/$E107)</f>
      </c>
    </row>
    <row r="108" spans="2:10" x14ac:dyDescent="0.25">
      <c r="B108" s="20">
        <f>IF('Ürün Kartları'!B108="","",'Ürün Kartları'!B108)</f>
      </c>
      <c r="C108" s="20">
        <f>IF('Ürün Kartları'!C108="","",'Ürün Kartları'!C108)</f>
      </c>
      <c r="D108" s="24">
        <f>IF($B108="",0,SUMIF('Satışlar'!$C$5:$C$1004,$B108,'Satışlar'!$G$5:$G$1004))</f>
      </c>
      <c r="E108" s="16">
        <f>IF($B108="",0,SUMIF('Satışlar'!$C$5:$C$1004,$B108,'Satışlar'!$H$5:$H$1004))</f>
      </c>
      <c r="F108" s="16">
        <f>IF($B108="",0,SUMIF('Satışlar'!$C$5:$C$1004,$B108,'Satışlar'!$I$5:$I$1004))</f>
      </c>
      <c r="G108" s="16">
        <f>IF($B108="",0,SUMIF('Satışlar'!$C$5:$C$1004,$B108,'Satışlar'!$J$5:$J$1004))</f>
      </c>
      <c r="H108" s="16">
        <f>IF($B108="",0,SUMIF('Satışlar'!$C$5:$C$1004,$B108,'Satışlar'!$L$5:$L$1004))</f>
      </c>
      <c r="I108" s="21">
        <f>IF($B108="",0,SUMIF('Satışlar'!$C$5:$C$1004,$B108,'Satışlar'!$M$5:$M$1004))</f>
      </c>
      <c r="J108" s="22">
        <f>IF(OR($B108="",$E108=0),"",$I108/$E108)</f>
      </c>
    </row>
    <row r="109" spans="2:10" x14ac:dyDescent="0.25">
      <c r="B109" s="20">
        <f>IF('Ürün Kartları'!B109="","",'Ürün Kartları'!B109)</f>
      </c>
      <c r="C109" s="20">
        <f>IF('Ürün Kartları'!C109="","",'Ürün Kartları'!C109)</f>
      </c>
      <c r="D109" s="24">
        <f>IF($B109="",0,SUMIF('Satışlar'!$C$5:$C$1004,$B109,'Satışlar'!$G$5:$G$1004))</f>
      </c>
      <c r="E109" s="16">
        <f>IF($B109="",0,SUMIF('Satışlar'!$C$5:$C$1004,$B109,'Satışlar'!$H$5:$H$1004))</f>
      </c>
      <c r="F109" s="16">
        <f>IF($B109="",0,SUMIF('Satışlar'!$C$5:$C$1004,$B109,'Satışlar'!$I$5:$I$1004))</f>
      </c>
      <c r="G109" s="16">
        <f>IF($B109="",0,SUMIF('Satışlar'!$C$5:$C$1004,$B109,'Satışlar'!$J$5:$J$1004))</f>
      </c>
      <c r="H109" s="16">
        <f>IF($B109="",0,SUMIF('Satışlar'!$C$5:$C$1004,$B109,'Satışlar'!$L$5:$L$1004))</f>
      </c>
      <c r="I109" s="21">
        <f>IF($B109="",0,SUMIF('Satışlar'!$C$5:$C$1004,$B109,'Satışlar'!$M$5:$M$1004))</f>
      </c>
      <c r="J109" s="22">
        <f>IF(OR($B109="",$E109=0),"",$I109/$E109)</f>
      </c>
    </row>
    <row r="110" spans="2:10" x14ac:dyDescent="0.25">
      <c r="B110" s="20">
        <f>IF('Ürün Kartları'!B110="","",'Ürün Kartları'!B110)</f>
      </c>
      <c r="C110" s="20">
        <f>IF('Ürün Kartları'!C110="","",'Ürün Kartları'!C110)</f>
      </c>
      <c r="D110" s="24">
        <f>IF($B110="",0,SUMIF('Satışlar'!$C$5:$C$1004,$B110,'Satışlar'!$G$5:$G$1004))</f>
      </c>
      <c r="E110" s="16">
        <f>IF($B110="",0,SUMIF('Satışlar'!$C$5:$C$1004,$B110,'Satışlar'!$H$5:$H$1004))</f>
      </c>
      <c r="F110" s="16">
        <f>IF($B110="",0,SUMIF('Satışlar'!$C$5:$C$1004,$B110,'Satışlar'!$I$5:$I$1004))</f>
      </c>
      <c r="G110" s="16">
        <f>IF($B110="",0,SUMIF('Satışlar'!$C$5:$C$1004,$B110,'Satışlar'!$J$5:$J$1004))</f>
      </c>
      <c r="H110" s="16">
        <f>IF($B110="",0,SUMIF('Satışlar'!$C$5:$C$1004,$B110,'Satışlar'!$L$5:$L$1004))</f>
      </c>
      <c r="I110" s="21">
        <f>IF($B110="",0,SUMIF('Satışlar'!$C$5:$C$1004,$B110,'Satışlar'!$M$5:$M$1004))</f>
      </c>
      <c r="J110" s="22">
        <f>IF(OR($B110="",$E110=0),"",$I110/$E110)</f>
      </c>
    </row>
    <row r="111" spans="2:10" x14ac:dyDescent="0.25">
      <c r="B111" s="20">
        <f>IF('Ürün Kartları'!B111="","",'Ürün Kartları'!B111)</f>
      </c>
      <c r="C111" s="20">
        <f>IF('Ürün Kartları'!C111="","",'Ürün Kartları'!C111)</f>
      </c>
      <c r="D111" s="24">
        <f>IF($B111="",0,SUMIF('Satışlar'!$C$5:$C$1004,$B111,'Satışlar'!$G$5:$G$1004))</f>
      </c>
      <c r="E111" s="16">
        <f>IF($B111="",0,SUMIF('Satışlar'!$C$5:$C$1004,$B111,'Satışlar'!$H$5:$H$1004))</f>
      </c>
      <c r="F111" s="16">
        <f>IF($B111="",0,SUMIF('Satışlar'!$C$5:$C$1004,$B111,'Satışlar'!$I$5:$I$1004))</f>
      </c>
      <c r="G111" s="16">
        <f>IF($B111="",0,SUMIF('Satışlar'!$C$5:$C$1004,$B111,'Satışlar'!$J$5:$J$1004))</f>
      </c>
      <c r="H111" s="16">
        <f>IF($B111="",0,SUMIF('Satışlar'!$C$5:$C$1004,$B111,'Satışlar'!$L$5:$L$1004))</f>
      </c>
      <c r="I111" s="21">
        <f>IF($B111="",0,SUMIF('Satışlar'!$C$5:$C$1004,$B111,'Satışlar'!$M$5:$M$1004))</f>
      </c>
      <c r="J111" s="22">
        <f>IF(OR($B111="",$E111=0),"",$I111/$E111)</f>
      </c>
    </row>
    <row r="112" spans="2:10" x14ac:dyDescent="0.25">
      <c r="B112" s="20">
        <f>IF('Ürün Kartları'!B112="","",'Ürün Kartları'!B112)</f>
      </c>
      <c r="C112" s="20">
        <f>IF('Ürün Kartları'!C112="","",'Ürün Kartları'!C112)</f>
      </c>
      <c r="D112" s="24">
        <f>IF($B112="",0,SUMIF('Satışlar'!$C$5:$C$1004,$B112,'Satışlar'!$G$5:$G$1004))</f>
      </c>
      <c r="E112" s="16">
        <f>IF($B112="",0,SUMIF('Satışlar'!$C$5:$C$1004,$B112,'Satışlar'!$H$5:$H$1004))</f>
      </c>
      <c r="F112" s="16">
        <f>IF($B112="",0,SUMIF('Satışlar'!$C$5:$C$1004,$B112,'Satışlar'!$I$5:$I$1004))</f>
      </c>
      <c r="G112" s="16">
        <f>IF($B112="",0,SUMIF('Satışlar'!$C$5:$C$1004,$B112,'Satışlar'!$J$5:$J$1004))</f>
      </c>
      <c r="H112" s="16">
        <f>IF($B112="",0,SUMIF('Satışlar'!$C$5:$C$1004,$B112,'Satışlar'!$L$5:$L$1004))</f>
      </c>
      <c r="I112" s="21">
        <f>IF($B112="",0,SUMIF('Satışlar'!$C$5:$C$1004,$B112,'Satışlar'!$M$5:$M$1004))</f>
      </c>
      <c r="J112" s="22">
        <f>IF(OR($B112="",$E112=0),"",$I112/$E112)</f>
      </c>
    </row>
    <row r="113" spans="2:10" x14ac:dyDescent="0.25">
      <c r="B113" s="20">
        <f>IF('Ürün Kartları'!B113="","",'Ürün Kartları'!B113)</f>
      </c>
      <c r="C113" s="20">
        <f>IF('Ürün Kartları'!C113="","",'Ürün Kartları'!C113)</f>
      </c>
      <c r="D113" s="24">
        <f>IF($B113="",0,SUMIF('Satışlar'!$C$5:$C$1004,$B113,'Satışlar'!$G$5:$G$1004))</f>
      </c>
      <c r="E113" s="16">
        <f>IF($B113="",0,SUMIF('Satışlar'!$C$5:$C$1004,$B113,'Satışlar'!$H$5:$H$1004))</f>
      </c>
      <c r="F113" s="16">
        <f>IF($B113="",0,SUMIF('Satışlar'!$C$5:$C$1004,$B113,'Satışlar'!$I$5:$I$1004))</f>
      </c>
      <c r="G113" s="16">
        <f>IF($B113="",0,SUMIF('Satışlar'!$C$5:$C$1004,$B113,'Satışlar'!$J$5:$J$1004))</f>
      </c>
      <c r="H113" s="16">
        <f>IF($B113="",0,SUMIF('Satışlar'!$C$5:$C$1004,$B113,'Satışlar'!$L$5:$L$1004))</f>
      </c>
      <c r="I113" s="21">
        <f>IF($B113="",0,SUMIF('Satışlar'!$C$5:$C$1004,$B113,'Satışlar'!$M$5:$M$1004))</f>
      </c>
      <c r="J113" s="22">
        <f>IF(OR($B113="",$E113=0),"",$I113/$E113)</f>
      </c>
    </row>
    <row r="114" spans="2:10" x14ac:dyDescent="0.25">
      <c r="B114" s="20">
        <f>IF('Ürün Kartları'!B114="","",'Ürün Kartları'!B114)</f>
      </c>
      <c r="C114" s="20">
        <f>IF('Ürün Kartları'!C114="","",'Ürün Kartları'!C114)</f>
      </c>
      <c r="D114" s="24">
        <f>IF($B114="",0,SUMIF('Satışlar'!$C$5:$C$1004,$B114,'Satışlar'!$G$5:$G$1004))</f>
      </c>
      <c r="E114" s="16">
        <f>IF($B114="",0,SUMIF('Satışlar'!$C$5:$C$1004,$B114,'Satışlar'!$H$5:$H$1004))</f>
      </c>
      <c r="F114" s="16">
        <f>IF($B114="",0,SUMIF('Satışlar'!$C$5:$C$1004,$B114,'Satışlar'!$I$5:$I$1004))</f>
      </c>
      <c r="G114" s="16">
        <f>IF($B114="",0,SUMIF('Satışlar'!$C$5:$C$1004,$B114,'Satışlar'!$J$5:$J$1004))</f>
      </c>
      <c r="H114" s="16">
        <f>IF($B114="",0,SUMIF('Satışlar'!$C$5:$C$1004,$B114,'Satışlar'!$L$5:$L$1004))</f>
      </c>
      <c r="I114" s="21">
        <f>IF($B114="",0,SUMIF('Satışlar'!$C$5:$C$1004,$B114,'Satışlar'!$M$5:$M$1004))</f>
      </c>
      <c r="J114" s="22">
        <f>IF(OR($B114="",$E114=0),"",$I114/$E114)</f>
      </c>
    </row>
    <row r="115" spans="2:10" x14ac:dyDescent="0.25">
      <c r="B115" s="20">
        <f>IF('Ürün Kartları'!B115="","",'Ürün Kartları'!B115)</f>
      </c>
      <c r="C115" s="20">
        <f>IF('Ürün Kartları'!C115="","",'Ürün Kartları'!C115)</f>
      </c>
      <c r="D115" s="24">
        <f>IF($B115="",0,SUMIF('Satışlar'!$C$5:$C$1004,$B115,'Satışlar'!$G$5:$G$1004))</f>
      </c>
      <c r="E115" s="16">
        <f>IF($B115="",0,SUMIF('Satışlar'!$C$5:$C$1004,$B115,'Satışlar'!$H$5:$H$1004))</f>
      </c>
      <c r="F115" s="16">
        <f>IF($B115="",0,SUMIF('Satışlar'!$C$5:$C$1004,$B115,'Satışlar'!$I$5:$I$1004))</f>
      </c>
      <c r="G115" s="16">
        <f>IF($B115="",0,SUMIF('Satışlar'!$C$5:$C$1004,$B115,'Satışlar'!$J$5:$J$1004))</f>
      </c>
      <c r="H115" s="16">
        <f>IF($B115="",0,SUMIF('Satışlar'!$C$5:$C$1004,$B115,'Satışlar'!$L$5:$L$1004))</f>
      </c>
      <c r="I115" s="21">
        <f>IF($B115="",0,SUMIF('Satışlar'!$C$5:$C$1004,$B115,'Satışlar'!$M$5:$M$1004))</f>
      </c>
      <c r="J115" s="22">
        <f>IF(OR($B115="",$E115=0),"",$I115/$E115)</f>
      </c>
    </row>
    <row r="116" spans="2:10" x14ac:dyDescent="0.25">
      <c r="B116" s="20">
        <f>IF('Ürün Kartları'!B116="","",'Ürün Kartları'!B116)</f>
      </c>
      <c r="C116" s="20">
        <f>IF('Ürün Kartları'!C116="","",'Ürün Kartları'!C116)</f>
      </c>
      <c r="D116" s="24">
        <f>IF($B116="",0,SUMIF('Satışlar'!$C$5:$C$1004,$B116,'Satışlar'!$G$5:$G$1004))</f>
      </c>
      <c r="E116" s="16">
        <f>IF($B116="",0,SUMIF('Satışlar'!$C$5:$C$1004,$B116,'Satışlar'!$H$5:$H$1004))</f>
      </c>
      <c r="F116" s="16">
        <f>IF($B116="",0,SUMIF('Satışlar'!$C$5:$C$1004,$B116,'Satışlar'!$I$5:$I$1004))</f>
      </c>
      <c r="G116" s="16">
        <f>IF($B116="",0,SUMIF('Satışlar'!$C$5:$C$1004,$B116,'Satışlar'!$J$5:$J$1004))</f>
      </c>
      <c r="H116" s="16">
        <f>IF($B116="",0,SUMIF('Satışlar'!$C$5:$C$1004,$B116,'Satışlar'!$L$5:$L$1004))</f>
      </c>
      <c r="I116" s="21">
        <f>IF($B116="",0,SUMIF('Satışlar'!$C$5:$C$1004,$B116,'Satışlar'!$M$5:$M$1004))</f>
      </c>
      <c r="J116" s="22">
        <f>IF(OR($B116="",$E116=0),"",$I116/$E116)</f>
      </c>
    </row>
    <row r="117" spans="2:10" x14ac:dyDescent="0.25">
      <c r="B117" s="20">
        <f>IF('Ürün Kartları'!B117="","",'Ürün Kartları'!B117)</f>
      </c>
      <c r="C117" s="20">
        <f>IF('Ürün Kartları'!C117="","",'Ürün Kartları'!C117)</f>
      </c>
      <c r="D117" s="24">
        <f>IF($B117="",0,SUMIF('Satışlar'!$C$5:$C$1004,$B117,'Satışlar'!$G$5:$G$1004))</f>
      </c>
      <c r="E117" s="16">
        <f>IF($B117="",0,SUMIF('Satışlar'!$C$5:$C$1004,$B117,'Satışlar'!$H$5:$H$1004))</f>
      </c>
      <c r="F117" s="16">
        <f>IF($B117="",0,SUMIF('Satışlar'!$C$5:$C$1004,$B117,'Satışlar'!$I$5:$I$1004))</f>
      </c>
      <c r="G117" s="16">
        <f>IF($B117="",0,SUMIF('Satışlar'!$C$5:$C$1004,$B117,'Satışlar'!$J$5:$J$1004))</f>
      </c>
      <c r="H117" s="16">
        <f>IF($B117="",0,SUMIF('Satışlar'!$C$5:$C$1004,$B117,'Satışlar'!$L$5:$L$1004))</f>
      </c>
      <c r="I117" s="21">
        <f>IF($B117="",0,SUMIF('Satışlar'!$C$5:$C$1004,$B117,'Satışlar'!$M$5:$M$1004))</f>
      </c>
      <c r="J117" s="22">
        <f>IF(OR($B117="",$E117=0),"",$I117/$E117)</f>
      </c>
    </row>
    <row r="118" spans="2:10" x14ac:dyDescent="0.25">
      <c r="B118" s="20">
        <f>IF('Ürün Kartları'!B118="","",'Ürün Kartları'!B118)</f>
      </c>
      <c r="C118" s="20">
        <f>IF('Ürün Kartları'!C118="","",'Ürün Kartları'!C118)</f>
      </c>
      <c r="D118" s="24">
        <f>IF($B118="",0,SUMIF('Satışlar'!$C$5:$C$1004,$B118,'Satışlar'!$G$5:$G$1004))</f>
      </c>
      <c r="E118" s="16">
        <f>IF($B118="",0,SUMIF('Satışlar'!$C$5:$C$1004,$B118,'Satışlar'!$H$5:$H$1004))</f>
      </c>
      <c r="F118" s="16">
        <f>IF($B118="",0,SUMIF('Satışlar'!$C$5:$C$1004,$B118,'Satışlar'!$I$5:$I$1004))</f>
      </c>
      <c r="G118" s="16">
        <f>IF($B118="",0,SUMIF('Satışlar'!$C$5:$C$1004,$B118,'Satışlar'!$J$5:$J$1004))</f>
      </c>
      <c r="H118" s="16">
        <f>IF($B118="",0,SUMIF('Satışlar'!$C$5:$C$1004,$B118,'Satışlar'!$L$5:$L$1004))</f>
      </c>
      <c r="I118" s="21">
        <f>IF($B118="",0,SUMIF('Satışlar'!$C$5:$C$1004,$B118,'Satışlar'!$M$5:$M$1004))</f>
      </c>
      <c r="J118" s="22">
        <f>IF(OR($B118="",$E118=0),"",$I118/$E118)</f>
      </c>
    </row>
    <row r="119" spans="2:10" x14ac:dyDescent="0.25">
      <c r="B119" s="20">
        <f>IF('Ürün Kartları'!B119="","",'Ürün Kartları'!B119)</f>
      </c>
      <c r="C119" s="20">
        <f>IF('Ürün Kartları'!C119="","",'Ürün Kartları'!C119)</f>
      </c>
      <c r="D119" s="24">
        <f>IF($B119="",0,SUMIF('Satışlar'!$C$5:$C$1004,$B119,'Satışlar'!$G$5:$G$1004))</f>
      </c>
      <c r="E119" s="16">
        <f>IF($B119="",0,SUMIF('Satışlar'!$C$5:$C$1004,$B119,'Satışlar'!$H$5:$H$1004))</f>
      </c>
      <c r="F119" s="16">
        <f>IF($B119="",0,SUMIF('Satışlar'!$C$5:$C$1004,$B119,'Satışlar'!$I$5:$I$1004))</f>
      </c>
      <c r="G119" s="16">
        <f>IF($B119="",0,SUMIF('Satışlar'!$C$5:$C$1004,$B119,'Satışlar'!$J$5:$J$1004))</f>
      </c>
      <c r="H119" s="16">
        <f>IF($B119="",0,SUMIF('Satışlar'!$C$5:$C$1004,$B119,'Satışlar'!$L$5:$L$1004))</f>
      </c>
      <c r="I119" s="21">
        <f>IF($B119="",0,SUMIF('Satışlar'!$C$5:$C$1004,$B119,'Satışlar'!$M$5:$M$1004))</f>
      </c>
      <c r="J119" s="22">
        <f>IF(OR($B119="",$E119=0),"",$I119/$E119)</f>
      </c>
    </row>
    <row r="120" spans="2:10" x14ac:dyDescent="0.25">
      <c r="B120" s="20">
        <f>IF('Ürün Kartları'!B120="","",'Ürün Kartları'!B120)</f>
      </c>
      <c r="C120" s="20">
        <f>IF('Ürün Kartları'!C120="","",'Ürün Kartları'!C120)</f>
      </c>
      <c r="D120" s="24">
        <f>IF($B120="",0,SUMIF('Satışlar'!$C$5:$C$1004,$B120,'Satışlar'!$G$5:$G$1004))</f>
      </c>
      <c r="E120" s="16">
        <f>IF($B120="",0,SUMIF('Satışlar'!$C$5:$C$1004,$B120,'Satışlar'!$H$5:$H$1004))</f>
      </c>
      <c r="F120" s="16">
        <f>IF($B120="",0,SUMIF('Satışlar'!$C$5:$C$1004,$B120,'Satışlar'!$I$5:$I$1004))</f>
      </c>
      <c r="G120" s="16">
        <f>IF($B120="",0,SUMIF('Satışlar'!$C$5:$C$1004,$B120,'Satışlar'!$J$5:$J$1004))</f>
      </c>
      <c r="H120" s="16">
        <f>IF($B120="",0,SUMIF('Satışlar'!$C$5:$C$1004,$B120,'Satışlar'!$L$5:$L$1004))</f>
      </c>
      <c r="I120" s="21">
        <f>IF($B120="",0,SUMIF('Satışlar'!$C$5:$C$1004,$B120,'Satışlar'!$M$5:$M$1004))</f>
      </c>
      <c r="J120" s="22">
        <f>IF(OR($B120="",$E120=0),"",$I120/$E120)</f>
      </c>
    </row>
    <row r="121" spans="2:10" x14ac:dyDescent="0.25">
      <c r="B121" s="20">
        <f>IF('Ürün Kartları'!B121="","",'Ürün Kartları'!B121)</f>
      </c>
      <c r="C121" s="20">
        <f>IF('Ürün Kartları'!C121="","",'Ürün Kartları'!C121)</f>
      </c>
      <c r="D121" s="24">
        <f>IF($B121="",0,SUMIF('Satışlar'!$C$5:$C$1004,$B121,'Satışlar'!$G$5:$G$1004))</f>
      </c>
      <c r="E121" s="16">
        <f>IF($B121="",0,SUMIF('Satışlar'!$C$5:$C$1004,$B121,'Satışlar'!$H$5:$H$1004))</f>
      </c>
      <c r="F121" s="16">
        <f>IF($B121="",0,SUMIF('Satışlar'!$C$5:$C$1004,$B121,'Satışlar'!$I$5:$I$1004))</f>
      </c>
      <c r="G121" s="16">
        <f>IF($B121="",0,SUMIF('Satışlar'!$C$5:$C$1004,$B121,'Satışlar'!$J$5:$J$1004))</f>
      </c>
      <c r="H121" s="16">
        <f>IF($B121="",0,SUMIF('Satışlar'!$C$5:$C$1004,$B121,'Satışlar'!$L$5:$L$1004))</f>
      </c>
      <c r="I121" s="21">
        <f>IF($B121="",0,SUMIF('Satışlar'!$C$5:$C$1004,$B121,'Satışlar'!$M$5:$M$1004))</f>
      </c>
      <c r="J121" s="22">
        <f>IF(OR($B121="",$E121=0),"",$I121/$E121)</f>
      </c>
    </row>
    <row r="122" spans="2:10" x14ac:dyDescent="0.25">
      <c r="B122" s="20">
        <f>IF('Ürün Kartları'!B122="","",'Ürün Kartları'!B122)</f>
      </c>
      <c r="C122" s="20">
        <f>IF('Ürün Kartları'!C122="","",'Ürün Kartları'!C122)</f>
      </c>
      <c r="D122" s="24">
        <f>IF($B122="",0,SUMIF('Satışlar'!$C$5:$C$1004,$B122,'Satışlar'!$G$5:$G$1004))</f>
      </c>
      <c r="E122" s="16">
        <f>IF($B122="",0,SUMIF('Satışlar'!$C$5:$C$1004,$B122,'Satışlar'!$H$5:$H$1004))</f>
      </c>
      <c r="F122" s="16">
        <f>IF($B122="",0,SUMIF('Satışlar'!$C$5:$C$1004,$B122,'Satışlar'!$I$5:$I$1004))</f>
      </c>
      <c r="G122" s="16">
        <f>IF($B122="",0,SUMIF('Satışlar'!$C$5:$C$1004,$B122,'Satışlar'!$J$5:$J$1004))</f>
      </c>
      <c r="H122" s="16">
        <f>IF($B122="",0,SUMIF('Satışlar'!$C$5:$C$1004,$B122,'Satışlar'!$L$5:$L$1004))</f>
      </c>
      <c r="I122" s="21">
        <f>IF($B122="",0,SUMIF('Satışlar'!$C$5:$C$1004,$B122,'Satışlar'!$M$5:$M$1004))</f>
      </c>
      <c r="J122" s="22">
        <f>IF(OR($B122="",$E122=0),"",$I122/$E122)</f>
      </c>
    </row>
    <row r="123" spans="2:10" x14ac:dyDescent="0.25">
      <c r="B123" s="20">
        <f>IF('Ürün Kartları'!B123="","",'Ürün Kartları'!B123)</f>
      </c>
      <c r="C123" s="20">
        <f>IF('Ürün Kartları'!C123="","",'Ürün Kartları'!C123)</f>
      </c>
      <c r="D123" s="24">
        <f>IF($B123="",0,SUMIF('Satışlar'!$C$5:$C$1004,$B123,'Satışlar'!$G$5:$G$1004))</f>
      </c>
      <c r="E123" s="16">
        <f>IF($B123="",0,SUMIF('Satışlar'!$C$5:$C$1004,$B123,'Satışlar'!$H$5:$H$1004))</f>
      </c>
      <c r="F123" s="16">
        <f>IF($B123="",0,SUMIF('Satışlar'!$C$5:$C$1004,$B123,'Satışlar'!$I$5:$I$1004))</f>
      </c>
      <c r="G123" s="16">
        <f>IF($B123="",0,SUMIF('Satışlar'!$C$5:$C$1004,$B123,'Satışlar'!$J$5:$J$1004))</f>
      </c>
      <c r="H123" s="16">
        <f>IF($B123="",0,SUMIF('Satışlar'!$C$5:$C$1004,$B123,'Satışlar'!$L$5:$L$1004))</f>
      </c>
      <c r="I123" s="21">
        <f>IF($B123="",0,SUMIF('Satışlar'!$C$5:$C$1004,$B123,'Satışlar'!$M$5:$M$1004))</f>
      </c>
      <c r="J123" s="22">
        <f>IF(OR($B123="",$E123=0),"",$I123/$E123)</f>
      </c>
    </row>
    <row r="124" spans="2:10" x14ac:dyDescent="0.25">
      <c r="B124" s="20">
        <f>IF('Ürün Kartları'!B124="","",'Ürün Kartları'!B124)</f>
      </c>
      <c r="C124" s="20">
        <f>IF('Ürün Kartları'!C124="","",'Ürün Kartları'!C124)</f>
      </c>
      <c r="D124" s="24">
        <f>IF($B124="",0,SUMIF('Satışlar'!$C$5:$C$1004,$B124,'Satışlar'!$G$5:$G$1004))</f>
      </c>
      <c r="E124" s="16">
        <f>IF($B124="",0,SUMIF('Satışlar'!$C$5:$C$1004,$B124,'Satışlar'!$H$5:$H$1004))</f>
      </c>
      <c r="F124" s="16">
        <f>IF($B124="",0,SUMIF('Satışlar'!$C$5:$C$1004,$B124,'Satışlar'!$I$5:$I$1004))</f>
      </c>
      <c r="G124" s="16">
        <f>IF($B124="",0,SUMIF('Satışlar'!$C$5:$C$1004,$B124,'Satışlar'!$J$5:$J$1004))</f>
      </c>
      <c r="H124" s="16">
        <f>IF($B124="",0,SUMIF('Satışlar'!$C$5:$C$1004,$B124,'Satışlar'!$L$5:$L$1004))</f>
      </c>
      <c r="I124" s="21">
        <f>IF($B124="",0,SUMIF('Satışlar'!$C$5:$C$1004,$B124,'Satışlar'!$M$5:$M$1004))</f>
      </c>
      <c r="J124" s="22">
        <f>IF(OR($B124="",$E124=0),"",$I124/$E124)</f>
      </c>
    </row>
    <row r="125" spans="2:10" x14ac:dyDescent="0.25">
      <c r="B125" s="20">
        <f>IF('Ürün Kartları'!B125="","",'Ürün Kartları'!B125)</f>
      </c>
      <c r="C125" s="20">
        <f>IF('Ürün Kartları'!C125="","",'Ürün Kartları'!C125)</f>
      </c>
      <c r="D125" s="24">
        <f>IF($B125="",0,SUMIF('Satışlar'!$C$5:$C$1004,$B125,'Satışlar'!$G$5:$G$1004))</f>
      </c>
      <c r="E125" s="16">
        <f>IF($B125="",0,SUMIF('Satışlar'!$C$5:$C$1004,$B125,'Satışlar'!$H$5:$H$1004))</f>
      </c>
      <c r="F125" s="16">
        <f>IF($B125="",0,SUMIF('Satışlar'!$C$5:$C$1004,$B125,'Satışlar'!$I$5:$I$1004))</f>
      </c>
      <c r="G125" s="16">
        <f>IF($B125="",0,SUMIF('Satışlar'!$C$5:$C$1004,$B125,'Satışlar'!$J$5:$J$1004))</f>
      </c>
      <c r="H125" s="16">
        <f>IF($B125="",0,SUMIF('Satışlar'!$C$5:$C$1004,$B125,'Satışlar'!$L$5:$L$1004))</f>
      </c>
      <c r="I125" s="21">
        <f>IF($B125="",0,SUMIF('Satışlar'!$C$5:$C$1004,$B125,'Satışlar'!$M$5:$M$1004))</f>
      </c>
      <c r="J125" s="22">
        <f>IF(OR($B125="",$E125=0),"",$I125/$E125)</f>
      </c>
    </row>
    <row r="126" spans="2:10" x14ac:dyDescent="0.25">
      <c r="B126" s="20">
        <f>IF('Ürün Kartları'!B126="","",'Ürün Kartları'!B126)</f>
      </c>
      <c r="C126" s="20">
        <f>IF('Ürün Kartları'!C126="","",'Ürün Kartları'!C126)</f>
      </c>
      <c r="D126" s="24">
        <f>IF($B126="",0,SUMIF('Satışlar'!$C$5:$C$1004,$B126,'Satışlar'!$G$5:$G$1004))</f>
      </c>
      <c r="E126" s="16">
        <f>IF($B126="",0,SUMIF('Satışlar'!$C$5:$C$1004,$B126,'Satışlar'!$H$5:$H$1004))</f>
      </c>
      <c r="F126" s="16">
        <f>IF($B126="",0,SUMIF('Satışlar'!$C$5:$C$1004,$B126,'Satışlar'!$I$5:$I$1004))</f>
      </c>
      <c r="G126" s="16">
        <f>IF($B126="",0,SUMIF('Satışlar'!$C$5:$C$1004,$B126,'Satışlar'!$J$5:$J$1004))</f>
      </c>
      <c r="H126" s="16">
        <f>IF($B126="",0,SUMIF('Satışlar'!$C$5:$C$1004,$B126,'Satışlar'!$L$5:$L$1004))</f>
      </c>
      <c r="I126" s="21">
        <f>IF($B126="",0,SUMIF('Satışlar'!$C$5:$C$1004,$B126,'Satışlar'!$M$5:$M$1004))</f>
      </c>
      <c r="J126" s="22">
        <f>IF(OR($B126="",$E126=0),"",$I126/$E126)</f>
      </c>
    </row>
    <row r="127" spans="2:10" x14ac:dyDescent="0.25">
      <c r="B127" s="20">
        <f>IF('Ürün Kartları'!B127="","",'Ürün Kartları'!B127)</f>
      </c>
      <c r="C127" s="20">
        <f>IF('Ürün Kartları'!C127="","",'Ürün Kartları'!C127)</f>
      </c>
      <c r="D127" s="24">
        <f>IF($B127="",0,SUMIF('Satışlar'!$C$5:$C$1004,$B127,'Satışlar'!$G$5:$G$1004))</f>
      </c>
      <c r="E127" s="16">
        <f>IF($B127="",0,SUMIF('Satışlar'!$C$5:$C$1004,$B127,'Satışlar'!$H$5:$H$1004))</f>
      </c>
      <c r="F127" s="16">
        <f>IF($B127="",0,SUMIF('Satışlar'!$C$5:$C$1004,$B127,'Satışlar'!$I$5:$I$1004))</f>
      </c>
      <c r="G127" s="16">
        <f>IF($B127="",0,SUMIF('Satışlar'!$C$5:$C$1004,$B127,'Satışlar'!$J$5:$J$1004))</f>
      </c>
      <c r="H127" s="16">
        <f>IF($B127="",0,SUMIF('Satışlar'!$C$5:$C$1004,$B127,'Satışlar'!$L$5:$L$1004))</f>
      </c>
      <c r="I127" s="21">
        <f>IF($B127="",0,SUMIF('Satışlar'!$C$5:$C$1004,$B127,'Satışlar'!$M$5:$M$1004))</f>
      </c>
      <c r="J127" s="22">
        <f>IF(OR($B127="",$E127=0),"",$I127/$E127)</f>
      </c>
    </row>
    <row r="128" spans="2:10" x14ac:dyDescent="0.25">
      <c r="B128" s="20">
        <f>IF('Ürün Kartları'!B128="","",'Ürün Kartları'!B128)</f>
      </c>
      <c r="C128" s="20">
        <f>IF('Ürün Kartları'!C128="","",'Ürün Kartları'!C128)</f>
      </c>
      <c r="D128" s="24">
        <f>IF($B128="",0,SUMIF('Satışlar'!$C$5:$C$1004,$B128,'Satışlar'!$G$5:$G$1004))</f>
      </c>
      <c r="E128" s="16">
        <f>IF($B128="",0,SUMIF('Satışlar'!$C$5:$C$1004,$B128,'Satışlar'!$H$5:$H$1004))</f>
      </c>
      <c r="F128" s="16">
        <f>IF($B128="",0,SUMIF('Satışlar'!$C$5:$C$1004,$B128,'Satışlar'!$I$5:$I$1004))</f>
      </c>
      <c r="G128" s="16">
        <f>IF($B128="",0,SUMIF('Satışlar'!$C$5:$C$1004,$B128,'Satışlar'!$J$5:$J$1004))</f>
      </c>
      <c r="H128" s="16">
        <f>IF($B128="",0,SUMIF('Satışlar'!$C$5:$C$1004,$B128,'Satışlar'!$L$5:$L$1004))</f>
      </c>
      <c r="I128" s="21">
        <f>IF($B128="",0,SUMIF('Satışlar'!$C$5:$C$1004,$B128,'Satışlar'!$M$5:$M$1004))</f>
      </c>
      <c r="J128" s="22">
        <f>IF(OR($B128="",$E128=0),"",$I128/$E128)</f>
      </c>
    </row>
    <row r="129" spans="2:10" x14ac:dyDescent="0.25">
      <c r="B129" s="20">
        <f>IF('Ürün Kartları'!B129="","",'Ürün Kartları'!B129)</f>
      </c>
      <c r="C129" s="20">
        <f>IF('Ürün Kartları'!C129="","",'Ürün Kartları'!C129)</f>
      </c>
      <c r="D129" s="24">
        <f>IF($B129="",0,SUMIF('Satışlar'!$C$5:$C$1004,$B129,'Satışlar'!$G$5:$G$1004))</f>
      </c>
      <c r="E129" s="16">
        <f>IF($B129="",0,SUMIF('Satışlar'!$C$5:$C$1004,$B129,'Satışlar'!$H$5:$H$1004))</f>
      </c>
      <c r="F129" s="16">
        <f>IF($B129="",0,SUMIF('Satışlar'!$C$5:$C$1004,$B129,'Satışlar'!$I$5:$I$1004))</f>
      </c>
      <c r="G129" s="16">
        <f>IF($B129="",0,SUMIF('Satışlar'!$C$5:$C$1004,$B129,'Satışlar'!$J$5:$J$1004))</f>
      </c>
      <c r="H129" s="16">
        <f>IF($B129="",0,SUMIF('Satışlar'!$C$5:$C$1004,$B129,'Satışlar'!$L$5:$L$1004))</f>
      </c>
      <c r="I129" s="21">
        <f>IF($B129="",0,SUMIF('Satışlar'!$C$5:$C$1004,$B129,'Satışlar'!$M$5:$M$1004))</f>
      </c>
      <c r="J129" s="22">
        <f>IF(OR($B129="",$E129=0),"",$I129/$E129)</f>
      </c>
    </row>
    <row r="130" spans="2:10" x14ac:dyDescent="0.25">
      <c r="B130" s="20">
        <f>IF('Ürün Kartları'!B130="","",'Ürün Kartları'!B130)</f>
      </c>
      <c r="C130" s="20">
        <f>IF('Ürün Kartları'!C130="","",'Ürün Kartları'!C130)</f>
      </c>
      <c r="D130" s="24">
        <f>IF($B130="",0,SUMIF('Satışlar'!$C$5:$C$1004,$B130,'Satışlar'!$G$5:$G$1004))</f>
      </c>
      <c r="E130" s="16">
        <f>IF($B130="",0,SUMIF('Satışlar'!$C$5:$C$1004,$B130,'Satışlar'!$H$5:$H$1004))</f>
      </c>
      <c r="F130" s="16">
        <f>IF($B130="",0,SUMIF('Satışlar'!$C$5:$C$1004,$B130,'Satışlar'!$I$5:$I$1004))</f>
      </c>
      <c r="G130" s="16">
        <f>IF($B130="",0,SUMIF('Satışlar'!$C$5:$C$1004,$B130,'Satışlar'!$J$5:$J$1004))</f>
      </c>
      <c r="H130" s="16">
        <f>IF($B130="",0,SUMIF('Satışlar'!$C$5:$C$1004,$B130,'Satışlar'!$L$5:$L$1004))</f>
      </c>
      <c r="I130" s="21">
        <f>IF($B130="",0,SUMIF('Satışlar'!$C$5:$C$1004,$B130,'Satışlar'!$M$5:$M$1004))</f>
      </c>
      <c r="J130" s="22">
        <f>IF(OR($B130="",$E130=0),"",$I130/$E130)</f>
      </c>
    </row>
    <row r="131" spans="2:10" x14ac:dyDescent="0.25">
      <c r="B131" s="20">
        <f>IF('Ürün Kartları'!B131="","",'Ürün Kartları'!B131)</f>
      </c>
      <c r="C131" s="20">
        <f>IF('Ürün Kartları'!C131="","",'Ürün Kartları'!C131)</f>
      </c>
      <c r="D131" s="24">
        <f>IF($B131="",0,SUMIF('Satışlar'!$C$5:$C$1004,$B131,'Satışlar'!$G$5:$G$1004))</f>
      </c>
      <c r="E131" s="16">
        <f>IF($B131="",0,SUMIF('Satışlar'!$C$5:$C$1004,$B131,'Satışlar'!$H$5:$H$1004))</f>
      </c>
      <c r="F131" s="16">
        <f>IF($B131="",0,SUMIF('Satışlar'!$C$5:$C$1004,$B131,'Satışlar'!$I$5:$I$1004))</f>
      </c>
      <c r="G131" s="16">
        <f>IF($B131="",0,SUMIF('Satışlar'!$C$5:$C$1004,$B131,'Satışlar'!$J$5:$J$1004))</f>
      </c>
      <c r="H131" s="16">
        <f>IF($B131="",0,SUMIF('Satışlar'!$C$5:$C$1004,$B131,'Satışlar'!$L$5:$L$1004))</f>
      </c>
      <c r="I131" s="21">
        <f>IF($B131="",0,SUMIF('Satışlar'!$C$5:$C$1004,$B131,'Satışlar'!$M$5:$M$1004))</f>
      </c>
      <c r="J131" s="22">
        <f>IF(OR($B131="",$E131=0),"",$I131/$E131)</f>
      </c>
    </row>
    <row r="132" spans="2:10" x14ac:dyDescent="0.25">
      <c r="B132" s="20">
        <f>IF('Ürün Kartları'!B132="","",'Ürün Kartları'!B132)</f>
      </c>
      <c r="C132" s="20">
        <f>IF('Ürün Kartları'!C132="","",'Ürün Kartları'!C132)</f>
      </c>
      <c r="D132" s="24">
        <f>IF($B132="",0,SUMIF('Satışlar'!$C$5:$C$1004,$B132,'Satışlar'!$G$5:$G$1004))</f>
      </c>
      <c r="E132" s="16">
        <f>IF($B132="",0,SUMIF('Satışlar'!$C$5:$C$1004,$B132,'Satışlar'!$H$5:$H$1004))</f>
      </c>
      <c r="F132" s="16">
        <f>IF($B132="",0,SUMIF('Satışlar'!$C$5:$C$1004,$B132,'Satışlar'!$I$5:$I$1004))</f>
      </c>
      <c r="G132" s="16">
        <f>IF($B132="",0,SUMIF('Satışlar'!$C$5:$C$1004,$B132,'Satışlar'!$J$5:$J$1004))</f>
      </c>
      <c r="H132" s="16">
        <f>IF($B132="",0,SUMIF('Satışlar'!$C$5:$C$1004,$B132,'Satışlar'!$L$5:$L$1004))</f>
      </c>
      <c r="I132" s="21">
        <f>IF($B132="",0,SUMIF('Satışlar'!$C$5:$C$1004,$B132,'Satışlar'!$M$5:$M$1004))</f>
      </c>
      <c r="J132" s="22">
        <f>IF(OR($B132="",$E132=0),"",$I132/$E132)</f>
      </c>
    </row>
    <row r="133" spans="2:10" x14ac:dyDescent="0.25">
      <c r="B133" s="20">
        <f>IF('Ürün Kartları'!B133="","",'Ürün Kartları'!B133)</f>
      </c>
      <c r="C133" s="20">
        <f>IF('Ürün Kartları'!C133="","",'Ürün Kartları'!C133)</f>
      </c>
      <c r="D133" s="24">
        <f>IF($B133="",0,SUMIF('Satışlar'!$C$5:$C$1004,$B133,'Satışlar'!$G$5:$G$1004))</f>
      </c>
      <c r="E133" s="16">
        <f>IF($B133="",0,SUMIF('Satışlar'!$C$5:$C$1004,$B133,'Satışlar'!$H$5:$H$1004))</f>
      </c>
      <c r="F133" s="16">
        <f>IF($B133="",0,SUMIF('Satışlar'!$C$5:$C$1004,$B133,'Satışlar'!$I$5:$I$1004))</f>
      </c>
      <c r="G133" s="16">
        <f>IF($B133="",0,SUMIF('Satışlar'!$C$5:$C$1004,$B133,'Satışlar'!$J$5:$J$1004))</f>
      </c>
      <c r="H133" s="16">
        <f>IF($B133="",0,SUMIF('Satışlar'!$C$5:$C$1004,$B133,'Satışlar'!$L$5:$L$1004))</f>
      </c>
      <c r="I133" s="21">
        <f>IF($B133="",0,SUMIF('Satışlar'!$C$5:$C$1004,$B133,'Satışlar'!$M$5:$M$1004))</f>
      </c>
      <c r="J133" s="22">
        <f>IF(OR($B133="",$E133=0),"",$I133/$E133)</f>
      </c>
    </row>
    <row r="134" spans="2:10" x14ac:dyDescent="0.25">
      <c r="B134" s="20">
        <f>IF('Ürün Kartları'!B134="","",'Ürün Kartları'!B134)</f>
      </c>
      <c r="C134" s="20">
        <f>IF('Ürün Kartları'!C134="","",'Ürün Kartları'!C134)</f>
      </c>
      <c r="D134" s="24">
        <f>IF($B134="",0,SUMIF('Satışlar'!$C$5:$C$1004,$B134,'Satışlar'!$G$5:$G$1004))</f>
      </c>
      <c r="E134" s="16">
        <f>IF($B134="",0,SUMIF('Satışlar'!$C$5:$C$1004,$B134,'Satışlar'!$H$5:$H$1004))</f>
      </c>
      <c r="F134" s="16">
        <f>IF($B134="",0,SUMIF('Satışlar'!$C$5:$C$1004,$B134,'Satışlar'!$I$5:$I$1004))</f>
      </c>
      <c r="G134" s="16">
        <f>IF($B134="",0,SUMIF('Satışlar'!$C$5:$C$1004,$B134,'Satışlar'!$J$5:$J$1004))</f>
      </c>
      <c r="H134" s="16">
        <f>IF($B134="",0,SUMIF('Satışlar'!$C$5:$C$1004,$B134,'Satışlar'!$L$5:$L$1004))</f>
      </c>
      <c r="I134" s="21">
        <f>IF($B134="",0,SUMIF('Satışlar'!$C$5:$C$1004,$B134,'Satışlar'!$M$5:$M$1004))</f>
      </c>
      <c r="J134" s="22">
        <f>IF(OR($B134="",$E134=0),"",$I134/$E134)</f>
      </c>
    </row>
    <row r="135" spans="2:10" x14ac:dyDescent="0.25">
      <c r="B135" s="20">
        <f>IF('Ürün Kartları'!B135="","",'Ürün Kartları'!B135)</f>
      </c>
      <c r="C135" s="20">
        <f>IF('Ürün Kartları'!C135="","",'Ürün Kartları'!C135)</f>
      </c>
      <c r="D135" s="24">
        <f>IF($B135="",0,SUMIF('Satışlar'!$C$5:$C$1004,$B135,'Satışlar'!$G$5:$G$1004))</f>
      </c>
      <c r="E135" s="16">
        <f>IF($B135="",0,SUMIF('Satışlar'!$C$5:$C$1004,$B135,'Satışlar'!$H$5:$H$1004))</f>
      </c>
      <c r="F135" s="16">
        <f>IF($B135="",0,SUMIF('Satışlar'!$C$5:$C$1004,$B135,'Satışlar'!$I$5:$I$1004))</f>
      </c>
      <c r="G135" s="16">
        <f>IF($B135="",0,SUMIF('Satışlar'!$C$5:$C$1004,$B135,'Satışlar'!$J$5:$J$1004))</f>
      </c>
      <c r="H135" s="16">
        <f>IF($B135="",0,SUMIF('Satışlar'!$C$5:$C$1004,$B135,'Satışlar'!$L$5:$L$1004))</f>
      </c>
      <c r="I135" s="21">
        <f>IF($B135="",0,SUMIF('Satışlar'!$C$5:$C$1004,$B135,'Satışlar'!$M$5:$M$1004))</f>
      </c>
      <c r="J135" s="22">
        <f>IF(OR($B135="",$E135=0),"",$I135/$E135)</f>
      </c>
    </row>
    <row r="136" spans="2:10" x14ac:dyDescent="0.25">
      <c r="B136" s="20">
        <f>IF('Ürün Kartları'!B136="","",'Ürün Kartları'!B136)</f>
      </c>
      <c r="C136" s="20">
        <f>IF('Ürün Kartları'!C136="","",'Ürün Kartları'!C136)</f>
      </c>
      <c r="D136" s="24">
        <f>IF($B136="",0,SUMIF('Satışlar'!$C$5:$C$1004,$B136,'Satışlar'!$G$5:$G$1004))</f>
      </c>
      <c r="E136" s="16">
        <f>IF($B136="",0,SUMIF('Satışlar'!$C$5:$C$1004,$B136,'Satışlar'!$H$5:$H$1004))</f>
      </c>
      <c r="F136" s="16">
        <f>IF($B136="",0,SUMIF('Satışlar'!$C$5:$C$1004,$B136,'Satışlar'!$I$5:$I$1004))</f>
      </c>
      <c r="G136" s="16">
        <f>IF($B136="",0,SUMIF('Satışlar'!$C$5:$C$1004,$B136,'Satışlar'!$J$5:$J$1004))</f>
      </c>
      <c r="H136" s="16">
        <f>IF($B136="",0,SUMIF('Satışlar'!$C$5:$C$1004,$B136,'Satışlar'!$L$5:$L$1004))</f>
      </c>
      <c r="I136" s="21">
        <f>IF($B136="",0,SUMIF('Satışlar'!$C$5:$C$1004,$B136,'Satışlar'!$M$5:$M$1004))</f>
      </c>
      <c r="J136" s="22">
        <f>IF(OR($B136="",$E136=0),"",$I136/$E136)</f>
      </c>
    </row>
    <row r="137" spans="2:10" x14ac:dyDescent="0.25">
      <c r="B137" s="20">
        <f>IF('Ürün Kartları'!B137="","",'Ürün Kartları'!B137)</f>
      </c>
      <c r="C137" s="20">
        <f>IF('Ürün Kartları'!C137="","",'Ürün Kartları'!C137)</f>
      </c>
      <c r="D137" s="24">
        <f>IF($B137="",0,SUMIF('Satışlar'!$C$5:$C$1004,$B137,'Satışlar'!$G$5:$G$1004))</f>
      </c>
      <c r="E137" s="16">
        <f>IF($B137="",0,SUMIF('Satışlar'!$C$5:$C$1004,$B137,'Satışlar'!$H$5:$H$1004))</f>
      </c>
      <c r="F137" s="16">
        <f>IF($B137="",0,SUMIF('Satışlar'!$C$5:$C$1004,$B137,'Satışlar'!$I$5:$I$1004))</f>
      </c>
      <c r="G137" s="16">
        <f>IF($B137="",0,SUMIF('Satışlar'!$C$5:$C$1004,$B137,'Satışlar'!$J$5:$J$1004))</f>
      </c>
      <c r="H137" s="16">
        <f>IF($B137="",0,SUMIF('Satışlar'!$C$5:$C$1004,$B137,'Satışlar'!$L$5:$L$1004))</f>
      </c>
      <c r="I137" s="21">
        <f>IF($B137="",0,SUMIF('Satışlar'!$C$5:$C$1004,$B137,'Satışlar'!$M$5:$M$1004))</f>
      </c>
      <c r="J137" s="22">
        <f>IF(OR($B137="",$E137=0),"",$I137/$E137)</f>
      </c>
    </row>
    <row r="138" spans="2:10" x14ac:dyDescent="0.25">
      <c r="B138" s="20">
        <f>IF('Ürün Kartları'!B138="","",'Ürün Kartları'!B138)</f>
      </c>
      <c r="C138" s="20">
        <f>IF('Ürün Kartları'!C138="","",'Ürün Kartları'!C138)</f>
      </c>
      <c r="D138" s="24">
        <f>IF($B138="",0,SUMIF('Satışlar'!$C$5:$C$1004,$B138,'Satışlar'!$G$5:$G$1004))</f>
      </c>
      <c r="E138" s="16">
        <f>IF($B138="",0,SUMIF('Satışlar'!$C$5:$C$1004,$B138,'Satışlar'!$H$5:$H$1004))</f>
      </c>
      <c r="F138" s="16">
        <f>IF($B138="",0,SUMIF('Satışlar'!$C$5:$C$1004,$B138,'Satışlar'!$I$5:$I$1004))</f>
      </c>
      <c r="G138" s="16">
        <f>IF($B138="",0,SUMIF('Satışlar'!$C$5:$C$1004,$B138,'Satışlar'!$J$5:$J$1004))</f>
      </c>
      <c r="H138" s="16">
        <f>IF($B138="",0,SUMIF('Satışlar'!$C$5:$C$1004,$B138,'Satışlar'!$L$5:$L$1004))</f>
      </c>
      <c r="I138" s="21">
        <f>IF($B138="",0,SUMIF('Satışlar'!$C$5:$C$1004,$B138,'Satışlar'!$M$5:$M$1004))</f>
      </c>
      <c r="J138" s="22">
        <f>IF(OR($B138="",$E138=0),"",$I138/$E138)</f>
      </c>
    </row>
    <row r="139" spans="2:10" x14ac:dyDescent="0.25">
      <c r="B139" s="20">
        <f>IF('Ürün Kartları'!B139="","",'Ürün Kartları'!B139)</f>
      </c>
      <c r="C139" s="20">
        <f>IF('Ürün Kartları'!C139="","",'Ürün Kartları'!C139)</f>
      </c>
      <c r="D139" s="24">
        <f>IF($B139="",0,SUMIF('Satışlar'!$C$5:$C$1004,$B139,'Satışlar'!$G$5:$G$1004))</f>
      </c>
      <c r="E139" s="16">
        <f>IF($B139="",0,SUMIF('Satışlar'!$C$5:$C$1004,$B139,'Satışlar'!$H$5:$H$1004))</f>
      </c>
      <c r="F139" s="16">
        <f>IF($B139="",0,SUMIF('Satışlar'!$C$5:$C$1004,$B139,'Satışlar'!$I$5:$I$1004))</f>
      </c>
      <c r="G139" s="16">
        <f>IF($B139="",0,SUMIF('Satışlar'!$C$5:$C$1004,$B139,'Satışlar'!$J$5:$J$1004))</f>
      </c>
      <c r="H139" s="16">
        <f>IF($B139="",0,SUMIF('Satışlar'!$C$5:$C$1004,$B139,'Satışlar'!$L$5:$L$1004))</f>
      </c>
      <c r="I139" s="21">
        <f>IF($B139="",0,SUMIF('Satışlar'!$C$5:$C$1004,$B139,'Satışlar'!$M$5:$M$1004))</f>
      </c>
      <c r="J139" s="22">
        <f>IF(OR($B139="",$E139=0),"",$I139/$E139)</f>
      </c>
    </row>
    <row r="140" spans="2:10" x14ac:dyDescent="0.25">
      <c r="B140" s="20">
        <f>IF('Ürün Kartları'!B140="","",'Ürün Kartları'!B140)</f>
      </c>
      <c r="C140" s="20">
        <f>IF('Ürün Kartları'!C140="","",'Ürün Kartları'!C140)</f>
      </c>
      <c r="D140" s="24">
        <f>IF($B140="",0,SUMIF('Satışlar'!$C$5:$C$1004,$B140,'Satışlar'!$G$5:$G$1004))</f>
      </c>
      <c r="E140" s="16">
        <f>IF($B140="",0,SUMIF('Satışlar'!$C$5:$C$1004,$B140,'Satışlar'!$H$5:$H$1004))</f>
      </c>
      <c r="F140" s="16">
        <f>IF($B140="",0,SUMIF('Satışlar'!$C$5:$C$1004,$B140,'Satışlar'!$I$5:$I$1004))</f>
      </c>
      <c r="G140" s="16">
        <f>IF($B140="",0,SUMIF('Satışlar'!$C$5:$C$1004,$B140,'Satışlar'!$J$5:$J$1004))</f>
      </c>
      <c r="H140" s="16">
        <f>IF($B140="",0,SUMIF('Satışlar'!$C$5:$C$1004,$B140,'Satışlar'!$L$5:$L$1004))</f>
      </c>
      <c r="I140" s="21">
        <f>IF($B140="",0,SUMIF('Satışlar'!$C$5:$C$1004,$B140,'Satışlar'!$M$5:$M$1004))</f>
      </c>
      <c r="J140" s="22">
        <f>IF(OR($B140="",$E140=0),"",$I140/$E140)</f>
      </c>
    </row>
    <row r="141" spans="2:10" x14ac:dyDescent="0.25">
      <c r="B141" s="20">
        <f>IF('Ürün Kartları'!B141="","",'Ürün Kartları'!B141)</f>
      </c>
      <c r="C141" s="20">
        <f>IF('Ürün Kartları'!C141="","",'Ürün Kartları'!C141)</f>
      </c>
      <c r="D141" s="24">
        <f>IF($B141="",0,SUMIF('Satışlar'!$C$5:$C$1004,$B141,'Satışlar'!$G$5:$G$1004))</f>
      </c>
      <c r="E141" s="16">
        <f>IF($B141="",0,SUMIF('Satışlar'!$C$5:$C$1004,$B141,'Satışlar'!$H$5:$H$1004))</f>
      </c>
      <c r="F141" s="16">
        <f>IF($B141="",0,SUMIF('Satışlar'!$C$5:$C$1004,$B141,'Satışlar'!$I$5:$I$1004))</f>
      </c>
      <c r="G141" s="16">
        <f>IF($B141="",0,SUMIF('Satışlar'!$C$5:$C$1004,$B141,'Satışlar'!$J$5:$J$1004))</f>
      </c>
      <c r="H141" s="16">
        <f>IF($B141="",0,SUMIF('Satışlar'!$C$5:$C$1004,$B141,'Satışlar'!$L$5:$L$1004))</f>
      </c>
      <c r="I141" s="21">
        <f>IF($B141="",0,SUMIF('Satışlar'!$C$5:$C$1004,$B141,'Satışlar'!$M$5:$M$1004))</f>
      </c>
      <c r="J141" s="22">
        <f>IF(OR($B141="",$E141=0),"",$I141/$E141)</f>
      </c>
    </row>
    <row r="142" spans="2:10" x14ac:dyDescent="0.25">
      <c r="B142" s="20">
        <f>IF('Ürün Kartları'!B142="","",'Ürün Kartları'!B142)</f>
      </c>
      <c r="C142" s="20">
        <f>IF('Ürün Kartları'!C142="","",'Ürün Kartları'!C142)</f>
      </c>
      <c r="D142" s="24">
        <f>IF($B142="",0,SUMIF('Satışlar'!$C$5:$C$1004,$B142,'Satışlar'!$G$5:$G$1004))</f>
      </c>
      <c r="E142" s="16">
        <f>IF($B142="",0,SUMIF('Satışlar'!$C$5:$C$1004,$B142,'Satışlar'!$H$5:$H$1004))</f>
      </c>
      <c r="F142" s="16">
        <f>IF($B142="",0,SUMIF('Satışlar'!$C$5:$C$1004,$B142,'Satışlar'!$I$5:$I$1004))</f>
      </c>
      <c r="G142" s="16">
        <f>IF($B142="",0,SUMIF('Satışlar'!$C$5:$C$1004,$B142,'Satışlar'!$J$5:$J$1004))</f>
      </c>
      <c r="H142" s="16">
        <f>IF($B142="",0,SUMIF('Satışlar'!$C$5:$C$1004,$B142,'Satışlar'!$L$5:$L$1004))</f>
      </c>
      <c r="I142" s="21">
        <f>IF($B142="",0,SUMIF('Satışlar'!$C$5:$C$1004,$B142,'Satışlar'!$M$5:$M$1004))</f>
      </c>
      <c r="J142" s="22">
        <f>IF(OR($B142="",$E142=0),"",$I142/$E142)</f>
      </c>
    </row>
    <row r="143" spans="2:10" x14ac:dyDescent="0.25">
      <c r="B143" s="20">
        <f>IF('Ürün Kartları'!B143="","",'Ürün Kartları'!B143)</f>
      </c>
      <c r="C143" s="20">
        <f>IF('Ürün Kartları'!C143="","",'Ürün Kartları'!C143)</f>
      </c>
      <c r="D143" s="24">
        <f>IF($B143="",0,SUMIF('Satışlar'!$C$5:$C$1004,$B143,'Satışlar'!$G$5:$G$1004))</f>
      </c>
      <c r="E143" s="16">
        <f>IF($B143="",0,SUMIF('Satışlar'!$C$5:$C$1004,$B143,'Satışlar'!$H$5:$H$1004))</f>
      </c>
      <c r="F143" s="16">
        <f>IF($B143="",0,SUMIF('Satışlar'!$C$5:$C$1004,$B143,'Satışlar'!$I$5:$I$1004))</f>
      </c>
      <c r="G143" s="16">
        <f>IF($B143="",0,SUMIF('Satışlar'!$C$5:$C$1004,$B143,'Satışlar'!$J$5:$J$1004))</f>
      </c>
      <c r="H143" s="16">
        <f>IF($B143="",0,SUMIF('Satışlar'!$C$5:$C$1004,$B143,'Satışlar'!$L$5:$L$1004))</f>
      </c>
      <c r="I143" s="21">
        <f>IF($B143="",0,SUMIF('Satışlar'!$C$5:$C$1004,$B143,'Satışlar'!$M$5:$M$1004))</f>
      </c>
      <c r="J143" s="22">
        <f>IF(OR($B143="",$E143=0),"",$I143/$E143)</f>
      </c>
    </row>
    <row r="144" spans="2:10" x14ac:dyDescent="0.25">
      <c r="B144" s="20">
        <f>IF('Ürün Kartları'!B144="","",'Ürün Kartları'!B144)</f>
      </c>
      <c r="C144" s="20">
        <f>IF('Ürün Kartları'!C144="","",'Ürün Kartları'!C144)</f>
      </c>
      <c r="D144" s="24">
        <f>IF($B144="",0,SUMIF('Satışlar'!$C$5:$C$1004,$B144,'Satışlar'!$G$5:$G$1004))</f>
      </c>
      <c r="E144" s="16">
        <f>IF($B144="",0,SUMIF('Satışlar'!$C$5:$C$1004,$B144,'Satışlar'!$H$5:$H$1004))</f>
      </c>
      <c r="F144" s="16">
        <f>IF($B144="",0,SUMIF('Satışlar'!$C$5:$C$1004,$B144,'Satışlar'!$I$5:$I$1004))</f>
      </c>
      <c r="G144" s="16">
        <f>IF($B144="",0,SUMIF('Satışlar'!$C$5:$C$1004,$B144,'Satışlar'!$J$5:$J$1004))</f>
      </c>
      <c r="H144" s="16">
        <f>IF($B144="",0,SUMIF('Satışlar'!$C$5:$C$1004,$B144,'Satışlar'!$L$5:$L$1004))</f>
      </c>
      <c r="I144" s="21">
        <f>IF($B144="",0,SUMIF('Satışlar'!$C$5:$C$1004,$B144,'Satışlar'!$M$5:$M$1004))</f>
      </c>
      <c r="J144" s="22">
        <f>IF(OR($B144="",$E144=0),"",$I144/$E144)</f>
      </c>
    </row>
    <row r="145" spans="2:10" x14ac:dyDescent="0.25">
      <c r="B145" s="20">
        <f>IF('Ürün Kartları'!B145="","",'Ürün Kartları'!B145)</f>
      </c>
      <c r="C145" s="20">
        <f>IF('Ürün Kartları'!C145="","",'Ürün Kartları'!C145)</f>
      </c>
      <c r="D145" s="24">
        <f>IF($B145="",0,SUMIF('Satışlar'!$C$5:$C$1004,$B145,'Satışlar'!$G$5:$G$1004))</f>
      </c>
      <c r="E145" s="16">
        <f>IF($B145="",0,SUMIF('Satışlar'!$C$5:$C$1004,$B145,'Satışlar'!$H$5:$H$1004))</f>
      </c>
      <c r="F145" s="16">
        <f>IF($B145="",0,SUMIF('Satışlar'!$C$5:$C$1004,$B145,'Satışlar'!$I$5:$I$1004))</f>
      </c>
      <c r="G145" s="16">
        <f>IF($B145="",0,SUMIF('Satışlar'!$C$5:$C$1004,$B145,'Satışlar'!$J$5:$J$1004))</f>
      </c>
      <c r="H145" s="16">
        <f>IF($B145="",0,SUMIF('Satışlar'!$C$5:$C$1004,$B145,'Satışlar'!$L$5:$L$1004))</f>
      </c>
      <c r="I145" s="21">
        <f>IF($B145="",0,SUMIF('Satışlar'!$C$5:$C$1004,$B145,'Satışlar'!$M$5:$M$1004))</f>
      </c>
      <c r="J145" s="22">
        <f>IF(OR($B145="",$E145=0),"",$I145/$E145)</f>
      </c>
    </row>
    <row r="146" spans="2:10" x14ac:dyDescent="0.25">
      <c r="B146" s="20">
        <f>IF('Ürün Kartları'!B146="","",'Ürün Kartları'!B146)</f>
      </c>
      <c r="C146" s="20">
        <f>IF('Ürün Kartları'!C146="","",'Ürün Kartları'!C146)</f>
      </c>
      <c r="D146" s="24">
        <f>IF($B146="",0,SUMIF('Satışlar'!$C$5:$C$1004,$B146,'Satışlar'!$G$5:$G$1004))</f>
      </c>
      <c r="E146" s="16">
        <f>IF($B146="",0,SUMIF('Satışlar'!$C$5:$C$1004,$B146,'Satışlar'!$H$5:$H$1004))</f>
      </c>
      <c r="F146" s="16">
        <f>IF($B146="",0,SUMIF('Satışlar'!$C$5:$C$1004,$B146,'Satışlar'!$I$5:$I$1004))</f>
      </c>
      <c r="G146" s="16">
        <f>IF($B146="",0,SUMIF('Satışlar'!$C$5:$C$1004,$B146,'Satışlar'!$J$5:$J$1004))</f>
      </c>
      <c r="H146" s="16">
        <f>IF($B146="",0,SUMIF('Satışlar'!$C$5:$C$1004,$B146,'Satışlar'!$L$5:$L$1004))</f>
      </c>
      <c r="I146" s="21">
        <f>IF($B146="",0,SUMIF('Satışlar'!$C$5:$C$1004,$B146,'Satışlar'!$M$5:$M$1004))</f>
      </c>
      <c r="J146" s="22">
        <f>IF(OR($B146="",$E146=0),"",$I146/$E146)</f>
      </c>
    </row>
    <row r="147" spans="2:10" x14ac:dyDescent="0.25">
      <c r="B147" s="20">
        <f>IF('Ürün Kartları'!B147="","",'Ürün Kartları'!B147)</f>
      </c>
      <c r="C147" s="20">
        <f>IF('Ürün Kartları'!C147="","",'Ürün Kartları'!C147)</f>
      </c>
      <c r="D147" s="24">
        <f>IF($B147="",0,SUMIF('Satışlar'!$C$5:$C$1004,$B147,'Satışlar'!$G$5:$G$1004))</f>
      </c>
      <c r="E147" s="16">
        <f>IF($B147="",0,SUMIF('Satışlar'!$C$5:$C$1004,$B147,'Satışlar'!$H$5:$H$1004))</f>
      </c>
      <c r="F147" s="16">
        <f>IF($B147="",0,SUMIF('Satışlar'!$C$5:$C$1004,$B147,'Satışlar'!$I$5:$I$1004))</f>
      </c>
      <c r="G147" s="16">
        <f>IF($B147="",0,SUMIF('Satışlar'!$C$5:$C$1004,$B147,'Satışlar'!$J$5:$J$1004))</f>
      </c>
      <c r="H147" s="16">
        <f>IF($B147="",0,SUMIF('Satışlar'!$C$5:$C$1004,$B147,'Satışlar'!$L$5:$L$1004))</f>
      </c>
      <c r="I147" s="21">
        <f>IF($B147="",0,SUMIF('Satışlar'!$C$5:$C$1004,$B147,'Satışlar'!$M$5:$M$1004))</f>
      </c>
      <c r="J147" s="22">
        <f>IF(OR($B147="",$E147=0),"",$I147/$E147)</f>
      </c>
    </row>
    <row r="148" spans="2:10" x14ac:dyDescent="0.25">
      <c r="B148" s="20">
        <f>IF('Ürün Kartları'!B148="","",'Ürün Kartları'!B148)</f>
      </c>
      <c r="C148" s="20">
        <f>IF('Ürün Kartları'!C148="","",'Ürün Kartları'!C148)</f>
      </c>
      <c r="D148" s="24">
        <f>IF($B148="",0,SUMIF('Satışlar'!$C$5:$C$1004,$B148,'Satışlar'!$G$5:$G$1004))</f>
      </c>
      <c r="E148" s="16">
        <f>IF($B148="",0,SUMIF('Satışlar'!$C$5:$C$1004,$B148,'Satışlar'!$H$5:$H$1004))</f>
      </c>
      <c r="F148" s="16">
        <f>IF($B148="",0,SUMIF('Satışlar'!$C$5:$C$1004,$B148,'Satışlar'!$I$5:$I$1004))</f>
      </c>
      <c r="G148" s="16">
        <f>IF($B148="",0,SUMIF('Satışlar'!$C$5:$C$1004,$B148,'Satışlar'!$J$5:$J$1004))</f>
      </c>
      <c r="H148" s="16">
        <f>IF($B148="",0,SUMIF('Satışlar'!$C$5:$C$1004,$B148,'Satışlar'!$L$5:$L$1004))</f>
      </c>
      <c r="I148" s="21">
        <f>IF($B148="",0,SUMIF('Satışlar'!$C$5:$C$1004,$B148,'Satışlar'!$M$5:$M$1004))</f>
      </c>
      <c r="J148" s="22">
        <f>IF(OR($B148="",$E148=0),"",$I148/$E148)</f>
      </c>
    </row>
    <row r="149" spans="2:10" x14ac:dyDescent="0.25">
      <c r="B149" s="20">
        <f>IF('Ürün Kartları'!B149="","",'Ürün Kartları'!B149)</f>
      </c>
      <c r="C149" s="20">
        <f>IF('Ürün Kartları'!C149="","",'Ürün Kartları'!C149)</f>
      </c>
      <c r="D149" s="24">
        <f>IF($B149="",0,SUMIF('Satışlar'!$C$5:$C$1004,$B149,'Satışlar'!$G$5:$G$1004))</f>
      </c>
      <c r="E149" s="16">
        <f>IF($B149="",0,SUMIF('Satışlar'!$C$5:$C$1004,$B149,'Satışlar'!$H$5:$H$1004))</f>
      </c>
      <c r="F149" s="16">
        <f>IF($B149="",0,SUMIF('Satışlar'!$C$5:$C$1004,$B149,'Satışlar'!$I$5:$I$1004))</f>
      </c>
      <c r="G149" s="16">
        <f>IF($B149="",0,SUMIF('Satışlar'!$C$5:$C$1004,$B149,'Satışlar'!$J$5:$J$1004))</f>
      </c>
      <c r="H149" s="16">
        <f>IF($B149="",0,SUMIF('Satışlar'!$C$5:$C$1004,$B149,'Satışlar'!$L$5:$L$1004))</f>
      </c>
      <c r="I149" s="21">
        <f>IF($B149="",0,SUMIF('Satışlar'!$C$5:$C$1004,$B149,'Satışlar'!$M$5:$M$1004))</f>
      </c>
      <c r="J149" s="22">
        <f>IF(OR($B149="",$E149=0),"",$I149/$E149)</f>
      </c>
    </row>
    <row r="150" spans="2:10" x14ac:dyDescent="0.25">
      <c r="B150" s="20">
        <f>IF('Ürün Kartları'!B150="","",'Ürün Kartları'!B150)</f>
      </c>
      <c r="C150" s="20">
        <f>IF('Ürün Kartları'!C150="","",'Ürün Kartları'!C150)</f>
      </c>
      <c r="D150" s="24">
        <f>IF($B150="",0,SUMIF('Satışlar'!$C$5:$C$1004,$B150,'Satışlar'!$G$5:$G$1004))</f>
      </c>
      <c r="E150" s="16">
        <f>IF($B150="",0,SUMIF('Satışlar'!$C$5:$C$1004,$B150,'Satışlar'!$H$5:$H$1004))</f>
      </c>
      <c r="F150" s="16">
        <f>IF($B150="",0,SUMIF('Satışlar'!$C$5:$C$1004,$B150,'Satışlar'!$I$5:$I$1004))</f>
      </c>
      <c r="G150" s="16">
        <f>IF($B150="",0,SUMIF('Satışlar'!$C$5:$C$1004,$B150,'Satışlar'!$J$5:$J$1004))</f>
      </c>
      <c r="H150" s="16">
        <f>IF($B150="",0,SUMIF('Satışlar'!$C$5:$C$1004,$B150,'Satışlar'!$L$5:$L$1004))</f>
      </c>
      <c r="I150" s="21">
        <f>IF($B150="",0,SUMIF('Satışlar'!$C$5:$C$1004,$B150,'Satışlar'!$M$5:$M$1004))</f>
      </c>
      <c r="J150" s="22">
        <f>IF(OR($B150="",$E150=0),"",$I150/$E150)</f>
      </c>
    </row>
    <row r="151" spans="2:10" x14ac:dyDescent="0.25">
      <c r="B151" s="20">
        <f>IF('Ürün Kartları'!B151="","",'Ürün Kartları'!B151)</f>
      </c>
      <c r="C151" s="20">
        <f>IF('Ürün Kartları'!C151="","",'Ürün Kartları'!C151)</f>
      </c>
      <c r="D151" s="24">
        <f>IF($B151="",0,SUMIF('Satışlar'!$C$5:$C$1004,$B151,'Satışlar'!$G$5:$G$1004))</f>
      </c>
      <c r="E151" s="16">
        <f>IF($B151="",0,SUMIF('Satışlar'!$C$5:$C$1004,$B151,'Satışlar'!$H$5:$H$1004))</f>
      </c>
      <c r="F151" s="16">
        <f>IF($B151="",0,SUMIF('Satışlar'!$C$5:$C$1004,$B151,'Satışlar'!$I$5:$I$1004))</f>
      </c>
      <c r="G151" s="16">
        <f>IF($B151="",0,SUMIF('Satışlar'!$C$5:$C$1004,$B151,'Satışlar'!$J$5:$J$1004))</f>
      </c>
      <c r="H151" s="16">
        <f>IF($B151="",0,SUMIF('Satışlar'!$C$5:$C$1004,$B151,'Satışlar'!$L$5:$L$1004))</f>
      </c>
      <c r="I151" s="21">
        <f>IF($B151="",0,SUMIF('Satışlar'!$C$5:$C$1004,$B151,'Satışlar'!$M$5:$M$1004))</f>
      </c>
      <c r="J151" s="22">
        <f>IF(OR($B151="",$E151=0),"",$I151/$E151)</f>
      </c>
    </row>
    <row r="152" spans="2:10" x14ac:dyDescent="0.25">
      <c r="B152" s="20">
        <f>IF('Ürün Kartları'!B152="","",'Ürün Kartları'!B152)</f>
      </c>
      <c r="C152" s="20">
        <f>IF('Ürün Kartları'!C152="","",'Ürün Kartları'!C152)</f>
      </c>
      <c r="D152" s="24">
        <f>IF($B152="",0,SUMIF('Satışlar'!$C$5:$C$1004,$B152,'Satışlar'!$G$5:$G$1004))</f>
      </c>
      <c r="E152" s="16">
        <f>IF($B152="",0,SUMIF('Satışlar'!$C$5:$C$1004,$B152,'Satışlar'!$H$5:$H$1004))</f>
      </c>
      <c r="F152" s="16">
        <f>IF($B152="",0,SUMIF('Satışlar'!$C$5:$C$1004,$B152,'Satışlar'!$I$5:$I$1004))</f>
      </c>
      <c r="G152" s="16">
        <f>IF($B152="",0,SUMIF('Satışlar'!$C$5:$C$1004,$B152,'Satışlar'!$J$5:$J$1004))</f>
      </c>
      <c r="H152" s="16">
        <f>IF($B152="",0,SUMIF('Satışlar'!$C$5:$C$1004,$B152,'Satışlar'!$L$5:$L$1004))</f>
      </c>
      <c r="I152" s="21">
        <f>IF($B152="",0,SUMIF('Satışlar'!$C$5:$C$1004,$B152,'Satışlar'!$M$5:$M$1004))</f>
      </c>
      <c r="J152" s="22">
        <f>IF(OR($B152="",$E152=0),"",$I152/$E152)</f>
      </c>
    </row>
    <row r="153" spans="2:10" x14ac:dyDescent="0.25">
      <c r="B153" s="20">
        <f>IF('Ürün Kartları'!B153="","",'Ürün Kartları'!B153)</f>
      </c>
      <c r="C153" s="20">
        <f>IF('Ürün Kartları'!C153="","",'Ürün Kartları'!C153)</f>
      </c>
      <c r="D153" s="24">
        <f>IF($B153="",0,SUMIF('Satışlar'!$C$5:$C$1004,$B153,'Satışlar'!$G$5:$G$1004))</f>
      </c>
      <c r="E153" s="16">
        <f>IF($B153="",0,SUMIF('Satışlar'!$C$5:$C$1004,$B153,'Satışlar'!$H$5:$H$1004))</f>
      </c>
      <c r="F153" s="16">
        <f>IF($B153="",0,SUMIF('Satışlar'!$C$5:$C$1004,$B153,'Satışlar'!$I$5:$I$1004))</f>
      </c>
      <c r="G153" s="16">
        <f>IF($B153="",0,SUMIF('Satışlar'!$C$5:$C$1004,$B153,'Satışlar'!$J$5:$J$1004))</f>
      </c>
      <c r="H153" s="16">
        <f>IF($B153="",0,SUMIF('Satışlar'!$C$5:$C$1004,$B153,'Satışlar'!$L$5:$L$1004))</f>
      </c>
      <c r="I153" s="21">
        <f>IF($B153="",0,SUMIF('Satışlar'!$C$5:$C$1004,$B153,'Satışlar'!$M$5:$M$1004))</f>
      </c>
      <c r="J153" s="22">
        <f>IF(OR($B153="",$E153=0),"",$I153/$E153)</f>
      </c>
    </row>
    <row r="154" spans="2:10" x14ac:dyDescent="0.25">
      <c r="B154" s="20">
        <f>IF('Ürün Kartları'!B154="","",'Ürün Kartları'!B154)</f>
      </c>
      <c r="C154" s="20">
        <f>IF('Ürün Kartları'!C154="","",'Ürün Kartları'!C154)</f>
      </c>
      <c r="D154" s="24">
        <f>IF($B154="",0,SUMIF('Satışlar'!$C$5:$C$1004,$B154,'Satışlar'!$G$5:$G$1004))</f>
      </c>
      <c r="E154" s="16">
        <f>IF($B154="",0,SUMIF('Satışlar'!$C$5:$C$1004,$B154,'Satışlar'!$H$5:$H$1004))</f>
      </c>
      <c r="F154" s="16">
        <f>IF($B154="",0,SUMIF('Satışlar'!$C$5:$C$1004,$B154,'Satışlar'!$I$5:$I$1004))</f>
      </c>
      <c r="G154" s="16">
        <f>IF($B154="",0,SUMIF('Satışlar'!$C$5:$C$1004,$B154,'Satışlar'!$J$5:$J$1004))</f>
      </c>
      <c r="H154" s="16">
        <f>IF($B154="",0,SUMIF('Satışlar'!$C$5:$C$1004,$B154,'Satışlar'!$L$5:$L$1004))</f>
      </c>
      <c r="I154" s="21">
        <f>IF($B154="",0,SUMIF('Satışlar'!$C$5:$C$1004,$B154,'Satışlar'!$M$5:$M$1004))</f>
      </c>
      <c r="J154" s="22">
        <f>IF(OR($B154="",$E154=0),"",$I154/$E154)</f>
      </c>
    </row>
    <row r="156" spans="3:9" x14ac:dyDescent="0.25">
      <c r="C156" s="25" t="s">
        <v>65</v>
      </c>
      <c r="E156" s="26">
        <f>SUM(E5:E154)</f>
      </c>
      <c r="F156" s="26">
        <f>SUM(F5:F154)</f>
      </c>
      <c r="G156" s="26">
        <f>SUM(G5:G154)</f>
      </c>
      <c r="H156" s="26">
        <f>SUM(H5:H154)</f>
      </c>
      <c r="I156" s="26">
        <f>SUM(I5:I154)</f>
      </c>
    </row>
  </sheetData>
  <mergeCells count="2">
    <mergeCell ref="A1:J1"/>
    <mergeCell ref="A2:J2"/>
  </mergeCells>
  <conditionalFormatting sqref="I5:I154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6534"/>
  </sheetPr>
  <dimension ref="A1:F14"/>
  <sheetFormatPr defaultRowHeight="15" outlineLevelRow="0" outlineLevelCol="0" x14ac:dyDescent="55"/>
  <cols>
    <col min="1" max="1" width="3" customWidth="1"/>
    <col min="2" max="2" width="30" customWidth="1"/>
    <col min="3" max="3" width="20" customWidth="1"/>
    <col min="4" max="4" width="4" customWidth="1"/>
    <col min="5" max="5" width="30" customWidth="1"/>
    <col min="6" max="6" width="20" customWidth="1"/>
  </cols>
  <sheetData>
    <row r="1" ht="34" customHeight="1" spans="1:6" x14ac:dyDescent="0.25">
      <c r="A1" s="1" t="s">
        <v>66</v>
      </c>
      <c r="B1" s="1"/>
      <c r="C1" s="1"/>
      <c r="D1" s="1"/>
      <c r="E1" s="1"/>
      <c r="F1" s="1"/>
    </row>
    <row r="2" ht="20" customHeight="1" spans="1:6" x14ac:dyDescent="0.25">
      <c r="A2" s="2" t="s">
        <v>67</v>
      </c>
      <c r="B2" s="2"/>
      <c r="C2" s="2"/>
      <c r="D2" s="2"/>
      <c r="E2" s="2"/>
      <c r="F2" s="2"/>
    </row>
    <row r="4" spans="2:6" x14ac:dyDescent="0.25">
      <c r="B4" s="27" t="s">
        <v>68</v>
      </c>
      <c r="C4" s="28">
        <f>'Ürün Kârlılık'!E156</f>
      </c>
      <c r="E4" s="27" t="s">
        <v>58</v>
      </c>
      <c r="F4" s="28">
        <f>'Ürün Kârlılık'!I156</f>
      </c>
    </row>
    <row r="5" spans="2:6" x14ac:dyDescent="0.25">
      <c r="B5" s="27" t="s">
        <v>69</v>
      </c>
      <c r="C5" s="28">
        <f>'Ürün Kârlılık'!F156</f>
      </c>
      <c r="E5" s="27" t="s">
        <v>70</v>
      </c>
      <c r="F5" s="29">
        <f>IF('Ürün Kârlılık'!E156=0,0,'Ürün Kârlılık'!I156/'Ürün Kârlılık'!E156)</f>
      </c>
    </row>
    <row r="6" spans="2:6" x14ac:dyDescent="0.25">
      <c r="B6" s="27" t="s">
        <v>71</v>
      </c>
      <c r="C6" s="28">
        <f>'Ürün Kârlılık'!G156</f>
      </c>
      <c r="E6" s="27" t="s">
        <v>72</v>
      </c>
      <c r="F6" s="29">
        <f>IF('Ürün Kârlılık'!E156=0,0,'Ürün Kârlılık'!H156/'Ürün Kârlılık'!E156)</f>
      </c>
    </row>
    <row r="7" spans="2:6" x14ac:dyDescent="0.25">
      <c r="B7" s="27" t="s">
        <v>73</v>
      </c>
      <c r="C7" s="28">
        <f>'Ürün Kârlılık'!H156</f>
      </c>
      <c r="E7" s="27" t="s">
        <v>74</v>
      </c>
      <c r="F7" s="29">
        <f>IF('Ürün Kârlılık'!E156=0,0,'Ürün Kârlılık'!F156/'Ürün Kârlılık'!E156)</f>
      </c>
    </row>
    <row r="9" spans="2:6" x14ac:dyDescent="0.25">
      <c r="B9" s="27" t="s">
        <v>75</v>
      </c>
      <c r="C9" s="30">
        <f>SUM('Satışlar'!$G$5:$G$1004)</f>
      </c>
      <c r="E9" s="27" t="s">
        <v>76</v>
      </c>
      <c r="F9" s="29">
        <f>IFERROR(SUM('Satışlar'!$K$5:$K$1004)/COUNTA('Satışlar'!$B$5:$B$1004),0)</f>
      </c>
    </row>
    <row r="10" spans="2:6" x14ac:dyDescent="0.25">
      <c r="B10" s="27" t="s">
        <v>77</v>
      </c>
      <c r="C10" s="30">
        <f>SUM('Satışlar'!$K$5:$K$1004)</f>
      </c>
      <c r="E10" s="27" t="s">
        <v>78</v>
      </c>
      <c r="F10" s="30">
        <f>COUNTIF('Ürün Kârlılık'!$I$5:$I$154,"&lt;0")</f>
      </c>
    </row>
    <row r="12" spans="2:6" x14ac:dyDescent="0.25">
      <c r="B12" s="31" t="s">
        <v>79</v>
      </c>
      <c r="C12" s="31"/>
      <c r="D12" s="31"/>
      <c r="E12" s="31"/>
      <c r="F12" s="31"/>
    </row>
    <row r="13" spans="2:6" x14ac:dyDescent="0.25">
      <c r="B13" s="31"/>
      <c r="C13" s="31"/>
      <c r="D13" s="31"/>
      <c r="E13" s="31"/>
      <c r="F13" s="31"/>
    </row>
    <row r="14" spans="2:6" x14ac:dyDescent="0.25">
      <c r="B14" s="31"/>
      <c r="C14" s="31"/>
      <c r="D14" s="31"/>
      <c r="E14" s="31"/>
      <c r="F14" s="31"/>
    </row>
  </sheetData>
  <mergeCells count="3">
    <mergeCell ref="A1:F1"/>
    <mergeCell ref="A2:F2"/>
    <mergeCell ref="B12:F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Nasıl Kullanılır</vt:lpstr>
      <vt:lpstr>Pazaryeri Kartları</vt:lpstr>
      <vt:lpstr>Ürün Kartları</vt:lpstr>
      <vt:lpstr>Satışlar</vt:lpstr>
      <vt:lpstr>Ürün Kârlılık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MiniHesap</dc:creator>
  <dc:title/>
  <dc:subject/>
  <dc:description/>
  <cp:keywords/>
  <cp:category/>
  <cp:lastModifiedBy>Unknown</cp:lastModifiedBy>
  <dcterms:created xsi:type="dcterms:W3CDTF">2026-09-11T07:41:18Z</dcterms:created>
  <dcterms:modified xsi:type="dcterms:W3CDTF">2026-09-11T07:41:18Z</dcterms:modified>
</cp:coreProperties>
</file>