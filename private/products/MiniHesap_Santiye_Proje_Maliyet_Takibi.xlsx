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Proje Kartları" state="visible" r:id="rId5"/>
    <sheet sheetId="3" name="Bütçe Kalemleri" state="visible" r:id="rId6"/>
    <sheet sheetId="4" name="Maliyet Kayıtları" state="visible" r:id="rId7"/>
    <sheet sheetId="5" name="Hakedişler" state="visible" r:id="rId8"/>
    <sheet sheetId="6" name="Bütçe Sapması" state="visible" r:id="rId9"/>
    <sheet sheetId="7" name="Dashboard" state="visible" r:id="rId10"/>
    <sheet sheetId="8" name="Listeler" state="visible" r:id="rId11"/>
  </sheets>
  <definedNames>
    <definedName name="ProjeKodlari">'Proje Kartları'!$B$5:$B$34</definedName>
    <definedName name="ButceSatirlari">'Bütçe Kalemleri'!$B$5:$B$304</definedName>
    <definedName name="Gruplar">Listeler!$B$5:$B$11</definedName>
  </definedNames>
  <calcPr calcId="171027"/>
</workbook>
</file>

<file path=xl/sharedStrings.xml><?xml version="1.0" encoding="utf-8"?>
<sst xmlns="http://schemas.openxmlformats.org/spreadsheetml/2006/main" count="134" uniqueCount="106">
  <si>
    <t>Nasıl Kullanılır?</t>
  </si>
  <si>
    <t>MiniHesap · minihesap.net</t>
  </si>
  <si>
    <t>Bu dosya ne işe yarar?</t>
  </si>
  <si>
    <t>Birden fazla şantiye/projenin bütçesini, gerçekleşen maliyetini, taşeron ve malzeme harcamalarını ve hakedişlerini takip eder. Hangi kalemde bütçeyi aştığınızı anında gösterir.</t>
  </si>
  <si>
    <t>Adım adım</t>
  </si>
  <si>
    <t>1. PROJE KARTLARI sayfasına projelerinizi girin: kod, ad, sözleşme bedeli, tarihler.</t>
  </si>
  <si>
    <t>2. BÜTÇE KALEMLERİ sayfasına her proje için bütçelediğiniz kalemleri ve tutarları yazın.</t>
  </si>
  <si>
    <t>3. MALİYET KAYITLARI sayfasına yapılan her harcamayı işleyin; proje ve kalemi listeden seçin.</t>
  </si>
  <si>
    <t>4. HAKEDİŞLER sayfasına işverene kestiğiniz hakedişleri girin.</t>
  </si>
  <si>
    <t>5. BÜTÇE SAPMASI sayfası hangi kalemde ne kadar aştığınızı gösterir.</t>
  </si>
  <si>
    <t>Bütçe sapması nasıl okunur?</t>
  </si>
  <si>
    <t>Sapma = bütçe - gerçekleşen. Eksi değer bütçe aşımıdır ve kırmızı görünür.</t>
  </si>
  <si>
    <t>Sapma oranı %10'u geçen kalemleri acilen inceleyin.</t>
  </si>
  <si>
    <t>Hakediş ve nakit</t>
  </si>
  <si>
    <t>Hakediş, yapılan iş karşılığı işverenden talep edilen tutardır. Stopaj ve teminat kesintisi düşüldükten sonra net tahsilat oluşur.</t>
  </si>
  <si>
    <t>Toplam maliyet hakedişleri aşıyorsa proje nakit yakıyor demektir; DASHBOARD'da bunu takip edin.</t>
  </si>
  <si>
    <t>SARI hücreler sizin dolduracağınız alanlardır. GRİ ve YEŞİL hücreler formüllüdür, üzerlerine yazmayın.</t>
  </si>
  <si>
    <t>Bu dosyadaki hesaplamalar bilgilendirme amaçlıdır; resmî defter, bordro veya mali müşavir hizmeti yerine geçmez. © MiniHesap</t>
  </si>
  <si>
    <t>Proje Kartları</t>
  </si>
  <si>
    <t>Her proje için bir satır</t>
  </si>
  <si>
    <t/>
  </si>
  <si>
    <t>Proje Kodu</t>
  </si>
  <si>
    <t>Proje Adı</t>
  </si>
  <si>
    <t>İşveren</t>
  </si>
  <si>
    <t>Başlangıç</t>
  </si>
  <si>
    <t>Bitiş</t>
  </si>
  <si>
    <t>Sözleşme Bedeli</t>
  </si>
  <si>
    <t>Durum</t>
  </si>
  <si>
    <t>PR01</t>
  </si>
  <si>
    <t>Ataşehir Konut Blok A</t>
  </si>
  <si>
    <t>Yıldız İnşaat A.Ş.</t>
  </si>
  <si>
    <t>Devam</t>
  </si>
  <si>
    <t>PR02</t>
  </si>
  <si>
    <t>Gebze Fabrika Çatı</t>
  </si>
  <si>
    <t>Marmara Sanayi Ltd.</t>
  </si>
  <si>
    <t>Bütçe Kalemleri</t>
  </si>
  <si>
    <t>Proje bazlı bütçe planı</t>
  </si>
  <si>
    <t>Satır Kodu</t>
  </si>
  <si>
    <t>Bütçe Kalemi</t>
  </si>
  <si>
    <t>Grup</t>
  </si>
  <si>
    <t>Bütçe Tutarı</t>
  </si>
  <si>
    <t>B001</t>
  </si>
  <si>
    <t>Beton ve demir</t>
  </si>
  <si>
    <t>Malzeme</t>
  </si>
  <si>
    <t>B002</t>
  </si>
  <si>
    <t>Kaba yapı taşeronu</t>
  </si>
  <si>
    <t>Taşeron</t>
  </si>
  <si>
    <t>B003</t>
  </si>
  <si>
    <t>Elektrik tesisatı</t>
  </si>
  <si>
    <t>B004</t>
  </si>
  <si>
    <t>Çatı paneli</t>
  </si>
  <si>
    <t>Maliyet Kayıtları</t>
  </si>
  <si>
    <t>Her harcama için bir satır · proje ve bütçe satırını listeden seçin</t>
  </si>
  <si>
    <t>Tarih</t>
  </si>
  <si>
    <t>Bütçe Satırı</t>
  </si>
  <si>
    <t>Kalem Adı</t>
  </si>
  <si>
    <t>Tedarikçi / Taşeron</t>
  </si>
  <si>
    <t>Tutar (KDV hariç)</t>
  </si>
  <si>
    <t>KDV</t>
  </si>
  <si>
    <t>KDV Tutarı</t>
  </si>
  <si>
    <t>Toplam</t>
  </si>
  <si>
    <t>Belge No</t>
  </si>
  <si>
    <t>Hazır beton alımı</t>
  </si>
  <si>
    <t>FT001</t>
  </si>
  <si>
    <t>Kaba yapı 1. hakediş</t>
  </si>
  <si>
    <t>TS014</t>
  </si>
  <si>
    <t>Hakedişler</t>
  </si>
  <si>
    <t>İşverene kesilen hakediş ve kesintiler</t>
  </si>
  <si>
    <t>Hakediş No</t>
  </si>
  <si>
    <t>Brüt Hakediş</t>
  </si>
  <si>
    <t>Stopaj</t>
  </si>
  <si>
    <t>Teminat Kesintisi</t>
  </si>
  <si>
    <t>Diğer Kesinti</t>
  </si>
  <si>
    <t>NET TAHSİLAT</t>
  </si>
  <si>
    <t>HK-01</t>
  </si>
  <si>
    <t>HK-02</t>
  </si>
  <si>
    <t>Bütçe Sapması</t>
  </si>
  <si>
    <t>Eksi değer bütçe aşımıdır · otomatik hesaplanır</t>
  </si>
  <si>
    <t>Proje</t>
  </si>
  <si>
    <t>Bütçe</t>
  </si>
  <si>
    <t>Gerçekleşen</t>
  </si>
  <si>
    <t>SAPMA</t>
  </si>
  <si>
    <t>Sapma %</t>
  </si>
  <si>
    <t>TOPLAM</t>
  </si>
  <si>
    <t>Proje Özeti</t>
  </si>
  <si>
    <t>Tüm projelerin toplamı</t>
  </si>
  <si>
    <t>TOPLAM SÖZLEŞME BEDELİ</t>
  </si>
  <si>
    <t>TOPLAM HAKEDİŞ (brüt)</t>
  </si>
  <si>
    <t>TOPLAM BÜTÇE</t>
  </si>
  <si>
    <t>GERÇEKLEŞEN MALİYET</t>
  </si>
  <si>
    <t>NAKİT DURUMU</t>
  </si>
  <si>
    <t>BÜTÇE SAPMASI</t>
  </si>
  <si>
    <t>TAHMİNİ KÂR</t>
  </si>
  <si>
    <t>AKTİF PROJE SAYISI</t>
  </si>
  <si>
    <t>MALİYET / SÖZLEŞME</t>
  </si>
  <si>
    <t>BÜTÇE AŞAN KALEM SAYISI</t>
  </si>
  <si>
    <t>HAKEDİŞ / SÖZLEŞME (ilerleme)</t>
  </si>
  <si>
    <t>NAKİT DURUMU eksi ise proje kendi kendini finanse edemiyor, işletme sermayesi yakıyorsunuz demektir. MALİYET / SÖZLEŞME oranı, HAKEDİŞ / SÖZLEŞME oranını geçtiyse proje zarara gidiyor.</t>
  </si>
  <si>
    <t>Listeler</t>
  </si>
  <si>
    <t>Açılır menüleri besler</t>
  </si>
  <si>
    <t>Bütçe Grupları</t>
  </si>
  <si>
    <t>İşçilik</t>
  </si>
  <si>
    <t>Makine / Ekipman</t>
  </si>
  <si>
    <t>Nakliye</t>
  </si>
  <si>
    <t>Genel Gider</t>
  </si>
  <si>
    <t>Diğer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</si>
</sst>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#,##0.00\ &quot;₺&quot;"/>
    <numFmt numFmtId="166" formatCode="0.0%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17066"/>
      <sz val="10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color rgb="FFFFFFFF"/>
      <sz val="10"/>
    </font>
    <font>
      <b/>
      <color rgb="FF405248"/>
      <sz val="10"/>
    </font>
    <font>
      <b/>
      <color rgb="FF166534"/>
      <sz val="11"/>
    </font>
    <font>
      <b/>
      <color rgb="FF10231A"/>
      <sz val="12"/>
    </font>
    <font>
      <b/>
      <color rgb="FF617066"/>
      <sz val="9"/>
    </font>
    <font>
      <b/>
      <color rgb="FF166534"/>
      <sz val="14"/>
    </font>
  </fonts>
  <fills count="8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166534"/>
      </patternFill>
    </fill>
    <fill>
      <patternFill patternType="solid">
        <fgColor rgb="FFFFFBEB"/>
      </patternFill>
    </fill>
    <fill>
      <patternFill patternType="solid">
        <fgColor rgb="FFFFFDF2"/>
      </patternFill>
    </fill>
    <fill>
      <patternFill patternType="solid">
        <fgColor rgb="FFF8FAF9"/>
      </patternFill>
    </fill>
  </fills>
  <borders count="3">
    <border>
      <left/>
      <right/>
      <top/>
      <bottom/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164" fontId="0" fillId="5" borderId="2" xfId="0" applyNumberFormat="1" applyFill="1" applyBorder="1"/>
    <xf numFmtId="165" fontId="0" fillId="5" borderId="2" xfId="0" applyNumberFormat="1" applyFill="1" applyBorder="1"/>
    <xf numFmtId="0" fontId="0" fillId="6" borderId="2" xfId="0" applyFill="1" applyBorder="1"/>
    <xf numFmtId="164" fontId="0" fillId="6" borderId="2" xfId="0" applyNumberFormat="1" applyFill="1" applyBorder="1"/>
    <xf numFmtId="165" fontId="0" fillId="6" borderId="2" xfId="0" applyNumberFormat="1" applyFill="1" applyBorder="1"/>
    <xf numFmtId="0" fontId="7" fillId="7" borderId="2" xfId="0" applyFont="1" applyFill="1" applyBorder="1"/>
    <xf numFmtId="9" fontId="0" fillId="5" borderId="2" xfId="0" applyNumberFormat="1" applyFill="1" applyBorder="1"/>
    <xf numFmtId="165" fontId="7" fillId="7" borderId="2" xfId="0" applyNumberFormat="1" applyFont="1" applyFill="1" applyBorder="1"/>
    <xf numFmtId="9" fontId="0" fillId="6" borderId="2" xfId="0" applyNumberFormat="1" applyFill="1" applyBorder="1"/>
    <xf numFmtId="10" fontId="0" fillId="5" borderId="2" xfId="0" applyNumberFormat="1" applyFill="1" applyBorder="1"/>
    <xf numFmtId="165" fontId="8" fillId="7" borderId="2" xfId="0" applyNumberFormat="1" applyFont="1" applyFill="1" applyBorder="1"/>
    <xf numFmtId="10" fontId="0" fillId="6" borderId="2" xfId="0" applyNumberFormat="1" applyFill="1" applyBorder="1"/>
    <xf numFmtId="166" fontId="7" fillId="7" borderId="2" xfId="0" applyNumberFormat="1" applyFont="1" applyFill="1" applyBorder="1"/>
    <xf numFmtId="0" fontId="9" fillId="0" borderId="0" xfId="0" applyFont="1"/>
    <xf numFmtId="165" fontId="8" fillId="3" borderId="1" xfId="0" applyNumberFormat="1" applyFont="1" applyFill="1" applyBorder="1"/>
    <xf numFmtId="0" fontId="10" fillId="0" borderId="0" xfId="0" applyFont="1" applyAlignment="1">
      <alignment vertical="center"/>
    </xf>
    <xf numFmtId="165" fontId="11" fillId="3" borderId="1" xfId="0" applyNumberFormat="1" applyFont="1" applyFill="1" applyBorder="1" applyAlignment="1">
      <alignment horizontal="right" vertical="center" indent="1"/>
    </xf>
    <xf numFmtId="3" fontId="11" fillId="3" borderId="1" xfId="0" applyNumberFormat="1" applyFont="1" applyFill="1" applyBorder="1" applyAlignment="1">
      <alignment horizontal="right" vertical="center" indent="1"/>
    </xf>
    <xf numFmtId="166" fontId="11" fillId="3" borderId="1" xfId="0" applyNumberFormat="1" applyFont="1" applyFill="1" applyBorder="1" applyAlignment="1">
      <alignment horizontal="right" vertical="center" indent="1"/>
    </xf>
    <xf numFmtId="0" fontId="5" fillId="0" borderId="0" xfId="0" applyFont="1" applyAlignment="1">
      <alignment vertical="top" wrapText="1"/>
    </xf>
    <xf numFmtId="0" fontId="0" fillId="0" borderId="2" xfId="0" applyBorder="1"/>
  </cellXfs>
  <cellStyles count="1">
    <cellStyle name="Normal" xfId="0" builtinId="0"/>
  </cellStyles>
  <dxfs count="1"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4"/>
  <sheetFormatPr defaultRowHeight="15" outlineLevelRow="0" outlineLevelCol="0" x14ac:dyDescent="55"/>
  <cols>
    <col min="1" max="1" width="4" customWidth="1"/>
    <col min="2" max="2" width="112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32" customHeight="1" spans="2:2" x14ac:dyDescent="0.25">
      <c r="B5" s="4" t="s">
        <v>3</v>
      </c>
    </row>
    <row r="7" spans="2:2" x14ac:dyDescent="0.25">
      <c r="B7" s="3" t="s">
        <v>4</v>
      </c>
    </row>
    <row r="8" ht="18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18" customHeight="1" spans="2:2" x14ac:dyDescent="0.25">
      <c r="B10" s="4" t="s">
        <v>7</v>
      </c>
    </row>
    <row r="11" ht="18" customHeight="1" spans="2:2" x14ac:dyDescent="0.25">
      <c r="B11" s="4" t="s">
        <v>8</v>
      </c>
    </row>
    <row r="12" ht="18" customHeight="1" spans="2:2" x14ac:dyDescent="0.25">
      <c r="B12" s="4" t="s">
        <v>9</v>
      </c>
    </row>
    <row r="14" spans="2:2" x14ac:dyDescent="0.25">
      <c r="B14" s="3" t="s">
        <v>10</v>
      </c>
    </row>
    <row r="15" ht="18" customHeight="1" spans="2:2" x14ac:dyDescent="0.25">
      <c r="B15" s="4" t="s">
        <v>11</v>
      </c>
    </row>
    <row r="16" ht="18" customHeight="1" spans="2:2" x14ac:dyDescent="0.25">
      <c r="B16" s="4" t="s">
        <v>12</v>
      </c>
    </row>
    <row r="18" spans="2:2" x14ac:dyDescent="0.25">
      <c r="B18" s="3" t="s">
        <v>13</v>
      </c>
    </row>
    <row r="19" ht="32" customHeight="1" spans="2:2" x14ac:dyDescent="0.25">
      <c r="B19" s="4" t="s">
        <v>14</v>
      </c>
    </row>
    <row r="20" ht="18" customHeight="1" spans="2:2" x14ac:dyDescent="0.25">
      <c r="B20" s="4" t="s">
        <v>15</v>
      </c>
    </row>
    <row r="22" spans="2:2" x14ac:dyDescent="0.25">
      <c r="B22" s="5" t="s">
        <v>16</v>
      </c>
    </row>
    <row r="24" spans="2:2" x14ac:dyDescent="0.25">
      <c r="B24" s="6" t="s">
        <v>17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H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4" customWidth="1"/>
    <col min="4" max="4" width="22" customWidth="1"/>
    <col min="5" max="6" width="16" customWidth="1"/>
    <col min="7" max="7" width="18" customWidth="1"/>
    <col min="8" max="8" width="12" customWidth="1"/>
  </cols>
  <sheetData>
    <row r="1" ht="34" customHeight="1" spans="1:8" x14ac:dyDescent="0.25">
      <c r="A1" s="1" t="s">
        <v>18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19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</row>
    <row r="5" spans="2:8" x14ac:dyDescent="0.25">
      <c r="B5" s="8" t="s">
        <v>28</v>
      </c>
      <c r="C5" s="8" t="s">
        <v>29</v>
      </c>
      <c r="D5" s="8" t="s">
        <v>30</v>
      </c>
      <c r="E5" s="9">
        <v>46036.875</v>
      </c>
      <c r="F5" s="9">
        <v>46385.875</v>
      </c>
      <c r="G5" s="10">
        <v>18500000</v>
      </c>
      <c r="H5" s="8" t="s">
        <v>31</v>
      </c>
    </row>
    <row r="6" spans="2:8" x14ac:dyDescent="0.25">
      <c r="B6" s="11" t="s">
        <v>32</v>
      </c>
      <c r="C6" s="11" t="s">
        <v>33</v>
      </c>
      <c r="D6" s="11" t="s">
        <v>34</v>
      </c>
      <c r="E6" s="12">
        <v>46112.875</v>
      </c>
      <c r="F6" s="12">
        <v>46294.875</v>
      </c>
      <c r="G6" s="13">
        <v>4200000</v>
      </c>
      <c r="H6" s="11" t="s">
        <v>31</v>
      </c>
    </row>
    <row r="7" spans="2:8" x14ac:dyDescent="0.25">
      <c r="B7" s="8"/>
      <c r="C7" s="8"/>
      <c r="D7" s="8"/>
      <c r="E7" s="9"/>
      <c r="F7" s="9"/>
      <c r="G7" s="10"/>
      <c r="H7" s="8"/>
    </row>
    <row r="8" spans="2:8" x14ac:dyDescent="0.25">
      <c r="B8" s="11"/>
      <c r="C8" s="11"/>
      <c r="D8" s="11"/>
      <c r="E8" s="12"/>
      <c r="F8" s="12"/>
      <c r="G8" s="13"/>
      <c r="H8" s="11"/>
    </row>
    <row r="9" spans="2:8" x14ac:dyDescent="0.25">
      <c r="B9" s="8"/>
      <c r="C9" s="8"/>
      <c r="D9" s="8"/>
      <c r="E9" s="9"/>
      <c r="F9" s="9"/>
      <c r="G9" s="10"/>
      <c r="H9" s="8"/>
    </row>
    <row r="10" spans="2:8" x14ac:dyDescent="0.25">
      <c r="B10" s="11"/>
      <c r="C10" s="11"/>
      <c r="D10" s="11"/>
      <c r="E10" s="12"/>
      <c r="F10" s="12"/>
      <c r="G10" s="13"/>
      <c r="H10" s="11"/>
    </row>
    <row r="11" spans="2:8" x14ac:dyDescent="0.25">
      <c r="B11" s="8"/>
      <c r="C11" s="8"/>
      <c r="D11" s="8"/>
      <c r="E11" s="9"/>
      <c r="F11" s="9"/>
      <c r="G11" s="10"/>
      <c r="H11" s="8"/>
    </row>
    <row r="12" spans="2:8" x14ac:dyDescent="0.25">
      <c r="B12" s="11"/>
      <c r="C12" s="11"/>
      <c r="D12" s="11"/>
      <c r="E12" s="12"/>
      <c r="F12" s="12"/>
      <c r="G12" s="13"/>
      <c r="H12" s="11"/>
    </row>
    <row r="13" spans="2:8" x14ac:dyDescent="0.25">
      <c r="B13" s="8"/>
      <c r="C13" s="8"/>
      <c r="D13" s="8"/>
      <c r="E13" s="9"/>
      <c r="F13" s="9"/>
      <c r="G13" s="10"/>
      <c r="H13" s="8"/>
    </row>
    <row r="14" spans="2:8" x14ac:dyDescent="0.25">
      <c r="B14" s="11"/>
      <c r="C14" s="11"/>
      <c r="D14" s="11"/>
      <c r="E14" s="12"/>
      <c r="F14" s="12"/>
      <c r="G14" s="13"/>
      <c r="H14" s="11"/>
    </row>
    <row r="15" spans="2:8" x14ac:dyDescent="0.25">
      <c r="B15" s="8"/>
      <c r="C15" s="8"/>
      <c r="D15" s="8"/>
      <c r="E15" s="9"/>
      <c r="F15" s="9"/>
      <c r="G15" s="10"/>
      <c r="H15" s="8"/>
    </row>
    <row r="16" spans="2:8" x14ac:dyDescent="0.25">
      <c r="B16" s="11"/>
      <c r="C16" s="11"/>
      <c r="D16" s="11"/>
      <c r="E16" s="12"/>
      <c r="F16" s="12"/>
      <c r="G16" s="13"/>
      <c r="H16" s="11"/>
    </row>
    <row r="17" spans="2:8" x14ac:dyDescent="0.25">
      <c r="B17" s="8"/>
      <c r="C17" s="8"/>
      <c r="D17" s="8"/>
      <c r="E17" s="9"/>
      <c r="F17" s="9"/>
      <c r="G17" s="10"/>
      <c r="H17" s="8"/>
    </row>
    <row r="18" spans="2:8" x14ac:dyDescent="0.25">
      <c r="B18" s="11"/>
      <c r="C18" s="11"/>
      <c r="D18" s="11"/>
      <c r="E18" s="12"/>
      <c r="F18" s="12"/>
      <c r="G18" s="13"/>
      <c r="H18" s="11"/>
    </row>
    <row r="19" spans="2:8" x14ac:dyDescent="0.25">
      <c r="B19" s="8"/>
      <c r="C19" s="8"/>
      <c r="D19" s="8"/>
      <c r="E19" s="9"/>
      <c r="F19" s="9"/>
      <c r="G19" s="10"/>
      <c r="H19" s="8"/>
    </row>
    <row r="20" spans="2:8" x14ac:dyDescent="0.25">
      <c r="B20" s="11"/>
      <c r="C20" s="11"/>
      <c r="D20" s="11"/>
      <c r="E20" s="12"/>
      <c r="F20" s="12"/>
      <c r="G20" s="13"/>
      <c r="H20" s="11"/>
    </row>
    <row r="21" spans="2:8" x14ac:dyDescent="0.25">
      <c r="B21" s="8"/>
      <c r="C21" s="8"/>
      <c r="D21" s="8"/>
      <c r="E21" s="9"/>
      <c r="F21" s="9"/>
      <c r="G21" s="10"/>
      <c r="H21" s="8"/>
    </row>
    <row r="22" spans="2:8" x14ac:dyDescent="0.25">
      <c r="B22" s="11"/>
      <c r="C22" s="11"/>
      <c r="D22" s="11"/>
      <c r="E22" s="12"/>
      <c r="F22" s="12"/>
      <c r="G22" s="13"/>
      <c r="H22" s="11"/>
    </row>
    <row r="23" spans="2:8" x14ac:dyDescent="0.25">
      <c r="B23" s="8"/>
      <c r="C23" s="8"/>
      <c r="D23" s="8"/>
      <c r="E23" s="9"/>
      <c r="F23" s="9"/>
      <c r="G23" s="10"/>
      <c r="H23" s="8"/>
    </row>
    <row r="24" spans="2:8" x14ac:dyDescent="0.25">
      <c r="B24" s="11"/>
      <c r="C24" s="11"/>
      <c r="D24" s="11"/>
      <c r="E24" s="12"/>
      <c r="F24" s="12"/>
      <c r="G24" s="13"/>
      <c r="H24" s="11"/>
    </row>
    <row r="25" spans="2:8" x14ac:dyDescent="0.25">
      <c r="B25" s="8"/>
      <c r="C25" s="8"/>
      <c r="D25" s="8"/>
      <c r="E25" s="9"/>
      <c r="F25" s="9"/>
      <c r="G25" s="10"/>
      <c r="H25" s="8"/>
    </row>
    <row r="26" spans="2:8" x14ac:dyDescent="0.25">
      <c r="B26" s="11"/>
      <c r="C26" s="11"/>
      <c r="D26" s="11"/>
      <c r="E26" s="12"/>
      <c r="F26" s="12"/>
      <c r="G26" s="13"/>
      <c r="H26" s="11"/>
    </row>
    <row r="27" spans="2:8" x14ac:dyDescent="0.25">
      <c r="B27" s="8"/>
      <c r="C27" s="8"/>
      <c r="D27" s="8"/>
      <c r="E27" s="9"/>
      <c r="F27" s="9"/>
      <c r="G27" s="10"/>
      <c r="H27" s="8"/>
    </row>
    <row r="28" spans="2:8" x14ac:dyDescent="0.25">
      <c r="B28" s="11"/>
      <c r="C28" s="11"/>
      <c r="D28" s="11"/>
      <c r="E28" s="12"/>
      <c r="F28" s="12"/>
      <c r="G28" s="13"/>
      <c r="H28" s="11"/>
    </row>
    <row r="29" spans="2:8" x14ac:dyDescent="0.25">
      <c r="B29" s="8"/>
      <c r="C29" s="8"/>
      <c r="D29" s="8"/>
      <c r="E29" s="9"/>
      <c r="F29" s="9"/>
      <c r="G29" s="10"/>
      <c r="H29" s="8"/>
    </row>
    <row r="30" spans="2:8" x14ac:dyDescent="0.25">
      <c r="B30" s="11"/>
      <c r="C30" s="11"/>
      <c r="D30" s="11"/>
      <c r="E30" s="12"/>
      <c r="F30" s="12"/>
      <c r="G30" s="13"/>
      <c r="H30" s="11"/>
    </row>
    <row r="31" spans="2:8" x14ac:dyDescent="0.25">
      <c r="B31" s="8"/>
      <c r="C31" s="8"/>
      <c r="D31" s="8"/>
      <c r="E31" s="9"/>
      <c r="F31" s="9"/>
      <c r="G31" s="10"/>
      <c r="H31" s="8"/>
    </row>
    <row r="32" spans="2:8" x14ac:dyDescent="0.25">
      <c r="B32" s="11"/>
      <c r="C32" s="11"/>
      <c r="D32" s="11"/>
      <c r="E32" s="12"/>
      <c r="F32" s="12"/>
      <c r="G32" s="13"/>
      <c r="H32" s="11"/>
    </row>
    <row r="33" spans="2:8" x14ac:dyDescent="0.25">
      <c r="B33" s="8"/>
      <c r="C33" s="8"/>
      <c r="D33" s="8"/>
      <c r="E33" s="9"/>
      <c r="F33" s="9"/>
      <c r="G33" s="10"/>
      <c r="H33" s="8"/>
    </row>
    <row r="34" spans="2:8" x14ac:dyDescent="0.25">
      <c r="B34" s="11"/>
      <c r="C34" s="11"/>
      <c r="D34" s="11"/>
      <c r="E34" s="12"/>
      <c r="F34" s="12"/>
      <c r="G34" s="13"/>
      <c r="H34" s="11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F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3" width="14" customWidth="1"/>
    <col min="4" max="4" width="30" customWidth="1"/>
    <col min="5" max="5" width="20" customWidth="1"/>
    <col min="6" max="6" width="18" customWidth="1"/>
  </cols>
  <sheetData>
    <row r="1" ht="34" customHeight="1" spans="1:6" x14ac:dyDescent="0.25">
      <c r="A1" s="1" t="s">
        <v>35</v>
      </c>
      <c r="B1" s="1"/>
      <c r="C1" s="1"/>
      <c r="D1" s="1"/>
      <c r="E1" s="1"/>
      <c r="F1" s="1"/>
    </row>
    <row r="2" ht="20" customHeight="1" spans="1:6" x14ac:dyDescent="0.25">
      <c r="A2" s="2" t="s">
        <v>36</v>
      </c>
      <c r="B2" s="2"/>
      <c r="C2" s="2"/>
      <c r="D2" s="2"/>
      <c r="E2" s="2"/>
      <c r="F2" s="2"/>
    </row>
    <row r="4" ht="30" customHeight="1" spans="1:6" x14ac:dyDescent="0.25">
      <c r="A4" s="7" t="s">
        <v>20</v>
      </c>
      <c r="B4" s="7" t="s">
        <v>37</v>
      </c>
      <c r="C4" s="7" t="s">
        <v>21</v>
      </c>
      <c r="D4" s="7" t="s">
        <v>38</v>
      </c>
      <c r="E4" s="7" t="s">
        <v>39</v>
      </c>
      <c r="F4" s="7" t="s">
        <v>40</v>
      </c>
    </row>
    <row r="5" spans="2:6" x14ac:dyDescent="0.25">
      <c r="B5" s="8" t="s">
        <v>41</v>
      </c>
      <c r="C5" s="8" t="s">
        <v>28</v>
      </c>
      <c r="D5" s="8" t="s">
        <v>42</v>
      </c>
      <c r="E5" s="8" t="s">
        <v>43</v>
      </c>
      <c r="F5" s="10">
        <v>4200000</v>
      </c>
    </row>
    <row r="6" spans="2:6" x14ac:dyDescent="0.25">
      <c r="B6" s="11" t="s">
        <v>44</v>
      </c>
      <c r="C6" s="11" t="s">
        <v>28</v>
      </c>
      <c r="D6" s="11" t="s">
        <v>45</v>
      </c>
      <c r="E6" s="11" t="s">
        <v>46</v>
      </c>
      <c r="F6" s="13">
        <v>3100000</v>
      </c>
    </row>
    <row r="7" spans="2:6" x14ac:dyDescent="0.25">
      <c r="B7" s="8" t="s">
        <v>47</v>
      </c>
      <c r="C7" s="8" t="s">
        <v>28</v>
      </c>
      <c r="D7" s="8" t="s">
        <v>48</v>
      </c>
      <c r="E7" s="8" t="s">
        <v>46</v>
      </c>
      <c r="F7" s="10">
        <v>900000</v>
      </c>
    </row>
    <row r="8" spans="2:6" x14ac:dyDescent="0.25">
      <c r="B8" s="11" t="s">
        <v>49</v>
      </c>
      <c r="C8" s="11" t="s">
        <v>32</v>
      </c>
      <c r="D8" s="11" t="s">
        <v>50</v>
      </c>
      <c r="E8" s="11" t="s">
        <v>43</v>
      </c>
      <c r="F8" s="13">
        <v>1450000</v>
      </c>
    </row>
    <row r="9" spans="2:6" x14ac:dyDescent="0.25">
      <c r="B9" s="8"/>
      <c r="C9" s="8"/>
      <c r="D9" s="8"/>
      <c r="E9" s="8"/>
      <c r="F9" s="10"/>
    </row>
    <row r="10" spans="2:6" x14ac:dyDescent="0.25">
      <c r="B10" s="11"/>
      <c r="C10" s="11"/>
      <c r="D10" s="11"/>
      <c r="E10" s="11"/>
      <c r="F10" s="13"/>
    </row>
    <row r="11" spans="2:6" x14ac:dyDescent="0.25">
      <c r="B11" s="8"/>
      <c r="C11" s="8"/>
      <c r="D11" s="8"/>
      <c r="E11" s="8"/>
      <c r="F11" s="10"/>
    </row>
    <row r="12" spans="2:6" x14ac:dyDescent="0.25">
      <c r="B12" s="11"/>
      <c r="C12" s="11"/>
      <c r="D12" s="11"/>
      <c r="E12" s="11"/>
      <c r="F12" s="13"/>
    </row>
    <row r="13" spans="2:6" x14ac:dyDescent="0.25">
      <c r="B13" s="8"/>
      <c r="C13" s="8"/>
      <c r="D13" s="8"/>
      <c r="E13" s="8"/>
      <c r="F13" s="10"/>
    </row>
    <row r="14" spans="2:6" x14ac:dyDescent="0.25">
      <c r="B14" s="11"/>
      <c r="C14" s="11"/>
      <c r="D14" s="11"/>
      <c r="E14" s="11"/>
      <c r="F14" s="13"/>
    </row>
    <row r="15" spans="2:6" x14ac:dyDescent="0.25">
      <c r="B15" s="8"/>
      <c r="C15" s="8"/>
      <c r="D15" s="8"/>
      <c r="E15" s="8"/>
      <c r="F15" s="10"/>
    </row>
    <row r="16" spans="2:6" x14ac:dyDescent="0.25">
      <c r="B16" s="11"/>
      <c r="C16" s="11"/>
      <c r="D16" s="11"/>
      <c r="E16" s="11"/>
      <c r="F16" s="13"/>
    </row>
    <row r="17" spans="2:6" x14ac:dyDescent="0.25">
      <c r="B17" s="8"/>
      <c r="C17" s="8"/>
      <c r="D17" s="8"/>
      <c r="E17" s="8"/>
      <c r="F17" s="10"/>
    </row>
    <row r="18" spans="2:6" x14ac:dyDescent="0.25">
      <c r="B18" s="11"/>
      <c r="C18" s="11"/>
      <c r="D18" s="11"/>
      <c r="E18" s="11"/>
      <c r="F18" s="13"/>
    </row>
    <row r="19" spans="2:6" x14ac:dyDescent="0.25">
      <c r="B19" s="8"/>
      <c r="C19" s="8"/>
      <c r="D19" s="8"/>
      <c r="E19" s="8"/>
      <c r="F19" s="10"/>
    </row>
    <row r="20" spans="2:6" x14ac:dyDescent="0.25">
      <c r="B20" s="11"/>
      <c r="C20" s="11"/>
      <c r="D20" s="11"/>
      <c r="E20" s="11"/>
      <c r="F20" s="13"/>
    </row>
    <row r="21" spans="2:6" x14ac:dyDescent="0.25">
      <c r="B21" s="8"/>
      <c r="C21" s="8"/>
      <c r="D21" s="8"/>
      <c r="E21" s="8"/>
      <c r="F21" s="10"/>
    </row>
    <row r="22" spans="2:6" x14ac:dyDescent="0.25">
      <c r="B22" s="11"/>
      <c r="C22" s="11"/>
      <c r="D22" s="11"/>
      <c r="E22" s="11"/>
      <c r="F22" s="13"/>
    </row>
    <row r="23" spans="2:6" x14ac:dyDescent="0.25">
      <c r="B23" s="8"/>
      <c r="C23" s="8"/>
      <c r="D23" s="8"/>
      <c r="E23" s="8"/>
      <c r="F23" s="10"/>
    </row>
    <row r="24" spans="2:6" x14ac:dyDescent="0.25">
      <c r="B24" s="11"/>
      <c r="C24" s="11"/>
      <c r="D24" s="11"/>
      <c r="E24" s="11"/>
      <c r="F24" s="13"/>
    </row>
    <row r="25" spans="2:6" x14ac:dyDescent="0.25">
      <c r="B25" s="8"/>
      <c r="C25" s="8"/>
      <c r="D25" s="8"/>
      <c r="E25" s="8"/>
      <c r="F25" s="10"/>
    </row>
    <row r="26" spans="2:6" x14ac:dyDescent="0.25">
      <c r="B26" s="11"/>
      <c r="C26" s="11"/>
      <c r="D26" s="11"/>
      <c r="E26" s="11"/>
      <c r="F26" s="13"/>
    </row>
    <row r="27" spans="2:6" x14ac:dyDescent="0.25">
      <c r="B27" s="8"/>
      <c r="C27" s="8"/>
      <c r="D27" s="8"/>
      <c r="E27" s="8"/>
      <c r="F27" s="10"/>
    </row>
    <row r="28" spans="2:6" x14ac:dyDescent="0.25">
      <c r="B28" s="11"/>
      <c r="C28" s="11"/>
      <c r="D28" s="11"/>
      <c r="E28" s="11"/>
      <c r="F28" s="13"/>
    </row>
    <row r="29" spans="2:6" x14ac:dyDescent="0.25">
      <c r="B29" s="8"/>
      <c r="C29" s="8"/>
      <c r="D29" s="8"/>
      <c r="E29" s="8"/>
      <c r="F29" s="10"/>
    </row>
    <row r="30" spans="2:6" x14ac:dyDescent="0.25">
      <c r="B30" s="11"/>
      <c r="C30" s="11"/>
      <c r="D30" s="11"/>
      <c r="E30" s="11"/>
      <c r="F30" s="13"/>
    </row>
    <row r="31" spans="2:6" x14ac:dyDescent="0.25">
      <c r="B31" s="8"/>
      <c r="C31" s="8"/>
      <c r="D31" s="8"/>
      <c r="E31" s="8"/>
      <c r="F31" s="10"/>
    </row>
    <row r="32" spans="2:6" x14ac:dyDescent="0.25">
      <c r="B32" s="11"/>
      <c r="C32" s="11"/>
      <c r="D32" s="11"/>
      <c r="E32" s="11"/>
      <c r="F32" s="13"/>
    </row>
    <row r="33" spans="2:6" x14ac:dyDescent="0.25">
      <c r="B33" s="8"/>
      <c r="C33" s="8"/>
      <c r="D33" s="8"/>
      <c r="E33" s="8"/>
      <c r="F33" s="10"/>
    </row>
    <row r="34" spans="2:6" x14ac:dyDescent="0.25">
      <c r="B34" s="11"/>
      <c r="C34" s="11"/>
      <c r="D34" s="11"/>
      <c r="E34" s="11"/>
      <c r="F34" s="13"/>
    </row>
    <row r="35" spans="2:6" x14ac:dyDescent="0.25">
      <c r="B35" s="8"/>
      <c r="C35" s="8"/>
      <c r="D35" s="8"/>
      <c r="E35" s="8"/>
      <c r="F35" s="10"/>
    </row>
    <row r="36" spans="2:6" x14ac:dyDescent="0.25">
      <c r="B36" s="11"/>
      <c r="C36" s="11"/>
      <c r="D36" s="11"/>
      <c r="E36" s="11"/>
      <c r="F36" s="13"/>
    </row>
    <row r="37" spans="2:6" x14ac:dyDescent="0.25">
      <c r="B37" s="8"/>
      <c r="C37" s="8"/>
      <c r="D37" s="8"/>
      <c r="E37" s="8"/>
      <c r="F37" s="10"/>
    </row>
    <row r="38" spans="2:6" x14ac:dyDescent="0.25">
      <c r="B38" s="11"/>
      <c r="C38" s="11"/>
      <c r="D38" s="11"/>
      <c r="E38" s="11"/>
      <c r="F38" s="13"/>
    </row>
    <row r="39" spans="2:6" x14ac:dyDescent="0.25">
      <c r="B39" s="8"/>
      <c r="C39" s="8"/>
      <c r="D39" s="8"/>
      <c r="E39" s="8"/>
      <c r="F39" s="10"/>
    </row>
    <row r="40" spans="2:6" x14ac:dyDescent="0.25">
      <c r="B40" s="11"/>
      <c r="C40" s="11"/>
      <c r="D40" s="11"/>
      <c r="E40" s="11"/>
      <c r="F40" s="13"/>
    </row>
    <row r="41" spans="2:6" x14ac:dyDescent="0.25">
      <c r="B41" s="8"/>
      <c r="C41" s="8"/>
      <c r="D41" s="8"/>
      <c r="E41" s="8"/>
      <c r="F41" s="10"/>
    </row>
    <row r="42" spans="2:6" x14ac:dyDescent="0.25">
      <c r="B42" s="11"/>
      <c r="C42" s="11"/>
      <c r="D42" s="11"/>
      <c r="E42" s="11"/>
      <c r="F42" s="13"/>
    </row>
    <row r="43" spans="2:6" x14ac:dyDescent="0.25">
      <c r="B43" s="8"/>
      <c r="C43" s="8"/>
      <c r="D43" s="8"/>
      <c r="E43" s="8"/>
      <c r="F43" s="10"/>
    </row>
    <row r="44" spans="2:6" x14ac:dyDescent="0.25">
      <c r="B44" s="11"/>
      <c r="C44" s="11"/>
      <c r="D44" s="11"/>
      <c r="E44" s="11"/>
      <c r="F44" s="13"/>
    </row>
    <row r="45" spans="2:6" x14ac:dyDescent="0.25">
      <c r="B45" s="8"/>
      <c r="C45" s="8"/>
      <c r="D45" s="8"/>
      <c r="E45" s="8"/>
      <c r="F45" s="10"/>
    </row>
    <row r="46" spans="2:6" x14ac:dyDescent="0.25">
      <c r="B46" s="11"/>
      <c r="C46" s="11"/>
      <c r="D46" s="11"/>
      <c r="E46" s="11"/>
      <c r="F46" s="13"/>
    </row>
    <row r="47" spans="2:6" x14ac:dyDescent="0.25">
      <c r="B47" s="8"/>
      <c r="C47" s="8"/>
      <c r="D47" s="8"/>
      <c r="E47" s="8"/>
      <c r="F47" s="10"/>
    </row>
    <row r="48" spans="2:6" x14ac:dyDescent="0.25">
      <c r="B48" s="11"/>
      <c r="C48" s="11"/>
      <c r="D48" s="11"/>
      <c r="E48" s="11"/>
      <c r="F48" s="13"/>
    </row>
    <row r="49" spans="2:6" x14ac:dyDescent="0.25">
      <c r="B49" s="8"/>
      <c r="C49" s="8"/>
      <c r="D49" s="8"/>
      <c r="E49" s="8"/>
      <c r="F49" s="10"/>
    </row>
    <row r="50" spans="2:6" x14ac:dyDescent="0.25">
      <c r="B50" s="11"/>
      <c r="C50" s="11"/>
      <c r="D50" s="11"/>
      <c r="E50" s="11"/>
      <c r="F50" s="13"/>
    </row>
    <row r="51" spans="2:6" x14ac:dyDescent="0.25">
      <c r="B51" s="8"/>
      <c r="C51" s="8"/>
      <c r="D51" s="8"/>
      <c r="E51" s="8"/>
      <c r="F51" s="10"/>
    </row>
    <row r="52" spans="2:6" x14ac:dyDescent="0.25">
      <c r="B52" s="11"/>
      <c r="C52" s="11"/>
      <c r="D52" s="11"/>
      <c r="E52" s="11"/>
      <c r="F52" s="13"/>
    </row>
    <row r="53" spans="2:6" x14ac:dyDescent="0.25">
      <c r="B53" s="8"/>
      <c r="C53" s="8"/>
      <c r="D53" s="8"/>
      <c r="E53" s="8"/>
      <c r="F53" s="10"/>
    </row>
    <row r="54" spans="2:6" x14ac:dyDescent="0.25">
      <c r="B54" s="11"/>
      <c r="C54" s="11"/>
      <c r="D54" s="11"/>
      <c r="E54" s="11"/>
      <c r="F54" s="13"/>
    </row>
    <row r="55" spans="2:6" x14ac:dyDescent="0.25">
      <c r="B55" s="8"/>
      <c r="C55" s="8"/>
      <c r="D55" s="8"/>
      <c r="E55" s="8"/>
      <c r="F55" s="10"/>
    </row>
    <row r="56" spans="2:6" x14ac:dyDescent="0.25">
      <c r="B56" s="11"/>
      <c r="C56" s="11"/>
      <c r="D56" s="11"/>
      <c r="E56" s="11"/>
      <c r="F56" s="13"/>
    </row>
    <row r="57" spans="2:6" x14ac:dyDescent="0.25">
      <c r="B57" s="8"/>
      <c r="C57" s="8"/>
      <c r="D57" s="8"/>
      <c r="E57" s="8"/>
      <c r="F57" s="10"/>
    </row>
    <row r="58" spans="2:6" x14ac:dyDescent="0.25">
      <c r="B58" s="11"/>
      <c r="C58" s="11"/>
      <c r="D58" s="11"/>
      <c r="E58" s="11"/>
      <c r="F58" s="13"/>
    </row>
    <row r="59" spans="2:6" x14ac:dyDescent="0.25">
      <c r="B59" s="8"/>
      <c r="C59" s="8"/>
      <c r="D59" s="8"/>
      <c r="E59" s="8"/>
      <c r="F59" s="10"/>
    </row>
    <row r="60" spans="2:6" x14ac:dyDescent="0.25">
      <c r="B60" s="11"/>
      <c r="C60" s="11"/>
      <c r="D60" s="11"/>
      <c r="E60" s="11"/>
      <c r="F60" s="13"/>
    </row>
    <row r="61" spans="2:6" x14ac:dyDescent="0.25">
      <c r="B61" s="8"/>
      <c r="C61" s="8"/>
      <c r="D61" s="8"/>
      <c r="E61" s="8"/>
      <c r="F61" s="10"/>
    </row>
    <row r="62" spans="2:6" x14ac:dyDescent="0.25">
      <c r="B62" s="11"/>
      <c r="C62" s="11"/>
      <c r="D62" s="11"/>
      <c r="E62" s="11"/>
      <c r="F62" s="13"/>
    </row>
    <row r="63" spans="2:6" x14ac:dyDescent="0.25">
      <c r="B63" s="8"/>
      <c r="C63" s="8"/>
      <c r="D63" s="8"/>
      <c r="E63" s="8"/>
      <c r="F63" s="10"/>
    </row>
    <row r="64" spans="2:6" x14ac:dyDescent="0.25">
      <c r="B64" s="11"/>
      <c r="C64" s="11"/>
      <c r="D64" s="11"/>
      <c r="E64" s="11"/>
      <c r="F64" s="13"/>
    </row>
    <row r="65" spans="2:6" x14ac:dyDescent="0.25">
      <c r="B65" s="8"/>
      <c r="C65" s="8"/>
      <c r="D65" s="8"/>
      <c r="E65" s="8"/>
      <c r="F65" s="10"/>
    </row>
    <row r="66" spans="2:6" x14ac:dyDescent="0.25">
      <c r="B66" s="11"/>
      <c r="C66" s="11"/>
      <c r="D66" s="11"/>
      <c r="E66" s="11"/>
      <c r="F66" s="13"/>
    </row>
    <row r="67" spans="2:6" x14ac:dyDescent="0.25">
      <c r="B67" s="8"/>
      <c r="C67" s="8"/>
      <c r="D67" s="8"/>
      <c r="E67" s="8"/>
      <c r="F67" s="10"/>
    </row>
    <row r="68" spans="2:6" x14ac:dyDescent="0.25">
      <c r="B68" s="11"/>
      <c r="C68" s="11"/>
      <c r="D68" s="11"/>
      <c r="E68" s="11"/>
      <c r="F68" s="13"/>
    </row>
    <row r="69" spans="2:6" x14ac:dyDescent="0.25">
      <c r="B69" s="8"/>
      <c r="C69" s="8"/>
      <c r="D69" s="8"/>
      <c r="E69" s="8"/>
      <c r="F69" s="10"/>
    </row>
    <row r="70" spans="2:6" x14ac:dyDescent="0.25">
      <c r="B70" s="11"/>
      <c r="C70" s="11"/>
      <c r="D70" s="11"/>
      <c r="E70" s="11"/>
      <c r="F70" s="13"/>
    </row>
    <row r="71" spans="2:6" x14ac:dyDescent="0.25">
      <c r="B71" s="8"/>
      <c r="C71" s="8"/>
      <c r="D71" s="8"/>
      <c r="E71" s="8"/>
      <c r="F71" s="10"/>
    </row>
    <row r="72" spans="2:6" x14ac:dyDescent="0.25">
      <c r="B72" s="11"/>
      <c r="C72" s="11"/>
      <c r="D72" s="11"/>
      <c r="E72" s="11"/>
      <c r="F72" s="13"/>
    </row>
    <row r="73" spans="2:6" x14ac:dyDescent="0.25">
      <c r="B73" s="8"/>
      <c r="C73" s="8"/>
      <c r="D73" s="8"/>
      <c r="E73" s="8"/>
      <c r="F73" s="10"/>
    </row>
    <row r="74" spans="2:6" x14ac:dyDescent="0.25">
      <c r="B74" s="11"/>
      <c r="C74" s="11"/>
      <c r="D74" s="11"/>
      <c r="E74" s="11"/>
      <c r="F74" s="13"/>
    </row>
    <row r="75" spans="2:6" x14ac:dyDescent="0.25">
      <c r="B75" s="8"/>
      <c r="C75" s="8"/>
      <c r="D75" s="8"/>
      <c r="E75" s="8"/>
      <c r="F75" s="10"/>
    </row>
    <row r="76" spans="2:6" x14ac:dyDescent="0.25">
      <c r="B76" s="11"/>
      <c r="C76" s="11"/>
      <c r="D76" s="11"/>
      <c r="E76" s="11"/>
      <c r="F76" s="13"/>
    </row>
    <row r="77" spans="2:6" x14ac:dyDescent="0.25">
      <c r="B77" s="8"/>
      <c r="C77" s="8"/>
      <c r="D77" s="8"/>
      <c r="E77" s="8"/>
      <c r="F77" s="10"/>
    </row>
    <row r="78" spans="2:6" x14ac:dyDescent="0.25">
      <c r="B78" s="11"/>
      <c r="C78" s="11"/>
      <c r="D78" s="11"/>
      <c r="E78" s="11"/>
      <c r="F78" s="13"/>
    </row>
    <row r="79" spans="2:6" x14ac:dyDescent="0.25">
      <c r="B79" s="8"/>
      <c r="C79" s="8"/>
      <c r="D79" s="8"/>
      <c r="E79" s="8"/>
      <c r="F79" s="10"/>
    </row>
    <row r="80" spans="2:6" x14ac:dyDescent="0.25">
      <c r="B80" s="11"/>
      <c r="C80" s="11"/>
      <c r="D80" s="11"/>
      <c r="E80" s="11"/>
      <c r="F80" s="13"/>
    </row>
    <row r="81" spans="2:6" x14ac:dyDescent="0.25">
      <c r="B81" s="8"/>
      <c r="C81" s="8"/>
      <c r="D81" s="8"/>
      <c r="E81" s="8"/>
      <c r="F81" s="10"/>
    </row>
    <row r="82" spans="2:6" x14ac:dyDescent="0.25">
      <c r="B82" s="11"/>
      <c r="C82" s="11"/>
      <c r="D82" s="11"/>
      <c r="E82" s="11"/>
      <c r="F82" s="13"/>
    </row>
    <row r="83" spans="2:6" x14ac:dyDescent="0.25">
      <c r="B83" s="8"/>
      <c r="C83" s="8"/>
      <c r="D83" s="8"/>
      <c r="E83" s="8"/>
      <c r="F83" s="10"/>
    </row>
    <row r="84" spans="2:6" x14ac:dyDescent="0.25">
      <c r="B84" s="11"/>
      <c r="C84" s="11"/>
      <c r="D84" s="11"/>
      <c r="E84" s="11"/>
      <c r="F84" s="13"/>
    </row>
    <row r="85" spans="2:6" x14ac:dyDescent="0.25">
      <c r="B85" s="8"/>
      <c r="C85" s="8"/>
      <c r="D85" s="8"/>
      <c r="E85" s="8"/>
      <c r="F85" s="10"/>
    </row>
    <row r="86" spans="2:6" x14ac:dyDescent="0.25">
      <c r="B86" s="11"/>
      <c r="C86" s="11"/>
      <c r="D86" s="11"/>
      <c r="E86" s="11"/>
      <c r="F86" s="13"/>
    </row>
    <row r="87" spans="2:6" x14ac:dyDescent="0.25">
      <c r="B87" s="8"/>
      <c r="C87" s="8"/>
      <c r="D87" s="8"/>
      <c r="E87" s="8"/>
      <c r="F87" s="10"/>
    </row>
    <row r="88" spans="2:6" x14ac:dyDescent="0.25">
      <c r="B88" s="11"/>
      <c r="C88" s="11"/>
      <c r="D88" s="11"/>
      <c r="E88" s="11"/>
      <c r="F88" s="13"/>
    </row>
    <row r="89" spans="2:6" x14ac:dyDescent="0.25">
      <c r="B89" s="8"/>
      <c r="C89" s="8"/>
      <c r="D89" s="8"/>
      <c r="E89" s="8"/>
      <c r="F89" s="10"/>
    </row>
    <row r="90" spans="2:6" x14ac:dyDescent="0.25">
      <c r="B90" s="11"/>
      <c r="C90" s="11"/>
      <c r="D90" s="11"/>
      <c r="E90" s="11"/>
      <c r="F90" s="13"/>
    </row>
    <row r="91" spans="2:6" x14ac:dyDescent="0.25">
      <c r="B91" s="8"/>
      <c r="C91" s="8"/>
      <c r="D91" s="8"/>
      <c r="E91" s="8"/>
      <c r="F91" s="10"/>
    </row>
    <row r="92" spans="2:6" x14ac:dyDescent="0.25">
      <c r="B92" s="11"/>
      <c r="C92" s="11"/>
      <c r="D92" s="11"/>
      <c r="E92" s="11"/>
      <c r="F92" s="13"/>
    </row>
    <row r="93" spans="2:6" x14ac:dyDescent="0.25">
      <c r="B93" s="8"/>
      <c r="C93" s="8"/>
      <c r="D93" s="8"/>
      <c r="E93" s="8"/>
      <c r="F93" s="10"/>
    </row>
    <row r="94" spans="2:6" x14ac:dyDescent="0.25">
      <c r="B94" s="11"/>
      <c r="C94" s="11"/>
      <c r="D94" s="11"/>
      <c r="E94" s="11"/>
      <c r="F94" s="13"/>
    </row>
    <row r="95" spans="2:6" x14ac:dyDescent="0.25">
      <c r="B95" s="8"/>
      <c r="C95" s="8"/>
      <c r="D95" s="8"/>
      <c r="E95" s="8"/>
      <c r="F95" s="10"/>
    </row>
    <row r="96" spans="2:6" x14ac:dyDescent="0.25">
      <c r="B96" s="11"/>
      <c r="C96" s="11"/>
      <c r="D96" s="11"/>
      <c r="E96" s="11"/>
      <c r="F96" s="13"/>
    </row>
    <row r="97" spans="2:6" x14ac:dyDescent="0.25">
      <c r="B97" s="8"/>
      <c r="C97" s="8"/>
      <c r="D97" s="8"/>
      <c r="E97" s="8"/>
      <c r="F97" s="10"/>
    </row>
    <row r="98" spans="2:6" x14ac:dyDescent="0.25">
      <c r="B98" s="11"/>
      <c r="C98" s="11"/>
      <c r="D98" s="11"/>
      <c r="E98" s="11"/>
      <c r="F98" s="13"/>
    </row>
    <row r="99" spans="2:6" x14ac:dyDescent="0.25">
      <c r="B99" s="8"/>
      <c r="C99" s="8"/>
      <c r="D99" s="8"/>
      <c r="E99" s="8"/>
      <c r="F99" s="10"/>
    </row>
    <row r="100" spans="2:6" x14ac:dyDescent="0.25">
      <c r="B100" s="11"/>
      <c r="C100" s="11"/>
      <c r="D100" s="11"/>
      <c r="E100" s="11"/>
      <c r="F100" s="13"/>
    </row>
    <row r="101" spans="2:6" x14ac:dyDescent="0.25">
      <c r="B101" s="8"/>
      <c r="C101" s="8"/>
      <c r="D101" s="8"/>
      <c r="E101" s="8"/>
      <c r="F101" s="10"/>
    </row>
    <row r="102" spans="2:6" x14ac:dyDescent="0.25">
      <c r="B102" s="11"/>
      <c r="C102" s="11"/>
      <c r="D102" s="11"/>
      <c r="E102" s="11"/>
      <c r="F102" s="13"/>
    </row>
    <row r="103" spans="2:6" x14ac:dyDescent="0.25">
      <c r="B103" s="8"/>
      <c r="C103" s="8"/>
      <c r="D103" s="8"/>
      <c r="E103" s="8"/>
      <c r="F103" s="10"/>
    </row>
    <row r="104" spans="2:6" x14ac:dyDescent="0.25">
      <c r="B104" s="11"/>
      <c r="C104" s="11"/>
      <c r="D104" s="11"/>
      <c r="E104" s="11"/>
      <c r="F104" s="13"/>
    </row>
    <row r="105" spans="2:6" x14ac:dyDescent="0.25">
      <c r="B105" s="8"/>
      <c r="C105" s="8"/>
      <c r="D105" s="8"/>
      <c r="E105" s="8"/>
      <c r="F105" s="10"/>
    </row>
    <row r="106" spans="2:6" x14ac:dyDescent="0.25">
      <c r="B106" s="11"/>
      <c r="C106" s="11"/>
      <c r="D106" s="11"/>
      <c r="E106" s="11"/>
      <c r="F106" s="13"/>
    </row>
    <row r="107" spans="2:6" x14ac:dyDescent="0.25">
      <c r="B107" s="8"/>
      <c r="C107" s="8"/>
      <c r="D107" s="8"/>
      <c r="E107" s="8"/>
      <c r="F107" s="10"/>
    </row>
    <row r="108" spans="2:6" x14ac:dyDescent="0.25">
      <c r="B108" s="11"/>
      <c r="C108" s="11"/>
      <c r="D108" s="11"/>
      <c r="E108" s="11"/>
      <c r="F108" s="13"/>
    </row>
    <row r="109" spans="2:6" x14ac:dyDescent="0.25">
      <c r="B109" s="8"/>
      <c r="C109" s="8"/>
      <c r="D109" s="8"/>
      <c r="E109" s="8"/>
      <c r="F109" s="10"/>
    </row>
    <row r="110" spans="2:6" x14ac:dyDescent="0.25">
      <c r="B110" s="11"/>
      <c r="C110" s="11"/>
      <c r="D110" s="11"/>
      <c r="E110" s="11"/>
      <c r="F110" s="13"/>
    </row>
    <row r="111" spans="2:6" x14ac:dyDescent="0.25">
      <c r="B111" s="8"/>
      <c r="C111" s="8"/>
      <c r="D111" s="8"/>
      <c r="E111" s="8"/>
      <c r="F111" s="10"/>
    </row>
    <row r="112" spans="2:6" x14ac:dyDescent="0.25">
      <c r="B112" s="11"/>
      <c r="C112" s="11"/>
      <c r="D112" s="11"/>
      <c r="E112" s="11"/>
      <c r="F112" s="13"/>
    </row>
    <row r="113" spans="2:6" x14ac:dyDescent="0.25">
      <c r="B113" s="8"/>
      <c r="C113" s="8"/>
      <c r="D113" s="8"/>
      <c r="E113" s="8"/>
      <c r="F113" s="10"/>
    </row>
    <row r="114" spans="2:6" x14ac:dyDescent="0.25">
      <c r="B114" s="11"/>
      <c r="C114" s="11"/>
      <c r="D114" s="11"/>
      <c r="E114" s="11"/>
      <c r="F114" s="13"/>
    </row>
    <row r="115" spans="2:6" x14ac:dyDescent="0.25">
      <c r="B115" s="8"/>
      <c r="C115" s="8"/>
      <c r="D115" s="8"/>
      <c r="E115" s="8"/>
      <c r="F115" s="10"/>
    </row>
    <row r="116" spans="2:6" x14ac:dyDescent="0.25">
      <c r="B116" s="11"/>
      <c r="C116" s="11"/>
      <c r="D116" s="11"/>
      <c r="E116" s="11"/>
      <c r="F116" s="13"/>
    </row>
    <row r="117" spans="2:6" x14ac:dyDescent="0.25">
      <c r="B117" s="8"/>
      <c r="C117" s="8"/>
      <c r="D117" s="8"/>
      <c r="E117" s="8"/>
      <c r="F117" s="10"/>
    </row>
    <row r="118" spans="2:6" x14ac:dyDescent="0.25">
      <c r="B118" s="11"/>
      <c r="C118" s="11"/>
      <c r="D118" s="11"/>
      <c r="E118" s="11"/>
      <c r="F118" s="13"/>
    </row>
    <row r="119" spans="2:6" x14ac:dyDescent="0.25">
      <c r="B119" s="8"/>
      <c r="C119" s="8"/>
      <c r="D119" s="8"/>
      <c r="E119" s="8"/>
      <c r="F119" s="10"/>
    </row>
    <row r="120" spans="2:6" x14ac:dyDescent="0.25">
      <c r="B120" s="11"/>
      <c r="C120" s="11"/>
      <c r="D120" s="11"/>
      <c r="E120" s="11"/>
      <c r="F120" s="13"/>
    </row>
    <row r="121" spans="2:6" x14ac:dyDescent="0.25">
      <c r="B121" s="8"/>
      <c r="C121" s="8"/>
      <c r="D121" s="8"/>
      <c r="E121" s="8"/>
      <c r="F121" s="10"/>
    </row>
    <row r="122" spans="2:6" x14ac:dyDescent="0.25">
      <c r="B122" s="11"/>
      <c r="C122" s="11"/>
      <c r="D122" s="11"/>
      <c r="E122" s="11"/>
      <c r="F122" s="13"/>
    </row>
    <row r="123" spans="2:6" x14ac:dyDescent="0.25">
      <c r="B123" s="8"/>
      <c r="C123" s="8"/>
      <c r="D123" s="8"/>
      <c r="E123" s="8"/>
      <c r="F123" s="10"/>
    </row>
    <row r="124" spans="2:6" x14ac:dyDescent="0.25">
      <c r="B124" s="11"/>
      <c r="C124" s="11"/>
      <c r="D124" s="11"/>
      <c r="E124" s="11"/>
      <c r="F124" s="13"/>
    </row>
    <row r="125" spans="2:6" x14ac:dyDescent="0.25">
      <c r="B125" s="8"/>
      <c r="C125" s="8"/>
      <c r="D125" s="8"/>
      <c r="E125" s="8"/>
      <c r="F125" s="10"/>
    </row>
    <row r="126" spans="2:6" x14ac:dyDescent="0.25">
      <c r="B126" s="11"/>
      <c r="C126" s="11"/>
      <c r="D126" s="11"/>
      <c r="E126" s="11"/>
      <c r="F126" s="13"/>
    </row>
    <row r="127" spans="2:6" x14ac:dyDescent="0.25">
      <c r="B127" s="8"/>
      <c r="C127" s="8"/>
      <c r="D127" s="8"/>
      <c r="E127" s="8"/>
      <c r="F127" s="10"/>
    </row>
    <row r="128" spans="2:6" x14ac:dyDescent="0.25">
      <c r="B128" s="11"/>
      <c r="C128" s="11"/>
      <c r="D128" s="11"/>
      <c r="E128" s="11"/>
      <c r="F128" s="13"/>
    </row>
    <row r="129" spans="2:6" x14ac:dyDescent="0.25">
      <c r="B129" s="8"/>
      <c r="C129" s="8"/>
      <c r="D129" s="8"/>
      <c r="E129" s="8"/>
      <c r="F129" s="10"/>
    </row>
    <row r="130" spans="2:6" x14ac:dyDescent="0.25">
      <c r="B130" s="11"/>
      <c r="C130" s="11"/>
      <c r="D130" s="11"/>
      <c r="E130" s="11"/>
      <c r="F130" s="13"/>
    </row>
    <row r="131" spans="2:6" x14ac:dyDescent="0.25">
      <c r="B131" s="8"/>
      <c r="C131" s="8"/>
      <c r="D131" s="8"/>
      <c r="E131" s="8"/>
      <c r="F131" s="10"/>
    </row>
    <row r="132" spans="2:6" x14ac:dyDescent="0.25">
      <c r="B132" s="11"/>
      <c r="C132" s="11"/>
      <c r="D132" s="11"/>
      <c r="E132" s="11"/>
      <c r="F132" s="13"/>
    </row>
    <row r="133" spans="2:6" x14ac:dyDescent="0.25">
      <c r="B133" s="8"/>
      <c r="C133" s="8"/>
      <c r="D133" s="8"/>
      <c r="E133" s="8"/>
      <c r="F133" s="10"/>
    </row>
    <row r="134" spans="2:6" x14ac:dyDescent="0.25">
      <c r="B134" s="11"/>
      <c r="C134" s="11"/>
      <c r="D134" s="11"/>
      <c r="E134" s="11"/>
      <c r="F134" s="13"/>
    </row>
    <row r="135" spans="2:6" x14ac:dyDescent="0.25">
      <c r="B135" s="8"/>
      <c r="C135" s="8"/>
      <c r="D135" s="8"/>
      <c r="E135" s="8"/>
      <c r="F135" s="10"/>
    </row>
    <row r="136" spans="2:6" x14ac:dyDescent="0.25">
      <c r="B136" s="11"/>
      <c r="C136" s="11"/>
      <c r="D136" s="11"/>
      <c r="E136" s="11"/>
      <c r="F136" s="13"/>
    </row>
    <row r="137" spans="2:6" x14ac:dyDescent="0.25">
      <c r="B137" s="8"/>
      <c r="C137" s="8"/>
      <c r="D137" s="8"/>
      <c r="E137" s="8"/>
      <c r="F137" s="10"/>
    </row>
    <row r="138" spans="2:6" x14ac:dyDescent="0.25">
      <c r="B138" s="11"/>
      <c r="C138" s="11"/>
      <c r="D138" s="11"/>
      <c r="E138" s="11"/>
      <c r="F138" s="13"/>
    </row>
    <row r="139" spans="2:6" x14ac:dyDescent="0.25">
      <c r="B139" s="8"/>
      <c r="C139" s="8"/>
      <c r="D139" s="8"/>
      <c r="E139" s="8"/>
      <c r="F139" s="10"/>
    </row>
    <row r="140" spans="2:6" x14ac:dyDescent="0.25">
      <c r="B140" s="11"/>
      <c r="C140" s="11"/>
      <c r="D140" s="11"/>
      <c r="E140" s="11"/>
      <c r="F140" s="13"/>
    </row>
    <row r="141" spans="2:6" x14ac:dyDescent="0.25">
      <c r="B141" s="8"/>
      <c r="C141" s="8"/>
      <c r="D141" s="8"/>
      <c r="E141" s="8"/>
      <c r="F141" s="10"/>
    </row>
    <row r="142" spans="2:6" x14ac:dyDescent="0.25">
      <c r="B142" s="11"/>
      <c r="C142" s="11"/>
      <c r="D142" s="11"/>
      <c r="E142" s="11"/>
      <c r="F142" s="13"/>
    </row>
    <row r="143" spans="2:6" x14ac:dyDescent="0.25">
      <c r="B143" s="8"/>
      <c r="C143" s="8"/>
      <c r="D143" s="8"/>
      <c r="E143" s="8"/>
      <c r="F143" s="10"/>
    </row>
    <row r="144" spans="2:6" x14ac:dyDescent="0.25">
      <c r="B144" s="11"/>
      <c r="C144" s="11"/>
      <c r="D144" s="11"/>
      <c r="E144" s="11"/>
      <c r="F144" s="13"/>
    </row>
    <row r="145" spans="2:6" x14ac:dyDescent="0.25">
      <c r="B145" s="8"/>
      <c r="C145" s="8"/>
      <c r="D145" s="8"/>
      <c r="E145" s="8"/>
      <c r="F145" s="10"/>
    </row>
    <row r="146" spans="2:6" x14ac:dyDescent="0.25">
      <c r="B146" s="11"/>
      <c r="C146" s="11"/>
      <c r="D146" s="11"/>
      <c r="E146" s="11"/>
      <c r="F146" s="13"/>
    </row>
    <row r="147" spans="2:6" x14ac:dyDescent="0.25">
      <c r="B147" s="8"/>
      <c r="C147" s="8"/>
      <c r="D147" s="8"/>
      <c r="E147" s="8"/>
      <c r="F147" s="10"/>
    </row>
    <row r="148" spans="2:6" x14ac:dyDescent="0.25">
      <c r="B148" s="11"/>
      <c r="C148" s="11"/>
      <c r="D148" s="11"/>
      <c r="E148" s="11"/>
      <c r="F148" s="13"/>
    </row>
    <row r="149" spans="2:6" x14ac:dyDescent="0.25">
      <c r="B149" s="8"/>
      <c r="C149" s="8"/>
      <c r="D149" s="8"/>
      <c r="E149" s="8"/>
      <c r="F149" s="10"/>
    </row>
    <row r="150" spans="2:6" x14ac:dyDescent="0.25">
      <c r="B150" s="11"/>
      <c r="C150" s="11"/>
      <c r="D150" s="11"/>
      <c r="E150" s="11"/>
      <c r="F150" s="13"/>
    </row>
    <row r="151" spans="2:6" x14ac:dyDescent="0.25">
      <c r="B151" s="8"/>
      <c r="C151" s="8"/>
      <c r="D151" s="8"/>
      <c r="E151" s="8"/>
      <c r="F151" s="10"/>
    </row>
    <row r="152" spans="2:6" x14ac:dyDescent="0.25">
      <c r="B152" s="11"/>
      <c r="C152" s="11"/>
      <c r="D152" s="11"/>
      <c r="E152" s="11"/>
      <c r="F152" s="13"/>
    </row>
    <row r="153" spans="2:6" x14ac:dyDescent="0.25">
      <c r="B153" s="8"/>
      <c r="C153" s="8"/>
      <c r="D153" s="8"/>
      <c r="E153" s="8"/>
      <c r="F153" s="10"/>
    </row>
    <row r="154" spans="2:6" x14ac:dyDescent="0.25">
      <c r="B154" s="11"/>
      <c r="C154" s="11"/>
      <c r="D154" s="11"/>
      <c r="E154" s="11"/>
      <c r="F154" s="13"/>
    </row>
    <row r="155" spans="2:6" x14ac:dyDescent="0.25">
      <c r="B155" s="8"/>
      <c r="C155" s="8"/>
      <c r="D155" s="8"/>
      <c r="E155" s="8"/>
      <c r="F155" s="10"/>
    </row>
    <row r="156" spans="2:6" x14ac:dyDescent="0.25">
      <c r="B156" s="11"/>
      <c r="C156" s="11"/>
      <c r="D156" s="11"/>
      <c r="E156" s="11"/>
      <c r="F156" s="13"/>
    </row>
    <row r="157" spans="2:6" x14ac:dyDescent="0.25">
      <c r="B157" s="8"/>
      <c r="C157" s="8"/>
      <c r="D157" s="8"/>
      <c r="E157" s="8"/>
      <c r="F157" s="10"/>
    </row>
    <row r="158" spans="2:6" x14ac:dyDescent="0.25">
      <c r="B158" s="11"/>
      <c r="C158" s="11"/>
      <c r="D158" s="11"/>
      <c r="E158" s="11"/>
      <c r="F158" s="13"/>
    </row>
    <row r="159" spans="2:6" x14ac:dyDescent="0.25">
      <c r="B159" s="8"/>
      <c r="C159" s="8"/>
      <c r="D159" s="8"/>
      <c r="E159" s="8"/>
      <c r="F159" s="10"/>
    </row>
    <row r="160" spans="2:6" x14ac:dyDescent="0.25">
      <c r="B160" s="11"/>
      <c r="C160" s="11"/>
      <c r="D160" s="11"/>
      <c r="E160" s="11"/>
      <c r="F160" s="13"/>
    </row>
    <row r="161" spans="2:6" x14ac:dyDescent="0.25">
      <c r="B161" s="8"/>
      <c r="C161" s="8"/>
      <c r="D161" s="8"/>
      <c r="E161" s="8"/>
      <c r="F161" s="10"/>
    </row>
    <row r="162" spans="2:6" x14ac:dyDescent="0.25">
      <c r="B162" s="11"/>
      <c r="C162" s="11"/>
      <c r="D162" s="11"/>
      <c r="E162" s="11"/>
      <c r="F162" s="13"/>
    </row>
    <row r="163" spans="2:6" x14ac:dyDescent="0.25">
      <c r="B163" s="8"/>
      <c r="C163" s="8"/>
      <c r="D163" s="8"/>
      <c r="E163" s="8"/>
      <c r="F163" s="10"/>
    </row>
    <row r="164" spans="2:6" x14ac:dyDescent="0.25">
      <c r="B164" s="11"/>
      <c r="C164" s="11"/>
      <c r="D164" s="11"/>
      <c r="E164" s="11"/>
      <c r="F164" s="13"/>
    </row>
    <row r="165" spans="2:6" x14ac:dyDescent="0.25">
      <c r="B165" s="8"/>
      <c r="C165" s="8"/>
      <c r="D165" s="8"/>
      <c r="E165" s="8"/>
      <c r="F165" s="10"/>
    </row>
    <row r="166" spans="2:6" x14ac:dyDescent="0.25">
      <c r="B166" s="11"/>
      <c r="C166" s="11"/>
      <c r="D166" s="11"/>
      <c r="E166" s="11"/>
      <c r="F166" s="13"/>
    </row>
    <row r="167" spans="2:6" x14ac:dyDescent="0.25">
      <c r="B167" s="8"/>
      <c r="C167" s="8"/>
      <c r="D167" s="8"/>
      <c r="E167" s="8"/>
      <c r="F167" s="10"/>
    </row>
    <row r="168" spans="2:6" x14ac:dyDescent="0.25">
      <c r="B168" s="11"/>
      <c r="C168" s="11"/>
      <c r="D168" s="11"/>
      <c r="E168" s="11"/>
      <c r="F168" s="13"/>
    </row>
    <row r="169" spans="2:6" x14ac:dyDescent="0.25">
      <c r="B169" s="8"/>
      <c r="C169" s="8"/>
      <c r="D169" s="8"/>
      <c r="E169" s="8"/>
      <c r="F169" s="10"/>
    </row>
    <row r="170" spans="2:6" x14ac:dyDescent="0.25">
      <c r="B170" s="11"/>
      <c r="C170" s="11"/>
      <c r="D170" s="11"/>
      <c r="E170" s="11"/>
      <c r="F170" s="13"/>
    </row>
    <row r="171" spans="2:6" x14ac:dyDescent="0.25">
      <c r="B171" s="8"/>
      <c r="C171" s="8"/>
      <c r="D171" s="8"/>
      <c r="E171" s="8"/>
      <c r="F171" s="10"/>
    </row>
    <row r="172" spans="2:6" x14ac:dyDescent="0.25">
      <c r="B172" s="11"/>
      <c r="C172" s="11"/>
      <c r="D172" s="11"/>
      <c r="E172" s="11"/>
      <c r="F172" s="13"/>
    </row>
    <row r="173" spans="2:6" x14ac:dyDescent="0.25">
      <c r="B173" s="8"/>
      <c r="C173" s="8"/>
      <c r="D173" s="8"/>
      <c r="E173" s="8"/>
      <c r="F173" s="10"/>
    </row>
    <row r="174" spans="2:6" x14ac:dyDescent="0.25">
      <c r="B174" s="11"/>
      <c r="C174" s="11"/>
      <c r="D174" s="11"/>
      <c r="E174" s="11"/>
      <c r="F174" s="13"/>
    </row>
    <row r="175" spans="2:6" x14ac:dyDescent="0.25">
      <c r="B175" s="8"/>
      <c r="C175" s="8"/>
      <c r="D175" s="8"/>
      <c r="E175" s="8"/>
      <c r="F175" s="10"/>
    </row>
    <row r="176" spans="2:6" x14ac:dyDescent="0.25">
      <c r="B176" s="11"/>
      <c r="C176" s="11"/>
      <c r="D176" s="11"/>
      <c r="E176" s="11"/>
      <c r="F176" s="13"/>
    </row>
    <row r="177" spans="2:6" x14ac:dyDescent="0.25">
      <c r="B177" s="8"/>
      <c r="C177" s="8"/>
      <c r="D177" s="8"/>
      <c r="E177" s="8"/>
      <c r="F177" s="10"/>
    </row>
    <row r="178" spans="2:6" x14ac:dyDescent="0.25">
      <c r="B178" s="11"/>
      <c r="C178" s="11"/>
      <c r="D178" s="11"/>
      <c r="E178" s="11"/>
      <c r="F178" s="13"/>
    </row>
    <row r="179" spans="2:6" x14ac:dyDescent="0.25">
      <c r="B179" s="8"/>
      <c r="C179" s="8"/>
      <c r="D179" s="8"/>
      <c r="E179" s="8"/>
      <c r="F179" s="10"/>
    </row>
    <row r="180" spans="2:6" x14ac:dyDescent="0.25">
      <c r="B180" s="11"/>
      <c r="C180" s="11"/>
      <c r="D180" s="11"/>
      <c r="E180" s="11"/>
      <c r="F180" s="13"/>
    </row>
    <row r="181" spans="2:6" x14ac:dyDescent="0.25">
      <c r="B181" s="8"/>
      <c r="C181" s="8"/>
      <c r="D181" s="8"/>
      <c r="E181" s="8"/>
      <c r="F181" s="10"/>
    </row>
    <row r="182" spans="2:6" x14ac:dyDescent="0.25">
      <c r="B182" s="11"/>
      <c r="C182" s="11"/>
      <c r="D182" s="11"/>
      <c r="E182" s="11"/>
      <c r="F182" s="13"/>
    </row>
    <row r="183" spans="2:6" x14ac:dyDescent="0.25">
      <c r="B183" s="8"/>
      <c r="C183" s="8"/>
      <c r="D183" s="8"/>
      <c r="E183" s="8"/>
      <c r="F183" s="10"/>
    </row>
    <row r="184" spans="2:6" x14ac:dyDescent="0.25">
      <c r="B184" s="11"/>
      <c r="C184" s="11"/>
      <c r="D184" s="11"/>
      <c r="E184" s="11"/>
      <c r="F184" s="13"/>
    </row>
    <row r="185" spans="2:6" x14ac:dyDescent="0.25">
      <c r="B185" s="8"/>
      <c r="C185" s="8"/>
      <c r="D185" s="8"/>
      <c r="E185" s="8"/>
      <c r="F185" s="10"/>
    </row>
    <row r="186" spans="2:6" x14ac:dyDescent="0.25">
      <c r="B186" s="11"/>
      <c r="C186" s="11"/>
      <c r="D186" s="11"/>
      <c r="E186" s="11"/>
      <c r="F186" s="13"/>
    </row>
    <row r="187" spans="2:6" x14ac:dyDescent="0.25">
      <c r="B187" s="8"/>
      <c r="C187" s="8"/>
      <c r="D187" s="8"/>
      <c r="E187" s="8"/>
      <c r="F187" s="10"/>
    </row>
    <row r="188" spans="2:6" x14ac:dyDescent="0.25">
      <c r="B188" s="11"/>
      <c r="C188" s="11"/>
      <c r="D188" s="11"/>
      <c r="E188" s="11"/>
      <c r="F188" s="13"/>
    </row>
    <row r="189" spans="2:6" x14ac:dyDescent="0.25">
      <c r="B189" s="8"/>
      <c r="C189" s="8"/>
      <c r="D189" s="8"/>
      <c r="E189" s="8"/>
      <c r="F189" s="10"/>
    </row>
    <row r="190" spans="2:6" x14ac:dyDescent="0.25">
      <c r="B190" s="11"/>
      <c r="C190" s="11"/>
      <c r="D190" s="11"/>
      <c r="E190" s="11"/>
      <c r="F190" s="13"/>
    </row>
    <row r="191" spans="2:6" x14ac:dyDescent="0.25">
      <c r="B191" s="8"/>
      <c r="C191" s="8"/>
      <c r="D191" s="8"/>
      <c r="E191" s="8"/>
      <c r="F191" s="10"/>
    </row>
    <row r="192" spans="2:6" x14ac:dyDescent="0.25">
      <c r="B192" s="11"/>
      <c r="C192" s="11"/>
      <c r="D192" s="11"/>
      <c r="E192" s="11"/>
      <c r="F192" s="13"/>
    </row>
    <row r="193" spans="2:6" x14ac:dyDescent="0.25">
      <c r="B193" s="8"/>
      <c r="C193" s="8"/>
      <c r="D193" s="8"/>
      <c r="E193" s="8"/>
      <c r="F193" s="10"/>
    </row>
    <row r="194" spans="2:6" x14ac:dyDescent="0.25">
      <c r="B194" s="11"/>
      <c r="C194" s="11"/>
      <c r="D194" s="11"/>
      <c r="E194" s="11"/>
      <c r="F194" s="13"/>
    </row>
    <row r="195" spans="2:6" x14ac:dyDescent="0.25">
      <c r="B195" s="8"/>
      <c r="C195" s="8"/>
      <c r="D195" s="8"/>
      <c r="E195" s="8"/>
      <c r="F195" s="10"/>
    </row>
    <row r="196" spans="2:6" x14ac:dyDescent="0.25">
      <c r="B196" s="11"/>
      <c r="C196" s="11"/>
      <c r="D196" s="11"/>
      <c r="E196" s="11"/>
      <c r="F196" s="13"/>
    </row>
    <row r="197" spans="2:6" x14ac:dyDescent="0.25">
      <c r="B197" s="8"/>
      <c r="C197" s="8"/>
      <c r="D197" s="8"/>
      <c r="E197" s="8"/>
      <c r="F197" s="10"/>
    </row>
    <row r="198" spans="2:6" x14ac:dyDescent="0.25">
      <c r="B198" s="11"/>
      <c r="C198" s="11"/>
      <c r="D198" s="11"/>
      <c r="E198" s="11"/>
      <c r="F198" s="13"/>
    </row>
    <row r="199" spans="2:6" x14ac:dyDescent="0.25">
      <c r="B199" s="8"/>
      <c r="C199" s="8"/>
      <c r="D199" s="8"/>
      <c r="E199" s="8"/>
      <c r="F199" s="10"/>
    </row>
    <row r="200" spans="2:6" x14ac:dyDescent="0.25">
      <c r="B200" s="11"/>
      <c r="C200" s="11"/>
      <c r="D200" s="11"/>
      <c r="E200" s="11"/>
      <c r="F200" s="13"/>
    </row>
    <row r="201" spans="2:6" x14ac:dyDescent="0.25">
      <c r="B201" s="8"/>
      <c r="C201" s="8"/>
      <c r="D201" s="8"/>
      <c r="E201" s="8"/>
      <c r="F201" s="10"/>
    </row>
    <row r="202" spans="2:6" x14ac:dyDescent="0.25">
      <c r="B202" s="11"/>
      <c r="C202" s="11"/>
      <c r="D202" s="11"/>
      <c r="E202" s="11"/>
      <c r="F202" s="13"/>
    </row>
    <row r="203" spans="2:6" x14ac:dyDescent="0.25">
      <c r="B203" s="8"/>
      <c r="C203" s="8"/>
      <c r="D203" s="8"/>
      <c r="E203" s="8"/>
      <c r="F203" s="10"/>
    </row>
    <row r="204" spans="2:6" x14ac:dyDescent="0.25">
      <c r="B204" s="11"/>
      <c r="C204" s="11"/>
      <c r="D204" s="11"/>
      <c r="E204" s="11"/>
      <c r="F204" s="13"/>
    </row>
    <row r="205" spans="2:6" x14ac:dyDescent="0.25">
      <c r="B205" s="8"/>
      <c r="C205" s="8"/>
      <c r="D205" s="8"/>
      <c r="E205" s="8"/>
      <c r="F205" s="10"/>
    </row>
    <row r="206" spans="2:6" x14ac:dyDescent="0.25">
      <c r="B206" s="11"/>
      <c r="C206" s="11"/>
      <c r="D206" s="11"/>
      <c r="E206" s="11"/>
      <c r="F206" s="13"/>
    </row>
    <row r="207" spans="2:6" x14ac:dyDescent="0.25">
      <c r="B207" s="8"/>
      <c r="C207" s="8"/>
      <c r="D207" s="8"/>
      <c r="E207" s="8"/>
      <c r="F207" s="10"/>
    </row>
    <row r="208" spans="2:6" x14ac:dyDescent="0.25">
      <c r="B208" s="11"/>
      <c r="C208" s="11"/>
      <c r="D208" s="11"/>
      <c r="E208" s="11"/>
      <c r="F208" s="13"/>
    </row>
    <row r="209" spans="2:6" x14ac:dyDescent="0.25">
      <c r="B209" s="8"/>
      <c r="C209" s="8"/>
      <c r="D209" s="8"/>
      <c r="E209" s="8"/>
      <c r="F209" s="10"/>
    </row>
    <row r="210" spans="2:6" x14ac:dyDescent="0.25">
      <c r="B210" s="11"/>
      <c r="C210" s="11"/>
      <c r="D210" s="11"/>
      <c r="E210" s="11"/>
      <c r="F210" s="13"/>
    </row>
    <row r="211" spans="2:6" x14ac:dyDescent="0.25">
      <c r="B211" s="8"/>
      <c r="C211" s="8"/>
      <c r="D211" s="8"/>
      <c r="E211" s="8"/>
      <c r="F211" s="10"/>
    </row>
    <row r="212" spans="2:6" x14ac:dyDescent="0.25">
      <c r="B212" s="11"/>
      <c r="C212" s="11"/>
      <c r="D212" s="11"/>
      <c r="E212" s="11"/>
      <c r="F212" s="13"/>
    </row>
    <row r="213" spans="2:6" x14ac:dyDescent="0.25">
      <c r="B213" s="8"/>
      <c r="C213" s="8"/>
      <c r="D213" s="8"/>
      <c r="E213" s="8"/>
      <c r="F213" s="10"/>
    </row>
    <row r="214" spans="2:6" x14ac:dyDescent="0.25">
      <c r="B214" s="11"/>
      <c r="C214" s="11"/>
      <c r="D214" s="11"/>
      <c r="E214" s="11"/>
      <c r="F214" s="13"/>
    </row>
    <row r="215" spans="2:6" x14ac:dyDescent="0.25">
      <c r="B215" s="8"/>
      <c r="C215" s="8"/>
      <c r="D215" s="8"/>
      <c r="E215" s="8"/>
      <c r="F215" s="10"/>
    </row>
    <row r="216" spans="2:6" x14ac:dyDescent="0.25">
      <c r="B216" s="11"/>
      <c r="C216" s="11"/>
      <c r="D216" s="11"/>
      <c r="E216" s="11"/>
      <c r="F216" s="13"/>
    </row>
    <row r="217" spans="2:6" x14ac:dyDescent="0.25">
      <c r="B217" s="8"/>
      <c r="C217" s="8"/>
      <c r="D217" s="8"/>
      <c r="E217" s="8"/>
      <c r="F217" s="10"/>
    </row>
    <row r="218" spans="2:6" x14ac:dyDescent="0.25">
      <c r="B218" s="11"/>
      <c r="C218" s="11"/>
      <c r="D218" s="11"/>
      <c r="E218" s="11"/>
      <c r="F218" s="13"/>
    </row>
    <row r="219" spans="2:6" x14ac:dyDescent="0.25">
      <c r="B219" s="8"/>
      <c r="C219" s="8"/>
      <c r="D219" s="8"/>
      <c r="E219" s="8"/>
      <c r="F219" s="10"/>
    </row>
    <row r="220" spans="2:6" x14ac:dyDescent="0.25">
      <c r="B220" s="11"/>
      <c r="C220" s="11"/>
      <c r="D220" s="11"/>
      <c r="E220" s="11"/>
      <c r="F220" s="13"/>
    </row>
    <row r="221" spans="2:6" x14ac:dyDescent="0.25">
      <c r="B221" s="8"/>
      <c r="C221" s="8"/>
      <c r="D221" s="8"/>
      <c r="E221" s="8"/>
      <c r="F221" s="10"/>
    </row>
    <row r="222" spans="2:6" x14ac:dyDescent="0.25">
      <c r="B222" s="11"/>
      <c r="C222" s="11"/>
      <c r="D222" s="11"/>
      <c r="E222" s="11"/>
      <c r="F222" s="13"/>
    </row>
    <row r="223" spans="2:6" x14ac:dyDescent="0.25">
      <c r="B223" s="8"/>
      <c r="C223" s="8"/>
      <c r="D223" s="8"/>
      <c r="E223" s="8"/>
      <c r="F223" s="10"/>
    </row>
    <row r="224" spans="2:6" x14ac:dyDescent="0.25">
      <c r="B224" s="11"/>
      <c r="C224" s="11"/>
      <c r="D224" s="11"/>
      <c r="E224" s="11"/>
      <c r="F224" s="13"/>
    </row>
    <row r="225" spans="2:6" x14ac:dyDescent="0.25">
      <c r="B225" s="8"/>
      <c r="C225" s="8"/>
      <c r="D225" s="8"/>
      <c r="E225" s="8"/>
      <c r="F225" s="10"/>
    </row>
    <row r="226" spans="2:6" x14ac:dyDescent="0.25">
      <c r="B226" s="11"/>
      <c r="C226" s="11"/>
      <c r="D226" s="11"/>
      <c r="E226" s="11"/>
      <c r="F226" s="13"/>
    </row>
    <row r="227" spans="2:6" x14ac:dyDescent="0.25">
      <c r="B227" s="8"/>
      <c r="C227" s="8"/>
      <c r="D227" s="8"/>
      <c r="E227" s="8"/>
      <c r="F227" s="10"/>
    </row>
    <row r="228" spans="2:6" x14ac:dyDescent="0.25">
      <c r="B228" s="11"/>
      <c r="C228" s="11"/>
      <c r="D228" s="11"/>
      <c r="E228" s="11"/>
      <c r="F228" s="13"/>
    </row>
    <row r="229" spans="2:6" x14ac:dyDescent="0.25">
      <c r="B229" s="8"/>
      <c r="C229" s="8"/>
      <c r="D229" s="8"/>
      <c r="E229" s="8"/>
      <c r="F229" s="10"/>
    </row>
    <row r="230" spans="2:6" x14ac:dyDescent="0.25">
      <c r="B230" s="11"/>
      <c r="C230" s="11"/>
      <c r="D230" s="11"/>
      <c r="E230" s="11"/>
      <c r="F230" s="13"/>
    </row>
    <row r="231" spans="2:6" x14ac:dyDescent="0.25">
      <c r="B231" s="8"/>
      <c r="C231" s="8"/>
      <c r="D231" s="8"/>
      <c r="E231" s="8"/>
      <c r="F231" s="10"/>
    </row>
    <row r="232" spans="2:6" x14ac:dyDescent="0.25">
      <c r="B232" s="11"/>
      <c r="C232" s="11"/>
      <c r="D232" s="11"/>
      <c r="E232" s="11"/>
      <c r="F232" s="13"/>
    </row>
    <row r="233" spans="2:6" x14ac:dyDescent="0.25">
      <c r="B233" s="8"/>
      <c r="C233" s="8"/>
      <c r="D233" s="8"/>
      <c r="E233" s="8"/>
      <c r="F233" s="10"/>
    </row>
    <row r="234" spans="2:6" x14ac:dyDescent="0.25">
      <c r="B234" s="11"/>
      <c r="C234" s="11"/>
      <c r="D234" s="11"/>
      <c r="E234" s="11"/>
      <c r="F234" s="13"/>
    </row>
    <row r="235" spans="2:6" x14ac:dyDescent="0.25">
      <c r="B235" s="8"/>
      <c r="C235" s="8"/>
      <c r="D235" s="8"/>
      <c r="E235" s="8"/>
      <c r="F235" s="10"/>
    </row>
    <row r="236" spans="2:6" x14ac:dyDescent="0.25">
      <c r="B236" s="11"/>
      <c r="C236" s="11"/>
      <c r="D236" s="11"/>
      <c r="E236" s="11"/>
      <c r="F236" s="13"/>
    </row>
    <row r="237" spans="2:6" x14ac:dyDescent="0.25">
      <c r="B237" s="8"/>
      <c r="C237" s="8"/>
      <c r="D237" s="8"/>
      <c r="E237" s="8"/>
      <c r="F237" s="10"/>
    </row>
    <row r="238" spans="2:6" x14ac:dyDescent="0.25">
      <c r="B238" s="11"/>
      <c r="C238" s="11"/>
      <c r="D238" s="11"/>
      <c r="E238" s="11"/>
      <c r="F238" s="13"/>
    </row>
    <row r="239" spans="2:6" x14ac:dyDescent="0.25">
      <c r="B239" s="8"/>
      <c r="C239" s="8"/>
      <c r="D239" s="8"/>
      <c r="E239" s="8"/>
      <c r="F239" s="10"/>
    </row>
    <row r="240" spans="2:6" x14ac:dyDescent="0.25">
      <c r="B240" s="11"/>
      <c r="C240" s="11"/>
      <c r="D240" s="11"/>
      <c r="E240" s="11"/>
      <c r="F240" s="13"/>
    </row>
    <row r="241" spans="2:6" x14ac:dyDescent="0.25">
      <c r="B241" s="8"/>
      <c r="C241" s="8"/>
      <c r="D241" s="8"/>
      <c r="E241" s="8"/>
      <c r="F241" s="10"/>
    </row>
    <row r="242" spans="2:6" x14ac:dyDescent="0.25">
      <c r="B242" s="11"/>
      <c r="C242" s="11"/>
      <c r="D242" s="11"/>
      <c r="E242" s="11"/>
      <c r="F242" s="13"/>
    </row>
    <row r="243" spans="2:6" x14ac:dyDescent="0.25">
      <c r="B243" s="8"/>
      <c r="C243" s="8"/>
      <c r="D243" s="8"/>
      <c r="E243" s="8"/>
      <c r="F243" s="10"/>
    </row>
    <row r="244" spans="2:6" x14ac:dyDescent="0.25">
      <c r="B244" s="11"/>
      <c r="C244" s="11"/>
      <c r="D244" s="11"/>
      <c r="E244" s="11"/>
      <c r="F244" s="13"/>
    </row>
    <row r="245" spans="2:6" x14ac:dyDescent="0.25">
      <c r="B245" s="8"/>
      <c r="C245" s="8"/>
      <c r="D245" s="8"/>
      <c r="E245" s="8"/>
      <c r="F245" s="10"/>
    </row>
    <row r="246" spans="2:6" x14ac:dyDescent="0.25">
      <c r="B246" s="11"/>
      <c r="C246" s="11"/>
      <c r="D246" s="11"/>
      <c r="E246" s="11"/>
      <c r="F246" s="13"/>
    </row>
    <row r="247" spans="2:6" x14ac:dyDescent="0.25">
      <c r="B247" s="8"/>
      <c r="C247" s="8"/>
      <c r="D247" s="8"/>
      <c r="E247" s="8"/>
      <c r="F247" s="10"/>
    </row>
    <row r="248" spans="2:6" x14ac:dyDescent="0.25">
      <c r="B248" s="11"/>
      <c r="C248" s="11"/>
      <c r="D248" s="11"/>
      <c r="E248" s="11"/>
      <c r="F248" s="13"/>
    </row>
    <row r="249" spans="2:6" x14ac:dyDescent="0.25">
      <c r="B249" s="8"/>
      <c r="C249" s="8"/>
      <c r="D249" s="8"/>
      <c r="E249" s="8"/>
      <c r="F249" s="10"/>
    </row>
    <row r="250" spans="2:6" x14ac:dyDescent="0.25">
      <c r="B250" s="11"/>
      <c r="C250" s="11"/>
      <c r="D250" s="11"/>
      <c r="E250" s="11"/>
      <c r="F250" s="13"/>
    </row>
    <row r="251" spans="2:6" x14ac:dyDescent="0.25">
      <c r="B251" s="8"/>
      <c r="C251" s="8"/>
      <c r="D251" s="8"/>
      <c r="E251" s="8"/>
      <c r="F251" s="10"/>
    </row>
    <row r="252" spans="2:6" x14ac:dyDescent="0.25">
      <c r="B252" s="11"/>
      <c r="C252" s="11"/>
      <c r="D252" s="11"/>
      <c r="E252" s="11"/>
      <c r="F252" s="13"/>
    </row>
    <row r="253" spans="2:6" x14ac:dyDescent="0.25">
      <c r="B253" s="8"/>
      <c r="C253" s="8"/>
      <c r="D253" s="8"/>
      <c r="E253" s="8"/>
      <c r="F253" s="10"/>
    </row>
    <row r="254" spans="2:6" x14ac:dyDescent="0.25">
      <c r="B254" s="11"/>
      <c r="C254" s="11"/>
      <c r="D254" s="11"/>
      <c r="E254" s="11"/>
      <c r="F254" s="13"/>
    </row>
    <row r="255" spans="2:6" x14ac:dyDescent="0.25">
      <c r="B255" s="8"/>
      <c r="C255" s="8"/>
      <c r="D255" s="8"/>
      <c r="E255" s="8"/>
      <c r="F255" s="10"/>
    </row>
    <row r="256" spans="2:6" x14ac:dyDescent="0.25">
      <c r="B256" s="11"/>
      <c r="C256" s="11"/>
      <c r="D256" s="11"/>
      <c r="E256" s="11"/>
      <c r="F256" s="13"/>
    </row>
    <row r="257" spans="2:6" x14ac:dyDescent="0.25">
      <c r="B257" s="8"/>
      <c r="C257" s="8"/>
      <c r="D257" s="8"/>
      <c r="E257" s="8"/>
      <c r="F257" s="10"/>
    </row>
    <row r="258" spans="2:6" x14ac:dyDescent="0.25">
      <c r="B258" s="11"/>
      <c r="C258" s="11"/>
      <c r="D258" s="11"/>
      <c r="E258" s="11"/>
      <c r="F258" s="13"/>
    </row>
    <row r="259" spans="2:6" x14ac:dyDescent="0.25">
      <c r="B259" s="8"/>
      <c r="C259" s="8"/>
      <c r="D259" s="8"/>
      <c r="E259" s="8"/>
      <c r="F259" s="10"/>
    </row>
    <row r="260" spans="2:6" x14ac:dyDescent="0.25">
      <c r="B260" s="11"/>
      <c r="C260" s="11"/>
      <c r="D260" s="11"/>
      <c r="E260" s="11"/>
      <c r="F260" s="13"/>
    </row>
    <row r="261" spans="2:6" x14ac:dyDescent="0.25">
      <c r="B261" s="8"/>
      <c r="C261" s="8"/>
      <c r="D261" s="8"/>
      <c r="E261" s="8"/>
      <c r="F261" s="10"/>
    </row>
    <row r="262" spans="2:6" x14ac:dyDescent="0.25">
      <c r="B262" s="11"/>
      <c r="C262" s="11"/>
      <c r="D262" s="11"/>
      <c r="E262" s="11"/>
      <c r="F262" s="13"/>
    </row>
    <row r="263" spans="2:6" x14ac:dyDescent="0.25">
      <c r="B263" s="8"/>
      <c r="C263" s="8"/>
      <c r="D263" s="8"/>
      <c r="E263" s="8"/>
      <c r="F263" s="10"/>
    </row>
    <row r="264" spans="2:6" x14ac:dyDescent="0.25">
      <c r="B264" s="11"/>
      <c r="C264" s="11"/>
      <c r="D264" s="11"/>
      <c r="E264" s="11"/>
      <c r="F264" s="13"/>
    </row>
    <row r="265" spans="2:6" x14ac:dyDescent="0.25">
      <c r="B265" s="8"/>
      <c r="C265" s="8"/>
      <c r="D265" s="8"/>
      <c r="E265" s="8"/>
      <c r="F265" s="10"/>
    </row>
    <row r="266" spans="2:6" x14ac:dyDescent="0.25">
      <c r="B266" s="11"/>
      <c r="C266" s="11"/>
      <c r="D266" s="11"/>
      <c r="E266" s="11"/>
      <c r="F266" s="13"/>
    </row>
    <row r="267" spans="2:6" x14ac:dyDescent="0.25">
      <c r="B267" s="8"/>
      <c r="C267" s="8"/>
      <c r="D267" s="8"/>
      <c r="E267" s="8"/>
      <c r="F267" s="10"/>
    </row>
    <row r="268" spans="2:6" x14ac:dyDescent="0.25">
      <c r="B268" s="11"/>
      <c r="C268" s="11"/>
      <c r="D268" s="11"/>
      <c r="E268" s="11"/>
      <c r="F268" s="13"/>
    </row>
    <row r="269" spans="2:6" x14ac:dyDescent="0.25">
      <c r="B269" s="8"/>
      <c r="C269" s="8"/>
      <c r="D269" s="8"/>
      <c r="E269" s="8"/>
      <c r="F269" s="10"/>
    </row>
    <row r="270" spans="2:6" x14ac:dyDescent="0.25">
      <c r="B270" s="11"/>
      <c r="C270" s="11"/>
      <c r="D270" s="11"/>
      <c r="E270" s="11"/>
      <c r="F270" s="13"/>
    </row>
    <row r="271" spans="2:6" x14ac:dyDescent="0.25">
      <c r="B271" s="8"/>
      <c r="C271" s="8"/>
      <c r="D271" s="8"/>
      <c r="E271" s="8"/>
      <c r="F271" s="10"/>
    </row>
    <row r="272" spans="2:6" x14ac:dyDescent="0.25">
      <c r="B272" s="11"/>
      <c r="C272" s="11"/>
      <c r="D272" s="11"/>
      <c r="E272" s="11"/>
      <c r="F272" s="13"/>
    </row>
    <row r="273" spans="2:6" x14ac:dyDescent="0.25">
      <c r="B273" s="8"/>
      <c r="C273" s="8"/>
      <c r="D273" s="8"/>
      <c r="E273" s="8"/>
      <c r="F273" s="10"/>
    </row>
    <row r="274" spans="2:6" x14ac:dyDescent="0.25">
      <c r="B274" s="11"/>
      <c r="C274" s="11"/>
      <c r="D274" s="11"/>
      <c r="E274" s="11"/>
      <c r="F274" s="13"/>
    </row>
    <row r="275" spans="2:6" x14ac:dyDescent="0.25">
      <c r="B275" s="8"/>
      <c r="C275" s="8"/>
      <c r="D275" s="8"/>
      <c r="E275" s="8"/>
      <c r="F275" s="10"/>
    </row>
    <row r="276" spans="2:6" x14ac:dyDescent="0.25">
      <c r="B276" s="11"/>
      <c r="C276" s="11"/>
      <c r="D276" s="11"/>
      <c r="E276" s="11"/>
      <c r="F276" s="13"/>
    </row>
    <row r="277" spans="2:6" x14ac:dyDescent="0.25">
      <c r="B277" s="8"/>
      <c r="C277" s="8"/>
      <c r="D277" s="8"/>
      <c r="E277" s="8"/>
      <c r="F277" s="10"/>
    </row>
    <row r="278" spans="2:6" x14ac:dyDescent="0.25">
      <c r="B278" s="11"/>
      <c r="C278" s="11"/>
      <c r="D278" s="11"/>
      <c r="E278" s="11"/>
      <c r="F278" s="13"/>
    </row>
    <row r="279" spans="2:6" x14ac:dyDescent="0.25">
      <c r="B279" s="8"/>
      <c r="C279" s="8"/>
      <c r="D279" s="8"/>
      <c r="E279" s="8"/>
      <c r="F279" s="10"/>
    </row>
    <row r="280" spans="2:6" x14ac:dyDescent="0.25">
      <c r="B280" s="11"/>
      <c r="C280" s="11"/>
      <c r="D280" s="11"/>
      <c r="E280" s="11"/>
      <c r="F280" s="13"/>
    </row>
    <row r="281" spans="2:6" x14ac:dyDescent="0.25">
      <c r="B281" s="8"/>
      <c r="C281" s="8"/>
      <c r="D281" s="8"/>
      <c r="E281" s="8"/>
      <c r="F281" s="10"/>
    </row>
    <row r="282" spans="2:6" x14ac:dyDescent="0.25">
      <c r="B282" s="11"/>
      <c r="C282" s="11"/>
      <c r="D282" s="11"/>
      <c r="E282" s="11"/>
      <c r="F282" s="13"/>
    </row>
    <row r="283" spans="2:6" x14ac:dyDescent="0.25">
      <c r="B283" s="8"/>
      <c r="C283" s="8"/>
      <c r="D283" s="8"/>
      <c r="E283" s="8"/>
      <c r="F283" s="10"/>
    </row>
    <row r="284" spans="2:6" x14ac:dyDescent="0.25">
      <c r="B284" s="11"/>
      <c r="C284" s="11"/>
      <c r="D284" s="11"/>
      <c r="E284" s="11"/>
      <c r="F284" s="13"/>
    </row>
    <row r="285" spans="2:6" x14ac:dyDescent="0.25">
      <c r="B285" s="8"/>
      <c r="C285" s="8"/>
      <c r="D285" s="8"/>
      <c r="E285" s="8"/>
      <c r="F285" s="10"/>
    </row>
    <row r="286" spans="2:6" x14ac:dyDescent="0.25">
      <c r="B286" s="11"/>
      <c r="C286" s="11"/>
      <c r="D286" s="11"/>
      <c r="E286" s="11"/>
      <c r="F286" s="13"/>
    </row>
    <row r="287" spans="2:6" x14ac:dyDescent="0.25">
      <c r="B287" s="8"/>
      <c r="C287" s="8"/>
      <c r="D287" s="8"/>
      <c r="E287" s="8"/>
      <c r="F287" s="10"/>
    </row>
    <row r="288" spans="2:6" x14ac:dyDescent="0.25">
      <c r="B288" s="11"/>
      <c r="C288" s="11"/>
      <c r="D288" s="11"/>
      <c r="E288" s="11"/>
      <c r="F288" s="13"/>
    </row>
    <row r="289" spans="2:6" x14ac:dyDescent="0.25">
      <c r="B289" s="8"/>
      <c r="C289" s="8"/>
      <c r="D289" s="8"/>
      <c r="E289" s="8"/>
      <c r="F289" s="10"/>
    </row>
    <row r="290" spans="2:6" x14ac:dyDescent="0.25">
      <c r="B290" s="11"/>
      <c r="C290" s="11"/>
      <c r="D290" s="11"/>
      <c r="E290" s="11"/>
      <c r="F290" s="13"/>
    </row>
    <row r="291" spans="2:6" x14ac:dyDescent="0.25">
      <c r="B291" s="8"/>
      <c r="C291" s="8"/>
      <c r="D291" s="8"/>
      <c r="E291" s="8"/>
      <c r="F291" s="10"/>
    </row>
    <row r="292" spans="2:6" x14ac:dyDescent="0.25">
      <c r="B292" s="11"/>
      <c r="C292" s="11"/>
      <c r="D292" s="11"/>
      <c r="E292" s="11"/>
      <c r="F292" s="13"/>
    </row>
    <row r="293" spans="2:6" x14ac:dyDescent="0.25">
      <c r="B293" s="8"/>
      <c r="C293" s="8"/>
      <c r="D293" s="8"/>
      <c r="E293" s="8"/>
      <c r="F293" s="10"/>
    </row>
    <row r="294" spans="2:6" x14ac:dyDescent="0.25">
      <c r="B294" s="11"/>
      <c r="C294" s="11"/>
      <c r="D294" s="11"/>
      <c r="E294" s="11"/>
      <c r="F294" s="13"/>
    </row>
    <row r="295" spans="2:6" x14ac:dyDescent="0.25">
      <c r="B295" s="8"/>
      <c r="C295" s="8"/>
      <c r="D295" s="8"/>
      <c r="E295" s="8"/>
      <c r="F295" s="10"/>
    </row>
    <row r="296" spans="2:6" x14ac:dyDescent="0.25">
      <c r="B296" s="11"/>
      <c r="C296" s="11"/>
      <c r="D296" s="11"/>
      <c r="E296" s="11"/>
      <c r="F296" s="13"/>
    </row>
    <row r="297" spans="2:6" x14ac:dyDescent="0.25">
      <c r="B297" s="8"/>
      <c r="C297" s="8"/>
      <c r="D297" s="8"/>
      <c r="E297" s="8"/>
      <c r="F297" s="10"/>
    </row>
    <row r="298" spans="2:6" x14ac:dyDescent="0.25">
      <c r="B298" s="11"/>
      <c r="C298" s="11"/>
      <c r="D298" s="11"/>
      <c r="E298" s="11"/>
      <c r="F298" s="13"/>
    </row>
    <row r="299" spans="2:6" x14ac:dyDescent="0.25">
      <c r="B299" s="8"/>
      <c r="C299" s="8"/>
      <c r="D299" s="8"/>
      <c r="E299" s="8"/>
      <c r="F299" s="10"/>
    </row>
    <row r="300" spans="2:6" x14ac:dyDescent="0.25">
      <c r="B300" s="11"/>
      <c r="C300" s="11"/>
      <c r="D300" s="11"/>
      <c r="E300" s="11"/>
      <c r="F300" s="13"/>
    </row>
    <row r="301" spans="2:6" x14ac:dyDescent="0.25">
      <c r="B301" s="8"/>
      <c r="C301" s="8"/>
      <c r="D301" s="8"/>
      <c r="E301" s="8"/>
      <c r="F301" s="10"/>
    </row>
    <row r="302" spans="2:6" x14ac:dyDescent="0.25">
      <c r="B302" s="11"/>
      <c r="C302" s="11"/>
      <c r="D302" s="11"/>
      <c r="E302" s="11"/>
      <c r="F302" s="13"/>
    </row>
    <row r="303" spans="2:6" x14ac:dyDescent="0.25">
      <c r="B303" s="8"/>
      <c r="C303" s="8"/>
      <c r="D303" s="8"/>
      <c r="E303" s="8"/>
      <c r="F303" s="10"/>
    </row>
    <row r="304" spans="2:6" x14ac:dyDescent="0.25">
      <c r="B304" s="11"/>
      <c r="C304" s="11"/>
      <c r="D304" s="11"/>
      <c r="E304" s="11"/>
      <c r="F304" s="13"/>
    </row>
  </sheetData>
  <mergeCells count="2">
    <mergeCell ref="A1:F1"/>
    <mergeCell ref="A2:F2"/>
  </mergeCells>
  <dataValidations count="2">
    <dataValidation type="list" allowBlank="1" sqref="C5:C304">
      <formula1>=ProjeKodlari</formula1>
    </dataValidation>
    <dataValidation type="list" allowBlank="1" sqref="E5:E304">
      <formula1>=Gruplar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K10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3" customWidth="1"/>
    <col min="3" max="4" width="14" customWidth="1"/>
    <col min="5" max="5" width="28" customWidth="1"/>
    <col min="6" max="6" width="26" customWidth="1"/>
    <col min="7" max="7" width="16" customWidth="1"/>
    <col min="8" max="8" width="12" customWidth="1"/>
    <col min="9" max="10" width="16" customWidth="1"/>
    <col min="11" max="11" width="18" customWidth="1"/>
  </cols>
  <sheetData>
    <row r="1" ht="34" customHeight="1" spans="1:11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0" customHeight="1" spans="1:11" x14ac:dyDescent="0.25">
      <c r="A4" s="7" t="s">
        <v>20</v>
      </c>
      <c r="B4" s="7" t="s">
        <v>53</v>
      </c>
      <c r="C4" s="7" t="s">
        <v>21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7" t="s">
        <v>61</v>
      </c>
    </row>
    <row r="5" spans="2:11" x14ac:dyDescent="0.25">
      <c r="B5" s="9">
        <v>46062.875</v>
      </c>
      <c r="C5" s="8" t="s">
        <v>28</v>
      </c>
      <c r="D5" s="8" t="s">
        <v>41</v>
      </c>
      <c r="E5" s="14">
        <f>IFERROR(IF($D5="","",VLOOKUP($D5,'Bütçe Kalemleri'!$B$5:$D$304,3,FALSE)),"— tanımsız kalem —")</f>
      </c>
      <c r="F5" s="8" t="s">
        <v>62</v>
      </c>
      <c r="G5" s="10">
        <v>620000</v>
      </c>
      <c r="H5" s="15">
        <v>0.2</v>
      </c>
      <c r="I5" s="16">
        <f>IF($G5="",0,$G5*IF($H5="",0,$H5))</f>
      </c>
      <c r="J5" s="16">
        <f>IF($G5="","",$G5+$I5)</f>
      </c>
      <c r="K5" s="8" t="s">
        <v>63</v>
      </c>
    </row>
    <row r="6" spans="2:11" x14ac:dyDescent="0.25">
      <c r="B6" s="12">
        <v>46085.875</v>
      </c>
      <c r="C6" s="11" t="s">
        <v>28</v>
      </c>
      <c r="D6" s="11" t="s">
        <v>44</v>
      </c>
      <c r="E6" s="14">
        <f>IFERROR(IF($D6="","",VLOOKUP($D6,'Bütçe Kalemleri'!$B$5:$D$304,3,FALSE)),"— tanımsız kalem —")</f>
      </c>
      <c r="F6" s="11" t="s">
        <v>64</v>
      </c>
      <c r="G6" s="13">
        <v>850000</v>
      </c>
      <c r="H6" s="17">
        <v>0.2</v>
      </c>
      <c r="I6" s="16">
        <f>IF($G6="",0,$G6*IF($H6="",0,$H6))</f>
      </c>
      <c r="J6" s="16">
        <f>IF($G6="","",$G6+$I6)</f>
      </c>
      <c r="K6" s="11" t="s">
        <v>65</v>
      </c>
    </row>
    <row r="7" spans="2:11" x14ac:dyDescent="0.25">
      <c r="B7" s="9"/>
      <c r="C7" s="8"/>
      <c r="D7" s="8"/>
      <c r="E7" s="14">
        <f>IFERROR(IF($D7="","",VLOOKUP($D7,'Bütçe Kalemleri'!$B$5:$D$304,3,FALSE)),"— tanımsız kalem —")</f>
      </c>
      <c r="F7" s="8"/>
      <c r="G7" s="10"/>
      <c r="H7" s="15"/>
      <c r="I7" s="16">
        <f>IF($G7="",0,$G7*IF($H7="",0,$H7))</f>
      </c>
      <c r="J7" s="16">
        <f>IF($G7="","",$G7+$I7)</f>
      </c>
      <c r="K7" s="8"/>
    </row>
    <row r="8" spans="2:11" x14ac:dyDescent="0.25">
      <c r="B8" s="12"/>
      <c r="C8" s="11"/>
      <c r="D8" s="11"/>
      <c r="E8" s="14">
        <f>IFERROR(IF($D8="","",VLOOKUP($D8,'Bütçe Kalemleri'!$B$5:$D$304,3,FALSE)),"— tanımsız kalem —")</f>
      </c>
      <c r="F8" s="11"/>
      <c r="G8" s="13"/>
      <c r="H8" s="17"/>
      <c r="I8" s="16">
        <f>IF($G8="",0,$G8*IF($H8="",0,$H8))</f>
      </c>
      <c r="J8" s="16">
        <f>IF($G8="","",$G8+$I8)</f>
      </c>
      <c r="K8" s="11"/>
    </row>
    <row r="9" spans="2:11" x14ac:dyDescent="0.25">
      <c r="B9" s="9"/>
      <c r="C9" s="8"/>
      <c r="D9" s="8"/>
      <c r="E9" s="14">
        <f>IFERROR(IF($D9="","",VLOOKUP($D9,'Bütçe Kalemleri'!$B$5:$D$304,3,FALSE)),"— tanımsız kalem —")</f>
      </c>
      <c r="F9" s="8"/>
      <c r="G9" s="10"/>
      <c r="H9" s="15"/>
      <c r="I9" s="16">
        <f>IF($G9="",0,$G9*IF($H9="",0,$H9))</f>
      </c>
      <c r="J9" s="16">
        <f>IF($G9="","",$G9+$I9)</f>
      </c>
      <c r="K9" s="8"/>
    </row>
    <row r="10" spans="2:11" x14ac:dyDescent="0.25">
      <c r="B10" s="12"/>
      <c r="C10" s="11"/>
      <c r="D10" s="11"/>
      <c r="E10" s="14">
        <f>IFERROR(IF($D10="","",VLOOKUP($D10,'Bütçe Kalemleri'!$B$5:$D$304,3,FALSE)),"— tanımsız kalem —")</f>
      </c>
      <c r="F10" s="11"/>
      <c r="G10" s="13"/>
      <c r="H10" s="17"/>
      <c r="I10" s="16">
        <f>IF($G10="",0,$G10*IF($H10="",0,$H10))</f>
      </c>
      <c r="J10" s="16">
        <f>IF($G10="","",$G10+$I10)</f>
      </c>
      <c r="K10" s="11"/>
    </row>
    <row r="11" spans="2:11" x14ac:dyDescent="0.25">
      <c r="B11" s="9"/>
      <c r="C11" s="8"/>
      <c r="D11" s="8"/>
      <c r="E11" s="14">
        <f>IFERROR(IF($D11="","",VLOOKUP($D11,'Bütçe Kalemleri'!$B$5:$D$304,3,FALSE)),"— tanımsız kalem —")</f>
      </c>
      <c r="F11" s="8"/>
      <c r="G11" s="10"/>
      <c r="H11" s="15"/>
      <c r="I11" s="16">
        <f>IF($G11="",0,$G11*IF($H11="",0,$H11))</f>
      </c>
      <c r="J11" s="16">
        <f>IF($G11="","",$G11+$I11)</f>
      </c>
      <c r="K11" s="8"/>
    </row>
    <row r="12" spans="2:11" x14ac:dyDescent="0.25">
      <c r="B12" s="12"/>
      <c r="C12" s="11"/>
      <c r="D12" s="11"/>
      <c r="E12" s="14">
        <f>IFERROR(IF($D12="","",VLOOKUP($D12,'Bütçe Kalemleri'!$B$5:$D$304,3,FALSE)),"— tanımsız kalem —")</f>
      </c>
      <c r="F12" s="11"/>
      <c r="G12" s="13"/>
      <c r="H12" s="17"/>
      <c r="I12" s="16">
        <f>IF($G12="",0,$G12*IF($H12="",0,$H12))</f>
      </c>
      <c r="J12" s="16">
        <f>IF($G12="","",$G12+$I12)</f>
      </c>
      <c r="K12" s="11"/>
    </row>
    <row r="13" spans="2:11" x14ac:dyDescent="0.25">
      <c r="B13" s="9"/>
      <c r="C13" s="8"/>
      <c r="D13" s="8"/>
      <c r="E13" s="14">
        <f>IFERROR(IF($D13="","",VLOOKUP($D13,'Bütçe Kalemleri'!$B$5:$D$304,3,FALSE)),"— tanımsız kalem —")</f>
      </c>
      <c r="F13" s="8"/>
      <c r="G13" s="10"/>
      <c r="H13" s="15"/>
      <c r="I13" s="16">
        <f>IF($G13="",0,$G13*IF($H13="",0,$H13))</f>
      </c>
      <c r="J13" s="16">
        <f>IF($G13="","",$G13+$I13)</f>
      </c>
      <c r="K13" s="8"/>
    </row>
    <row r="14" spans="2:11" x14ac:dyDescent="0.25">
      <c r="B14" s="12"/>
      <c r="C14" s="11"/>
      <c r="D14" s="11"/>
      <c r="E14" s="14">
        <f>IFERROR(IF($D14="","",VLOOKUP($D14,'Bütçe Kalemleri'!$B$5:$D$304,3,FALSE)),"— tanımsız kalem —")</f>
      </c>
      <c r="F14" s="11"/>
      <c r="G14" s="13"/>
      <c r="H14" s="17"/>
      <c r="I14" s="16">
        <f>IF($G14="",0,$G14*IF($H14="",0,$H14))</f>
      </c>
      <c r="J14" s="16">
        <f>IF($G14="","",$G14+$I14)</f>
      </c>
      <c r="K14" s="11"/>
    </row>
    <row r="15" spans="2:11" x14ac:dyDescent="0.25">
      <c r="B15" s="9"/>
      <c r="C15" s="8"/>
      <c r="D15" s="8"/>
      <c r="E15" s="14">
        <f>IFERROR(IF($D15="","",VLOOKUP($D15,'Bütçe Kalemleri'!$B$5:$D$304,3,FALSE)),"— tanımsız kalem —")</f>
      </c>
      <c r="F15" s="8"/>
      <c r="G15" s="10"/>
      <c r="H15" s="15"/>
      <c r="I15" s="16">
        <f>IF($G15="",0,$G15*IF($H15="",0,$H15))</f>
      </c>
      <c r="J15" s="16">
        <f>IF($G15="","",$G15+$I15)</f>
      </c>
      <c r="K15" s="8"/>
    </row>
    <row r="16" spans="2:11" x14ac:dyDescent="0.25">
      <c r="B16" s="12"/>
      <c r="C16" s="11"/>
      <c r="D16" s="11"/>
      <c r="E16" s="14">
        <f>IFERROR(IF($D16="","",VLOOKUP($D16,'Bütçe Kalemleri'!$B$5:$D$304,3,FALSE)),"— tanımsız kalem —")</f>
      </c>
      <c r="F16" s="11"/>
      <c r="G16" s="13"/>
      <c r="H16" s="17"/>
      <c r="I16" s="16">
        <f>IF($G16="",0,$G16*IF($H16="",0,$H16))</f>
      </c>
      <c r="J16" s="16">
        <f>IF($G16="","",$G16+$I16)</f>
      </c>
      <c r="K16" s="11"/>
    </row>
    <row r="17" spans="2:11" x14ac:dyDescent="0.25">
      <c r="B17" s="9"/>
      <c r="C17" s="8"/>
      <c r="D17" s="8"/>
      <c r="E17" s="14">
        <f>IFERROR(IF($D17="","",VLOOKUP($D17,'Bütçe Kalemleri'!$B$5:$D$304,3,FALSE)),"— tanımsız kalem —")</f>
      </c>
      <c r="F17" s="8"/>
      <c r="G17" s="10"/>
      <c r="H17" s="15"/>
      <c r="I17" s="16">
        <f>IF($G17="",0,$G17*IF($H17="",0,$H17))</f>
      </c>
      <c r="J17" s="16">
        <f>IF($G17="","",$G17+$I17)</f>
      </c>
      <c r="K17" s="8"/>
    </row>
    <row r="18" spans="2:11" x14ac:dyDescent="0.25">
      <c r="B18" s="12"/>
      <c r="C18" s="11"/>
      <c r="D18" s="11"/>
      <c r="E18" s="14">
        <f>IFERROR(IF($D18="","",VLOOKUP($D18,'Bütçe Kalemleri'!$B$5:$D$304,3,FALSE)),"— tanımsız kalem —")</f>
      </c>
      <c r="F18" s="11"/>
      <c r="G18" s="13"/>
      <c r="H18" s="17"/>
      <c r="I18" s="16">
        <f>IF($G18="",0,$G18*IF($H18="",0,$H18))</f>
      </c>
      <c r="J18" s="16">
        <f>IF($G18="","",$G18+$I18)</f>
      </c>
      <c r="K18" s="11"/>
    </row>
    <row r="19" spans="2:11" x14ac:dyDescent="0.25">
      <c r="B19" s="9"/>
      <c r="C19" s="8"/>
      <c r="D19" s="8"/>
      <c r="E19" s="14">
        <f>IFERROR(IF($D19="","",VLOOKUP($D19,'Bütçe Kalemleri'!$B$5:$D$304,3,FALSE)),"— tanımsız kalem —")</f>
      </c>
      <c r="F19" s="8"/>
      <c r="G19" s="10"/>
      <c r="H19" s="15"/>
      <c r="I19" s="16">
        <f>IF($G19="",0,$G19*IF($H19="",0,$H19))</f>
      </c>
      <c r="J19" s="16">
        <f>IF($G19="","",$G19+$I19)</f>
      </c>
      <c r="K19" s="8"/>
    </row>
    <row r="20" spans="2:11" x14ac:dyDescent="0.25">
      <c r="B20" s="12"/>
      <c r="C20" s="11"/>
      <c r="D20" s="11"/>
      <c r="E20" s="14">
        <f>IFERROR(IF($D20="","",VLOOKUP($D20,'Bütçe Kalemleri'!$B$5:$D$304,3,FALSE)),"— tanımsız kalem —")</f>
      </c>
      <c r="F20" s="11"/>
      <c r="G20" s="13"/>
      <c r="H20" s="17"/>
      <c r="I20" s="16">
        <f>IF($G20="",0,$G20*IF($H20="",0,$H20))</f>
      </c>
      <c r="J20" s="16">
        <f>IF($G20="","",$G20+$I20)</f>
      </c>
      <c r="K20" s="11"/>
    </row>
    <row r="21" spans="2:11" x14ac:dyDescent="0.25">
      <c r="B21" s="9"/>
      <c r="C21" s="8"/>
      <c r="D21" s="8"/>
      <c r="E21" s="14">
        <f>IFERROR(IF($D21="","",VLOOKUP($D21,'Bütçe Kalemleri'!$B$5:$D$304,3,FALSE)),"— tanımsız kalem —")</f>
      </c>
      <c r="F21" s="8"/>
      <c r="G21" s="10"/>
      <c r="H21" s="15"/>
      <c r="I21" s="16">
        <f>IF($G21="",0,$G21*IF($H21="",0,$H21))</f>
      </c>
      <c r="J21" s="16">
        <f>IF($G21="","",$G21+$I21)</f>
      </c>
      <c r="K21" s="8"/>
    </row>
    <row r="22" spans="2:11" x14ac:dyDescent="0.25">
      <c r="B22" s="12"/>
      <c r="C22" s="11"/>
      <c r="D22" s="11"/>
      <c r="E22" s="14">
        <f>IFERROR(IF($D22="","",VLOOKUP($D22,'Bütçe Kalemleri'!$B$5:$D$304,3,FALSE)),"— tanımsız kalem —")</f>
      </c>
      <c r="F22" s="11"/>
      <c r="G22" s="13"/>
      <c r="H22" s="17"/>
      <c r="I22" s="16">
        <f>IF($G22="",0,$G22*IF($H22="",0,$H22))</f>
      </c>
      <c r="J22" s="16">
        <f>IF($G22="","",$G22+$I22)</f>
      </c>
      <c r="K22" s="11"/>
    </row>
    <row r="23" spans="2:11" x14ac:dyDescent="0.25">
      <c r="B23" s="9"/>
      <c r="C23" s="8"/>
      <c r="D23" s="8"/>
      <c r="E23" s="14">
        <f>IFERROR(IF($D23="","",VLOOKUP($D23,'Bütçe Kalemleri'!$B$5:$D$304,3,FALSE)),"— tanımsız kalem —")</f>
      </c>
      <c r="F23" s="8"/>
      <c r="G23" s="10"/>
      <c r="H23" s="15"/>
      <c r="I23" s="16">
        <f>IF($G23="",0,$G23*IF($H23="",0,$H23))</f>
      </c>
      <c r="J23" s="16">
        <f>IF($G23="","",$G23+$I23)</f>
      </c>
      <c r="K23" s="8"/>
    </row>
    <row r="24" spans="2:11" x14ac:dyDescent="0.25">
      <c r="B24" s="12"/>
      <c r="C24" s="11"/>
      <c r="D24" s="11"/>
      <c r="E24" s="14">
        <f>IFERROR(IF($D24="","",VLOOKUP($D24,'Bütçe Kalemleri'!$B$5:$D$304,3,FALSE)),"— tanımsız kalem —")</f>
      </c>
      <c r="F24" s="11"/>
      <c r="G24" s="13"/>
      <c r="H24" s="17"/>
      <c r="I24" s="16">
        <f>IF($G24="",0,$G24*IF($H24="",0,$H24))</f>
      </c>
      <c r="J24" s="16">
        <f>IF($G24="","",$G24+$I24)</f>
      </c>
      <c r="K24" s="11"/>
    </row>
    <row r="25" spans="2:11" x14ac:dyDescent="0.25">
      <c r="B25" s="9"/>
      <c r="C25" s="8"/>
      <c r="D25" s="8"/>
      <c r="E25" s="14">
        <f>IFERROR(IF($D25="","",VLOOKUP($D25,'Bütçe Kalemleri'!$B$5:$D$304,3,FALSE)),"— tanımsız kalem —")</f>
      </c>
      <c r="F25" s="8"/>
      <c r="G25" s="10"/>
      <c r="H25" s="15"/>
      <c r="I25" s="16">
        <f>IF($G25="",0,$G25*IF($H25="",0,$H25))</f>
      </c>
      <c r="J25" s="16">
        <f>IF($G25="","",$G25+$I25)</f>
      </c>
      <c r="K25" s="8"/>
    </row>
    <row r="26" spans="2:11" x14ac:dyDescent="0.25">
      <c r="B26" s="12"/>
      <c r="C26" s="11"/>
      <c r="D26" s="11"/>
      <c r="E26" s="14">
        <f>IFERROR(IF($D26="","",VLOOKUP($D26,'Bütçe Kalemleri'!$B$5:$D$304,3,FALSE)),"— tanımsız kalem —")</f>
      </c>
      <c r="F26" s="11"/>
      <c r="G26" s="13"/>
      <c r="H26" s="17"/>
      <c r="I26" s="16">
        <f>IF($G26="",0,$G26*IF($H26="",0,$H26))</f>
      </c>
      <c r="J26" s="16">
        <f>IF($G26="","",$G26+$I26)</f>
      </c>
      <c r="K26" s="11"/>
    </row>
    <row r="27" spans="2:11" x14ac:dyDescent="0.25">
      <c r="B27" s="9"/>
      <c r="C27" s="8"/>
      <c r="D27" s="8"/>
      <c r="E27" s="14">
        <f>IFERROR(IF($D27="","",VLOOKUP($D27,'Bütçe Kalemleri'!$B$5:$D$304,3,FALSE)),"— tanımsız kalem —")</f>
      </c>
      <c r="F27" s="8"/>
      <c r="G27" s="10"/>
      <c r="H27" s="15"/>
      <c r="I27" s="16">
        <f>IF($G27="",0,$G27*IF($H27="",0,$H27))</f>
      </c>
      <c r="J27" s="16">
        <f>IF($G27="","",$G27+$I27)</f>
      </c>
      <c r="K27" s="8"/>
    </row>
    <row r="28" spans="2:11" x14ac:dyDescent="0.25">
      <c r="B28" s="12"/>
      <c r="C28" s="11"/>
      <c r="D28" s="11"/>
      <c r="E28" s="14">
        <f>IFERROR(IF($D28="","",VLOOKUP($D28,'Bütçe Kalemleri'!$B$5:$D$304,3,FALSE)),"— tanımsız kalem —")</f>
      </c>
      <c r="F28" s="11"/>
      <c r="G28" s="13"/>
      <c r="H28" s="17"/>
      <c r="I28" s="16">
        <f>IF($G28="",0,$G28*IF($H28="",0,$H28))</f>
      </c>
      <c r="J28" s="16">
        <f>IF($G28="","",$G28+$I28)</f>
      </c>
      <c r="K28" s="11"/>
    </row>
    <row r="29" spans="2:11" x14ac:dyDescent="0.25">
      <c r="B29" s="9"/>
      <c r="C29" s="8"/>
      <c r="D29" s="8"/>
      <c r="E29" s="14">
        <f>IFERROR(IF($D29="","",VLOOKUP($D29,'Bütçe Kalemleri'!$B$5:$D$304,3,FALSE)),"— tanımsız kalem —")</f>
      </c>
      <c r="F29" s="8"/>
      <c r="G29" s="10"/>
      <c r="H29" s="15"/>
      <c r="I29" s="16">
        <f>IF($G29="",0,$G29*IF($H29="",0,$H29))</f>
      </c>
      <c r="J29" s="16">
        <f>IF($G29="","",$G29+$I29)</f>
      </c>
      <c r="K29" s="8"/>
    </row>
    <row r="30" spans="2:11" x14ac:dyDescent="0.25">
      <c r="B30" s="12"/>
      <c r="C30" s="11"/>
      <c r="D30" s="11"/>
      <c r="E30" s="14">
        <f>IFERROR(IF($D30="","",VLOOKUP($D30,'Bütçe Kalemleri'!$B$5:$D$304,3,FALSE)),"— tanımsız kalem —")</f>
      </c>
      <c r="F30" s="11"/>
      <c r="G30" s="13"/>
      <c r="H30" s="17"/>
      <c r="I30" s="16">
        <f>IF($G30="",0,$G30*IF($H30="",0,$H30))</f>
      </c>
      <c r="J30" s="16">
        <f>IF($G30="","",$G30+$I30)</f>
      </c>
      <c r="K30" s="11"/>
    </row>
    <row r="31" spans="2:11" x14ac:dyDescent="0.25">
      <c r="B31" s="9"/>
      <c r="C31" s="8"/>
      <c r="D31" s="8"/>
      <c r="E31" s="14">
        <f>IFERROR(IF($D31="","",VLOOKUP($D31,'Bütçe Kalemleri'!$B$5:$D$304,3,FALSE)),"— tanımsız kalem —")</f>
      </c>
      <c r="F31" s="8"/>
      <c r="G31" s="10"/>
      <c r="H31" s="15"/>
      <c r="I31" s="16">
        <f>IF($G31="",0,$G31*IF($H31="",0,$H31))</f>
      </c>
      <c r="J31" s="16">
        <f>IF($G31="","",$G31+$I31)</f>
      </c>
      <c r="K31" s="8"/>
    </row>
    <row r="32" spans="2:11" x14ac:dyDescent="0.25">
      <c r="B32" s="12"/>
      <c r="C32" s="11"/>
      <c r="D32" s="11"/>
      <c r="E32" s="14">
        <f>IFERROR(IF($D32="","",VLOOKUP($D32,'Bütçe Kalemleri'!$B$5:$D$304,3,FALSE)),"— tanımsız kalem —")</f>
      </c>
      <c r="F32" s="11"/>
      <c r="G32" s="13"/>
      <c r="H32" s="17"/>
      <c r="I32" s="16">
        <f>IF($G32="",0,$G32*IF($H32="",0,$H32))</f>
      </c>
      <c r="J32" s="16">
        <f>IF($G32="","",$G32+$I32)</f>
      </c>
      <c r="K32" s="11"/>
    </row>
    <row r="33" spans="2:11" x14ac:dyDescent="0.25">
      <c r="B33" s="9"/>
      <c r="C33" s="8"/>
      <c r="D33" s="8"/>
      <c r="E33" s="14">
        <f>IFERROR(IF($D33="","",VLOOKUP($D33,'Bütçe Kalemleri'!$B$5:$D$304,3,FALSE)),"— tanımsız kalem —")</f>
      </c>
      <c r="F33" s="8"/>
      <c r="G33" s="10"/>
      <c r="H33" s="15"/>
      <c r="I33" s="16">
        <f>IF($G33="",0,$G33*IF($H33="",0,$H33))</f>
      </c>
      <c r="J33" s="16">
        <f>IF($G33="","",$G33+$I33)</f>
      </c>
      <c r="K33" s="8"/>
    </row>
    <row r="34" spans="2:11" x14ac:dyDescent="0.25">
      <c r="B34" s="12"/>
      <c r="C34" s="11"/>
      <c r="D34" s="11"/>
      <c r="E34" s="14">
        <f>IFERROR(IF($D34="","",VLOOKUP($D34,'Bütçe Kalemleri'!$B$5:$D$304,3,FALSE)),"— tanımsız kalem —")</f>
      </c>
      <c r="F34" s="11"/>
      <c r="G34" s="13"/>
      <c r="H34" s="17"/>
      <c r="I34" s="16">
        <f>IF($G34="",0,$G34*IF($H34="",0,$H34))</f>
      </c>
      <c r="J34" s="16">
        <f>IF($G34="","",$G34+$I34)</f>
      </c>
      <c r="K34" s="11"/>
    </row>
    <row r="35" spans="2:11" x14ac:dyDescent="0.25">
      <c r="B35" s="9"/>
      <c r="C35" s="8"/>
      <c r="D35" s="8"/>
      <c r="E35" s="14">
        <f>IFERROR(IF($D35="","",VLOOKUP($D35,'Bütçe Kalemleri'!$B$5:$D$304,3,FALSE)),"— tanımsız kalem —")</f>
      </c>
      <c r="F35" s="8"/>
      <c r="G35" s="10"/>
      <c r="H35" s="15"/>
      <c r="I35" s="16">
        <f>IF($G35="",0,$G35*IF($H35="",0,$H35))</f>
      </c>
      <c r="J35" s="16">
        <f>IF($G35="","",$G35+$I35)</f>
      </c>
      <c r="K35" s="8"/>
    </row>
    <row r="36" spans="2:11" x14ac:dyDescent="0.25">
      <c r="B36" s="12"/>
      <c r="C36" s="11"/>
      <c r="D36" s="11"/>
      <c r="E36" s="14">
        <f>IFERROR(IF($D36="","",VLOOKUP($D36,'Bütçe Kalemleri'!$B$5:$D$304,3,FALSE)),"— tanımsız kalem —")</f>
      </c>
      <c r="F36" s="11"/>
      <c r="G36" s="13"/>
      <c r="H36" s="17"/>
      <c r="I36" s="16">
        <f>IF($G36="",0,$G36*IF($H36="",0,$H36))</f>
      </c>
      <c r="J36" s="16">
        <f>IF($G36="","",$G36+$I36)</f>
      </c>
      <c r="K36" s="11"/>
    </row>
    <row r="37" spans="2:11" x14ac:dyDescent="0.25">
      <c r="B37" s="9"/>
      <c r="C37" s="8"/>
      <c r="D37" s="8"/>
      <c r="E37" s="14">
        <f>IFERROR(IF($D37="","",VLOOKUP($D37,'Bütçe Kalemleri'!$B$5:$D$304,3,FALSE)),"— tanımsız kalem —")</f>
      </c>
      <c r="F37" s="8"/>
      <c r="G37" s="10"/>
      <c r="H37" s="15"/>
      <c r="I37" s="16">
        <f>IF($G37="",0,$G37*IF($H37="",0,$H37))</f>
      </c>
      <c r="J37" s="16">
        <f>IF($G37="","",$G37+$I37)</f>
      </c>
      <c r="K37" s="8"/>
    </row>
    <row r="38" spans="2:11" x14ac:dyDescent="0.25">
      <c r="B38" s="12"/>
      <c r="C38" s="11"/>
      <c r="D38" s="11"/>
      <c r="E38" s="14">
        <f>IFERROR(IF($D38="","",VLOOKUP($D38,'Bütçe Kalemleri'!$B$5:$D$304,3,FALSE)),"— tanımsız kalem —")</f>
      </c>
      <c r="F38" s="11"/>
      <c r="G38" s="13"/>
      <c r="H38" s="17"/>
      <c r="I38" s="16">
        <f>IF($G38="",0,$G38*IF($H38="",0,$H38))</f>
      </c>
      <c r="J38" s="16">
        <f>IF($G38="","",$G38+$I38)</f>
      </c>
      <c r="K38" s="11"/>
    </row>
    <row r="39" spans="2:11" x14ac:dyDescent="0.25">
      <c r="B39" s="9"/>
      <c r="C39" s="8"/>
      <c r="D39" s="8"/>
      <c r="E39" s="14">
        <f>IFERROR(IF($D39="","",VLOOKUP($D39,'Bütçe Kalemleri'!$B$5:$D$304,3,FALSE)),"— tanımsız kalem —")</f>
      </c>
      <c r="F39" s="8"/>
      <c r="G39" s="10"/>
      <c r="H39" s="15"/>
      <c r="I39" s="16">
        <f>IF($G39="",0,$G39*IF($H39="",0,$H39))</f>
      </c>
      <c r="J39" s="16">
        <f>IF($G39="","",$G39+$I39)</f>
      </c>
      <c r="K39" s="8"/>
    </row>
    <row r="40" spans="2:11" x14ac:dyDescent="0.25">
      <c r="B40" s="12"/>
      <c r="C40" s="11"/>
      <c r="D40" s="11"/>
      <c r="E40" s="14">
        <f>IFERROR(IF($D40="","",VLOOKUP($D40,'Bütçe Kalemleri'!$B$5:$D$304,3,FALSE)),"— tanımsız kalem —")</f>
      </c>
      <c r="F40" s="11"/>
      <c r="G40" s="13"/>
      <c r="H40" s="17"/>
      <c r="I40" s="16">
        <f>IF($G40="",0,$G40*IF($H40="",0,$H40))</f>
      </c>
      <c r="J40" s="16">
        <f>IF($G40="","",$G40+$I40)</f>
      </c>
      <c r="K40" s="11"/>
    </row>
    <row r="41" spans="2:11" x14ac:dyDescent="0.25">
      <c r="B41" s="9"/>
      <c r="C41" s="8"/>
      <c r="D41" s="8"/>
      <c r="E41" s="14">
        <f>IFERROR(IF($D41="","",VLOOKUP($D41,'Bütçe Kalemleri'!$B$5:$D$304,3,FALSE)),"— tanımsız kalem —")</f>
      </c>
      <c r="F41" s="8"/>
      <c r="G41" s="10"/>
      <c r="H41" s="15"/>
      <c r="I41" s="16">
        <f>IF($G41="",0,$G41*IF($H41="",0,$H41))</f>
      </c>
      <c r="J41" s="16">
        <f>IF($G41="","",$G41+$I41)</f>
      </c>
      <c r="K41" s="8"/>
    </row>
    <row r="42" spans="2:11" x14ac:dyDescent="0.25">
      <c r="B42" s="12"/>
      <c r="C42" s="11"/>
      <c r="D42" s="11"/>
      <c r="E42" s="14">
        <f>IFERROR(IF($D42="","",VLOOKUP($D42,'Bütçe Kalemleri'!$B$5:$D$304,3,FALSE)),"— tanımsız kalem —")</f>
      </c>
      <c r="F42" s="11"/>
      <c r="G42" s="13"/>
      <c r="H42" s="17"/>
      <c r="I42" s="16">
        <f>IF($G42="",0,$G42*IF($H42="",0,$H42))</f>
      </c>
      <c r="J42" s="16">
        <f>IF($G42="","",$G42+$I42)</f>
      </c>
      <c r="K42" s="11"/>
    </row>
    <row r="43" spans="2:11" x14ac:dyDescent="0.25">
      <c r="B43" s="9"/>
      <c r="C43" s="8"/>
      <c r="D43" s="8"/>
      <c r="E43" s="14">
        <f>IFERROR(IF($D43="","",VLOOKUP($D43,'Bütçe Kalemleri'!$B$5:$D$304,3,FALSE)),"— tanımsız kalem —")</f>
      </c>
      <c r="F43" s="8"/>
      <c r="G43" s="10"/>
      <c r="H43" s="15"/>
      <c r="I43" s="16">
        <f>IF($G43="",0,$G43*IF($H43="",0,$H43))</f>
      </c>
      <c r="J43" s="16">
        <f>IF($G43="","",$G43+$I43)</f>
      </c>
      <c r="K43" s="8"/>
    </row>
    <row r="44" spans="2:11" x14ac:dyDescent="0.25">
      <c r="B44" s="12"/>
      <c r="C44" s="11"/>
      <c r="D44" s="11"/>
      <c r="E44" s="14">
        <f>IFERROR(IF($D44="","",VLOOKUP($D44,'Bütçe Kalemleri'!$B$5:$D$304,3,FALSE)),"— tanımsız kalem —")</f>
      </c>
      <c r="F44" s="11"/>
      <c r="G44" s="13"/>
      <c r="H44" s="17"/>
      <c r="I44" s="16">
        <f>IF($G44="",0,$G44*IF($H44="",0,$H44))</f>
      </c>
      <c r="J44" s="16">
        <f>IF($G44="","",$G44+$I44)</f>
      </c>
      <c r="K44" s="11"/>
    </row>
    <row r="45" spans="2:11" x14ac:dyDescent="0.25">
      <c r="B45" s="9"/>
      <c r="C45" s="8"/>
      <c r="D45" s="8"/>
      <c r="E45" s="14">
        <f>IFERROR(IF($D45="","",VLOOKUP($D45,'Bütçe Kalemleri'!$B$5:$D$304,3,FALSE)),"— tanımsız kalem —")</f>
      </c>
      <c r="F45" s="8"/>
      <c r="G45" s="10"/>
      <c r="H45" s="15"/>
      <c r="I45" s="16">
        <f>IF($G45="",0,$G45*IF($H45="",0,$H45))</f>
      </c>
      <c r="J45" s="16">
        <f>IF($G45="","",$G45+$I45)</f>
      </c>
      <c r="K45" s="8"/>
    </row>
    <row r="46" spans="2:11" x14ac:dyDescent="0.25">
      <c r="B46" s="12"/>
      <c r="C46" s="11"/>
      <c r="D46" s="11"/>
      <c r="E46" s="14">
        <f>IFERROR(IF($D46="","",VLOOKUP($D46,'Bütçe Kalemleri'!$B$5:$D$304,3,FALSE)),"— tanımsız kalem —")</f>
      </c>
      <c r="F46" s="11"/>
      <c r="G46" s="13"/>
      <c r="H46" s="17"/>
      <c r="I46" s="16">
        <f>IF($G46="",0,$G46*IF($H46="",0,$H46))</f>
      </c>
      <c r="J46" s="16">
        <f>IF($G46="","",$G46+$I46)</f>
      </c>
      <c r="K46" s="11"/>
    </row>
    <row r="47" spans="2:11" x14ac:dyDescent="0.25">
      <c r="B47" s="9"/>
      <c r="C47" s="8"/>
      <c r="D47" s="8"/>
      <c r="E47" s="14">
        <f>IFERROR(IF($D47="","",VLOOKUP($D47,'Bütçe Kalemleri'!$B$5:$D$304,3,FALSE)),"— tanımsız kalem —")</f>
      </c>
      <c r="F47" s="8"/>
      <c r="G47" s="10"/>
      <c r="H47" s="15"/>
      <c r="I47" s="16">
        <f>IF($G47="",0,$G47*IF($H47="",0,$H47))</f>
      </c>
      <c r="J47" s="16">
        <f>IF($G47="","",$G47+$I47)</f>
      </c>
      <c r="K47" s="8"/>
    </row>
    <row r="48" spans="2:11" x14ac:dyDescent="0.25">
      <c r="B48" s="12"/>
      <c r="C48" s="11"/>
      <c r="D48" s="11"/>
      <c r="E48" s="14">
        <f>IFERROR(IF($D48="","",VLOOKUP($D48,'Bütçe Kalemleri'!$B$5:$D$304,3,FALSE)),"— tanımsız kalem —")</f>
      </c>
      <c r="F48" s="11"/>
      <c r="G48" s="13"/>
      <c r="H48" s="17"/>
      <c r="I48" s="16">
        <f>IF($G48="",0,$G48*IF($H48="",0,$H48))</f>
      </c>
      <c r="J48" s="16">
        <f>IF($G48="","",$G48+$I48)</f>
      </c>
      <c r="K48" s="11"/>
    </row>
    <row r="49" spans="2:11" x14ac:dyDescent="0.25">
      <c r="B49" s="9"/>
      <c r="C49" s="8"/>
      <c r="D49" s="8"/>
      <c r="E49" s="14">
        <f>IFERROR(IF($D49="","",VLOOKUP($D49,'Bütçe Kalemleri'!$B$5:$D$304,3,FALSE)),"— tanımsız kalem —")</f>
      </c>
      <c r="F49" s="8"/>
      <c r="G49" s="10"/>
      <c r="H49" s="15"/>
      <c r="I49" s="16">
        <f>IF($G49="",0,$G49*IF($H49="",0,$H49))</f>
      </c>
      <c r="J49" s="16">
        <f>IF($G49="","",$G49+$I49)</f>
      </c>
      <c r="K49" s="8"/>
    </row>
    <row r="50" spans="2:11" x14ac:dyDescent="0.25">
      <c r="B50" s="12"/>
      <c r="C50" s="11"/>
      <c r="D50" s="11"/>
      <c r="E50" s="14">
        <f>IFERROR(IF($D50="","",VLOOKUP($D50,'Bütçe Kalemleri'!$B$5:$D$304,3,FALSE)),"— tanımsız kalem —")</f>
      </c>
      <c r="F50" s="11"/>
      <c r="G50" s="13"/>
      <c r="H50" s="17"/>
      <c r="I50" s="16">
        <f>IF($G50="",0,$G50*IF($H50="",0,$H50))</f>
      </c>
      <c r="J50" s="16">
        <f>IF($G50="","",$G50+$I50)</f>
      </c>
      <c r="K50" s="11"/>
    </row>
    <row r="51" spans="2:11" x14ac:dyDescent="0.25">
      <c r="B51" s="9"/>
      <c r="C51" s="8"/>
      <c r="D51" s="8"/>
      <c r="E51" s="14">
        <f>IFERROR(IF($D51="","",VLOOKUP($D51,'Bütçe Kalemleri'!$B$5:$D$304,3,FALSE)),"— tanımsız kalem —")</f>
      </c>
      <c r="F51" s="8"/>
      <c r="G51" s="10"/>
      <c r="H51" s="15"/>
      <c r="I51" s="16">
        <f>IF($G51="",0,$G51*IF($H51="",0,$H51))</f>
      </c>
      <c r="J51" s="16">
        <f>IF($G51="","",$G51+$I51)</f>
      </c>
      <c r="K51" s="8"/>
    </row>
    <row r="52" spans="2:11" x14ac:dyDescent="0.25">
      <c r="B52" s="12"/>
      <c r="C52" s="11"/>
      <c r="D52" s="11"/>
      <c r="E52" s="14">
        <f>IFERROR(IF($D52="","",VLOOKUP($D52,'Bütçe Kalemleri'!$B$5:$D$304,3,FALSE)),"— tanımsız kalem —")</f>
      </c>
      <c r="F52" s="11"/>
      <c r="G52" s="13"/>
      <c r="H52" s="17"/>
      <c r="I52" s="16">
        <f>IF($G52="",0,$G52*IF($H52="",0,$H52))</f>
      </c>
      <c r="J52" s="16">
        <f>IF($G52="","",$G52+$I52)</f>
      </c>
      <c r="K52" s="11"/>
    </row>
    <row r="53" spans="2:11" x14ac:dyDescent="0.25">
      <c r="B53" s="9"/>
      <c r="C53" s="8"/>
      <c r="D53" s="8"/>
      <c r="E53" s="14">
        <f>IFERROR(IF($D53="","",VLOOKUP($D53,'Bütçe Kalemleri'!$B$5:$D$304,3,FALSE)),"— tanımsız kalem —")</f>
      </c>
      <c r="F53" s="8"/>
      <c r="G53" s="10"/>
      <c r="H53" s="15"/>
      <c r="I53" s="16">
        <f>IF($G53="",0,$G53*IF($H53="",0,$H53))</f>
      </c>
      <c r="J53" s="16">
        <f>IF($G53="","",$G53+$I53)</f>
      </c>
      <c r="K53" s="8"/>
    </row>
    <row r="54" spans="2:11" x14ac:dyDescent="0.25">
      <c r="B54" s="12"/>
      <c r="C54" s="11"/>
      <c r="D54" s="11"/>
      <c r="E54" s="14">
        <f>IFERROR(IF($D54="","",VLOOKUP($D54,'Bütçe Kalemleri'!$B$5:$D$304,3,FALSE)),"— tanımsız kalem —")</f>
      </c>
      <c r="F54" s="11"/>
      <c r="G54" s="13"/>
      <c r="H54" s="17"/>
      <c r="I54" s="16">
        <f>IF($G54="",0,$G54*IF($H54="",0,$H54))</f>
      </c>
      <c r="J54" s="16">
        <f>IF($G54="","",$G54+$I54)</f>
      </c>
      <c r="K54" s="11"/>
    </row>
    <row r="55" spans="2:11" x14ac:dyDescent="0.25">
      <c r="B55" s="9"/>
      <c r="C55" s="8"/>
      <c r="D55" s="8"/>
      <c r="E55" s="14">
        <f>IFERROR(IF($D55="","",VLOOKUP($D55,'Bütçe Kalemleri'!$B$5:$D$304,3,FALSE)),"— tanımsız kalem —")</f>
      </c>
      <c r="F55" s="8"/>
      <c r="G55" s="10"/>
      <c r="H55" s="15"/>
      <c r="I55" s="16">
        <f>IF($G55="",0,$G55*IF($H55="",0,$H55))</f>
      </c>
      <c r="J55" s="16">
        <f>IF($G55="","",$G55+$I55)</f>
      </c>
      <c r="K55" s="8"/>
    </row>
    <row r="56" spans="2:11" x14ac:dyDescent="0.25">
      <c r="B56" s="12"/>
      <c r="C56" s="11"/>
      <c r="D56" s="11"/>
      <c r="E56" s="14">
        <f>IFERROR(IF($D56="","",VLOOKUP($D56,'Bütçe Kalemleri'!$B$5:$D$304,3,FALSE)),"— tanımsız kalem —")</f>
      </c>
      <c r="F56" s="11"/>
      <c r="G56" s="13"/>
      <c r="H56" s="17"/>
      <c r="I56" s="16">
        <f>IF($G56="",0,$G56*IF($H56="",0,$H56))</f>
      </c>
      <c r="J56" s="16">
        <f>IF($G56="","",$G56+$I56)</f>
      </c>
      <c r="K56" s="11"/>
    </row>
    <row r="57" spans="2:11" x14ac:dyDescent="0.25">
      <c r="B57" s="9"/>
      <c r="C57" s="8"/>
      <c r="D57" s="8"/>
      <c r="E57" s="14">
        <f>IFERROR(IF($D57="","",VLOOKUP($D57,'Bütçe Kalemleri'!$B$5:$D$304,3,FALSE)),"— tanımsız kalem —")</f>
      </c>
      <c r="F57" s="8"/>
      <c r="G57" s="10"/>
      <c r="H57" s="15"/>
      <c r="I57" s="16">
        <f>IF($G57="",0,$G57*IF($H57="",0,$H57))</f>
      </c>
      <c r="J57" s="16">
        <f>IF($G57="","",$G57+$I57)</f>
      </c>
      <c r="K57" s="8"/>
    </row>
    <row r="58" spans="2:11" x14ac:dyDescent="0.25">
      <c r="B58" s="12"/>
      <c r="C58" s="11"/>
      <c r="D58" s="11"/>
      <c r="E58" s="14">
        <f>IFERROR(IF($D58="","",VLOOKUP($D58,'Bütçe Kalemleri'!$B$5:$D$304,3,FALSE)),"— tanımsız kalem —")</f>
      </c>
      <c r="F58" s="11"/>
      <c r="G58" s="13"/>
      <c r="H58" s="17"/>
      <c r="I58" s="16">
        <f>IF($G58="",0,$G58*IF($H58="",0,$H58))</f>
      </c>
      <c r="J58" s="16">
        <f>IF($G58="","",$G58+$I58)</f>
      </c>
      <c r="K58" s="11"/>
    </row>
    <row r="59" spans="2:11" x14ac:dyDescent="0.25">
      <c r="B59" s="9"/>
      <c r="C59" s="8"/>
      <c r="D59" s="8"/>
      <c r="E59" s="14">
        <f>IFERROR(IF($D59="","",VLOOKUP($D59,'Bütçe Kalemleri'!$B$5:$D$304,3,FALSE)),"— tanımsız kalem —")</f>
      </c>
      <c r="F59" s="8"/>
      <c r="G59" s="10"/>
      <c r="H59" s="15"/>
      <c r="I59" s="16">
        <f>IF($G59="",0,$G59*IF($H59="",0,$H59))</f>
      </c>
      <c r="J59" s="16">
        <f>IF($G59="","",$G59+$I59)</f>
      </c>
      <c r="K59" s="8"/>
    </row>
    <row r="60" spans="2:11" x14ac:dyDescent="0.25">
      <c r="B60" s="12"/>
      <c r="C60" s="11"/>
      <c r="D60" s="11"/>
      <c r="E60" s="14">
        <f>IFERROR(IF($D60="","",VLOOKUP($D60,'Bütçe Kalemleri'!$B$5:$D$304,3,FALSE)),"— tanımsız kalem —")</f>
      </c>
      <c r="F60" s="11"/>
      <c r="G60" s="13"/>
      <c r="H60" s="17"/>
      <c r="I60" s="16">
        <f>IF($G60="",0,$G60*IF($H60="",0,$H60))</f>
      </c>
      <c r="J60" s="16">
        <f>IF($G60="","",$G60+$I60)</f>
      </c>
      <c r="K60" s="11"/>
    </row>
    <row r="61" spans="2:11" x14ac:dyDescent="0.25">
      <c r="B61" s="9"/>
      <c r="C61" s="8"/>
      <c r="D61" s="8"/>
      <c r="E61" s="14">
        <f>IFERROR(IF($D61="","",VLOOKUP($D61,'Bütçe Kalemleri'!$B$5:$D$304,3,FALSE)),"— tanımsız kalem —")</f>
      </c>
      <c r="F61" s="8"/>
      <c r="G61" s="10"/>
      <c r="H61" s="15"/>
      <c r="I61" s="16">
        <f>IF($G61="",0,$G61*IF($H61="",0,$H61))</f>
      </c>
      <c r="J61" s="16">
        <f>IF($G61="","",$G61+$I61)</f>
      </c>
      <c r="K61" s="8"/>
    </row>
    <row r="62" spans="2:11" x14ac:dyDescent="0.25">
      <c r="B62" s="12"/>
      <c r="C62" s="11"/>
      <c r="D62" s="11"/>
      <c r="E62" s="14">
        <f>IFERROR(IF($D62="","",VLOOKUP($D62,'Bütçe Kalemleri'!$B$5:$D$304,3,FALSE)),"— tanımsız kalem —")</f>
      </c>
      <c r="F62" s="11"/>
      <c r="G62" s="13"/>
      <c r="H62" s="17"/>
      <c r="I62" s="16">
        <f>IF($G62="",0,$G62*IF($H62="",0,$H62))</f>
      </c>
      <c r="J62" s="16">
        <f>IF($G62="","",$G62+$I62)</f>
      </c>
      <c r="K62" s="11"/>
    </row>
    <row r="63" spans="2:11" x14ac:dyDescent="0.25">
      <c r="B63" s="9"/>
      <c r="C63" s="8"/>
      <c r="D63" s="8"/>
      <c r="E63" s="14">
        <f>IFERROR(IF($D63="","",VLOOKUP($D63,'Bütçe Kalemleri'!$B$5:$D$304,3,FALSE)),"— tanımsız kalem —")</f>
      </c>
      <c r="F63" s="8"/>
      <c r="G63" s="10"/>
      <c r="H63" s="15"/>
      <c r="I63" s="16">
        <f>IF($G63="",0,$G63*IF($H63="",0,$H63))</f>
      </c>
      <c r="J63" s="16">
        <f>IF($G63="","",$G63+$I63)</f>
      </c>
      <c r="K63" s="8"/>
    </row>
    <row r="64" spans="2:11" x14ac:dyDescent="0.25">
      <c r="B64" s="12"/>
      <c r="C64" s="11"/>
      <c r="D64" s="11"/>
      <c r="E64" s="14">
        <f>IFERROR(IF($D64="","",VLOOKUP($D64,'Bütçe Kalemleri'!$B$5:$D$304,3,FALSE)),"— tanımsız kalem —")</f>
      </c>
      <c r="F64" s="11"/>
      <c r="G64" s="13"/>
      <c r="H64" s="17"/>
      <c r="I64" s="16">
        <f>IF($G64="",0,$G64*IF($H64="",0,$H64))</f>
      </c>
      <c r="J64" s="16">
        <f>IF($G64="","",$G64+$I64)</f>
      </c>
      <c r="K64" s="11"/>
    </row>
    <row r="65" spans="2:11" x14ac:dyDescent="0.25">
      <c r="B65" s="9"/>
      <c r="C65" s="8"/>
      <c r="D65" s="8"/>
      <c r="E65" s="14">
        <f>IFERROR(IF($D65="","",VLOOKUP($D65,'Bütçe Kalemleri'!$B$5:$D$304,3,FALSE)),"— tanımsız kalem —")</f>
      </c>
      <c r="F65" s="8"/>
      <c r="G65" s="10"/>
      <c r="H65" s="15"/>
      <c r="I65" s="16">
        <f>IF($G65="",0,$G65*IF($H65="",0,$H65))</f>
      </c>
      <c r="J65" s="16">
        <f>IF($G65="","",$G65+$I65)</f>
      </c>
      <c r="K65" s="8"/>
    </row>
    <row r="66" spans="2:11" x14ac:dyDescent="0.25">
      <c r="B66" s="12"/>
      <c r="C66" s="11"/>
      <c r="D66" s="11"/>
      <c r="E66" s="14">
        <f>IFERROR(IF($D66="","",VLOOKUP($D66,'Bütçe Kalemleri'!$B$5:$D$304,3,FALSE)),"— tanımsız kalem —")</f>
      </c>
      <c r="F66" s="11"/>
      <c r="G66" s="13"/>
      <c r="H66" s="17"/>
      <c r="I66" s="16">
        <f>IF($G66="",0,$G66*IF($H66="",0,$H66))</f>
      </c>
      <c r="J66" s="16">
        <f>IF($G66="","",$G66+$I66)</f>
      </c>
      <c r="K66" s="11"/>
    </row>
    <row r="67" spans="2:11" x14ac:dyDescent="0.25">
      <c r="B67" s="9"/>
      <c r="C67" s="8"/>
      <c r="D67" s="8"/>
      <c r="E67" s="14">
        <f>IFERROR(IF($D67="","",VLOOKUP($D67,'Bütçe Kalemleri'!$B$5:$D$304,3,FALSE)),"— tanımsız kalem —")</f>
      </c>
      <c r="F67" s="8"/>
      <c r="G67" s="10"/>
      <c r="H67" s="15"/>
      <c r="I67" s="16">
        <f>IF($G67="",0,$G67*IF($H67="",0,$H67))</f>
      </c>
      <c r="J67" s="16">
        <f>IF($G67="","",$G67+$I67)</f>
      </c>
      <c r="K67" s="8"/>
    </row>
    <row r="68" spans="2:11" x14ac:dyDescent="0.25">
      <c r="B68" s="12"/>
      <c r="C68" s="11"/>
      <c r="D68" s="11"/>
      <c r="E68" s="14">
        <f>IFERROR(IF($D68="","",VLOOKUP($D68,'Bütçe Kalemleri'!$B$5:$D$304,3,FALSE)),"— tanımsız kalem —")</f>
      </c>
      <c r="F68" s="11"/>
      <c r="G68" s="13"/>
      <c r="H68" s="17"/>
      <c r="I68" s="16">
        <f>IF($G68="",0,$G68*IF($H68="",0,$H68))</f>
      </c>
      <c r="J68" s="16">
        <f>IF($G68="","",$G68+$I68)</f>
      </c>
      <c r="K68" s="11"/>
    </row>
    <row r="69" spans="2:11" x14ac:dyDescent="0.25">
      <c r="B69" s="9"/>
      <c r="C69" s="8"/>
      <c r="D69" s="8"/>
      <c r="E69" s="14">
        <f>IFERROR(IF($D69="","",VLOOKUP($D69,'Bütçe Kalemleri'!$B$5:$D$304,3,FALSE)),"— tanımsız kalem —")</f>
      </c>
      <c r="F69" s="8"/>
      <c r="G69" s="10"/>
      <c r="H69" s="15"/>
      <c r="I69" s="16">
        <f>IF($G69="",0,$G69*IF($H69="",0,$H69))</f>
      </c>
      <c r="J69" s="16">
        <f>IF($G69="","",$G69+$I69)</f>
      </c>
      <c r="K69" s="8"/>
    </row>
    <row r="70" spans="2:11" x14ac:dyDescent="0.25">
      <c r="B70" s="12"/>
      <c r="C70" s="11"/>
      <c r="D70" s="11"/>
      <c r="E70" s="14">
        <f>IFERROR(IF($D70="","",VLOOKUP($D70,'Bütçe Kalemleri'!$B$5:$D$304,3,FALSE)),"— tanımsız kalem —")</f>
      </c>
      <c r="F70" s="11"/>
      <c r="G70" s="13"/>
      <c r="H70" s="17"/>
      <c r="I70" s="16">
        <f>IF($G70="",0,$G70*IF($H70="",0,$H70))</f>
      </c>
      <c r="J70" s="16">
        <f>IF($G70="","",$G70+$I70)</f>
      </c>
      <c r="K70" s="11"/>
    </row>
    <row r="71" spans="2:11" x14ac:dyDescent="0.25">
      <c r="B71" s="9"/>
      <c r="C71" s="8"/>
      <c r="D71" s="8"/>
      <c r="E71" s="14">
        <f>IFERROR(IF($D71="","",VLOOKUP($D71,'Bütçe Kalemleri'!$B$5:$D$304,3,FALSE)),"— tanımsız kalem —")</f>
      </c>
      <c r="F71" s="8"/>
      <c r="G71" s="10"/>
      <c r="H71" s="15"/>
      <c r="I71" s="16">
        <f>IF($G71="",0,$G71*IF($H71="",0,$H71))</f>
      </c>
      <c r="J71" s="16">
        <f>IF($G71="","",$G71+$I71)</f>
      </c>
      <c r="K71" s="8"/>
    </row>
    <row r="72" spans="2:11" x14ac:dyDescent="0.25">
      <c r="B72" s="12"/>
      <c r="C72" s="11"/>
      <c r="D72" s="11"/>
      <c r="E72" s="14">
        <f>IFERROR(IF($D72="","",VLOOKUP($D72,'Bütçe Kalemleri'!$B$5:$D$304,3,FALSE)),"— tanımsız kalem —")</f>
      </c>
      <c r="F72" s="11"/>
      <c r="G72" s="13"/>
      <c r="H72" s="17"/>
      <c r="I72" s="16">
        <f>IF($G72="",0,$G72*IF($H72="",0,$H72))</f>
      </c>
      <c r="J72" s="16">
        <f>IF($G72="","",$G72+$I72)</f>
      </c>
      <c r="K72" s="11"/>
    </row>
    <row r="73" spans="2:11" x14ac:dyDescent="0.25">
      <c r="B73" s="9"/>
      <c r="C73" s="8"/>
      <c r="D73" s="8"/>
      <c r="E73" s="14">
        <f>IFERROR(IF($D73="","",VLOOKUP($D73,'Bütçe Kalemleri'!$B$5:$D$304,3,FALSE)),"— tanımsız kalem —")</f>
      </c>
      <c r="F73" s="8"/>
      <c r="G73" s="10"/>
      <c r="H73" s="15"/>
      <c r="I73" s="16">
        <f>IF($G73="",0,$G73*IF($H73="",0,$H73))</f>
      </c>
      <c r="J73" s="16">
        <f>IF($G73="","",$G73+$I73)</f>
      </c>
      <c r="K73" s="8"/>
    </row>
    <row r="74" spans="2:11" x14ac:dyDescent="0.25">
      <c r="B74" s="12"/>
      <c r="C74" s="11"/>
      <c r="D74" s="11"/>
      <c r="E74" s="14">
        <f>IFERROR(IF($D74="","",VLOOKUP($D74,'Bütçe Kalemleri'!$B$5:$D$304,3,FALSE)),"— tanımsız kalem —")</f>
      </c>
      <c r="F74" s="11"/>
      <c r="G74" s="13"/>
      <c r="H74" s="17"/>
      <c r="I74" s="16">
        <f>IF($G74="",0,$G74*IF($H74="",0,$H74))</f>
      </c>
      <c r="J74" s="16">
        <f>IF($G74="","",$G74+$I74)</f>
      </c>
      <c r="K74" s="11"/>
    </row>
    <row r="75" spans="2:11" x14ac:dyDescent="0.25">
      <c r="B75" s="9"/>
      <c r="C75" s="8"/>
      <c r="D75" s="8"/>
      <c r="E75" s="14">
        <f>IFERROR(IF($D75="","",VLOOKUP($D75,'Bütçe Kalemleri'!$B$5:$D$304,3,FALSE)),"— tanımsız kalem —")</f>
      </c>
      <c r="F75" s="8"/>
      <c r="G75" s="10"/>
      <c r="H75" s="15"/>
      <c r="I75" s="16">
        <f>IF($G75="",0,$G75*IF($H75="",0,$H75))</f>
      </c>
      <c r="J75" s="16">
        <f>IF($G75="","",$G75+$I75)</f>
      </c>
      <c r="K75" s="8"/>
    </row>
    <row r="76" spans="2:11" x14ac:dyDescent="0.25">
      <c r="B76" s="12"/>
      <c r="C76" s="11"/>
      <c r="D76" s="11"/>
      <c r="E76" s="14">
        <f>IFERROR(IF($D76="","",VLOOKUP($D76,'Bütçe Kalemleri'!$B$5:$D$304,3,FALSE)),"— tanımsız kalem —")</f>
      </c>
      <c r="F76" s="11"/>
      <c r="G76" s="13"/>
      <c r="H76" s="17"/>
      <c r="I76" s="16">
        <f>IF($G76="",0,$G76*IF($H76="",0,$H76))</f>
      </c>
      <c r="J76" s="16">
        <f>IF($G76="","",$G76+$I76)</f>
      </c>
      <c r="K76" s="11"/>
    </row>
    <row r="77" spans="2:11" x14ac:dyDescent="0.25">
      <c r="B77" s="9"/>
      <c r="C77" s="8"/>
      <c r="D77" s="8"/>
      <c r="E77" s="14">
        <f>IFERROR(IF($D77="","",VLOOKUP($D77,'Bütçe Kalemleri'!$B$5:$D$304,3,FALSE)),"— tanımsız kalem —")</f>
      </c>
      <c r="F77" s="8"/>
      <c r="G77" s="10"/>
      <c r="H77" s="15"/>
      <c r="I77" s="16">
        <f>IF($G77="",0,$G77*IF($H77="",0,$H77))</f>
      </c>
      <c r="J77" s="16">
        <f>IF($G77="","",$G77+$I77)</f>
      </c>
      <c r="K77" s="8"/>
    </row>
    <row r="78" spans="2:11" x14ac:dyDescent="0.25">
      <c r="B78" s="12"/>
      <c r="C78" s="11"/>
      <c r="D78" s="11"/>
      <c r="E78" s="14">
        <f>IFERROR(IF($D78="","",VLOOKUP($D78,'Bütçe Kalemleri'!$B$5:$D$304,3,FALSE)),"— tanımsız kalem —")</f>
      </c>
      <c r="F78" s="11"/>
      <c r="G78" s="13"/>
      <c r="H78" s="17"/>
      <c r="I78" s="16">
        <f>IF($G78="",0,$G78*IF($H78="",0,$H78))</f>
      </c>
      <c r="J78" s="16">
        <f>IF($G78="","",$G78+$I78)</f>
      </c>
      <c r="K78" s="11"/>
    </row>
    <row r="79" spans="2:11" x14ac:dyDescent="0.25">
      <c r="B79" s="9"/>
      <c r="C79" s="8"/>
      <c r="D79" s="8"/>
      <c r="E79" s="14">
        <f>IFERROR(IF($D79="","",VLOOKUP($D79,'Bütçe Kalemleri'!$B$5:$D$304,3,FALSE)),"— tanımsız kalem —")</f>
      </c>
      <c r="F79" s="8"/>
      <c r="G79" s="10"/>
      <c r="H79" s="15"/>
      <c r="I79" s="16">
        <f>IF($G79="",0,$G79*IF($H79="",0,$H79))</f>
      </c>
      <c r="J79" s="16">
        <f>IF($G79="","",$G79+$I79)</f>
      </c>
      <c r="K79" s="8"/>
    </row>
    <row r="80" spans="2:11" x14ac:dyDescent="0.25">
      <c r="B80" s="12"/>
      <c r="C80" s="11"/>
      <c r="D80" s="11"/>
      <c r="E80" s="14">
        <f>IFERROR(IF($D80="","",VLOOKUP($D80,'Bütçe Kalemleri'!$B$5:$D$304,3,FALSE)),"— tanımsız kalem —")</f>
      </c>
      <c r="F80" s="11"/>
      <c r="G80" s="13"/>
      <c r="H80" s="17"/>
      <c r="I80" s="16">
        <f>IF($G80="",0,$G80*IF($H80="",0,$H80))</f>
      </c>
      <c r="J80" s="16">
        <f>IF($G80="","",$G80+$I80)</f>
      </c>
      <c r="K80" s="11"/>
    </row>
    <row r="81" spans="2:11" x14ac:dyDescent="0.25">
      <c r="B81" s="9"/>
      <c r="C81" s="8"/>
      <c r="D81" s="8"/>
      <c r="E81" s="14">
        <f>IFERROR(IF($D81="","",VLOOKUP($D81,'Bütçe Kalemleri'!$B$5:$D$304,3,FALSE)),"— tanımsız kalem —")</f>
      </c>
      <c r="F81" s="8"/>
      <c r="G81" s="10"/>
      <c r="H81" s="15"/>
      <c r="I81" s="16">
        <f>IF($G81="",0,$G81*IF($H81="",0,$H81))</f>
      </c>
      <c r="J81" s="16">
        <f>IF($G81="","",$G81+$I81)</f>
      </c>
      <c r="K81" s="8"/>
    </row>
    <row r="82" spans="2:11" x14ac:dyDescent="0.25">
      <c r="B82" s="12"/>
      <c r="C82" s="11"/>
      <c r="D82" s="11"/>
      <c r="E82" s="14">
        <f>IFERROR(IF($D82="","",VLOOKUP($D82,'Bütçe Kalemleri'!$B$5:$D$304,3,FALSE)),"— tanımsız kalem —")</f>
      </c>
      <c r="F82" s="11"/>
      <c r="G82" s="13"/>
      <c r="H82" s="17"/>
      <c r="I82" s="16">
        <f>IF($G82="",0,$G82*IF($H82="",0,$H82))</f>
      </c>
      <c r="J82" s="16">
        <f>IF($G82="","",$G82+$I82)</f>
      </c>
      <c r="K82" s="11"/>
    </row>
    <row r="83" spans="2:11" x14ac:dyDescent="0.25">
      <c r="B83" s="9"/>
      <c r="C83" s="8"/>
      <c r="D83" s="8"/>
      <c r="E83" s="14">
        <f>IFERROR(IF($D83="","",VLOOKUP($D83,'Bütçe Kalemleri'!$B$5:$D$304,3,FALSE)),"— tanımsız kalem —")</f>
      </c>
      <c r="F83" s="8"/>
      <c r="G83" s="10"/>
      <c r="H83" s="15"/>
      <c r="I83" s="16">
        <f>IF($G83="",0,$G83*IF($H83="",0,$H83))</f>
      </c>
      <c r="J83" s="16">
        <f>IF($G83="","",$G83+$I83)</f>
      </c>
      <c r="K83" s="8"/>
    </row>
    <row r="84" spans="2:11" x14ac:dyDescent="0.25">
      <c r="B84" s="12"/>
      <c r="C84" s="11"/>
      <c r="D84" s="11"/>
      <c r="E84" s="14">
        <f>IFERROR(IF($D84="","",VLOOKUP($D84,'Bütçe Kalemleri'!$B$5:$D$304,3,FALSE)),"— tanımsız kalem —")</f>
      </c>
      <c r="F84" s="11"/>
      <c r="G84" s="13"/>
      <c r="H84" s="17"/>
      <c r="I84" s="16">
        <f>IF($G84="",0,$G84*IF($H84="",0,$H84))</f>
      </c>
      <c r="J84" s="16">
        <f>IF($G84="","",$G84+$I84)</f>
      </c>
      <c r="K84" s="11"/>
    </row>
    <row r="85" spans="2:11" x14ac:dyDescent="0.25">
      <c r="B85" s="9"/>
      <c r="C85" s="8"/>
      <c r="D85" s="8"/>
      <c r="E85" s="14">
        <f>IFERROR(IF($D85="","",VLOOKUP($D85,'Bütçe Kalemleri'!$B$5:$D$304,3,FALSE)),"— tanımsız kalem —")</f>
      </c>
      <c r="F85" s="8"/>
      <c r="G85" s="10"/>
      <c r="H85" s="15"/>
      <c r="I85" s="16">
        <f>IF($G85="",0,$G85*IF($H85="",0,$H85))</f>
      </c>
      <c r="J85" s="16">
        <f>IF($G85="","",$G85+$I85)</f>
      </c>
      <c r="K85" s="8"/>
    </row>
    <row r="86" spans="2:11" x14ac:dyDescent="0.25">
      <c r="B86" s="12"/>
      <c r="C86" s="11"/>
      <c r="D86" s="11"/>
      <c r="E86" s="14">
        <f>IFERROR(IF($D86="","",VLOOKUP($D86,'Bütçe Kalemleri'!$B$5:$D$304,3,FALSE)),"— tanımsız kalem —")</f>
      </c>
      <c r="F86" s="11"/>
      <c r="G86" s="13"/>
      <c r="H86" s="17"/>
      <c r="I86" s="16">
        <f>IF($G86="",0,$G86*IF($H86="",0,$H86))</f>
      </c>
      <c r="J86" s="16">
        <f>IF($G86="","",$G86+$I86)</f>
      </c>
      <c r="K86" s="11"/>
    </row>
    <row r="87" spans="2:11" x14ac:dyDescent="0.25">
      <c r="B87" s="9"/>
      <c r="C87" s="8"/>
      <c r="D87" s="8"/>
      <c r="E87" s="14">
        <f>IFERROR(IF($D87="","",VLOOKUP($D87,'Bütçe Kalemleri'!$B$5:$D$304,3,FALSE)),"— tanımsız kalem —")</f>
      </c>
      <c r="F87" s="8"/>
      <c r="G87" s="10"/>
      <c r="H87" s="15"/>
      <c r="I87" s="16">
        <f>IF($G87="",0,$G87*IF($H87="",0,$H87))</f>
      </c>
      <c r="J87" s="16">
        <f>IF($G87="","",$G87+$I87)</f>
      </c>
      <c r="K87" s="8"/>
    </row>
    <row r="88" spans="2:11" x14ac:dyDescent="0.25">
      <c r="B88" s="12"/>
      <c r="C88" s="11"/>
      <c r="D88" s="11"/>
      <c r="E88" s="14">
        <f>IFERROR(IF($D88="","",VLOOKUP($D88,'Bütçe Kalemleri'!$B$5:$D$304,3,FALSE)),"— tanımsız kalem —")</f>
      </c>
      <c r="F88" s="11"/>
      <c r="G88" s="13"/>
      <c r="H88" s="17"/>
      <c r="I88" s="16">
        <f>IF($G88="",0,$G88*IF($H88="",0,$H88))</f>
      </c>
      <c r="J88" s="16">
        <f>IF($G88="","",$G88+$I88)</f>
      </c>
      <c r="K88" s="11"/>
    </row>
    <row r="89" spans="2:11" x14ac:dyDescent="0.25">
      <c r="B89" s="9"/>
      <c r="C89" s="8"/>
      <c r="D89" s="8"/>
      <c r="E89" s="14">
        <f>IFERROR(IF($D89="","",VLOOKUP($D89,'Bütçe Kalemleri'!$B$5:$D$304,3,FALSE)),"— tanımsız kalem —")</f>
      </c>
      <c r="F89" s="8"/>
      <c r="G89" s="10"/>
      <c r="H89" s="15"/>
      <c r="I89" s="16">
        <f>IF($G89="",0,$G89*IF($H89="",0,$H89))</f>
      </c>
      <c r="J89" s="16">
        <f>IF($G89="","",$G89+$I89)</f>
      </c>
      <c r="K89" s="8"/>
    </row>
    <row r="90" spans="2:11" x14ac:dyDescent="0.25">
      <c r="B90" s="12"/>
      <c r="C90" s="11"/>
      <c r="D90" s="11"/>
      <c r="E90" s="14">
        <f>IFERROR(IF($D90="","",VLOOKUP($D90,'Bütçe Kalemleri'!$B$5:$D$304,3,FALSE)),"— tanımsız kalem —")</f>
      </c>
      <c r="F90" s="11"/>
      <c r="G90" s="13"/>
      <c r="H90" s="17"/>
      <c r="I90" s="16">
        <f>IF($G90="",0,$G90*IF($H90="",0,$H90))</f>
      </c>
      <c r="J90" s="16">
        <f>IF($G90="","",$G90+$I90)</f>
      </c>
      <c r="K90" s="11"/>
    </row>
    <row r="91" spans="2:11" x14ac:dyDescent="0.25">
      <c r="B91" s="9"/>
      <c r="C91" s="8"/>
      <c r="D91" s="8"/>
      <c r="E91" s="14">
        <f>IFERROR(IF($D91="","",VLOOKUP($D91,'Bütçe Kalemleri'!$B$5:$D$304,3,FALSE)),"— tanımsız kalem —")</f>
      </c>
      <c r="F91" s="8"/>
      <c r="G91" s="10"/>
      <c r="H91" s="15"/>
      <c r="I91" s="16">
        <f>IF($G91="",0,$G91*IF($H91="",0,$H91))</f>
      </c>
      <c r="J91" s="16">
        <f>IF($G91="","",$G91+$I91)</f>
      </c>
      <c r="K91" s="8"/>
    </row>
    <row r="92" spans="2:11" x14ac:dyDescent="0.25">
      <c r="B92" s="12"/>
      <c r="C92" s="11"/>
      <c r="D92" s="11"/>
      <c r="E92" s="14">
        <f>IFERROR(IF($D92="","",VLOOKUP($D92,'Bütçe Kalemleri'!$B$5:$D$304,3,FALSE)),"— tanımsız kalem —")</f>
      </c>
      <c r="F92" s="11"/>
      <c r="G92" s="13"/>
      <c r="H92" s="17"/>
      <c r="I92" s="16">
        <f>IF($G92="",0,$G92*IF($H92="",0,$H92))</f>
      </c>
      <c r="J92" s="16">
        <f>IF($G92="","",$G92+$I92)</f>
      </c>
      <c r="K92" s="11"/>
    </row>
    <row r="93" spans="2:11" x14ac:dyDescent="0.25">
      <c r="B93" s="9"/>
      <c r="C93" s="8"/>
      <c r="D93" s="8"/>
      <c r="E93" s="14">
        <f>IFERROR(IF($D93="","",VLOOKUP($D93,'Bütçe Kalemleri'!$B$5:$D$304,3,FALSE)),"— tanımsız kalem —")</f>
      </c>
      <c r="F93" s="8"/>
      <c r="G93" s="10"/>
      <c r="H93" s="15"/>
      <c r="I93" s="16">
        <f>IF($G93="",0,$G93*IF($H93="",0,$H93))</f>
      </c>
      <c r="J93" s="16">
        <f>IF($G93="","",$G93+$I93)</f>
      </c>
      <c r="K93" s="8"/>
    </row>
    <row r="94" spans="2:11" x14ac:dyDescent="0.25">
      <c r="B94" s="12"/>
      <c r="C94" s="11"/>
      <c r="D94" s="11"/>
      <c r="E94" s="14">
        <f>IFERROR(IF($D94="","",VLOOKUP($D94,'Bütçe Kalemleri'!$B$5:$D$304,3,FALSE)),"— tanımsız kalem —")</f>
      </c>
      <c r="F94" s="11"/>
      <c r="G94" s="13"/>
      <c r="H94" s="17"/>
      <c r="I94" s="16">
        <f>IF($G94="",0,$G94*IF($H94="",0,$H94))</f>
      </c>
      <c r="J94" s="16">
        <f>IF($G94="","",$G94+$I94)</f>
      </c>
      <c r="K94" s="11"/>
    </row>
    <row r="95" spans="2:11" x14ac:dyDescent="0.25">
      <c r="B95" s="9"/>
      <c r="C95" s="8"/>
      <c r="D95" s="8"/>
      <c r="E95" s="14">
        <f>IFERROR(IF($D95="","",VLOOKUP($D95,'Bütçe Kalemleri'!$B$5:$D$304,3,FALSE)),"— tanımsız kalem —")</f>
      </c>
      <c r="F95" s="8"/>
      <c r="G95" s="10"/>
      <c r="H95" s="15"/>
      <c r="I95" s="16">
        <f>IF($G95="",0,$G95*IF($H95="",0,$H95))</f>
      </c>
      <c r="J95" s="16">
        <f>IF($G95="","",$G95+$I95)</f>
      </c>
      <c r="K95" s="8"/>
    </row>
    <row r="96" spans="2:11" x14ac:dyDescent="0.25">
      <c r="B96" s="12"/>
      <c r="C96" s="11"/>
      <c r="D96" s="11"/>
      <c r="E96" s="14">
        <f>IFERROR(IF($D96="","",VLOOKUP($D96,'Bütçe Kalemleri'!$B$5:$D$304,3,FALSE)),"— tanımsız kalem —")</f>
      </c>
      <c r="F96" s="11"/>
      <c r="G96" s="13"/>
      <c r="H96" s="17"/>
      <c r="I96" s="16">
        <f>IF($G96="",0,$G96*IF($H96="",0,$H96))</f>
      </c>
      <c r="J96" s="16">
        <f>IF($G96="","",$G96+$I96)</f>
      </c>
      <c r="K96" s="11"/>
    </row>
    <row r="97" spans="2:11" x14ac:dyDescent="0.25">
      <c r="B97" s="9"/>
      <c r="C97" s="8"/>
      <c r="D97" s="8"/>
      <c r="E97" s="14">
        <f>IFERROR(IF($D97="","",VLOOKUP($D97,'Bütçe Kalemleri'!$B$5:$D$304,3,FALSE)),"— tanımsız kalem —")</f>
      </c>
      <c r="F97" s="8"/>
      <c r="G97" s="10"/>
      <c r="H97" s="15"/>
      <c r="I97" s="16">
        <f>IF($G97="",0,$G97*IF($H97="",0,$H97))</f>
      </c>
      <c r="J97" s="16">
        <f>IF($G97="","",$G97+$I97)</f>
      </c>
      <c r="K97" s="8"/>
    </row>
    <row r="98" spans="2:11" x14ac:dyDescent="0.25">
      <c r="B98" s="12"/>
      <c r="C98" s="11"/>
      <c r="D98" s="11"/>
      <c r="E98" s="14">
        <f>IFERROR(IF($D98="","",VLOOKUP($D98,'Bütçe Kalemleri'!$B$5:$D$304,3,FALSE)),"— tanımsız kalem —")</f>
      </c>
      <c r="F98" s="11"/>
      <c r="G98" s="13"/>
      <c r="H98" s="17"/>
      <c r="I98" s="16">
        <f>IF($G98="",0,$G98*IF($H98="",0,$H98))</f>
      </c>
      <c r="J98" s="16">
        <f>IF($G98="","",$G98+$I98)</f>
      </c>
      <c r="K98" s="11"/>
    </row>
    <row r="99" spans="2:11" x14ac:dyDescent="0.25">
      <c r="B99" s="9"/>
      <c r="C99" s="8"/>
      <c r="D99" s="8"/>
      <c r="E99" s="14">
        <f>IFERROR(IF($D99="","",VLOOKUP($D99,'Bütçe Kalemleri'!$B$5:$D$304,3,FALSE)),"— tanımsız kalem —")</f>
      </c>
      <c r="F99" s="8"/>
      <c r="G99" s="10"/>
      <c r="H99" s="15"/>
      <c r="I99" s="16">
        <f>IF($G99="",0,$G99*IF($H99="",0,$H99))</f>
      </c>
      <c r="J99" s="16">
        <f>IF($G99="","",$G99+$I99)</f>
      </c>
      <c r="K99" s="8"/>
    </row>
    <row r="100" spans="2:11" x14ac:dyDescent="0.25">
      <c r="B100" s="12"/>
      <c r="C100" s="11"/>
      <c r="D100" s="11"/>
      <c r="E100" s="14">
        <f>IFERROR(IF($D100="","",VLOOKUP($D100,'Bütçe Kalemleri'!$B$5:$D$304,3,FALSE)),"— tanımsız kalem —")</f>
      </c>
      <c r="F100" s="11"/>
      <c r="G100" s="13"/>
      <c r="H100" s="17"/>
      <c r="I100" s="16">
        <f>IF($G100="",0,$G100*IF($H100="",0,$H100))</f>
      </c>
      <c r="J100" s="16">
        <f>IF($G100="","",$G100+$I100)</f>
      </c>
      <c r="K100" s="11"/>
    </row>
    <row r="101" spans="2:11" x14ac:dyDescent="0.25">
      <c r="B101" s="9"/>
      <c r="C101" s="8"/>
      <c r="D101" s="8"/>
      <c r="E101" s="14">
        <f>IFERROR(IF($D101="","",VLOOKUP($D101,'Bütçe Kalemleri'!$B$5:$D$304,3,FALSE)),"— tanımsız kalem —")</f>
      </c>
      <c r="F101" s="8"/>
      <c r="G101" s="10"/>
      <c r="H101" s="15"/>
      <c r="I101" s="16">
        <f>IF($G101="",0,$G101*IF($H101="",0,$H101))</f>
      </c>
      <c r="J101" s="16">
        <f>IF($G101="","",$G101+$I101)</f>
      </c>
      <c r="K101" s="8"/>
    </row>
    <row r="102" spans="2:11" x14ac:dyDescent="0.25">
      <c r="B102" s="12"/>
      <c r="C102" s="11"/>
      <c r="D102" s="11"/>
      <c r="E102" s="14">
        <f>IFERROR(IF($D102="","",VLOOKUP($D102,'Bütçe Kalemleri'!$B$5:$D$304,3,FALSE)),"— tanımsız kalem —")</f>
      </c>
      <c r="F102" s="11"/>
      <c r="G102" s="13"/>
      <c r="H102" s="17"/>
      <c r="I102" s="16">
        <f>IF($G102="",0,$G102*IF($H102="",0,$H102))</f>
      </c>
      <c r="J102" s="16">
        <f>IF($G102="","",$G102+$I102)</f>
      </c>
      <c r="K102" s="11"/>
    </row>
    <row r="103" spans="2:11" x14ac:dyDescent="0.25">
      <c r="B103" s="9"/>
      <c r="C103" s="8"/>
      <c r="D103" s="8"/>
      <c r="E103" s="14">
        <f>IFERROR(IF($D103="","",VLOOKUP($D103,'Bütçe Kalemleri'!$B$5:$D$304,3,FALSE)),"— tanımsız kalem —")</f>
      </c>
      <c r="F103" s="8"/>
      <c r="G103" s="10"/>
      <c r="H103" s="15"/>
      <c r="I103" s="16">
        <f>IF($G103="",0,$G103*IF($H103="",0,$H103))</f>
      </c>
      <c r="J103" s="16">
        <f>IF($G103="","",$G103+$I103)</f>
      </c>
      <c r="K103" s="8"/>
    </row>
    <row r="104" spans="2:11" x14ac:dyDescent="0.25">
      <c r="B104" s="12"/>
      <c r="C104" s="11"/>
      <c r="D104" s="11"/>
      <c r="E104" s="14">
        <f>IFERROR(IF($D104="","",VLOOKUP($D104,'Bütçe Kalemleri'!$B$5:$D$304,3,FALSE)),"— tanımsız kalem —")</f>
      </c>
      <c r="F104" s="11"/>
      <c r="G104" s="13"/>
      <c r="H104" s="17"/>
      <c r="I104" s="16">
        <f>IF($G104="",0,$G104*IF($H104="",0,$H104))</f>
      </c>
      <c r="J104" s="16">
        <f>IF($G104="","",$G104+$I104)</f>
      </c>
      <c r="K104" s="11"/>
    </row>
    <row r="105" spans="2:11" x14ac:dyDescent="0.25">
      <c r="B105" s="9"/>
      <c r="C105" s="8"/>
      <c r="D105" s="8"/>
      <c r="E105" s="14">
        <f>IFERROR(IF($D105="","",VLOOKUP($D105,'Bütçe Kalemleri'!$B$5:$D$304,3,FALSE)),"— tanımsız kalem —")</f>
      </c>
      <c r="F105" s="8"/>
      <c r="G105" s="10"/>
      <c r="H105" s="15"/>
      <c r="I105" s="16">
        <f>IF($G105="",0,$G105*IF($H105="",0,$H105))</f>
      </c>
      <c r="J105" s="16">
        <f>IF($G105="","",$G105+$I105)</f>
      </c>
      <c r="K105" s="8"/>
    </row>
    <row r="106" spans="2:11" x14ac:dyDescent="0.25">
      <c r="B106" s="12"/>
      <c r="C106" s="11"/>
      <c r="D106" s="11"/>
      <c r="E106" s="14">
        <f>IFERROR(IF($D106="","",VLOOKUP($D106,'Bütçe Kalemleri'!$B$5:$D$304,3,FALSE)),"— tanımsız kalem —")</f>
      </c>
      <c r="F106" s="11"/>
      <c r="G106" s="13"/>
      <c r="H106" s="17"/>
      <c r="I106" s="16">
        <f>IF($G106="",0,$G106*IF($H106="",0,$H106))</f>
      </c>
      <c r="J106" s="16">
        <f>IF($G106="","",$G106+$I106)</f>
      </c>
      <c r="K106" s="11"/>
    </row>
    <row r="107" spans="2:11" x14ac:dyDescent="0.25">
      <c r="B107" s="9"/>
      <c r="C107" s="8"/>
      <c r="D107" s="8"/>
      <c r="E107" s="14">
        <f>IFERROR(IF($D107="","",VLOOKUP($D107,'Bütçe Kalemleri'!$B$5:$D$304,3,FALSE)),"— tanımsız kalem —")</f>
      </c>
      <c r="F107" s="8"/>
      <c r="G107" s="10"/>
      <c r="H107" s="15"/>
      <c r="I107" s="16">
        <f>IF($G107="",0,$G107*IF($H107="",0,$H107))</f>
      </c>
      <c r="J107" s="16">
        <f>IF($G107="","",$G107+$I107)</f>
      </c>
      <c r="K107" s="8"/>
    </row>
    <row r="108" spans="2:11" x14ac:dyDescent="0.25">
      <c r="B108" s="12"/>
      <c r="C108" s="11"/>
      <c r="D108" s="11"/>
      <c r="E108" s="14">
        <f>IFERROR(IF($D108="","",VLOOKUP($D108,'Bütçe Kalemleri'!$B$5:$D$304,3,FALSE)),"— tanımsız kalem —")</f>
      </c>
      <c r="F108" s="11"/>
      <c r="G108" s="13"/>
      <c r="H108" s="17"/>
      <c r="I108" s="16">
        <f>IF($G108="",0,$G108*IF($H108="",0,$H108))</f>
      </c>
      <c r="J108" s="16">
        <f>IF($G108="","",$G108+$I108)</f>
      </c>
      <c r="K108" s="11"/>
    </row>
    <row r="109" spans="2:11" x14ac:dyDescent="0.25">
      <c r="B109" s="9"/>
      <c r="C109" s="8"/>
      <c r="D109" s="8"/>
      <c r="E109" s="14">
        <f>IFERROR(IF($D109="","",VLOOKUP($D109,'Bütçe Kalemleri'!$B$5:$D$304,3,FALSE)),"— tanımsız kalem —")</f>
      </c>
      <c r="F109" s="8"/>
      <c r="G109" s="10"/>
      <c r="H109" s="15"/>
      <c r="I109" s="16">
        <f>IF($G109="",0,$G109*IF($H109="",0,$H109))</f>
      </c>
      <c r="J109" s="16">
        <f>IF($G109="","",$G109+$I109)</f>
      </c>
      <c r="K109" s="8"/>
    </row>
    <row r="110" spans="2:11" x14ac:dyDescent="0.25">
      <c r="B110" s="12"/>
      <c r="C110" s="11"/>
      <c r="D110" s="11"/>
      <c r="E110" s="14">
        <f>IFERROR(IF($D110="","",VLOOKUP($D110,'Bütçe Kalemleri'!$B$5:$D$304,3,FALSE)),"— tanımsız kalem —")</f>
      </c>
      <c r="F110" s="11"/>
      <c r="G110" s="13"/>
      <c r="H110" s="17"/>
      <c r="I110" s="16">
        <f>IF($G110="",0,$G110*IF($H110="",0,$H110))</f>
      </c>
      <c r="J110" s="16">
        <f>IF($G110="","",$G110+$I110)</f>
      </c>
      <c r="K110" s="11"/>
    </row>
    <row r="111" spans="2:11" x14ac:dyDescent="0.25">
      <c r="B111" s="9"/>
      <c r="C111" s="8"/>
      <c r="D111" s="8"/>
      <c r="E111" s="14">
        <f>IFERROR(IF($D111="","",VLOOKUP($D111,'Bütçe Kalemleri'!$B$5:$D$304,3,FALSE)),"— tanımsız kalem —")</f>
      </c>
      <c r="F111" s="8"/>
      <c r="G111" s="10"/>
      <c r="H111" s="15"/>
      <c r="I111" s="16">
        <f>IF($G111="",0,$G111*IF($H111="",0,$H111))</f>
      </c>
      <c r="J111" s="16">
        <f>IF($G111="","",$G111+$I111)</f>
      </c>
      <c r="K111" s="8"/>
    </row>
    <row r="112" spans="2:11" x14ac:dyDescent="0.25">
      <c r="B112" s="12"/>
      <c r="C112" s="11"/>
      <c r="D112" s="11"/>
      <c r="E112" s="14">
        <f>IFERROR(IF($D112="","",VLOOKUP($D112,'Bütçe Kalemleri'!$B$5:$D$304,3,FALSE)),"— tanımsız kalem —")</f>
      </c>
      <c r="F112" s="11"/>
      <c r="G112" s="13"/>
      <c r="H112" s="17"/>
      <c r="I112" s="16">
        <f>IF($G112="",0,$G112*IF($H112="",0,$H112))</f>
      </c>
      <c r="J112" s="16">
        <f>IF($G112="","",$G112+$I112)</f>
      </c>
      <c r="K112" s="11"/>
    </row>
    <row r="113" spans="2:11" x14ac:dyDescent="0.25">
      <c r="B113" s="9"/>
      <c r="C113" s="8"/>
      <c r="D113" s="8"/>
      <c r="E113" s="14">
        <f>IFERROR(IF($D113="","",VLOOKUP($D113,'Bütçe Kalemleri'!$B$5:$D$304,3,FALSE)),"— tanımsız kalem —")</f>
      </c>
      <c r="F113" s="8"/>
      <c r="G113" s="10"/>
      <c r="H113" s="15"/>
      <c r="I113" s="16">
        <f>IF($G113="",0,$G113*IF($H113="",0,$H113))</f>
      </c>
      <c r="J113" s="16">
        <f>IF($G113="","",$G113+$I113)</f>
      </c>
      <c r="K113" s="8"/>
    </row>
    <row r="114" spans="2:11" x14ac:dyDescent="0.25">
      <c r="B114" s="12"/>
      <c r="C114" s="11"/>
      <c r="D114" s="11"/>
      <c r="E114" s="14">
        <f>IFERROR(IF($D114="","",VLOOKUP($D114,'Bütçe Kalemleri'!$B$5:$D$304,3,FALSE)),"— tanımsız kalem —")</f>
      </c>
      <c r="F114" s="11"/>
      <c r="G114" s="13"/>
      <c r="H114" s="17"/>
      <c r="I114" s="16">
        <f>IF($G114="",0,$G114*IF($H114="",0,$H114))</f>
      </c>
      <c r="J114" s="16">
        <f>IF($G114="","",$G114+$I114)</f>
      </c>
      <c r="K114" s="11"/>
    </row>
    <row r="115" spans="2:11" x14ac:dyDescent="0.25">
      <c r="B115" s="9"/>
      <c r="C115" s="8"/>
      <c r="D115" s="8"/>
      <c r="E115" s="14">
        <f>IFERROR(IF($D115="","",VLOOKUP($D115,'Bütçe Kalemleri'!$B$5:$D$304,3,FALSE)),"— tanımsız kalem —")</f>
      </c>
      <c r="F115" s="8"/>
      <c r="G115" s="10"/>
      <c r="H115" s="15"/>
      <c r="I115" s="16">
        <f>IF($G115="",0,$G115*IF($H115="",0,$H115))</f>
      </c>
      <c r="J115" s="16">
        <f>IF($G115="","",$G115+$I115)</f>
      </c>
      <c r="K115" s="8"/>
    </row>
    <row r="116" spans="2:11" x14ac:dyDescent="0.25">
      <c r="B116" s="12"/>
      <c r="C116" s="11"/>
      <c r="D116" s="11"/>
      <c r="E116" s="14">
        <f>IFERROR(IF($D116="","",VLOOKUP($D116,'Bütçe Kalemleri'!$B$5:$D$304,3,FALSE)),"— tanımsız kalem —")</f>
      </c>
      <c r="F116" s="11"/>
      <c r="G116" s="13"/>
      <c r="H116" s="17"/>
      <c r="I116" s="16">
        <f>IF($G116="",0,$G116*IF($H116="",0,$H116))</f>
      </c>
      <c r="J116" s="16">
        <f>IF($G116="","",$G116+$I116)</f>
      </c>
      <c r="K116" s="11"/>
    </row>
    <row r="117" spans="2:11" x14ac:dyDescent="0.25">
      <c r="B117" s="9"/>
      <c r="C117" s="8"/>
      <c r="D117" s="8"/>
      <c r="E117" s="14">
        <f>IFERROR(IF($D117="","",VLOOKUP($D117,'Bütçe Kalemleri'!$B$5:$D$304,3,FALSE)),"— tanımsız kalem —")</f>
      </c>
      <c r="F117" s="8"/>
      <c r="G117" s="10"/>
      <c r="H117" s="15"/>
      <c r="I117" s="16">
        <f>IF($G117="",0,$G117*IF($H117="",0,$H117))</f>
      </c>
      <c r="J117" s="16">
        <f>IF($G117="","",$G117+$I117)</f>
      </c>
      <c r="K117" s="8"/>
    </row>
    <row r="118" spans="2:11" x14ac:dyDescent="0.25">
      <c r="B118" s="12"/>
      <c r="C118" s="11"/>
      <c r="D118" s="11"/>
      <c r="E118" s="14">
        <f>IFERROR(IF($D118="","",VLOOKUP($D118,'Bütçe Kalemleri'!$B$5:$D$304,3,FALSE)),"— tanımsız kalem —")</f>
      </c>
      <c r="F118" s="11"/>
      <c r="G118" s="13"/>
      <c r="H118" s="17"/>
      <c r="I118" s="16">
        <f>IF($G118="",0,$G118*IF($H118="",0,$H118))</f>
      </c>
      <c r="J118" s="16">
        <f>IF($G118="","",$G118+$I118)</f>
      </c>
      <c r="K118" s="11"/>
    </row>
    <row r="119" spans="2:11" x14ac:dyDescent="0.25">
      <c r="B119" s="9"/>
      <c r="C119" s="8"/>
      <c r="D119" s="8"/>
      <c r="E119" s="14">
        <f>IFERROR(IF($D119="","",VLOOKUP($D119,'Bütçe Kalemleri'!$B$5:$D$304,3,FALSE)),"— tanımsız kalem —")</f>
      </c>
      <c r="F119" s="8"/>
      <c r="G119" s="10"/>
      <c r="H119" s="15"/>
      <c r="I119" s="16">
        <f>IF($G119="",0,$G119*IF($H119="",0,$H119))</f>
      </c>
      <c r="J119" s="16">
        <f>IF($G119="","",$G119+$I119)</f>
      </c>
      <c r="K119" s="8"/>
    </row>
    <row r="120" spans="2:11" x14ac:dyDescent="0.25">
      <c r="B120" s="12"/>
      <c r="C120" s="11"/>
      <c r="D120" s="11"/>
      <c r="E120" s="14">
        <f>IFERROR(IF($D120="","",VLOOKUP($D120,'Bütçe Kalemleri'!$B$5:$D$304,3,FALSE)),"— tanımsız kalem —")</f>
      </c>
      <c r="F120" s="11"/>
      <c r="G120" s="13"/>
      <c r="H120" s="17"/>
      <c r="I120" s="16">
        <f>IF($G120="",0,$G120*IF($H120="",0,$H120))</f>
      </c>
      <c r="J120" s="16">
        <f>IF($G120="","",$G120+$I120)</f>
      </c>
      <c r="K120" s="11"/>
    </row>
    <row r="121" spans="2:11" x14ac:dyDescent="0.25">
      <c r="B121" s="9"/>
      <c r="C121" s="8"/>
      <c r="D121" s="8"/>
      <c r="E121" s="14">
        <f>IFERROR(IF($D121="","",VLOOKUP($D121,'Bütçe Kalemleri'!$B$5:$D$304,3,FALSE)),"— tanımsız kalem —")</f>
      </c>
      <c r="F121" s="8"/>
      <c r="G121" s="10"/>
      <c r="H121" s="15"/>
      <c r="I121" s="16">
        <f>IF($G121="",0,$G121*IF($H121="",0,$H121))</f>
      </c>
      <c r="J121" s="16">
        <f>IF($G121="","",$G121+$I121)</f>
      </c>
      <c r="K121" s="8"/>
    </row>
    <row r="122" spans="2:11" x14ac:dyDescent="0.25">
      <c r="B122" s="12"/>
      <c r="C122" s="11"/>
      <c r="D122" s="11"/>
      <c r="E122" s="14">
        <f>IFERROR(IF($D122="","",VLOOKUP($D122,'Bütçe Kalemleri'!$B$5:$D$304,3,FALSE)),"— tanımsız kalem —")</f>
      </c>
      <c r="F122" s="11"/>
      <c r="G122" s="13"/>
      <c r="H122" s="17"/>
      <c r="I122" s="16">
        <f>IF($G122="",0,$G122*IF($H122="",0,$H122))</f>
      </c>
      <c r="J122" s="16">
        <f>IF($G122="","",$G122+$I122)</f>
      </c>
      <c r="K122" s="11"/>
    </row>
    <row r="123" spans="2:11" x14ac:dyDescent="0.25">
      <c r="B123" s="9"/>
      <c r="C123" s="8"/>
      <c r="D123" s="8"/>
      <c r="E123" s="14">
        <f>IFERROR(IF($D123="","",VLOOKUP($D123,'Bütçe Kalemleri'!$B$5:$D$304,3,FALSE)),"— tanımsız kalem —")</f>
      </c>
      <c r="F123" s="8"/>
      <c r="G123" s="10"/>
      <c r="H123" s="15"/>
      <c r="I123" s="16">
        <f>IF($G123="",0,$G123*IF($H123="",0,$H123))</f>
      </c>
      <c r="J123" s="16">
        <f>IF($G123="","",$G123+$I123)</f>
      </c>
      <c r="K123" s="8"/>
    </row>
    <row r="124" spans="2:11" x14ac:dyDescent="0.25">
      <c r="B124" s="12"/>
      <c r="C124" s="11"/>
      <c r="D124" s="11"/>
      <c r="E124" s="14">
        <f>IFERROR(IF($D124="","",VLOOKUP($D124,'Bütçe Kalemleri'!$B$5:$D$304,3,FALSE)),"— tanımsız kalem —")</f>
      </c>
      <c r="F124" s="11"/>
      <c r="G124" s="13"/>
      <c r="H124" s="17"/>
      <c r="I124" s="16">
        <f>IF($G124="",0,$G124*IF($H124="",0,$H124))</f>
      </c>
      <c r="J124" s="16">
        <f>IF($G124="","",$G124+$I124)</f>
      </c>
      <c r="K124" s="11"/>
    </row>
    <row r="125" spans="2:11" x14ac:dyDescent="0.25">
      <c r="B125" s="9"/>
      <c r="C125" s="8"/>
      <c r="D125" s="8"/>
      <c r="E125" s="14">
        <f>IFERROR(IF($D125="","",VLOOKUP($D125,'Bütçe Kalemleri'!$B$5:$D$304,3,FALSE)),"— tanımsız kalem —")</f>
      </c>
      <c r="F125" s="8"/>
      <c r="G125" s="10"/>
      <c r="H125" s="15"/>
      <c r="I125" s="16">
        <f>IF($G125="",0,$G125*IF($H125="",0,$H125))</f>
      </c>
      <c r="J125" s="16">
        <f>IF($G125="","",$G125+$I125)</f>
      </c>
      <c r="K125" s="8"/>
    </row>
    <row r="126" spans="2:11" x14ac:dyDescent="0.25">
      <c r="B126" s="12"/>
      <c r="C126" s="11"/>
      <c r="D126" s="11"/>
      <c r="E126" s="14">
        <f>IFERROR(IF($D126="","",VLOOKUP($D126,'Bütçe Kalemleri'!$B$5:$D$304,3,FALSE)),"— tanımsız kalem —")</f>
      </c>
      <c r="F126" s="11"/>
      <c r="G126" s="13"/>
      <c r="H126" s="17"/>
      <c r="I126" s="16">
        <f>IF($G126="",0,$G126*IF($H126="",0,$H126))</f>
      </c>
      <c r="J126" s="16">
        <f>IF($G126="","",$G126+$I126)</f>
      </c>
      <c r="K126" s="11"/>
    </row>
    <row r="127" spans="2:11" x14ac:dyDescent="0.25">
      <c r="B127" s="9"/>
      <c r="C127" s="8"/>
      <c r="D127" s="8"/>
      <c r="E127" s="14">
        <f>IFERROR(IF($D127="","",VLOOKUP($D127,'Bütçe Kalemleri'!$B$5:$D$304,3,FALSE)),"— tanımsız kalem —")</f>
      </c>
      <c r="F127" s="8"/>
      <c r="G127" s="10"/>
      <c r="H127" s="15"/>
      <c r="I127" s="16">
        <f>IF($G127="",0,$G127*IF($H127="",0,$H127))</f>
      </c>
      <c r="J127" s="16">
        <f>IF($G127="","",$G127+$I127)</f>
      </c>
      <c r="K127" s="8"/>
    </row>
    <row r="128" spans="2:11" x14ac:dyDescent="0.25">
      <c r="B128" s="12"/>
      <c r="C128" s="11"/>
      <c r="D128" s="11"/>
      <c r="E128" s="14">
        <f>IFERROR(IF($D128="","",VLOOKUP($D128,'Bütçe Kalemleri'!$B$5:$D$304,3,FALSE)),"— tanımsız kalem —")</f>
      </c>
      <c r="F128" s="11"/>
      <c r="G128" s="13"/>
      <c r="H128" s="17"/>
      <c r="I128" s="16">
        <f>IF($G128="",0,$G128*IF($H128="",0,$H128))</f>
      </c>
      <c r="J128" s="16">
        <f>IF($G128="","",$G128+$I128)</f>
      </c>
      <c r="K128" s="11"/>
    </row>
    <row r="129" spans="2:11" x14ac:dyDescent="0.25">
      <c r="B129" s="9"/>
      <c r="C129" s="8"/>
      <c r="D129" s="8"/>
      <c r="E129" s="14">
        <f>IFERROR(IF($D129="","",VLOOKUP($D129,'Bütçe Kalemleri'!$B$5:$D$304,3,FALSE)),"— tanımsız kalem —")</f>
      </c>
      <c r="F129" s="8"/>
      <c r="G129" s="10"/>
      <c r="H129" s="15"/>
      <c r="I129" s="16">
        <f>IF($G129="",0,$G129*IF($H129="",0,$H129))</f>
      </c>
      <c r="J129" s="16">
        <f>IF($G129="","",$G129+$I129)</f>
      </c>
      <c r="K129" s="8"/>
    </row>
    <row r="130" spans="2:11" x14ac:dyDescent="0.25">
      <c r="B130" s="12"/>
      <c r="C130" s="11"/>
      <c r="D130" s="11"/>
      <c r="E130" s="14">
        <f>IFERROR(IF($D130="","",VLOOKUP($D130,'Bütçe Kalemleri'!$B$5:$D$304,3,FALSE)),"— tanımsız kalem —")</f>
      </c>
      <c r="F130" s="11"/>
      <c r="G130" s="13"/>
      <c r="H130" s="17"/>
      <c r="I130" s="16">
        <f>IF($G130="",0,$G130*IF($H130="",0,$H130))</f>
      </c>
      <c r="J130" s="16">
        <f>IF($G130="","",$G130+$I130)</f>
      </c>
      <c r="K130" s="11"/>
    </row>
    <row r="131" spans="2:11" x14ac:dyDescent="0.25">
      <c r="B131" s="9"/>
      <c r="C131" s="8"/>
      <c r="D131" s="8"/>
      <c r="E131" s="14">
        <f>IFERROR(IF($D131="","",VLOOKUP($D131,'Bütçe Kalemleri'!$B$5:$D$304,3,FALSE)),"— tanımsız kalem —")</f>
      </c>
      <c r="F131" s="8"/>
      <c r="G131" s="10"/>
      <c r="H131" s="15"/>
      <c r="I131" s="16">
        <f>IF($G131="",0,$G131*IF($H131="",0,$H131))</f>
      </c>
      <c r="J131" s="16">
        <f>IF($G131="","",$G131+$I131)</f>
      </c>
      <c r="K131" s="8"/>
    </row>
    <row r="132" spans="2:11" x14ac:dyDescent="0.25">
      <c r="B132" s="12"/>
      <c r="C132" s="11"/>
      <c r="D132" s="11"/>
      <c r="E132" s="14">
        <f>IFERROR(IF($D132="","",VLOOKUP($D132,'Bütçe Kalemleri'!$B$5:$D$304,3,FALSE)),"— tanımsız kalem —")</f>
      </c>
      <c r="F132" s="11"/>
      <c r="G132" s="13"/>
      <c r="H132" s="17"/>
      <c r="I132" s="16">
        <f>IF($G132="",0,$G132*IF($H132="",0,$H132))</f>
      </c>
      <c r="J132" s="16">
        <f>IF($G132="","",$G132+$I132)</f>
      </c>
      <c r="K132" s="11"/>
    </row>
    <row r="133" spans="2:11" x14ac:dyDescent="0.25">
      <c r="B133" s="9"/>
      <c r="C133" s="8"/>
      <c r="D133" s="8"/>
      <c r="E133" s="14">
        <f>IFERROR(IF($D133="","",VLOOKUP($D133,'Bütçe Kalemleri'!$B$5:$D$304,3,FALSE)),"— tanımsız kalem —")</f>
      </c>
      <c r="F133" s="8"/>
      <c r="G133" s="10"/>
      <c r="H133" s="15"/>
      <c r="I133" s="16">
        <f>IF($G133="",0,$G133*IF($H133="",0,$H133))</f>
      </c>
      <c r="J133" s="16">
        <f>IF($G133="","",$G133+$I133)</f>
      </c>
      <c r="K133" s="8"/>
    </row>
    <row r="134" spans="2:11" x14ac:dyDescent="0.25">
      <c r="B134" s="12"/>
      <c r="C134" s="11"/>
      <c r="D134" s="11"/>
      <c r="E134" s="14">
        <f>IFERROR(IF($D134="","",VLOOKUP($D134,'Bütçe Kalemleri'!$B$5:$D$304,3,FALSE)),"— tanımsız kalem —")</f>
      </c>
      <c r="F134" s="11"/>
      <c r="G134" s="13"/>
      <c r="H134" s="17"/>
      <c r="I134" s="16">
        <f>IF($G134="",0,$G134*IF($H134="",0,$H134))</f>
      </c>
      <c r="J134" s="16">
        <f>IF($G134="","",$G134+$I134)</f>
      </c>
      <c r="K134" s="11"/>
    </row>
    <row r="135" spans="2:11" x14ac:dyDescent="0.25">
      <c r="B135" s="9"/>
      <c r="C135" s="8"/>
      <c r="D135" s="8"/>
      <c r="E135" s="14">
        <f>IFERROR(IF($D135="","",VLOOKUP($D135,'Bütçe Kalemleri'!$B$5:$D$304,3,FALSE)),"— tanımsız kalem —")</f>
      </c>
      <c r="F135" s="8"/>
      <c r="G135" s="10"/>
      <c r="H135" s="15"/>
      <c r="I135" s="16">
        <f>IF($G135="",0,$G135*IF($H135="",0,$H135))</f>
      </c>
      <c r="J135" s="16">
        <f>IF($G135="","",$G135+$I135)</f>
      </c>
      <c r="K135" s="8"/>
    </row>
    <row r="136" spans="2:11" x14ac:dyDescent="0.25">
      <c r="B136" s="12"/>
      <c r="C136" s="11"/>
      <c r="D136" s="11"/>
      <c r="E136" s="14">
        <f>IFERROR(IF($D136="","",VLOOKUP($D136,'Bütçe Kalemleri'!$B$5:$D$304,3,FALSE)),"— tanımsız kalem —")</f>
      </c>
      <c r="F136" s="11"/>
      <c r="G136" s="13"/>
      <c r="H136" s="17"/>
      <c r="I136" s="16">
        <f>IF($G136="",0,$G136*IF($H136="",0,$H136))</f>
      </c>
      <c r="J136" s="16">
        <f>IF($G136="","",$G136+$I136)</f>
      </c>
      <c r="K136" s="11"/>
    </row>
    <row r="137" spans="2:11" x14ac:dyDescent="0.25">
      <c r="B137" s="9"/>
      <c r="C137" s="8"/>
      <c r="D137" s="8"/>
      <c r="E137" s="14">
        <f>IFERROR(IF($D137="","",VLOOKUP($D137,'Bütçe Kalemleri'!$B$5:$D$304,3,FALSE)),"— tanımsız kalem —")</f>
      </c>
      <c r="F137" s="8"/>
      <c r="G137" s="10"/>
      <c r="H137" s="15"/>
      <c r="I137" s="16">
        <f>IF($G137="",0,$G137*IF($H137="",0,$H137))</f>
      </c>
      <c r="J137" s="16">
        <f>IF($G137="","",$G137+$I137)</f>
      </c>
      <c r="K137" s="8"/>
    </row>
    <row r="138" spans="2:11" x14ac:dyDescent="0.25">
      <c r="B138" s="12"/>
      <c r="C138" s="11"/>
      <c r="D138" s="11"/>
      <c r="E138" s="14">
        <f>IFERROR(IF($D138="","",VLOOKUP($D138,'Bütçe Kalemleri'!$B$5:$D$304,3,FALSE)),"— tanımsız kalem —")</f>
      </c>
      <c r="F138" s="11"/>
      <c r="G138" s="13"/>
      <c r="H138" s="17"/>
      <c r="I138" s="16">
        <f>IF($G138="",0,$G138*IF($H138="",0,$H138))</f>
      </c>
      <c r="J138" s="16">
        <f>IF($G138="","",$G138+$I138)</f>
      </c>
      <c r="K138" s="11"/>
    </row>
    <row r="139" spans="2:11" x14ac:dyDescent="0.25">
      <c r="B139" s="9"/>
      <c r="C139" s="8"/>
      <c r="D139" s="8"/>
      <c r="E139" s="14">
        <f>IFERROR(IF($D139="","",VLOOKUP($D139,'Bütçe Kalemleri'!$B$5:$D$304,3,FALSE)),"— tanımsız kalem —")</f>
      </c>
      <c r="F139" s="8"/>
      <c r="G139" s="10"/>
      <c r="H139" s="15"/>
      <c r="I139" s="16">
        <f>IF($G139="",0,$G139*IF($H139="",0,$H139))</f>
      </c>
      <c r="J139" s="16">
        <f>IF($G139="","",$G139+$I139)</f>
      </c>
      <c r="K139" s="8"/>
    </row>
    <row r="140" spans="2:11" x14ac:dyDescent="0.25">
      <c r="B140" s="12"/>
      <c r="C140" s="11"/>
      <c r="D140" s="11"/>
      <c r="E140" s="14">
        <f>IFERROR(IF($D140="","",VLOOKUP($D140,'Bütçe Kalemleri'!$B$5:$D$304,3,FALSE)),"— tanımsız kalem —")</f>
      </c>
      <c r="F140" s="11"/>
      <c r="G140" s="13"/>
      <c r="H140" s="17"/>
      <c r="I140" s="16">
        <f>IF($G140="",0,$G140*IF($H140="",0,$H140))</f>
      </c>
      <c r="J140" s="16">
        <f>IF($G140="","",$G140+$I140)</f>
      </c>
      <c r="K140" s="11"/>
    </row>
    <row r="141" spans="2:11" x14ac:dyDescent="0.25">
      <c r="B141" s="9"/>
      <c r="C141" s="8"/>
      <c r="D141" s="8"/>
      <c r="E141" s="14">
        <f>IFERROR(IF($D141="","",VLOOKUP($D141,'Bütçe Kalemleri'!$B$5:$D$304,3,FALSE)),"— tanımsız kalem —")</f>
      </c>
      <c r="F141" s="8"/>
      <c r="G141" s="10"/>
      <c r="H141" s="15"/>
      <c r="I141" s="16">
        <f>IF($G141="",0,$G141*IF($H141="",0,$H141))</f>
      </c>
      <c r="J141" s="16">
        <f>IF($G141="","",$G141+$I141)</f>
      </c>
      <c r="K141" s="8"/>
    </row>
    <row r="142" spans="2:11" x14ac:dyDescent="0.25">
      <c r="B142" s="12"/>
      <c r="C142" s="11"/>
      <c r="D142" s="11"/>
      <c r="E142" s="14">
        <f>IFERROR(IF($D142="","",VLOOKUP($D142,'Bütçe Kalemleri'!$B$5:$D$304,3,FALSE)),"— tanımsız kalem —")</f>
      </c>
      <c r="F142" s="11"/>
      <c r="G142" s="13"/>
      <c r="H142" s="17"/>
      <c r="I142" s="16">
        <f>IF($G142="",0,$G142*IF($H142="",0,$H142))</f>
      </c>
      <c r="J142" s="16">
        <f>IF($G142="","",$G142+$I142)</f>
      </c>
      <c r="K142" s="11"/>
    </row>
    <row r="143" spans="2:11" x14ac:dyDescent="0.25">
      <c r="B143" s="9"/>
      <c r="C143" s="8"/>
      <c r="D143" s="8"/>
      <c r="E143" s="14">
        <f>IFERROR(IF($D143="","",VLOOKUP($D143,'Bütçe Kalemleri'!$B$5:$D$304,3,FALSE)),"— tanımsız kalem —")</f>
      </c>
      <c r="F143" s="8"/>
      <c r="G143" s="10"/>
      <c r="H143" s="15"/>
      <c r="I143" s="16">
        <f>IF($G143="",0,$G143*IF($H143="",0,$H143))</f>
      </c>
      <c r="J143" s="16">
        <f>IF($G143="","",$G143+$I143)</f>
      </c>
      <c r="K143" s="8"/>
    </row>
    <row r="144" spans="2:11" x14ac:dyDescent="0.25">
      <c r="B144" s="12"/>
      <c r="C144" s="11"/>
      <c r="D144" s="11"/>
      <c r="E144" s="14">
        <f>IFERROR(IF($D144="","",VLOOKUP($D144,'Bütçe Kalemleri'!$B$5:$D$304,3,FALSE)),"— tanımsız kalem —")</f>
      </c>
      <c r="F144" s="11"/>
      <c r="G144" s="13"/>
      <c r="H144" s="17"/>
      <c r="I144" s="16">
        <f>IF($G144="",0,$G144*IF($H144="",0,$H144))</f>
      </c>
      <c r="J144" s="16">
        <f>IF($G144="","",$G144+$I144)</f>
      </c>
      <c r="K144" s="11"/>
    </row>
    <row r="145" spans="2:11" x14ac:dyDescent="0.25">
      <c r="B145" s="9"/>
      <c r="C145" s="8"/>
      <c r="D145" s="8"/>
      <c r="E145" s="14">
        <f>IFERROR(IF($D145="","",VLOOKUP($D145,'Bütçe Kalemleri'!$B$5:$D$304,3,FALSE)),"— tanımsız kalem —")</f>
      </c>
      <c r="F145" s="8"/>
      <c r="G145" s="10"/>
      <c r="H145" s="15"/>
      <c r="I145" s="16">
        <f>IF($G145="",0,$G145*IF($H145="",0,$H145))</f>
      </c>
      <c r="J145" s="16">
        <f>IF($G145="","",$G145+$I145)</f>
      </c>
      <c r="K145" s="8"/>
    </row>
    <row r="146" spans="2:11" x14ac:dyDescent="0.25">
      <c r="B146" s="12"/>
      <c r="C146" s="11"/>
      <c r="D146" s="11"/>
      <c r="E146" s="14">
        <f>IFERROR(IF($D146="","",VLOOKUP($D146,'Bütçe Kalemleri'!$B$5:$D$304,3,FALSE)),"— tanımsız kalem —")</f>
      </c>
      <c r="F146" s="11"/>
      <c r="G146" s="13"/>
      <c r="H146" s="17"/>
      <c r="I146" s="16">
        <f>IF($G146="",0,$G146*IF($H146="",0,$H146))</f>
      </c>
      <c r="J146" s="16">
        <f>IF($G146="","",$G146+$I146)</f>
      </c>
      <c r="K146" s="11"/>
    </row>
    <row r="147" spans="2:11" x14ac:dyDescent="0.25">
      <c r="B147" s="9"/>
      <c r="C147" s="8"/>
      <c r="D147" s="8"/>
      <c r="E147" s="14">
        <f>IFERROR(IF($D147="","",VLOOKUP($D147,'Bütçe Kalemleri'!$B$5:$D$304,3,FALSE)),"— tanımsız kalem —")</f>
      </c>
      <c r="F147" s="8"/>
      <c r="G147" s="10"/>
      <c r="H147" s="15"/>
      <c r="I147" s="16">
        <f>IF($G147="",0,$G147*IF($H147="",0,$H147))</f>
      </c>
      <c r="J147" s="16">
        <f>IF($G147="","",$G147+$I147)</f>
      </c>
      <c r="K147" s="8"/>
    </row>
    <row r="148" spans="2:11" x14ac:dyDescent="0.25">
      <c r="B148" s="12"/>
      <c r="C148" s="11"/>
      <c r="D148" s="11"/>
      <c r="E148" s="14">
        <f>IFERROR(IF($D148="","",VLOOKUP($D148,'Bütçe Kalemleri'!$B$5:$D$304,3,FALSE)),"— tanımsız kalem —")</f>
      </c>
      <c r="F148" s="11"/>
      <c r="G148" s="13"/>
      <c r="H148" s="17"/>
      <c r="I148" s="16">
        <f>IF($G148="",0,$G148*IF($H148="",0,$H148))</f>
      </c>
      <c r="J148" s="16">
        <f>IF($G148="","",$G148+$I148)</f>
      </c>
      <c r="K148" s="11"/>
    </row>
    <row r="149" spans="2:11" x14ac:dyDescent="0.25">
      <c r="B149" s="9"/>
      <c r="C149" s="8"/>
      <c r="D149" s="8"/>
      <c r="E149" s="14">
        <f>IFERROR(IF($D149="","",VLOOKUP($D149,'Bütçe Kalemleri'!$B$5:$D$304,3,FALSE)),"— tanımsız kalem —")</f>
      </c>
      <c r="F149" s="8"/>
      <c r="G149" s="10"/>
      <c r="H149" s="15"/>
      <c r="I149" s="16">
        <f>IF($G149="",0,$G149*IF($H149="",0,$H149))</f>
      </c>
      <c r="J149" s="16">
        <f>IF($G149="","",$G149+$I149)</f>
      </c>
      <c r="K149" s="8"/>
    </row>
    <row r="150" spans="2:11" x14ac:dyDescent="0.25">
      <c r="B150" s="12"/>
      <c r="C150" s="11"/>
      <c r="D150" s="11"/>
      <c r="E150" s="14">
        <f>IFERROR(IF($D150="","",VLOOKUP($D150,'Bütçe Kalemleri'!$B$5:$D$304,3,FALSE)),"— tanımsız kalem —")</f>
      </c>
      <c r="F150" s="11"/>
      <c r="G150" s="13"/>
      <c r="H150" s="17"/>
      <c r="I150" s="16">
        <f>IF($G150="",0,$G150*IF($H150="",0,$H150))</f>
      </c>
      <c r="J150" s="16">
        <f>IF($G150="","",$G150+$I150)</f>
      </c>
      <c r="K150" s="11"/>
    </row>
    <row r="151" spans="2:11" x14ac:dyDescent="0.25">
      <c r="B151" s="9"/>
      <c r="C151" s="8"/>
      <c r="D151" s="8"/>
      <c r="E151" s="14">
        <f>IFERROR(IF($D151="","",VLOOKUP($D151,'Bütçe Kalemleri'!$B$5:$D$304,3,FALSE)),"— tanımsız kalem —")</f>
      </c>
      <c r="F151" s="8"/>
      <c r="G151" s="10"/>
      <c r="H151" s="15"/>
      <c r="I151" s="16">
        <f>IF($G151="",0,$G151*IF($H151="",0,$H151))</f>
      </c>
      <c r="J151" s="16">
        <f>IF($G151="","",$G151+$I151)</f>
      </c>
      <c r="K151" s="8"/>
    </row>
    <row r="152" spans="2:11" x14ac:dyDescent="0.25">
      <c r="B152" s="12"/>
      <c r="C152" s="11"/>
      <c r="D152" s="11"/>
      <c r="E152" s="14">
        <f>IFERROR(IF($D152="","",VLOOKUP($D152,'Bütçe Kalemleri'!$B$5:$D$304,3,FALSE)),"— tanımsız kalem —")</f>
      </c>
      <c r="F152" s="11"/>
      <c r="G152" s="13"/>
      <c r="H152" s="17"/>
      <c r="I152" s="16">
        <f>IF($G152="",0,$G152*IF($H152="",0,$H152))</f>
      </c>
      <c r="J152" s="16">
        <f>IF($G152="","",$G152+$I152)</f>
      </c>
      <c r="K152" s="11"/>
    </row>
    <row r="153" spans="2:11" x14ac:dyDescent="0.25">
      <c r="B153" s="9"/>
      <c r="C153" s="8"/>
      <c r="D153" s="8"/>
      <c r="E153" s="14">
        <f>IFERROR(IF($D153="","",VLOOKUP($D153,'Bütçe Kalemleri'!$B$5:$D$304,3,FALSE)),"— tanımsız kalem —")</f>
      </c>
      <c r="F153" s="8"/>
      <c r="G153" s="10"/>
      <c r="H153" s="15"/>
      <c r="I153" s="16">
        <f>IF($G153="",0,$G153*IF($H153="",0,$H153))</f>
      </c>
      <c r="J153" s="16">
        <f>IF($G153="","",$G153+$I153)</f>
      </c>
      <c r="K153" s="8"/>
    </row>
    <row r="154" spans="2:11" x14ac:dyDescent="0.25">
      <c r="B154" s="12"/>
      <c r="C154" s="11"/>
      <c r="D154" s="11"/>
      <c r="E154" s="14">
        <f>IFERROR(IF($D154="","",VLOOKUP($D154,'Bütçe Kalemleri'!$B$5:$D$304,3,FALSE)),"— tanımsız kalem —")</f>
      </c>
      <c r="F154" s="11"/>
      <c r="G154" s="13"/>
      <c r="H154" s="17"/>
      <c r="I154" s="16">
        <f>IF($G154="",0,$G154*IF($H154="",0,$H154))</f>
      </c>
      <c r="J154" s="16">
        <f>IF($G154="","",$G154+$I154)</f>
      </c>
      <c r="K154" s="11"/>
    </row>
    <row r="155" spans="2:11" x14ac:dyDescent="0.25">
      <c r="B155" s="9"/>
      <c r="C155" s="8"/>
      <c r="D155" s="8"/>
      <c r="E155" s="14">
        <f>IFERROR(IF($D155="","",VLOOKUP($D155,'Bütçe Kalemleri'!$B$5:$D$304,3,FALSE)),"— tanımsız kalem —")</f>
      </c>
      <c r="F155" s="8"/>
      <c r="G155" s="10"/>
      <c r="H155" s="15"/>
      <c r="I155" s="16">
        <f>IF($G155="",0,$G155*IF($H155="",0,$H155))</f>
      </c>
      <c r="J155" s="16">
        <f>IF($G155="","",$G155+$I155)</f>
      </c>
      <c r="K155" s="8"/>
    </row>
    <row r="156" spans="2:11" x14ac:dyDescent="0.25">
      <c r="B156" s="12"/>
      <c r="C156" s="11"/>
      <c r="D156" s="11"/>
      <c r="E156" s="14">
        <f>IFERROR(IF($D156="","",VLOOKUP($D156,'Bütçe Kalemleri'!$B$5:$D$304,3,FALSE)),"— tanımsız kalem —")</f>
      </c>
      <c r="F156" s="11"/>
      <c r="G156" s="13"/>
      <c r="H156" s="17"/>
      <c r="I156" s="16">
        <f>IF($G156="",0,$G156*IF($H156="",0,$H156))</f>
      </c>
      <c r="J156" s="16">
        <f>IF($G156="","",$G156+$I156)</f>
      </c>
      <c r="K156" s="11"/>
    </row>
    <row r="157" spans="2:11" x14ac:dyDescent="0.25">
      <c r="B157" s="9"/>
      <c r="C157" s="8"/>
      <c r="D157" s="8"/>
      <c r="E157" s="14">
        <f>IFERROR(IF($D157="","",VLOOKUP($D157,'Bütçe Kalemleri'!$B$5:$D$304,3,FALSE)),"— tanımsız kalem —")</f>
      </c>
      <c r="F157" s="8"/>
      <c r="G157" s="10"/>
      <c r="H157" s="15"/>
      <c r="I157" s="16">
        <f>IF($G157="",0,$G157*IF($H157="",0,$H157))</f>
      </c>
      <c r="J157" s="16">
        <f>IF($G157="","",$G157+$I157)</f>
      </c>
      <c r="K157" s="8"/>
    </row>
    <row r="158" spans="2:11" x14ac:dyDescent="0.25">
      <c r="B158" s="12"/>
      <c r="C158" s="11"/>
      <c r="D158" s="11"/>
      <c r="E158" s="14">
        <f>IFERROR(IF($D158="","",VLOOKUP($D158,'Bütçe Kalemleri'!$B$5:$D$304,3,FALSE)),"— tanımsız kalem —")</f>
      </c>
      <c r="F158" s="11"/>
      <c r="G158" s="13"/>
      <c r="H158" s="17"/>
      <c r="I158" s="16">
        <f>IF($G158="",0,$G158*IF($H158="",0,$H158))</f>
      </c>
      <c r="J158" s="16">
        <f>IF($G158="","",$G158+$I158)</f>
      </c>
      <c r="K158" s="11"/>
    </row>
    <row r="159" spans="2:11" x14ac:dyDescent="0.25">
      <c r="B159" s="9"/>
      <c r="C159" s="8"/>
      <c r="D159" s="8"/>
      <c r="E159" s="14">
        <f>IFERROR(IF($D159="","",VLOOKUP($D159,'Bütçe Kalemleri'!$B$5:$D$304,3,FALSE)),"— tanımsız kalem —")</f>
      </c>
      <c r="F159" s="8"/>
      <c r="G159" s="10"/>
      <c r="H159" s="15"/>
      <c r="I159" s="16">
        <f>IF($G159="",0,$G159*IF($H159="",0,$H159))</f>
      </c>
      <c r="J159" s="16">
        <f>IF($G159="","",$G159+$I159)</f>
      </c>
      <c r="K159" s="8"/>
    </row>
    <row r="160" spans="2:11" x14ac:dyDescent="0.25">
      <c r="B160" s="12"/>
      <c r="C160" s="11"/>
      <c r="D160" s="11"/>
      <c r="E160" s="14">
        <f>IFERROR(IF($D160="","",VLOOKUP($D160,'Bütçe Kalemleri'!$B$5:$D$304,3,FALSE)),"— tanımsız kalem —")</f>
      </c>
      <c r="F160" s="11"/>
      <c r="G160" s="13"/>
      <c r="H160" s="17"/>
      <c r="I160" s="16">
        <f>IF($G160="",0,$G160*IF($H160="",0,$H160))</f>
      </c>
      <c r="J160" s="16">
        <f>IF($G160="","",$G160+$I160)</f>
      </c>
      <c r="K160" s="11"/>
    </row>
    <row r="161" spans="2:11" x14ac:dyDescent="0.25">
      <c r="B161" s="9"/>
      <c r="C161" s="8"/>
      <c r="D161" s="8"/>
      <c r="E161" s="14">
        <f>IFERROR(IF($D161="","",VLOOKUP($D161,'Bütçe Kalemleri'!$B$5:$D$304,3,FALSE)),"— tanımsız kalem —")</f>
      </c>
      <c r="F161" s="8"/>
      <c r="G161" s="10"/>
      <c r="H161" s="15"/>
      <c r="I161" s="16">
        <f>IF($G161="",0,$G161*IF($H161="",0,$H161))</f>
      </c>
      <c r="J161" s="16">
        <f>IF($G161="","",$G161+$I161)</f>
      </c>
      <c r="K161" s="8"/>
    </row>
    <row r="162" spans="2:11" x14ac:dyDescent="0.25">
      <c r="B162" s="12"/>
      <c r="C162" s="11"/>
      <c r="D162" s="11"/>
      <c r="E162" s="14">
        <f>IFERROR(IF($D162="","",VLOOKUP($D162,'Bütçe Kalemleri'!$B$5:$D$304,3,FALSE)),"— tanımsız kalem —")</f>
      </c>
      <c r="F162" s="11"/>
      <c r="G162" s="13"/>
      <c r="H162" s="17"/>
      <c r="I162" s="16">
        <f>IF($G162="",0,$G162*IF($H162="",0,$H162))</f>
      </c>
      <c r="J162" s="16">
        <f>IF($G162="","",$G162+$I162)</f>
      </c>
      <c r="K162" s="11"/>
    </row>
    <row r="163" spans="2:11" x14ac:dyDescent="0.25">
      <c r="B163" s="9"/>
      <c r="C163" s="8"/>
      <c r="D163" s="8"/>
      <c r="E163" s="14">
        <f>IFERROR(IF($D163="","",VLOOKUP($D163,'Bütçe Kalemleri'!$B$5:$D$304,3,FALSE)),"— tanımsız kalem —")</f>
      </c>
      <c r="F163" s="8"/>
      <c r="G163" s="10"/>
      <c r="H163" s="15"/>
      <c r="I163" s="16">
        <f>IF($G163="",0,$G163*IF($H163="",0,$H163))</f>
      </c>
      <c r="J163" s="16">
        <f>IF($G163="","",$G163+$I163)</f>
      </c>
      <c r="K163" s="8"/>
    </row>
    <row r="164" spans="2:11" x14ac:dyDescent="0.25">
      <c r="B164" s="12"/>
      <c r="C164" s="11"/>
      <c r="D164" s="11"/>
      <c r="E164" s="14">
        <f>IFERROR(IF($D164="","",VLOOKUP($D164,'Bütçe Kalemleri'!$B$5:$D$304,3,FALSE)),"— tanımsız kalem —")</f>
      </c>
      <c r="F164" s="11"/>
      <c r="G164" s="13"/>
      <c r="H164" s="17"/>
      <c r="I164" s="16">
        <f>IF($G164="",0,$G164*IF($H164="",0,$H164))</f>
      </c>
      <c r="J164" s="16">
        <f>IF($G164="","",$G164+$I164)</f>
      </c>
      <c r="K164" s="11"/>
    </row>
    <row r="165" spans="2:11" x14ac:dyDescent="0.25">
      <c r="B165" s="9"/>
      <c r="C165" s="8"/>
      <c r="D165" s="8"/>
      <c r="E165" s="14">
        <f>IFERROR(IF($D165="","",VLOOKUP($D165,'Bütçe Kalemleri'!$B$5:$D$304,3,FALSE)),"— tanımsız kalem —")</f>
      </c>
      <c r="F165" s="8"/>
      <c r="G165" s="10"/>
      <c r="H165" s="15"/>
      <c r="I165" s="16">
        <f>IF($G165="",0,$G165*IF($H165="",0,$H165))</f>
      </c>
      <c r="J165" s="16">
        <f>IF($G165="","",$G165+$I165)</f>
      </c>
      <c r="K165" s="8"/>
    </row>
    <row r="166" spans="2:11" x14ac:dyDescent="0.25">
      <c r="B166" s="12"/>
      <c r="C166" s="11"/>
      <c r="D166" s="11"/>
      <c r="E166" s="14">
        <f>IFERROR(IF($D166="","",VLOOKUP($D166,'Bütçe Kalemleri'!$B$5:$D$304,3,FALSE)),"— tanımsız kalem —")</f>
      </c>
      <c r="F166" s="11"/>
      <c r="G166" s="13"/>
      <c r="H166" s="17"/>
      <c r="I166" s="16">
        <f>IF($G166="",0,$G166*IF($H166="",0,$H166))</f>
      </c>
      <c r="J166" s="16">
        <f>IF($G166="","",$G166+$I166)</f>
      </c>
      <c r="K166" s="11"/>
    </row>
    <row r="167" spans="2:11" x14ac:dyDescent="0.25">
      <c r="B167" s="9"/>
      <c r="C167" s="8"/>
      <c r="D167" s="8"/>
      <c r="E167" s="14">
        <f>IFERROR(IF($D167="","",VLOOKUP($D167,'Bütçe Kalemleri'!$B$5:$D$304,3,FALSE)),"— tanımsız kalem —")</f>
      </c>
      <c r="F167" s="8"/>
      <c r="G167" s="10"/>
      <c r="H167" s="15"/>
      <c r="I167" s="16">
        <f>IF($G167="",0,$G167*IF($H167="",0,$H167))</f>
      </c>
      <c r="J167" s="16">
        <f>IF($G167="","",$G167+$I167)</f>
      </c>
      <c r="K167" s="8"/>
    </row>
    <row r="168" spans="2:11" x14ac:dyDescent="0.25">
      <c r="B168" s="12"/>
      <c r="C168" s="11"/>
      <c r="D168" s="11"/>
      <c r="E168" s="14">
        <f>IFERROR(IF($D168="","",VLOOKUP($D168,'Bütçe Kalemleri'!$B$5:$D$304,3,FALSE)),"— tanımsız kalem —")</f>
      </c>
      <c r="F168" s="11"/>
      <c r="G168" s="13"/>
      <c r="H168" s="17"/>
      <c r="I168" s="16">
        <f>IF($G168="",0,$G168*IF($H168="",0,$H168))</f>
      </c>
      <c r="J168" s="16">
        <f>IF($G168="","",$G168+$I168)</f>
      </c>
      <c r="K168" s="11"/>
    </row>
    <row r="169" spans="2:11" x14ac:dyDescent="0.25">
      <c r="B169" s="9"/>
      <c r="C169" s="8"/>
      <c r="D169" s="8"/>
      <c r="E169" s="14">
        <f>IFERROR(IF($D169="","",VLOOKUP($D169,'Bütçe Kalemleri'!$B$5:$D$304,3,FALSE)),"— tanımsız kalem —")</f>
      </c>
      <c r="F169" s="8"/>
      <c r="G169" s="10"/>
      <c r="H169" s="15"/>
      <c r="I169" s="16">
        <f>IF($G169="",0,$G169*IF($H169="",0,$H169))</f>
      </c>
      <c r="J169" s="16">
        <f>IF($G169="","",$G169+$I169)</f>
      </c>
      <c r="K169" s="8"/>
    </row>
    <row r="170" spans="2:11" x14ac:dyDescent="0.25">
      <c r="B170" s="12"/>
      <c r="C170" s="11"/>
      <c r="D170" s="11"/>
      <c r="E170" s="14">
        <f>IFERROR(IF($D170="","",VLOOKUP($D170,'Bütçe Kalemleri'!$B$5:$D$304,3,FALSE)),"— tanımsız kalem —")</f>
      </c>
      <c r="F170" s="11"/>
      <c r="G170" s="13"/>
      <c r="H170" s="17"/>
      <c r="I170" s="16">
        <f>IF($G170="",0,$G170*IF($H170="",0,$H170))</f>
      </c>
      <c r="J170" s="16">
        <f>IF($G170="","",$G170+$I170)</f>
      </c>
      <c r="K170" s="11"/>
    </row>
    <row r="171" spans="2:11" x14ac:dyDescent="0.25">
      <c r="B171" s="9"/>
      <c r="C171" s="8"/>
      <c r="D171" s="8"/>
      <c r="E171" s="14">
        <f>IFERROR(IF($D171="","",VLOOKUP($D171,'Bütçe Kalemleri'!$B$5:$D$304,3,FALSE)),"— tanımsız kalem —")</f>
      </c>
      <c r="F171" s="8"/>
      <c r="G171" s="10"/>
      <c r="H171" s="15"/>
      <c r="I171" s="16">
        <f>IF($G171="",0,$G171*IF($H171="",0,$H171))</f>
      </c>
      <c r="J171" s="16">
        <f>IF($G171="","",$G171+$I171)</f>
      </c>
      <c r="K171" s="8"/>
    </row>
    <row r="172" spans="2:11" x14ac:dyDescent="0.25">
      <c r="B172" s="12"/>
      <c r="C172" s="11"/>
      <c r="D172" s="11"/>
      <c r="E172" s="14">
        <f>IFERROR(IF($D172="","",VLOOKUP($D172,'Bütçe Kalemleri'!$B$5:$D$304,3,FALSE)),"— tanımsız kalem —")</f>
      </c>
      <c r="F172" s="11"/>
      <c r="G172" s="13"/>
      <c r="H172" s="17"/>
      <c r="I172" s="16">
        <f>IF($G172="",0,$G172*IF($H172="",0,$H172))</f>
      </c>
      <c r="J172" s="16">
        <f>IF($G172="","",$G172+$I172)</f>
      </c>
      <c r="K172" s="11"/>
    </row>
    <row r="173" spans="2:11" x14ac:dyDescent="0.25">
      <c r="B173" s="9"/>
      <c r="C173" s="8"/>
      <c r="D173" s="8"/>
      <c r="E173" s="14">
        <f>IFERROR(IF($D173="","",VLOOKUP($D173,'Bütçe Kalemleri'!$B$5:$D$304,3,FALSE)),"— tanımsız kalem —")</f>
      </c>
      <c r="F173" s="8"/>
      <c r="G173" s="10"/>
      <c r="H173" s="15"/>
      <c r="I173" s="16">
        <f>IF($G173="",0,$G173*IF($H173="",0,$H173))</f>
      </c>
      <c r="J173" s="16">
        <f>IF($G173="","",$G173+$I173)</f>
      </c>
      <c r="K173" s="8"/>
    </row>
    <row r="174" spans="2:11" x14ac:dyDescent="0.25">
      <c r="B174" s="12"/>
      <c r="C174" s="11"/>
      <c r="D174" s="11"/>
      <c r="E174" s="14">
        <f>IFERROR(IF($D174="","",VLOOKUP($D174,'Bütçe Kalemleri'!$B$5:$D$304,3,FALSE)),"— tanımsız kalem —")</f>
      </c>
      <c r="F174" s="11"/>
      <c r="G174" s="13"/>
      <c r="H174" s="17"/>
      <c r="I174" s="16">
        <f>IF($G174="",0,$G174*IF($H174="",0,$H174))</f>
      </c>
      <c r="J174" s="16">
        <f>IF($G174="","",$G174+$I174)</f>
      </c>
      <c r="K174" s="11"/>
    </row>
    <row r="175" spans="2:11" x14ac:dyDescent="0.25">
      <c r="B175" s="9"/>
      <c r="C175" s="8"/>
      <c r="D175" s="8"/>
      <c r="E175" s="14">
        <f>IFERROR(IF($D175="","",VLOOKUP($D175,'Bütçe Kalemleri'!$B$5:$D$304,3,FALSE)),"— tanımsız kalem —")</f>
      </c>
      <c r="F175" s="8"/>
      <c r="G175" s="10"/>
      <c r="H175" s="15"/>
      <c r="I175" s="16">
        <f>IF($G175="",0,$G175*IF($H175="",0,$H175))</f>
      </c>
      <c r="J175" s="16">
        <f>IF($G175="","",$G175+$I175)</f>
      </c>
      <c r="K175" s="8"/>
    </row>
    <row r="176" spans="2:11" x14ac:dyDescent="0.25">
      <c r="B176" s="12"/>
      <c r="C176" s="11"/>
      <c r="D176" s="11"/>
      <c r="E176" s="14">
        <f>IFERROR(IF($D176="","",VLOOKUP($D176,'Bütçe Kalemleri'!$B$5:$D$304,3,FALSE)),"— tanımsız kalem —")</f>
      </c>
      <c r="F176" s="11"/>
      <c r="G176" s="13"/>
      <c r="H176" s="17"/>
      <c r="I176" s="16">
        <f>IF($G176="",0,$G176*IF($H176="",0,$H176))</f>
      </c>
      <c r="J176" s="16">
        <f>IF($G176="","",$G176+$I176)</f>
      </c>
      <c r="K176" s="11"/>
    </row>
    <row r="177" spans="2:11" x14ac:dyDescent="0.25">
      <c r="B177" s="9"/>
      <c r="C177" s="8"/>
      <c r="D177" s="8"/>
      <c r="E177" s="14">
        <f>IFERROR(IF($D177="","",VLOOKUP($D177,'Bütçe Kalemleri'!$B$5:$D$304,3,FALSE)),"— tanımsız kalem —")</f>
      </c>
      <c r="F177" s="8"/>
      <c r="G177" s="10"/>
      <c r="H177" s="15"/>
      <c r="I177" s="16">
        <f>IF($G177="",0,$G177*IF($H177="",0,$H177))</f>
      </c>
      <c r="J177" s="16">
        <f>IF($G177="","",$G177+$I177)</f>
      </c>
      <c r="K177" s="8"/>
    </row>
    <row r="178" spans="2:11" x14ac:dyDescent="0.25">
      <c r="B178" s="12"/>
      <c r="C178" s="11"/>
      <c r="D178" s="11"/>
      <c r="E178" s="14">
        <f>IFERROR(IF($D178="","",VLOOKUP($D178,'Bütçe Kalemleri'!$B$5:$D$304,3,FALSE)),"— tanımsız kalem —")</f>
      </c>
      <c r="F178" s="11"/>
      <c r="G178" s="13"/>
      <c r="H178" s="17"/>
      <c r="I178" s="16">
        <f>IF($G178="",0,$G178*IF($H178="",0,$H178))</f>
      </c>
      <c r="J178" s="16">
        <f>IF($G178="","",$G178+$I178)</f>
      </c>
      <c r="K178" s="11"/>
    </row>
    <row r="179" spans="2:11" x14ac:dyDescent="0.25">
      <c r="B179" s="9"/>
      <c r="C179" s="8"/>
      <c r="D179" s="8"/>
      <c r="E179" s="14">
        <f>IFERROR(IF($D179="","",VLOOKUP($D179,'Bütçe Kalemleri'!$B$5:$D$304,3,FALSE)),"— tanımsız kalem —")</f>
      </c>
      <c r="F179" s="8"/>
      <c r="G179" s="10"/>
      <c r="H179" s="15"/>
      <c r="I179" s="16">
        <f>IF($G179="",0,$G179*IF($H179="",0,$H179))</f>
      </c>
      <c r="J179" s="16">
        <f>IF($G179="","",$G179+$I179)</f>
      </c>
      <c r="K179" s="8"/>
    </row>
    <row r="180" spans="2:11" x14ac:dyDescent="0.25">
      <c r="B180" s="12"/>
      <c r="C180" s="11"/>
      <c r="D180" s="11"/>
      <c r="E180" s="14">
        <f>IFERROR(IF($D180="","",VLOOKUP($D180,'Bütçe Kalemleri'!$B$5:$D$304,3,FALSE)),"— tanımsız kalem —")</f>
      </c>
      <c r="F180" s="11"/>
      <c r="G180" s="13"/>
      <c r="H180" s="17"/>
      <c r="I180" s="16">
        <f>IF($G180="",0,$G180*IF($H180="",0,$H180))</f>
      </c>
      <c r="J180" s="16">
        <f>IF($G180="","",$G180+$I180)</f>
      </c>
      <c r="K180" s="11"/>
    </row>
    <row r="181" spans="2:11" x14ac:dyDescent="0.25">
      <c r="B181" s="9"/>
      <c r="C181" s="8"/>
      <c r="D181" s="8"/>
      <c r="E181" s="14">
        <f>IFERROR(IF($D181="","",VLOOKUP($D181,'Bütçe Kalemleri'!$B$5:$D$304,3,FALSE)),"— tanımsız kalem —")</f>
      </c>
      <c r="F181" s="8"/>
      <c r="G181" s="10"/>
      <c r="H181" s="15"/>
      <c r="I181" s="16">
        <f>IF($G181="",0,$G181*IF($H181="",0,$H181))</f>
      </c>
      <c r="J181" s="16">
        <f>IF($G181="","",$G181+$I181)</f>
      </c>
      <c r="K181" s="8"/>
    </row>
    <row r="182" spans="2:11" x14ac:dyDescent="0.25">
      <c r="B182" s="12"/>
      <c r="C182" s="11"/>
      <c r="D182" s="11"/>
      <c r="E182" s="14">
        <f>IFERROR(IF($D182="","",VLOOKUP($D182,'Bütçe Kalemleri'!$B$5:$D$304,3,FALSE)),"— tanımsız kalem —")</f>
      </c>
      <c r="F182" s="11"/>
      <c r="G182" s="13"/>
      <c r="H182" s="17"/>
      <c r="I182" s="16">
        <f>IF($G182="",0,$G182*IF($H182="",0,$H182))</f>
      </c>
      <c r="J182" s="16">
        <f>IF($G182="","",$G182+$I182)</f>
      </c>
      <c r="K182" s="11"/>
    </row>
    <row r="183" spans="2:11" x14ac:dyDescent="0.25">
      <c r="B183" s="9"/>
      <c r="C183" s="8"/>
      <c r="D183" s="8"/>
      <c r="E183" s="14">
        <f>IFERROR(IF($D183="","",VLOOKUP($D183,'Bütçe Kalemleri'!$B$5:$D$304,3,FALSE)),"— tanımsız kalem —")</f>
      </c>
      <c r="F183" s="8"/>
      <c r="G183" s="10"/>
      <c r="H183" s="15"/>
      <c r="I183" s="16">
        <f>IF($G183="",0,$G183*IF($H183="",0,$H183))</f>
      </c>
      <c r="J183" s="16">
        <f>IF($G183="","",$G183+$I183)</f>
      </c>
      <c r="K183" s="8"/>
    </row>
    <row r="184" spans="2:11" x14ac:dyDescent="0.25">
      <c r="B184" s="12"/>
      <c r="C184" s="11"/>
      <c r="D184" s="11"/>
      <c r="E184" s="14">
        <f>IFERROR(IF($D184="","",VLOOKUP($D184,'Bütçe Kalemleri'!$B$5:$D$304,3,FALSE)),"— tanımsız kalem —")</f>
      </c>
      <c r="F184" s="11"/>
      <c r="G184" s="13"/>
      <c r="H184" s="17"/>
      <c r="I184" s="16">
        <f>IF($G184="",0,$G184*IF($H184="",0,$H184))</f>
      </c>
      <c r="J184" s="16">
        <f>IF($G184="","",$G184+$I184)</f>
      </c>
      <c r="K184" s="11"/>
    </row>
    <row r="185" spans="2:11" x14ac:dyDescent="0.25">
      <c r="B185" s="9"/>
      <c r="C185" s="8"/>
      <c r="D185" s="8"/>
      <c r="E185" s="14">
        <f>IFERROR(IF($D185="","",VLOOKUP($D185,'Bütçe Kalemleri'!$B$5:$D$304,3,FALSE)),"— tanımsız kalem —")</f>
      </c>
      <c r="F185" s="8"/>
      <c r="G185" s="10"/>
      <c r="H185" s="15"/>
      <c r="I185" s="16">
        <f>IF($G185="",0,$G185*IF($H185="",0,$H185))</f>
      </c>
      <c r="J185" s="16">
        <f>IF($G185="","",$G185+$I185)</f>
      </c>
      <c r="K185" s="8"/>
    </row>
    <row r="186" spans="2:11" x14ac:dyDescent="0.25">
      <c r="B186" s="12"/>
      <c r="C186" s="11"/>
      <c r="D186" s="11"/>
      <c r="E186" s="14">
        <f>IFERROR(IF($D186="","",VLOOKUP($D186,'Bütçe Kalemleri'!$B$5:$D$304,3,FALSE)),"— tanımsız kalem —")</f>
      </c>
      <c r="F186" s="11"/>
      <c r="G186" s="13"/>
      <c r="H186" s="17"/>
      <c r="I186" s="16">
        <f>IF($G186="",0,$G186*IF($H186="",0,$H186))</f>
      </c>
      <c r="J186" s="16">
        <f>IF($G186="","",$G186+$I186)</f>
      </c>
      <c r="K186" s="11"/>
    </row>
    <row r="187" spans="2:11" x14ac:dyDescent="0.25">
      <c r="B187" s="9"/>
      <c r="C187" s="8"/>
      <c r="D187" s="8"/>
      <c r="E187" s="14">
        <f>IFERROR(IF($D187="","",VLOOKUP($D187,'Bütçe Kalemleri'!$B$5:$D$304,3,FALSE)),"— tanımsız kalem —")</f>
      </c>
      <c r="F187" s="8"/>
      <c r="G187" s="10"/>
      <c r="H187" s="15"/>
      <c r="I187" s="16">
        <f>IF($G187="",0,$G187*IF($H187="",0,$H187))</f>
      </c>
      <c r="J187" s="16">
        <f>IF($G187="","",$G187+$I187)</f>
      </c>
      <c r="K187" s="8"/>
    </row>
    <row r="188" spans="2:11" x14ac:dyDescent="0.25">
      <c r="B188" s="12"/>
      <c r="C188" s="11"/>
      <c r="D188" s="11"/>
      <c r="E188" s="14">
        <f>IFERROR(IF($D188="","",VLOOKUP($D188,'Bütçe Kalemleri'!$B$5:$D$304,3,FALSE)),"— tanımsız kalem —")</f>
      </c>
      <c r="F188" s="11"/>
      <c r="G188" s="13"/>
      <c r="H188" s="17"/>
      <c r="I188" s="16">
        <f>IF($G188="",0,$G188*IF($H188="",0,$H188))</f>
      </c>
      <c r="J188" s="16">
        <f>IF($G188="","",$G188+$I188)</f>
      </c>
      <c r="K188" s="11"/>
    </row>
    <row r="189" spans="2:11" x14ac:dyDescent="0.25">
      <c r="B189" s="9"/>
      <c r="C189" s="8"/>
      <c r="D189" s="8"/>
      <c r="E189" s="14">
        <f>IFERROR(IF($D189="","",VLOOKUP($D189,'Bütçe Kalemleri'!$B$5:$D$304,3,FALSE)),"— tanımsız kalem —")</f>
      </c>
      <c r="F189" s="8"/>
      <c r="G189" s="10"/>
      <c r="H189" s="15"/>
      <c r="I189" s="16">
        <f>IF($G189="",0,$G189*IF($H189="",0,$H189))</f>
      </c>
      <c r="J189" s="16">
        <f>IF($G189="","",$G189+$I189)</f>
      </c>
      <c r="K189" s="8"/>
    </row>
    <row r="190" spans="2:11" x14ac:dyDescent="0.25">
      <c r="B190" s="12"/>
      <c r="C190" s="11"/>
      <c r="D190" s="11"/>
      <c r="E190" s="14">
        <f>IFERROR(IF($D190="","",VLOOKUP($D190,'Bütçe Kalemleri'!$B$5:$D$304,3,FALSE)),"— tanımsız kalem —")</f>
      </c>
      <c r="F190" s="11"/>
      <c r="G190" s="13"/>
      <c r="H190" s="17"/>
      <c r="I190" s="16">
        <f>IF($G190="",0,$G190*IF($H190="",0,$H190))</f>
      </c>
      <c r="J190" s="16">
        <f>IF($G190="","",$G190+$I190)</f>
      </c>
      <c r="K190" s="11"/>
    </row>
    <row r="191" spans="2:11" x14ac:dyDescent="0.25">
      <c r="B191" s="9"/>
      <c r="C191" s="8"/>
      <c r="D191" s="8"/>
      <c r="E191" s="14">
        <f>IFERROR(IF($D191="","",VLOOKUP($D191,'Bütçe Kalemleri'!$B$5:$D$304,3,FALSE)),"— tanımsız kalem —")</f>
      </c>
      <c r="F191" s="8"/>
      <c r="G191" s="10"/>
      <c r="H191" s="15"/>
      <c r="I191" s="16">
        <f>IF($G191="",0,$G191*IF($H191="",0,$H191))</f>
      </c>
      <c r="J191" s="16">
        <f>IF($G191="","",$G191+$I191)</f>
      </c>
      <c r="K191" s="8"/>
    </row>
    <row r="192" spans="2:11" x14ac:dyDescent="0.25">
      <c r="B192" s="12"/>
      <c r="C192" s="11"/>
      <c r="D192" s="11"/>
      <c r="E192" s="14">
        <f>IFERROR(IF($D192="","",VLOOKUP($D192,'Bütçe Kalemleri'!$B$5:$D$304,3,FALSE)),"— tanımsız kalem —")</f>
      </c>
      <c r="F192" s="11"/>
      <c r="G192" s="13"/>
      <c r="H192" s="17"/>
      <c r="I192" s="16">
        <f>IF($G192="",0,$G192*IF($H192="",0,$H192))</f>
      </c>
      <c r="J192" s="16">
        <f>IF($G192="","",$G192+$I192)</f>
      </c>
      <c r="K192" s="11"/>
    </row>
    <row r="193" spans="2:11" x14ac:dyDescent="0.25">
      <c r="B193" s="9"/>
      <c r="C193" s="8"/>
      <c r="D193" s="8"/>
      <c r="E193" s="14">
        <f>IFERROR(IF($D193="","",VLOOKUP($D193,'Bütçe Kalemleri'!$B$5:$D$304,3,FALSE)),"— tanımsız kalem —")</f>
      </c>
      <c r="F193" s="8"/>
      <c r="G193" s="10"/>
      <c r="H193" s="15"/>
      <c r="I193" s="16">
        <f>IF($G193="",0,$G193*IF($H193="",0,$H193))</f>
      </c>
      <c r="J193" s="16">
        <f>IF($G193="","",$G193+$I193)</f>
      </c>
      <c r="K193" s="8"/>
    </row>
    <row r="194" spans="2:11" x14ac:dyDescent="0.25">
      <c r="B194" s="12"/>
      <c r="C194" s="11"/>
      <c r="D194" s="11"/>
      <c r="E194" s="14">
        <f>IFERROR(IF($D194="","",VLOOKUP($D194,'Bütçe Kalemleri'!$B$5:$D$304,3,FALSE)),"— tanımsız kalem —")</f>
      </c>
      <c r="F194" s="11"/>
      <c r="G194" s="13"/>
      <c r="H194" s="17"/>
      <c r="I194" s="16">
        <f>IF($G194="",0,$G194*IF($H194="",0,$H194))</f>
      </c>
      <c r="J194" s="16">
        <f>IF($G194="","",$G194+$I194)</f>
      </c>
      <c r="K194" s="11"/>
    </row>
    <row r="195" spans="2:11" x14ac:dyDescent="0.25">
      <c r="B195" s="9"/>
      <c r="C195" s="8"/>
      <c r="D195" s="8"/>
      <c r="E195" s="14">
        <f>IFERROR(IF($D195="","",VLOOKUP($D195,'Bütçe Kalemleri'!$B$5:$D$304,3,FALSE)),"— tanımsız kalem —")</f>
      </c>
      <c r="F195" s="8"/>
      <c r="G195" s="10"/>
      <c r="H195" s="15"/>
      <c r="I195" s="16">
        <f>IF($G195="",0,$G195*IF($H195="",0,$H195))</f>
      </c>
      <c r="J195" s="16">
        <f>IF($G195="","",$G195+$I195)</f>
      </c>
      <c r="K195" s="8"/>
    </row>
    <row r="196" spans="2:11" x14ac:dyDescent="0.25">
      <c r="B196" s="12"/>
      <c r="C196" s="11"/>
      <c r="D196" s="11"/>
      <c r="E196" s="14">
        <f>IFERROR(IF($D196="","",VLOOKUP($D196,'Bütçe Kalemleri'!$B$5:$D$304,3,FALSE)),"— tanımsız kalem —")</f>
      </c>
      <c r="F196" s="11"/>
      <c r="G196" s="13"/>
      <c r="H196" s="17"/>
      <c r="I196" s="16">
        <f>IF($G196="",0,$G196*IF($H196="",0,$H196))</f>
      </c>
      <c r="J196" s="16">
        <f>IF($G196="","",$G196+$I196)</f>
      </c>
      <c r="K196" s="11"/>
    </row>
    <row r="197" spans="2:11" x14ac:dyDescent="0.25">
      <c r="B197" s="9"/>
      <c r="C197" s="8"/>
      <c r="D197" s="8"/>
      <c r="E197" s="14">
        <f>IFERROR(IF($D197="","",VLOOKUP($D197,'Bütçe Kalemleri'!$B$5:$D$304,3,FALSE)),"— tanımsız kalem —")</f>
      </c>
      <c r="F197" s="8"/>
      <c r="G197" s="10"/>
      <c r="H197" s="15"/>
      <c r="I197" s="16">
        <f>IF($G197="",0,$G197*IF($H197="",0,$H197))</f>
      </c>
      <c r="J197" s="16">
        <f>IF($G197="","",$G197+$I197)</f>
      </c>
      <c r="K197" s="8"/>
    </row>
    <row r="198" spans="2:11" x14ac:dyDescent="0.25">
      <c r="B198" s="12"/>
      <c r="C198" s="11"/>
      <c r="D198" s="11"/>
      <c r="E198" s="14">
        <f>IFERROR(IF($D198="","",VLOOKUP($D198,'Bütçe Kalemleri'!$B$5:$D$304,3,FALSE)),"— tanımsız kalem —")</f>
      </c>
      <c r="F198" s="11"/>
      <c r="G198" s="13"/>
      <c r="H198" s="17"/>
      <c r="I198" s="16">
        <f>IF($G198="",0,$G198*IF($H198="",0,$H198))</f>
      </c>
      <c r="J198" s="16">
        <f>IF($G198="","",$G198+$I198)</f>
      </c>
      <c r="K198" s="11"/>
    </row>
    <row r="199" spans="2:11" x14ac:dyDescent="0.25">
      <c r="B199" s="9"/>
      <c r="C199" s="8"/>
      <c r="D199" s="8"/>
      <c r="E199" s="14">
        <f>IFERROR(IF($D199="","",VLOOKUP($D199,'Bütçe Kalemleri'!$B$5:$D$304,3,FALSE)),"— tanımsız kalem —")</f>
      </c>
      <c r="F199" s="8"/>
      <c r="G199" s="10"/>
      <c r="H199" s="15"/>
      <c r="I199" s="16">
        <f>IF($G199="",0,$G199*IF($H199="",0,$H199))</f>
      </c>
      <c r="J199" s="16">
        <f>IF($G199="","",$G199+$I199)</f>
      </c>
      <c r="K199" s="8"/>
    </row>
    <row r="200" spans="2:11" x14ac:dyDescent="0.25">
      <c r="B200" s="12"/>
      <c r="C200" s="11"/>
      <c r="D200" s="11"/>
      <c r="E200" s="14">
        <f>IFERROR(IF($D200="","",VLOOKUP($D200,'Bütçe Kalemleri'!$B$5:$D$304,3,FALSE)),"— tanımsız kalem —")</f>
      </c>
      <c r="F200" s="11"/>
      <c r="G200" s="13"/>
      <c r="H200" s="17"/>
      <c r="I200" s="16">
        <f>IF($G200="",0,$G200*IF($H200="",0,$H200))</f>
      </c>
      <c r="J200" s="16">
        <f>IF($G200="","",$G200+$I200)</f>
      </c>
      <c r="K200" s="11"/>
    </row>
    <row r="201" spans="2:11" x14ac:dyDescent="0.25">
      <c r="B201" s="9"/>
      <c r="C201" s="8"/>
      <c r="D201" s="8"/>
      <c r="E201" s="14">
        <f>IFERROR(IF($D201="","",VLOOKUP($D201,'Bütçe Kalemleri'!$B$5:$D$304,3,FALSE)),"— tanımsız kalem —")</f>
      </c>
      <c r="F201" s="8"/>
      <c r="G201" s="10"/>
      <c r="H201" s="15"/>
      <c r="I201" s="16">
        <f>IF($G201="",0,$G201*IF($H201="",0,$H201))</f>
      </c>
      <c r="J201" s="16">
        <f>IF($G201="","",$G201+$I201)</f>
      </c>
      <c r="K201" s="8"/>
    </row>
    <row r="202" spans="2:11" x14ac:dyDescent="0.25">
      <c r="B202" s="12"/>
      <c r="C202" s="11"/>
      <c r="D202" s="11"/>
      <c r="E202" s="14">
        <f>IFERROR(IF($D202="","",VLOOKUP($D202,'Bütçe Kalemleri'!$B$5:$D$304,3,FALSE)),"— tanımsız kalem —")</f>
      </c>
      <c r="F202" s="11"/>
      <c r="G202" s="13"/>
      <c r="H202" s="17"/>
      <c r="I202" s="16">
        <f>IF($G202="",0,$G202*IF($H202="",0,$H202))</f>
      </c>
      <c r="J202" s="16">
        <f>IF($G202="","",$G202+$I202)</f>
      </c>
      <c r="K202" s="11"/>
    </row>
    <row r="203" spans="2:11" x14ac:dyDescent="0.25">
      <c r="B203" s="9"/>
      <c r="C203" s="8"/>
      <c r="D203" s="8"/>
      <c r="E203" s="14">
        <f>IFERROR(IF($D203="","",VLOOKUP($D203,'Bütçe Kalemleri'!$B$5:$D$304,3,FALSE)),"— tanımsız kalem —")</f>
      </c>
      <c r="F203" s="8"/>
      <c r="G203" s="10"/>
      <c r="H203" s="15"/>
      <c r="I203" s="16">
        <f>IF($G203="",0,$G203*IF($H203="",0,$H203))</f>
      </c>
      <c r="J203" s="16">
        <f>IF($G203="","",$G203+$I203)</f>
      </c>
      <c r="K203" s="8"/>
    </row>
    <row r="204" spans="2:11" x14ac:dyDescent="0.25">
      <c r="B204" s="12"/>
      <c r="C204" s="11"/>
      <c r="D204" s="11"/>
      <c r="E204" s="14">
        <f>IFERROR(IF($D204="","",VLOOKUP($D204,'Bütçe Kalemleri'!$B$5:$D$304,3,FALSE)),"— tanımsız kalem —")</f>
      </c>
      <c r="F204" s="11"/>
      <c r="G204" s="13"/>
      <c r="H204" s="17"/>
      <c r="I204" s="16">
        <f>IF($G204="",0,$G204*IF($H204="",0,$H204))</f>
      </c>
      <c r="J204" s="16">
        <f>IF($G204="","",$G204+$I204)</f>
      </c>
      <c r="K204" s="11"/>
    </row>
    <row r="205" spans="2:11" x14ac:dyDescent="0.25">
      <c r="B205" s="9"/>
      <c r="C205" s="8"/>
      <c r="D205" s="8"/>
      <c r="E205" s="14">
        <f>IFERROR(IF($D205="","",VLOOKUP($D205,'Bütçe Kalemleri'!$B$5:$D$304,3,FALSE)),"— tanımsız kalem —")</f>
      </c>
      <c r="F205" s="8"/>
      <c r="G205" s="10"/>
      <c r="H205" s="15"/>
      <c r="I205" s="16">
        <f>IF($G205="",0,$G205*IF($H205="",0,$H205))</f>
      </c>
      <c r="J205" s="16">
        <f>IF($G205="","",$G205+$I205)</f>
      </c>
      <c r="K205" s="8"/>
    </row>
    <row r="206" spans="2:11" x14ac:dyDescent="0.25">
      <c r="B206" s="12"/>
      <c r="C206" s="11"/>
      <c r="D206" s="11"/>
      <c r="E206" s="14">
        <f>IFERROR(IF($D206="","",VLOOKUP($D206,'Bütçe Kalemleri'!$B$5:$D$304,3,FALSE)),"— tanımsız kalem —")</f>
      </c>
      <c r="F206" s="11"/>
      <c r="G206" s="13"/>
      <c r="H206" s="17"/>
      <c r="I206" s="16">
        <f>IF($G206="",0,$G206*IF($H206="",0,$H206))</f>
      </c>
      <c r="J206" s="16">
        <f>IF($G206="","",$G206+$I206)</f>
      </c>
      <c r="K206" s="11"/>
    </row>
    <row r="207" spans="2:11" x14ac:dyDescent="0.25">
      <c r="B207" s="9"/>
      <c r="C207" s="8"/>
      <c r="D207" s="8"/>
      <c r="E207" s="14">
        <f>IFERROR(IF($D207="","",VLOOKUP($D207,'Bütçe Kalemleri'!$B$5:$D$304,3,FALSE)),"— tanımsız kalem —")</f>
      </c>
      <c r="F207" s="8"/>
      <c r="G207" s="10"/>
      <c r="H207" s="15"/>
      <c r="I207" s="16">
        <f>IF($G207="",0,$G207*IF($H207="",0,$H207))</f>
      </c>
      <c r="J207" s="16">
        <f>IF($G207="","",$G207+$I207)</f>
      </c>
      <c r="K207" s="8"/>
    </row>
    <row r="208" spans="2:11" x14ac:dyDescent="0.25">
      <c r="B208" s="12"/>
      <c r="C208" s="11"/>
      <c r="D208" s="11"/>
      <c r="E208" s="14">
        <f>IFERROR(IF($D208="","",VLOOKUP($D208,'Bütçe Kalemleri'!$B$5:$D$304,3,FALSE)),"— tanımsız kalem —")</f>
      </c>
      <c r="F208" s="11"/>
      <c r="G208" s="13"/>
      <c r="H208" s="17"/>
      <c r="I208" s="16">
        <f>IF($G208="",0,$G208*IF($H208="",0,$H208))</f>
      </c>
      <c r="J208" s="16">
        <f>IF($G208="","",$G208+$I208)</f>
      </c>
      <c r="K208" s="11"/>
    </row>
    <row r="209" spans="2:11" x14ac:dyDescent="0.25">
      <c r="B209" s="9"/>
      <c r="C209" s="8"/>
      <c r="D209" s="8"/>
      <c r="E209" s="14">
        <f>IFERROR(IF($D209="","",VLOOKUP($D209,'Bütçe Kalemleri'!$B$5:$D$304,3,FALSE)),"— tanımsız kalem —")</f>
      </c>
      <c r="F209" s="8"/>
      <c r="G209" s="10"/>
      <c r="H209" s="15"/>
      <c r="I209" s="16">
        <f>IF($G209="",0,$G209*IF($H209="",0,$H209))</f>
      </c>
      <c r="J209" s="16">
        <f>IF($G209="","",$G209+$I209)</f>
      </c>
      <c r="K209" s="8"/>
    </row>
    <row r="210" spans="2:11" x14ac:dyDescent="0.25">
      <c r="B210" s="12"/>
      <c r="C210" s="11"/>
      <c r="D210" s="11"/>
      <c r="E210" s="14">
        <f>IFERROR(IF($D210="","",VLOOKUP($D210,'Bütçe Kalemleri'!$B$5:$D$304,3,FALSE)),"— tanımsız kalem —")</f>
      </c>
      <c r="F210" s="11"/>
      <c r="G210" s="13"/>
      <c r="H210" s="17"/>
      <c r="I210" s="16">
        <f>IF($G210="",0,$G210*IF($H210="",0,$H210))</f>
      </c>
      <c r="J210" s="16">
        <f>IF($G210="","",$G210+$I210)</f>
      </c>
      <c r="K210" s="11"/>
    </row>
    <row r="211" spans="2:11" x14ac:dyDescent="0.25">
      <c r="B211" s="9"/>
      <c r="C211" s="8"/>
      <c r="D211" s="8"/>
      <c r="E211" s="14">
        <f>IFERROR(IF($D211="","",VLOOKUP($D211,'Bütçe Kalemleri'!$B$5:$D$304,3,FALSE)),"— tanımsız kalem —")</f>
      </c>
      <c r="F211" s="8"/>
      <c r="G211" s="10"/>
      <c r="H211" s="15"/>
      <c r="I211" s="16">
        <f>IF($G211="",0,$G211*IF($H211="",0,$H211))</f>
      </c>
      <c r="J211" s="16">
        <f>IF($G211="","",$G211+$I211)</f>
      </c>
      <c r="K211" s="8"/>
    </row>
    <row r="212" spans="2:11" x14ac:dyDescent="0.25">
      <c r="B212" s="12"/>
      <c r="C212" s="11"/>
      <c r="D212" s="11"/>
      <c r="E212" s="14">
        <f>IFERROR(IF($D212="","",VLOOKUP($D212,'Bütçe Kalemleri'!$B$5:$D$304,3,FALSE)),"— tanımsız kalem —")</f>
      </c>
      <c r="F212" s="11"/>
      <c r="G212" s="13"/>
      <c r="H212" s="17"/>
      <c r="I212" s="16">
        <f>IF($G212="",0,$G212*IF($H212="",0,$H212))</f>
      </c>
      <c r="J212" s="16">
        <f>IF($G212="","",$G212+$I212)</f>
      </c>
      <c r="K212" s="11"/>
    </row>
    <row r="213" spans="2:11" x14ac:dyDescent="0.25">
      <c r="B213" s="9"/>
      <c r="C213" s="8"/>
      <c r="D213" s="8"/>
      <c r="E213" s="14">
        <f>IFERROR(IF($D213="","",VLOOKUP($D213,'Bütçe Kalemleri'!$B$5:$D$304,3,FALSE)),"— tanımsız kalem —")</f>
      </c>
      <c r="F213" s="8"/>
      <c r="G213" s="10"/>
      <c r="H213" s="15"/>
      <c r="I213" s="16">
        <f>IF($G213="",0,$G213*IF($H213="",0,$H213))</f>
      </c>
      <c r="J213" s="16">
        <f>IF($G213="","",$G213+$I213)</f>
      </c>
      <c r="K213" s="8"/>
    </row>
    <row r="214" spans="2:11" x14ac:dyDescent="0.25">
      <c r="B214" s="12"/>
      <c r="C214" s="11"/>
      <c r="D214" s="11"/>
      <c r="E214" s="14">
        <f>IFERROR(IF($D214="","",VLOOKUP($D214,'Bütçe Kalemleri'!$B$5:$D$304,3,FALSE)),"— tanımsız kalem —")</f>
      </c>
      <c r="F214" s="11"/>
      <c r="G214" s="13"/>
      <c r="H214" s="17"/>
      <c r="I214" s="16">
        <f>IF($G214="",0,$G214*IF($H214="",0,$H214))</f>
      </c>
      <c r="J214" s="16">
        <f>IF($G214="","",$G214+$I214)</f>
      </c>
      <c r="K214" s="11"/>
    </row>
    <row r="215" spans="2:11" x14ac:dyDescent="0.25">
      <c r="B215" s="9"/>
      <c r="C215" s="8"/>
      <c r="D215" s="8"/>
      <c r="E215" s="14">
        <f>IFERROR(IF($D215="","",VLOOKUP($D215,'Bütçe Kalemleri'!$B$5:$D$304,3,FALSE)),"— tanımsız kalem —")</f>
      </c>
      <c r="F215" s="8"/>
      <c r="G215" s="10"/>
      <c r="H215" s="15"/>
      <c r="I215" s="16">
        <f>IF($G215="",0,$G215*IF($H215="",0,$H215))</f>
      </c>
      <c r="J215" s="16">
        <f>IF($G215="","",$G215+$I215)</f>
      </c>
      <c r="K215" s="8"/>
    </row>
    <row r="216" spans="2:11" x14ac:dyDescent="0.25">
      <c r="B216" s="12"/>
      <c r="C216" s="11"/>
      <c r="D216" s="11"/>
      <c r="E216" s="14">
        <f>IFERROR(IF($D216="","",VLOOKUP($D216,'Bütçe Kalemleri'!$B$5:$D$304,3,FALSE)),"— tanımsız kalem —")</f>
      </c>
      <c r="F216" s="11"/>
      <c r="G216" s="13"/>
      <c r="H216" s="17"/>
      <c r="I216" s="16">
        <f>IF($G216="",0,$G216*IF($H216="",0,$H216))</f>
      </c>
      <c r="J216" s="16">
        <f>IF($G216="","",$G216+$I216)</f>
      </c>
      <c r="K216" s="11"/>
    </row>
    <row r="217" spans="2:11" x14ac:dyDescent="0.25">
      <c r="B217" s="9"/>
      <c r="C217" s="8"/>
      <c r="D217" s="8"/>
      <c r="E217" s="14">
        <f>IFERROR(IF($D217="","",VLOOKUP($D217,'Bütçe Kalemleri'!$B$5:$D$304,3,FALSE)),"— tanımsız kalem —")</f>
      </c>
      <c r="F217" s="8"/>
      <c r="G217" s="10"/>
      <c r="H217" s="15"/>
      <c r="I217" s="16">
        <f>IF($G217="",0,$G217*IF($H217="",0,$H217))</f>
      </c>
      <c r="J217" s="16">
        <f>IF($G217="","",$G217+$I217)</f>
      </c>
      <c r="K217" s="8"/>
    </row>
    <row r="218" spans="2:11" x14ac:dyDescent="0.25">
      <c r="B218" s="12"/>
      <c r="C218" s="11"/>
      <c r="D218" s="11"/>
      <c r="E218" s="14">
        <f>IFERROR(IF($D218="","",VLOOKUP($D218,'Bütçe Kalemleri'!$B$5:$D$304,3,FALSE)),"— tanımsız kalem —")</f>
      </c>
      <c r="F218" s="11"/>
      <c r="G218" s="13"/>
      <c r="H218" s="17"/>
      <c r="I218" s="16">
        <f>IF($G218="",0,$G218*IF($H218="",0,$H218))</f>
      </c>
      <c r="J218" s="16">
        <f>IF($G218="","",$G218+$I218)</f>
      </c>
      <c r="K218" s="11"/>
    </row>
    <row r="219" spans="2:11" x14ac:dyDescent="0.25">
      <c r="B219" s="9"/>
      <c r="C219" s="8"/>
      <c r="D219" s="8"/>
      <c r="E219" s="14">
        <f>IFERROR(IF($D219="","",VLOOKUP($D219,'Bütçe Kalemleri'!$B$5:$D$304,3,FALSE)),"— tanımsız kalem —")</f>
      </c>
      <c r="F219" s="8"/>
      <c r="G219" s="10"/>
      <c r="H219" s="15"/>
      <c r="I219" s="16">
        <f>IF($G219="",0,$G219*IF($H219="",0,$H219))</f>
      </c>
      <c r="J219" s="16">
        <f>IF($G219="","",$G219+$I219)</f>
      </c>
      <c r="K219" s="8"/>
    </row>
    <row r="220" spans="2:11" x14ac:dyDescent="0.25">
      <c r="B220" s="12"/>
      <c r="C220" s="11"/>
      <c r="D220" s="11"/>
      <c r="E220" s="14">
        <f>IFERROR(IF($D220="","",VLOOKUP($D220,'Bütçe Kalemleri'!$B$5:$D$304,3,FALSE)),"— tanımsız kalem —")</f>
      </c>
      <c r="F220" s="11"/>
      <c r="G220" s="13"/>
      <c r="H220" s="17"/>
      <c r="I220" s="16">
        <f>IF($G220="",0,$G220*IF($H220="",0,$H220))</f>
      </c>
      <c r="J220" s="16">
        <f>IF($G220="","",$G220+$I220)</f>
      </c>
      <c r="K220" s="11"/>
    </row>
    <row r="221" spans="2:11" x14ac:dyDescent="0.25">
      <c r="B221" s="9"/>
      <c r="C221" s="8"/>
      <c r="D221" s="8"/>
      <c r="E221" s="14">
        <f>IFERROR(IF($D221="","",VLOOKUP($D221,'Bütçe Kalemleri'!$B$5:$D$304,3,FALSE)),"— tanımsız kalem —")</f>
      </c>
      <c r="F221" s="8"/>
      <c r="G221" s="10"/>
      <c r="H221" s="15"/>
      <c r="I221" s="16">
        <f>IF($G221="",0,$G221*IF($H221="",0,$H221))</f>
      </c>
      <c r="J221" s="16">
        <f>IF($G221="","",$G221+$I221)</f>
      </c>
      <c r="K221" s="8"/>
    </row>
    <row r="222" spans="2:11" x14ac:dyDescent="0.25">
      <c r="B222" s="12"/>
      <c r="C222" s="11"/>
      <c r="D222" s="11"/>
      <c r="E222" s="14">
        <f>IFERROR(IF($D222="","",VLOOKUP($D222,'Bütçe Kalemleri'!$B$5:$D$304,3,FALSE)),"— tanımsız kalem —")</f>
      </c>
      <c r="F222" s="11"/>
      <c r="G222" s="13"/>
      <c r="H222" s="17"/>
      <c r="I222" s="16">
        <f>IF($G222="",0,$G222*IF($H222="",0,$H222))</f>
      </c>
      <c r="J222" s="16">
        <f>IF($G222="","",$G222+$I222)</f>
      </c>
      <c r="K222" s="11"/>
    </row>
    <row r="223" spans="2:11" x14ac:dyDescent="0.25">
      <c r="B223" s="9"/>
      <c r="C223" s="8"/>
      <c r="D223" s="8"/>
      <c r="E223" s="14">
        <f>IFERROR(IF($D223="","",VLOOKUP($D223,'Bütçe Kalemleri'!$B$5:$D$304,3,FALSE)),"— tanımsız kalem —")</f>
      </c>
      <c r="F223" s="8"/>
      <c r="G223" s="10"/>
      <c r="H223" s="15"/>
      <c r="I223" s="16">
        <f>IF($G223="",0,$G223*IF($H223="",0,$H223))</f>
      </c>
      <c r="J223" s="16">
        <f>IF($G223="","",$G223+$I223)</f>
      </c>
      <c r="K223" s="8"/>
    </row>
    <row r="224" spans="2:11" x14ac:dyDescent="0.25">
      <c r="B224" s="12"/>
      <c r="C224" s="11"/>
      <c r="D224" s="11"/>
      <c r="E224" s="14">
        <f>IFERROR(IF($D224="","",VLOOKUP($D224,'Bütçe Kalemleri'!$B$5:$D$304,3,FALSE)),"— tanımsız kalem —")</f>
      </c>
      <c r="F224" s="11"/>
      <c r="G224" s="13"/>
      <c r="H224" s="17"/>
      <c r="I224" s="16">
        <f>IF($G224="",0,$G224*IF($H224="",0,$H224))</f>
      </c>
      <c r="J224" s="16">
        <f>IF($G224="","",$G224+$I224)</f>
      </c>
      <c r="K224" s="11"/>
    </row>
    <row r="225" spans="2:11" x14ac:dyDescent="0.25">
      <c r="B225" s="9"/>
      <c r="C225" s="8"/>
      <c r="D225" s="8"/>
      <c r="E225" s="14">
        <f>IFERROR(IF($D225="","",VLOOKUP($D225,'Bütçe Kalemleri'!$B$5:$D$304,3,FALSE)),"— tanımsız kalem —")</f>
      </c>
      <c r="F225" s="8"/>
      <c r="G225" s="10"/>
      <c r="H225" s="15"/>
      <c r="I225" s="16">
        <f>IF($G225="",0,$G225*IF($H225="",0,$H225))</f>
      </c>
      <c r="J225" s="16">
        <f>IF($G225="","",$G225+$I225)</f>
      </c>
      <c r="K225" s="8"/>
    </row>
    <row r="226" spans="2:11" x14ac:dyDescent="0.25">
      <c r="B226" s="12"/>
      <c r="C226" s="11"/>
      <c r="D226" s="11"/>
      <c r="E226" s="14">
        <f>IFERROR(IF($D226="","",VLOOKUP($D226,'Bütçe Kalemleri'!$B$5:$D$304,3,FALSE)),"— tanımsız kalem —")</f>
      </c>
      <c r="F226" s="11"/>
      <c r="G226" s="13"/>
      <c r="H226" s="17"/>
      <c r="I226" s="16">
        <f>IF($G226="",0,$G226*IF($H226="",0,$H226))</f>
      </c>
      <c r="J226" s="16">
        <f>IF($G226="","",$G226+$I226)</f>
      </c>
      <c r="K226" s="11"/>
    </row>
    <row r="227" spans="2:11" x14ac:dyDescent="0.25">
      <c r="B227" s="9"/>
      <c r="C227" s="8"/>
      <c r="D227" s="8"/>
      <c r="E227" s="14">
        <f>IFERROR(IF($D227="","",VLOOKUP($D227,'Bütçe Kalemleri'!$B$5:$D$304,3,FALSE)),"— tanımsız kalem —")</f>
      </c>
      <c r="F227" s="8"/>
      <c r="G227" s="10"/>
      <c r="H227" s="15"/>
      <c r="I227" s="16">
        <f>IF($G227="",0,$G227*IF($H227="",0,$H227))</f>
      </c>
      <c r="J227" s="16">
        <f>IF($G227="","",$G227+$I227)</f>
      </c>
      <c r="K227" s="8"/>
    </row>
    <row r="228" spans="2:11" x14ac:dyDescent="0.25">
      <c r="B228" s="12"/>
      <c r="C228" s="11"/>
      <c r="D228" s="11"/>
      <c r="E228" s="14">
        <f>IFERROR(IF($D228="","",VLOOKUP($D228,'Bütçe Kalemleri'!$B$5:$D$304,3,FALSE)),"— tanımsız kalem —")</f>
      </c>
      <c r="F228" s="11"/>
      <c r="G228" s="13"/>
      <c r="H228" s="17"/>
      <c r="I228" s="16">
        <f>IF($G228="",0,$G228*IF($H228="",0,$H228))</f>
      </c>
      <c r="J228" s="16">
        <f>IF($G228="","",$G228+$I228)</f>
      </c>
      <c r="K228" s="11"/>
    </row>
    <row r="229" spans="2:11" x14ac:dyDescent="0.25">
      <c r="B229" s="9"/>
      <c r="C229" s="8"/>
      <c r="D229" s="8"/>
      <c r="E229" s="14">
        <f>IFERROR(IF($D229="","",VLOOKUP($D229,'Bütçe Kalemleri'!$B$5:$D$304,3,FALSE)),"— tanımsız kalem —")</f>
      </c>
      <c r="F229" s="8"/>
      <c r="G229" s="10"/>
      <c r="H229" s="15"/>
      <c r="I229" s="16">
        <f>IF($G229="",0,$G229*IF($H229="",0,$H229))</f>
      </c>
      <c r="J229" s="16">
        <f>IF($G229="","",$G229+$I229)</f>
      </c>
      <c r="K229" s="8"/>
    </row>
    <row r="230" spans="2:11" x14ac:dyDescent="0.25">
      <c r="B230" s="12"/>
      <c r="C230" s="11"/>
      <c r="D230" s="11"/>
      <c r="E230" s="14">
        <f>IFERROR(IF($D230="","",VLOOKUP($D230,'Bütçe Kalemleri'!$B$5:$D$304,3,FALSE)),"— tanımsız kalem —")</f>
      </c>
      <c r="F230" s="11"/>
      <c r="G230" s="13"/>
      <c r="H230" s="17"/>
      <c r="I230" s="16">
        <f>IF($G230="",0,$G230*IF($H230="",0,$H230))</f>
      </c>
      <c r="J230" s="16">
        <f>IF($G230="","",$G230+$I230)</f>
      </c>
      <c r="K230" s="11"/>
    </row>
    <row r="231" spans="2:11" x14ac:dyDescent="0.25">
      <c r="B231" s="9"/>
      <c r="C231" s="8"/>
      <c r="D231" s="8"/>
      <c r="E231" s="14">
        <f>IFERROR(IF($D231="","",VLOOKUP($D231,'Bütçe Kalemleri'!$B$5:$D$304,3,FALSE)),"— tanımsız kalem —")</f>
      </c>
      <c r="F231" s="8"/>
      <c r="G231" s="10"/>
      <c r="H231" s="15"/>
      <c r="I231" s="16">
        <f>IF($G231="",0,$G231*IF($H231="",0,$H231))</f>
      </c>
      <c r="J231" s="16">
        <f>IF($G231="","",$G231+$I231)</f>
      </c>
      <c r="K231" s="8"/>
    </row>
    <row r="232" spans="2:11" x14ac:dyDescent="0.25">
      <c r="B232" s="12"/>
      <c r="C232" s="11"/>
      <c r="D232" s="11"/>
      <c r="E232" s="14">
        <f>IFERROR(IF($D232="","",VLOOKUP($D232,'Bütçe Kalemleri'!$B$5:$D$304,3,FALSE)),"— tanımsız kalem —")</f>
      </c>
      <c r="F232" s="11"/>
      <c r="G232" s="13"/>
      <c r="H232" s="17"/>
      <c r="I232" s="16">
        <f>IF($G232="",0,$G232*IF($H232="",0,$H232))</f>
      </c>
      <c r="J232" s="16">
        <f>IF($G232="","",$G232+$I232)</f>
      </c>
      <c r="K232" s="11"/>
    </row>
    <row r="233" spans="2:11" x14ac:dyDescent="0.25">
      <c r="B233" s="9"/>
      <c r="C233" s="8"/>
      <c r="D233" s="8"/>
      <c r="E233" s="14">
        <f>IFERROR(IF($D233="","",VLOOKUP($D233,'Bütçe Kalemleri'!$B$5:$D$304,3,FALSE)),"— tanımsız kalem —")</f>
      </c>
      <c r="F233" s="8"/>
      <c r="G233" s="10"/>
      <c r="H233" s="15"/>
      <c r="I233" s="16">
        <f>IF($G233="",0,$G233*IF($H233="",0,$H233))</f>
      </c>
      <c r="J233" s="16">
        <f>IF($G233="","",$G233+$I233)</f>
      </c>
      <c r="K233" s="8"/>
    </row>
    <row r="234" spans="2:11" x14ac:dyDescent="0.25">
      <c r="B234" s="12"/>
      <c r="C234" s="11"/>
      <c r="D234" s="11"/>
      <c r="E234" s="14">
        <f>IFERROR(IF($D234="","",VLOOKUP($D234,'Bütçe Kalemleri'!$B$5:$D$304,3,FALSE)),"— tanımsız kalem —")</f>
      </c>
      <c r="F234" s="11"/>
      <c r="G234" s="13"/>
      <c r="H234" s="17"/>
      <c r="I234" s="16">
        <f>IF($G234="",0,$G234*IF($H234="",0,$H234))</f>
      </c>
      <c r="J234" s="16">
        <f>IF($G234="","",$G234+$I234)</f>
      </c>
      <c r="K234" s="11"/>
    </row>
    <row r="235" spans="2:11" x14ac:dyDescent="0.25">
      <c r="B235" s="9"/>
      <c r="C235" s="8"/>
      <c r="D235" s="8"/>
      <c r="E235" s="14">
        <f>IFERROR(IF($D235="","",VLOOKUP($D235,'Bütçe Kalemleri'!$B$5:$D$304,3,FALSE)),"— tanımsız kalem —")</f>
      </c>
      <c r="F235" s="8"/>
      <c r="G235" s="10"/>
      <c r="H235" s="15"/>
      <c r="I235" s="16">
        <f>IF($G235="",0,$G235*IF($H235="",0,$H235))</f>
      </c>
      <c r="J235" s="16">
        <f>IF($G235="","",$G235+$I235)</f>
      </c>
      <c r="K235" s="8"/>
    </row>
    <row r="236" spans="2:11" x14ac:dyDescent="0.25">
      <c r="B236" s="12"/>
      <c r="C236" s="11"/>
      <c r="D236" s="11"/>
      <c r="E236" s="14">
        <f>IFERROR(IF($D236="","",VLOOKUP($D236,'Bütçe Kalemleri'!$B$5:$D$304,3,FALSE)),"— tanımsız kalem —")</f>
      </c>
      <c r="F236" s="11"/>
      <c r="G236" s="13"/>
      <c r="H236" s="17"/>
      <c r="I236" s="16">
        <f>IF($G236="",0,$G236*IF($H236="",0,$H236))</f>
      </c>
      <c r="J236" s="16">
        <f>IF($G236="","",$G236+$I236)</f>
      </c>
      <c r="K236" s="11"/>
    </row>
    <row r="237" spans="2:11" x14ac:dyDescent="0.25">
      <c r="B237" s="9"/>
      <c r="C237" s="8"/>
      <c r="D237" s="8"/>
      <c r="E237" s="14">
        <f>IFERROR(IF($D237="","",VLOOKUP($D237,'Bütçe Kalemleri'!$B$5:$D$304,3,FALSE)),"— tanımsız kalem —")</f>
      </c>
      <c r="F237" s="8"/>
      <c r="G237" s="10"/>
      <c r="H237" s="15"/>
      <c r="I237" s="16">
        <f>IF($G237="",0,$G237*IF($H237="",0,$H237))</f>
      </c>
      <c r="J237" s="16">
        <f>IF($G237="","",$G237+$I237)</f>
      </c>
      <c r="K237" s="8"/>
    </row>
    <row r="238" spans="2:11" x14ac:dyDescent="0.25">
      <c r="B238" s="12"/>
      <c r="C238" s="11"/>
      <c r="D238" s="11"/>
      <c r="E238" s="14">
        <f>IFERROR(IF($D238="","",VLOOKUP($D238,'Bütçe Kalemleri'!$B$5:$D$304,3,FALSE)),"— tanımsız kalem —")</f>
      </c>
      <c r="F238" s="11"/>
      <c r="G238" s="13"/>
      <c r="H238" s="17"/>
      <c r="I238" s="16">
        <f>IF($G238="",0,$G238*IF($H238="",0,$H238))</f>
      </c>
      <c r="J238" s="16">
        <f>IF($G238="","",$G238+$I238)</f>
      </c>
      <c r="K238" s="11"/>
    </row>
    <row r="239" spans="2:11" x14ac:dyDescent="0.25">
      <c r="B239" s="9"/>
      <c r="C239" s="8"/>
      <c r="D239" s="8"/>
      <c r="E239" s="14">
        <f>IFERROR(IF($D239="","",VLOOKUP($D239,'Bütçe Kalemleri'!$B$5:$D$304,3,FALSE)),"— tanımsız kalem —")</f>
      </c>
      <c r="F239" s="8"/>
      <c r="G239" s="10"/>
      <c r="H239" s="15"/>
      <c r="I239" s="16">
        <f>IF($G239="",0,$G239*IF($H239="",0,$H239))</f>
      </c>
      <c r="J239" s="16">
        <f>IF($G239="","",$G239+$I239)</f>
      </c>
      <c r="K239" s="8"/>
    </row>
    <row r="240" spans="2:11" x14ac:dyDescent="0.25">
      <c r="B240" s="12"/>
      <c r="C240" s="11"/>
      <c r="D240" s="11"/>
      <c r="E240" s="14">
        <f>IFERROR(IF($D240="","",VLOOKUP($D240,'Bütçe Kalemleri'!$B$5:$D$304,3,FALSE)),"— tanımsız kalem —")</f>
      </c>
      <c r="F240" s="11"/>
      <c r="G240" s="13"/>
      <c r="H240" s="17"/>
      <c r="I240" s="16">
        <f>IF($G240="",0,$G240*IF($H240="",0,$H240))</f>
      </c>
      <c r="J240" s="16">
        <f>IF($G240="","",$G240+$I240)</f>
      </c>
      <c r="K240" s="11"/>
    </row>
    <row r="241" spans="2:11" x14ac:dyDescent="0.25">
      <c r="B241" s="9"/>
      <c r="C241" s="8"/>
      <c r="D241" s="8"/>
      <c r="E241" s="14">
        <f>IFERROR(IF($D241="","",VLOOKUP($D241,'Bütçe Kalemleri'!$B$5:$D$304,3,FALSE)),"— tanımsız kalem —")</f>
      </c>
      <c r="F241" s="8"/>
      <c r="G241" s="10"/>
      <c r="H241" s="15"/>
      <c r="I241" s="16">
        <f>IF($G241="",0,$G241*IF($H241="",0,$H241))</f>
      </c>
      <c r="J241" s="16">
        <f>IF($G241="","",$G241+$I241)</f>
      </c>
      <c r="K241" s="8"/>
    </row>
    <row r="242" spans="2:11" x14ac:dyDescent="0.25">
      <c r="B242" s="12"/>
      <c r="C242" s="11"/>
      <c r="D242" s="11"/>
      <c r="E242" s="14">
        <f>IFERROR(IF($D242="","",VLOOKUP($D242,'Bütçe Kalemleri'!$B$5:$D$304,3,FALSE)),"— tanımsız kalem —")</f>
      </c>
      <c r="F242" s="11"/>
      <c r="G242" s="13"/>
      <c r="H242" s="17"/>
      <c r="I242" s="16">
        <f>IF($G242="",0,$G242*IF($H242="",0,$H242))</f>
      </c>
      <c r="J242" s="16">
        <f>IF($G242="","",$G242+$I242)</f>
      </c>
      <c r="K242" s="11"/>
    </row>
    <row r="243" spans="2:11" x14ac:dyDescent="0.25">
      <c r="B243" s="9"/>
      <c r="C243" s="8"/>
      <c r="D243" s="8"/>
      <c r="E243" s="14">
        <f>IFERROR(IF($D243="","",VLOOKUP($D243,'Bütçe Kalemleri'!$B$5:$D$304,3,FALSE)),"— tanımsız kalem —")</f>
      </c>
      <c r="F243" s="8"/>
      <c r="G243" s="10"/>
      <c r="H243" s="15"/>
      <c r="I243" s="16">
        <f>IF($G243="",0,$G243*IF($H243="",0,$H243))</f>
      </c>
      <c r="J243" s="16">
        <f>IF($G243="","",$G243+$I243)</f>
      </c>
      <c r="K243" s="8"/>
    </row>
    <row r="244" spans="2:11" x14ac:dyDescent="0.25">
      <c r="B244" s="12"/>
      <c r="C244" s="11"/>
      <c r="D244" s="11"/>
      <c r="E244" s="14">
        <f>IFERROR(IF($D244="","",VLOOKUP($D244,'Bütçe Kalemleri'!$B$5:$D$304,3,FALSE)),"— tanımsız kalem —")</f>
      </c>
      <c r="F244" s="11"/>
      <c r="G244" s="13"/>
      <c r="H244" s="17"/>
      <c r="I244" s="16">
        <f>IF($G244="",0,$G244*IF($H244="",0,$H244))</f>
      </c>
      <c r="J244" s="16">
        <f>IF($G244="","",$G244+$I244)</f>
      </c>
      <c r="K244" s="11"/>
    </row>
    <row r="245" spans="2:11" x14ac:dyDescent="0.25">
      <c r="B245" s="9"/>
      <c r="C245" s="8"/>
      <c r="D245" s="8"/>
      <c r="E245" s="14">
        <f>IFERROR(IF($D245="","",VLOOKUP($D245,'Bütçe Kalemleri'!$B$5:$D$304,3,FALSE)),"— tanımsız kalem —")</f>
      </c>
      <c r="F245" s="8"/>
      <c r="G245" s="10"/>
      <c r="H245" s="15"/>
      <c r="I245" s="16">
        <f>IF($G245="",0,$G245*IF($H245="",0,$H245))</f>
      </c>
      <c r="J245" s="16">
        <f>IF($G245="","",$G245+$I245)</f>
      </c>
      <c r="K245" s="8"/>
    </row>
    <row r="246" spans="2:11" x14ac:dyDescent="0.25">
      <c r="B246" s="12"/>
      <c r="C246" s="11"/>
      <c r="D246" s="11"/>
      <c r="E246" s="14">
        <f>IFERROR(IF($D246="","",VLOOKUP($D246,'Bütçe Kalemleri'!$B$5:$D$304,3,FALSE)),"— tanımsız kalem —")</f>
      </c>
      <c r="F246" s="11"/>
      <c r="G246" s="13"/>
      <c r="H246" s="17"/>
      <c r="I246" s="16">
        <f>IF($G246="",0,$G246*IF($H246="",0,$H246))</f>
      </c>
      <c r="J246" s="16">
        <f>IF($G246="","",$G246+$I246)</f>
      </c>
      <c r="K246" s="11"/>
    </row>
    <row r="247" spans="2:11" x14ac:dyDescent="0.25">
      <c r="B247" s="9"/>
      <c r="C247" s="8"/>
      <c r="D247" s="8"/>
      <c r="E247" s="14">
        <f>IFERROR(IF($D247="","",VLOOKUP($D247,'Bütçe Kalemleri'!$B$5:$D$304,3,FALSE)),"— tanımsız kalem —")</f>
      </c>
      <c r="F247" s="8"/>
      <c r="G247" s="10"/>
      <c r="H247" s="15"/>
      <c r="I247" s="16">
        <f>IF($G247="",0,$G247*IF($H247="",0,$H247))</f>
      </c>
      <c r="J247" s="16">
        <f>IF($G247="","",$G247+$I247)</f>
      </c>
      <c r="K247" s="8"/>
    </row>
    <row r="248" spans="2:11" x14ac:dyDescent="0.25">
      <c r="B248" s="12"/>
      <c r="C248" s="11"/>
      <c r="D248" s="11"/>
      <c r="E248" s="14">
        <f>IFERROR(IF($D248="","",VLOOKUP($D248,'Bütçe Kalemleri'!$B$5:$D$304,3,FALSE)),"— tanımsız kalem —")</f>
      </c>
      <c r="F248" s="11"/>
      <c r="G248" s="13"/>
      <c r="H248" s="17"/>
      <c r="I248" s="16">
        <f>IF($G248="",0,$G248*IF($H248="",0,$H248))</f>
      </c>
      <c r="J248" s="16">
        <f>IF($G248="","",$G248+$I248)</f>
      </c>
      <c r="K248" s="11"/>
    </row>
    <row r="249" spans="2:11" x14ac:dyDescent="0.25">
      <c r="B249" s="9"/>
      <c r="C249" s="8"/>
      <c r="D249" s="8"/>
      <c r="E249" s="14">
        <f>IFERROR(IF($D249="","",VLOOKUP($D249,'Bütçe Kalemleri'!$B$5:$D$304,3,FALSE)),"— tanımsız kalem —")</f>
      </c>
      <c r="F249" s="8"/>
      <c r="G249" s="10"/>
      <c r="H249" s="15"/>
      <c r="I249" s="16">
        <f>IF($G249="",0,$G249*IF($H249="",0,$H249))</f>
      </c>
      <c r="J249" s="16">
        <f>IF($G249="","",$G249+$I249)</f>
      </c>
      <c r="K249" s="8"/>
    </row>
    <row r="250" spans="2:11" x14ac:dyDescent="0.25">
      <c r="B250" s="12"/>
      <c r="C250" s="11"/>
      <c r="D250" s="11"/>
      <c r="E250" s="14">
        <f>IFERROR(IF($D250="","",VLOOKUP($D250,'Bütçe Kalemleri'!$B$5:$D$304,3,FALSE)),"— tanımsız kalem —")</f>
      </c>
      <c r="F250" s="11"/>
      <c r="G250" s="13"/>
      <c r="H250" s="17"/>
      <c r="I250" s="16">
        <f>IF($G250="",0,$G250*IF($H250="",0,$H250))</f>
      </c>
      <c r="J250" s="16">
        <f>IF($G250="","",$G250+$I250)</f>
      </c>
      <c r="K250" s="11"/>
    </row>
    <row r="251" spans="2:11" x14ac:dyDescent="0.25">
      <c r="B251" s="9"/>
      <c r="C251" s="8"/>
      <c r="D251" s="8"/>
      <c r="E251" s="14">
        <f>IFERROR(IF($D251="","",VLOOKUP($D251,'Bütçe Kalemleri'!$B$5:$D$304,3,FALSE)),"— tanımsız kalem —")</f>
      </c>
      <c r="F251" s="8"/>
      <c r="G251" s="10"/>
      <c r="H251" s="15"/>
      <c r="I251" s="16">
        <f>IF($G251="",0,$G251*IF($H251="",0,$H251))</f>
      </c>
      <c r="J251" s="16">
        <f>IF($G251="","",$G251+$I251)</f>
      </c>
      <c r="K251" s="8"/>
    </row>
    <row r="252" spans="2:11" x14ac:dyDescent="0.25">
      <c r="B252" s="12"/>
      <c r="C252" s="11"/>
      <c r="D252" s="11"/>
      <c r="E252" s="14">
        <f>IFERROR(IF($D252="","",VLOOKUP($D252,'Bütçe Kalemleri'!$B$5:$D$304,3,FALSE)),"— tanımsız kalem —")</f>
      </c>
      <c r="F252" s="11"/>
      <c r="G252" s="13"/>
      <c r="H252" s="17"/>
      <c r="I252" s="16">
        <f>IF($G252="",0,$G252*IF($H252="",0,$H252))</f>
      </c>
      <c r="J252" s="16">
        <f>IF($G252="","",$G252+$I252)</f>
      </c>
      <c r="K252" s="11"/>
    </row>
    <row r="253" spans="2:11" x14ac:dyDescent="0.25">
      <c r="B253" s="9"/>
      <c r="C253" s="8"/>
      <c r="D253" s="8"/>
      <c r="E253" s="14">
        <f>IFERROR(IF($D253="","",VLOOKUP($D253,'Bütçe Kalemleri'!$B$5:$D$304,3,FALSE)),"— tanımsız kalem —")</f>
      </c>
      <c r="F253" s="8"/>
      <c r="G253" s="10"/>
      <c r="H253" s="15"/>
      <c r="I253" s="16">
        <f>IF($G253="",0,$G253*IF($H253="",0,$H253))</f>
      </c>
      <c r="J253" s="16">
        <f>IF($G253="","",$G253+$I253)</f>
      </c>
      <c r="K253" s="8"/>
    </row>
    <row r="254" spans="2:11" x14ac:dyDescent="0.25">
      <c r="B254" s="12"/>
      <c r="C254" s="11"/>
      <c r="D254" s="11"/>
      <c r="E254" s="14">
        <f>IFERROR(IF($D254="","",VLOOKUP($D254,'Bütçe Kalemleri'!$B$5:$D$304,3,FALSE)),"— tanımsız kalem —")</f>
      </c>
      <c r="F254" s="11"/>
      <c r="G254" s="13"/>
      <c r="H254" s="17"/>
      <c r="I254" s="16">
        <f>IF($G254="",0,$G254*IF($H254="",0,$H254))</f>
      </c>
      <c r="J254" s="16">
        <f>IF($G254="","",$G254+$I254)</f>
      </c>
      <c r="K254" s="11"/>
    </row>
    <row r="255" spans="2:11" x14ac:dyDescent="0.25">
      <c r="B255" s="9"/>
      <c r="C255" s="8"/>
      <c r="D255" s="8"/>
      <c r="E255" s="14">
        <f>IFERROR(IF($D255="","",VLOOKUP($D255,'Bütçe Kalemleri'!$B$5:$D$304,3,FALSE)),"— tanımsız kalem —")</f>
      </c>
      <c r="F255" s="8"/>
      <c r="G255" s="10"/>
      <c r="H255" s="15"/>
      <c r="I255" s="16">
        <f>IF($G255="",0,$G255*IF($H255="",0,$H255))</f>
      </c>
      <c r="J255" s="16">
        <f>IF($G255="","",$G255+$I255)</f>
      </c>
      <c r="K255" s="8"/>
    </row>
    <row r="256" spans="2:11" x14ac:dyDescent="0.25">
      <c r="B256" s="12"/>
      <c r="C256" s="11"/>
      <c r="D256" s="11"/>
      <c r="E256" s="14">
        <f>IFERROR(IF($D256="","",VLOOKUP($D256,'Bütçe Kalemleri'!$B$5:$D$304,3,FALSE)),"— tanımsız kalem —")</f>
      </c>
      <c r="F256" s="11"/>
      <c r="G256" s="13"/>
      <c r="H256" s="17"/>
      <c r="I256" s="16">
        <f>IF($G256="",0,$G256*IF($H256="",0,$H256))</f>
      </c>
      <c r="J256" s="16">
        <f>IF($G256="","",$G256+$I256)</f>
      </c>
      <c r="K256" s="11"/>
    </row>
    <row r="257" spans="2:11" x14ac:dyDescent="0.25">
      <c r="B257" s="9"/>
      <c r="C257" s="8"/>
      <c r="D257" s="8"/>
      <c r="E257" s="14">
        <f>IFERROR(IF($D257="","",VLOOKUP($D257,'Bütçe Kalemleri'!$B$5:$D$304,3,FALSE)),"— tanımsız kalem —")</f>
      </c>
      <c r="F257" s="8"/>
      <c r="G257" s="10"/>
      <c r="H257" s="15"/>
      <c r="I257" s="16">
        <f>IF($G257="",0,$G257*IF($H257="",0,$H257))</f>
      </c>
      <c r="J257" s="16">
        <f>IF($G257="","",$G257+$I257)</f>
      </c>
      <c r="K257" s="8"/>
    </row>
    <row r="258" spans="2:11" x14ac:dyDescent="0.25">
      <c r="B258" s="12"/>
      <c r="C258" s="11"/>
      <c r="D258" s="11"/>
      <c r="E258" s="14">
        <f>IFERROR(IF($D258="","",VLOOKUP($D258,'Bütçe Kalemleri'!$B$5:$D$304,3,FALSE)),"— tanımsız kalem —")</f>
      </c>
      <c r="F258" s="11"/>
      <c r="G258" s="13"/>
      <c r="H258" s="17"/>
      <c r="I258" s="16">
        <f>IF($G258="",0,$G258*IF($H258="",0,$H258))</f>
      </c>
      <c r="J258" s="16">
        <f>IF($G258="","",$G258+$I258)</f>
      </c>
      <c r="K258" s="11"/>
    </row>
    <row r="259" spans="2:11" x14ac:dyDescent="0.25">
      <c r="B259" s="9"/>
      <c r="C259" s="8"/>
      <c r="D259" s="8"/>
      <c r="E259" s="14">
        <f>IFERROR(IF($D259="","",VLOOKUP($D259,'Bütçe Kalemleri'!$B$5:$D$304,3,FALSE)),"— tanımsız kalem —")</f>
      </c>
      <c r="F259" s="8"/>
      <c r="G259" s="10"/>
      <c r="H259" s="15"/>
      <c r="I259" s="16">
        <f>IF($G259="",0,$G259*IF($H259="",0,$H259))</f>
      </c>
      <c r="J259" s="16">
        <f>IF($G259="","",$G259+$I259)</f>
      </c>
      <c r="K259" s="8"/>
    </row>
    <row r="260" spans="2:11" x14ac:dyDescent="0.25">
      <c r="B260" s="12"/>
      <c r="C260" s="11"/>
      <c r="D260" s="11"/>
      <c r="E260" s="14">
        <f>IFERROR(IF($D260="","",VLOOKUP($D260,'Bütçe Kalemleri'!$B$5:$D$304,3,FALSE)),"— tanımsız kalem —")</f>
      </c>
      <c r="F260" s="11"/>
      <c r="G260" s="13"/>
      <c r="H260" s="17"/>
      <c r="I260" s="16">
        <f>IF($G260="",0,$G260*IF($H260="",0,$H260))</f>
      </c>
      <c r="J260" s="16">
        <f>IF($G260="","",$G260+$I260)</f>
      </c>
      <c r="K260" s="11"/>
    </row>
    <row r="261" spans="2:11" x14ac:dyDescent="0.25">
      <c r="B261" s="9"/>
      <c r="C261" s="8"/>
      <c r="D261" s="8"/>
      <c r="E261" s="14">
        <f>IFERROR(IF($D261="","",VLOOKUP($D261,'Bütçe Kalemleri'!$B$5:$D$304,3,FALSE)),"— tanımsız kalem —")</f>
      </c>
      <c r="F261" s="8"/>
      <c r="G261" s="10"/>
      <c r="H261" s="15"/>
      <c r="I261" s="16">
        <f>IF($G261="",0,$G261*IF($H261="",0,$H261))</f>
      </c>
      <c r="J261" s="16">
        <f>IF($G261="","",$G261+$I261)</f>
      </c>
      <c r="K261" s="8"/>
    </row>
    <row r="262" spans="2:11" x14ac:dyDescent="0.25">
      <c r="B262" s="12"/>
      <c r="C262" s="11"/>
      <c r="D262" s="11"/>
      <c r="E262" s="14">
        <f>IFERROR(IF($D262="","",VLOOKUP($D262,'Bütçe Kalemleri'!$B$5:$D$304,3,FALSE)),"— tanımsız kalem —")</f>
      </c>
      <c r="F262" s="11"/>
      <c r="G262" s="13"/>
      <c r="H262" s="17"/>
      <c r="I262" s="16">
        <f>IF($G262="",0,$G262*IF($H262="",0,$H262))</f>
      </c>
      <c r="J262" s="16">
        <f>IF($G262="","",$G262+$I262)</f>
      </c>
      <c r="K262" s="11"/>
    </row>
    <row r="263" spans="2:11" x14ac:dyDescent="0.25">
      <c r="B263" s="9"/>
      <c r="C263" s="8"/>
      <c r="D263" s="8"/>
      <c r="E263" s="14">
        <f>IFERROR(IF($D263="","",VLOOKUP($D263,'Bütçe Kalemleri'!$B$5:$D$304,3,FALSE)),"— tanımsız kalem —")</f>
      </c>
      <c r="F263" s="8"/>
      <c r="G263" s="10"/>
      <c r="H263" s="15"/>
      <c r="I263" s="16">
        <f>IF($G263="",0,$G263*IF($H263="",0,$H263))</f>
      </c>
      <c r="J263" s="16">
        <f>IF($G263="","",$G263+$I263)</f>
      </c>
      <c r="K263" s="8"/>
    </row>
    <row r="264" spans="2:11" x14ac:dyDescent="0.25">
      <c r="B264" s="12"/>
      <c r="C264" s="11"/>
      <c r="D264" s="11"/>
      <c r="E264" s="14">
        <f>IFERROR(IF($D264="","",VLOOKUP($D264,'Bütçe Kalemleri'!$B$5:$D$304,3,FALSE)),"— tanımsız kalem —")</f>
      </c>
      <c r="F264" s="11"/>
      <c r="G264" s="13"/>
      <c r="H264" s="17"/>
      <c r="I264" s="16">
        <f>IF($G264="",0,$G264*IF($H264="",0,$H264))</f>
      </c>
      <c r="J264" s="16">
        <f>IF($G264="","",$G264+$I264)</f>
      </c>
      <c r="K264" s="11"/>
    </row>
    <row r="265" spans="2:11" x14ac:dyDescent="0.25">
      <c r="B265" s="9"/>
      <c r="C265" s="8"/>
      <c r="D265" s="8"/>
      <c r="E265" s="14">
        <f>IFERROR(IF($D265="","",VLOOKUP($D265,'Bütçe Kalemleri'!$B$5:$D$304,3,FALSE)),"— tanımsız kalem —")</f>
      </c>
      <c r="F265" s="8"/>
      <c r="G265" s="10"/>
      <c r="H265" s="15"/>
      <c r="I265" s="16">
        <f>IF($G265="",0,$G265*IF($H265="",0,$H265))</f>
      </c>
      <c r="J265" s="16">
        <f>IF($G265="","",$G265+$I265)</f>
      </c>
      <c r="K265" s="8"/>
    </row>
    <row r="266" spans="2:11" x14ac:dyDescent="0.25">
      <c r="B266" s="12"/>
      <c r="C266" s="11"/>
      <c r="D266" s="11"/>
      <c r="E266" s="14">
        <f>IFERROR(IF($D266="","",VLOOKUP($D266,'Bütçe Kalemleri'!$B$5:$D$304,3,FALSE)),"— tanımsız kalem —")</f>
      </c>
      <c r="F266" s="11"/>
      <c r="G266" s="13"/>
      <c r="H266" s="17"/>
      <c r="I266" s="16">
        <f>IF($G266="",0,$G266*IF($H266="",0,$H266))</f>
      </c>
      <c r="J266" s="16">
        <f>IF($G266="","",$G266+$I266)</f>
      </c>
      <c r="K266" s="11"/>
    </row>
    <row r="267" spans="2:11" x14ac:dyDescent="0.25">
      <c r="B267" s="9"/>
      <c r="C267" s="8"/>
      <c r="D267" s="8"/>
      <c r="E267" s="14">
        <f>IFERROR(IF($D267="","",VLOOKUP($D267,'Bütçe Kalemleri'!$B$5:$D$304,3,FALSE)),"— tanımsız kalem —")</f>
      </c>
      <c r="F267" s="8"/>
      <c r="G267" s="10"/>
      <c r="H267" s="15"/>
      <c r="I267" s="16">
        <f>IF($G267="",0,$G267*IF($H267="",0,$H267))</f>
      </c>
      <c r="J267" s="16">
        <f>IF($G267="","",$G267+$I267)</f>
      </c>
      <c r="K267" s="8"/>
    </row>
    <row r="268" spans="2:11" x14ac:dyDescent="0.25">
      <c r="B268" s="12"/>
      <c r="C268" s="11"/>
      <c r="D268" s="11"/>
      <c r="E268" s="14">
        <f>IFERROR(IF($D268="","",VLOOKUP($D268,'Bütçe Kalemleri'!$B$5:$D$304,3,FALSE)),"— tanımsız kalem —")</f>
      </c>
      <c r="F268" s="11"/>
      <c r="G268" s="13"/>
      <c r="H268" s="17"/>
      <c r="I268" s="16">
        <f>IF($G268="",0,$G268*IF($H268="",0,$H268))</f>
      </c>
      <c r="J268" s="16">
        <f>IF($G268="","",$G268+$I268)</f>
      </c>
      <c r="K268" s="11"/>
    </row>
    <row r="269" spans="2:11" x14ac:dyDescent="0.25">
      <c r="B269" s="9"/>
      <c r="C269" s="8"/>
      <c r="D269" s="8"/>
      <c r="E269" s="14">
        <f>IFERROR(IF($D269="","",VLOOKUP($D269,'Bütçe Kalemleri'!$B$5:$D$304,3,FALSE)),"— tanımsız kalem —")</f>
      </c>
      <c r="F269" s="8"/>
      <c r="G269" s="10"/>
      <c r="H269" s="15"/>
      <c r="I269" s="16">
        <f>IF($G269="",0,$G269*IF($H269="",0,$H269))</f>
      </c>
      <c r="J269" s="16">
        <f>IF($G269="","",$G269+$I269)</f>
      </c>
      <c r="K269" s="8"/>
    </row>
    <row r="270" spans="2:11" x14ac:dyDescent="0.25">
      <c r="B270" s="12"/>
      <c r="C270" s="11"/>
      <c r="D270" s="11"/>
      <c r="E270" s="14">
        <f>IFERROR(IF($D270="","",VLOOKUP($D270,'Bütçe Kalemleri'!$B$5:$D$304,3,FALSE)),"— tanımsız kalem —")</f>
      </c>
      <c r="F270" s="11"/>
      <c r="G270" s="13"/>
      <c r="H270" s="17"/>
      <c r="I270" s="16">
        <f>IF($G270="",0,$G270*IF($H270="",0,$H270))</f>
      </c>
      <c r="J270" s="16">
        <f>IF($G270="","",$G270+$I270)</f>
      </c>
      <c r="K270" s="11"/>
    </row>
    <row r="271" spans="2:11" x14ac:dyDescent="0.25">
      <c r="B271" s="9"/>
      <c r="C271" s="8"/>
      <c r="D271" s="8"/>
      <c r="E271" s="14">
        <f>IFERROR(IF($D271="","",VLOOKUP($D271,'Bütçe Kalemleri'!$B$5:$D$304,3,FALSE)),"— tanımsız kalem —")</f>
      </c>
      <c r="F271" s="8"/>
      <c r="G271" s="10"/>
      <c r="H271" s="15"/>
      <c r="I271" s="16">
        <f>IF($G271="",0,$G271*IF($H271="",0,$H271))</f>
      </c>
      <c r="J271" s="16">
        <f>IF($G271="","",$G271+$I271)</f>
      </c>
      <c r="K271" s="8"/>
    </row>
    <row r="272" spans="2:11" x14ac:dyDescent="0.25">
      <c r="B272" s="12"/>
      <c r="C272" s="11"/>
      <c r="D272" s="11"/>
      <c r="E272" s="14">
        <f>IFERROR(IF($D272="","",VLOOKUP($D272,'Bütçe Kalemleri'!$B$5:$D$304,3,FALSE)),"— tanımsız kalem —")</f>
      </c>
      <c r="F272" s="11"/>
      <c r="G272" s="13"/>
      <c r="H272" s="17"/>
      <c r="I272" s="16">
        <f>IF($G272="",0,$G272*IF($H272="",0,$H272))</f>
      </c>
      <c r="J272" s="16">
        <f>IF($G272="","",$G272+$I272)</f>
      </c>
      <c r="K272" s="11"/>
    </row>
    <row r="273" spans="2:11" x14ac:dyDescent="0.25">
      <c r="B273" s="9"/>
      <c r="C273" s="8"/>
      <c r="D273" s="8"/>
      <c r="E273" s="14">
        <f>IFERROR(IF($D273="","",VLOOKUP($D273,'Bütçe Kalemleri'!$B$5:$D$304,3,FALSE)),"— tanımsız kalem —")</f>
      </c>
      <c r="F273" s="8"/>
      <c r="G273" s="10"/>
      <c r="H273" s="15"/>
      <c r="I273" s="16">
        <f>IF($G273="",0,$G273*IF($H273="",0,$H273))</f>
      </c>
      <c r="J273" s="16">
        <f>IF($G273="","",$G273+$I273)</f>
      </c>
      <c r="K273" s="8"/>
    </row>
    <row r="274" spans="2:11" x14ac:dyDescent="0.25">
      <c r="B274" s="12"/>
      <c r="C274" s="11"/>
      <c r="D274" s="11"/>
      <c r="E274" s="14">
        <f>IFERROR(IF($D274="","",VLOOKUP($D274,'Bütçe Kalemleri'!$B$5:$D$304,3,FALSE)),"— tanımsız kalem —")</f>
      </c>
      <c r="F274" s="11"/>
      <c r="G274" s="13"/>
      <c r="H274" s="17"/>
      <c r="I274" s="16">
        <f>IF($G274="",0,$G274*IF($H274="",0,$H274))</f>
      </c>
      <c r="J274" s="16">
        <f>IF($G274="","",$G274+$I274)</f>
      </c>
      <c r="K274" s="11"/>
    </row>
    <row r="275" spans="2:11" x14ac:dyDescent="0.25">
      <c r="B275" s="9"/>
      <c r="C275" s="8"/>
      <c r="D275" s="8"/>
      <c r="E275" s="14">
        <f>IFERROR(IF($D275="","",VLOOKUP($D275,'Bütçe Kalemleri'!$B$5:$D$304,3,FALSE)),"— tanımsız kalem —")</f>
      </c>
      <c r="F275" s="8"/>
      <c r="G275" s="10"/>
      <c r="H275" s="15"/>
      <c r="I275" s="16">
        <f>IF($G275="",0,$G275*IF($H275="",0,$H275))</f>
      </c>
      <c r="J275" s="16">
        <f>IF($G275="","",$G275+$I275)</f>
      </c>
      <c r="K275" s="8"/>
    </row>
    <row r="276" spans="2:11" x14ac:dyDescent="0.25">
      <c r="B276" s="12"/>
      <c r="C276" s="11"/>
      <c r="D276" s="11"/>
      <c r="E276" s="14">
        <f>IFERROR(IF($D276="","",VLOOKUP($D276,'Bütçe Kalemleri'!$B$5:$D$304,3,FALSE)),"— tanımsız kalem —")</f>
      </c>
      <c r="F276" s="11"/>
      <c r="G276" s="13"/>
      <c r="H276" s="17"/>
      <c r="I276" s="16">
        <f>IF($G276="",0,$G276*IF($H276="",0,$H276))</f>
      </c>
      <c r="J276" s="16">
        <f>IF($G276="","",$G276+$I276)</f>
      </c>
      <c r="K276" s="11"/>
    </row>
    <row r="277" spans="2:11" x14ac:dyDescent="0.25">
      <c r="B277" s="9"/>
      <c r="C277" s="8"/>
      <c r="D277" s="8"/>
      <c r="E277" s="14">
        <f>IFERROR(IF($D277="","",VLOOKUP($D277,'Bütçe Kalemleri'!$B$5:$D$304,3,FALSE)),"— tanımsız kalem —")</f>
      </c>
      <c r="F277" s="8"/>
      <c r="G277" s="10"/>
      <c r="H277" s="15"/>
      <c r="I277" s="16">
        <f>IF($G277="",0,$G277*IF($H277="",0,$H277))</f>
      </c>
      <c r="J277" s="16">
        <f>IF($G277="","",$G277+$I277)</f>
      </c>
      <c r="K277" s="8"/>
    </row>
    <row r="278" spans="2:11" x14ac:dyDescent="0.25">
      <c r="B278" s="12"/>
      <c r="C278" s="11"/>
      <c r="D278" s="11"/>
      <c r="E278" s="14">
        <f>IFERROR(IF($D278="","",VLOOKUP($D278,'Bütçe Kalemleri'!$B$5:$D$304,3,FALSE)),"— tanımsız kalem —")</f>
      </c>
      <c r="F278" s="11"/>
      <c r="G278" s="13"/>
      <c r="H278" s="17"/>
      <c r="I278" s="16">
        <f>IF($G278="",0,$G278*IF($H278="",0,$H278))</f>
      </c>
      <c r="J278" s="16">
        <f>IF($G278="","",$G278+$I278)</f>
      </c>
      <c r="K278" s="11"/>
    </row>
    <row r="279" spans="2:11" x14ac:dyDescent="0.25">
      <c r="B279" s="9"/>
      <c r="C279" s="8"/>
      <c r="D279" s="8"/>
      <c r="E279" s="14">
        <f>IFERROR(IF($D279="","",VLOOKUP($D279,'Bütçe Kalemleri'!$B$5:$D$304,3,FALSE)),"— tanımsız kalem —")</f>
      </c>
      <c r="F279" s="8"/>
      <c r="G279" s="10"/>
      <c r="H279" s="15"/>
      <c r="I279" s="16">
        <f>IF($G279="",0,$G279*IF($H279="",0,$H279))</f>
      </c>
      <c r="J279" s="16">
        <f>IF($G279="","",$G279+$I279)</f>
      </c>
      <c r="K279" s="8"/>
    </row>
    <row r="280" spans="2:11" x14ac:dyDescent="0.25">
      <c r="B280" s="12"/>
      <c r="C280" s="11"/>
      <c r="D280" s="11"/>
      <c r="E280" s="14">
        <f>IFERROR(IF($D280="","",VLOOKUP($D280,'Bütçe Kalemleri'!$B$5:$D$304,3,FALSE)),"— tanımsız kalem —")</f>
      </c>
      <c r="F280" s="11"/>
      <c r="G280" s="13"/>
      <c r="H280" s="17"/>
      <c r="I280" s="16">
        <f>IF($G280="",0,$G280*IF($H280="",0,$H280))</f>
      </c>
      <c r="J280" s="16">
        <f>IF($G280="","",$G280+$I280)</f>
      </c>
      <c r="K280" s="11"/>
    </row>
    <row r="281" spans="2:11" x14ac:dyDescent="0.25">
      <c r="B281" s="9"/>
      <c r="C281" s="8"/>
      <c r="D281" s="8"/>
      <c r="E281" s="14">
        <f>IFERROR(IF($D281="","",VLOOKUP($D281,'Bütçe Kalemleri'!$B$5:$D$304,3,FALSE)),"— tanımsız kalem —")</f>
      </c>
      <c r="F281" s="8"/>
      <c r="G281" s="10"/>
      <c r="H281" s="15"/>
      <c r="I281" s="16">
        <f>IF($G281="",0,$G281*IF($H281="",0,$H281))</f>
      </c>
      <c r="J281" s="16">
        <f>IF($G281="","",$G281+$I281)</f>
      </c>
      <c r="K281" s="8"/>
    </row>
    <row r="282" spans="2:11" x14ac:dyDescent="0.25">
      <c r="B282" s="12"/>
      <c r="C282" s="11"/>
      <c r="D282" s="11"/>
      <c r="E282" s="14">
        <f>IFERROR(IF($D282="","",VLOOKUP($D282,'Bütçe Kalemleri'!$B$5:$D$304,3,FALSE)),"— tanımsız kalem —")</f>
      </c>
      <c r="F282" s="11"/>
      <c r="G282" s="13"/>
      <c r="H282" s="17"/>
      <c r="I282" s="16">
        <f>IF($G282="",0,$G282*IF($H282="",0,$H282))</f>
      </c>
      <c r="J282" s="16">
        <f>IF($G282="","",$G282+$I282)</f>
      </c>
      <c r="K282" s="11"/>
    </row>
    <row r="283" spans="2:11" x14ac:dyDescent="0.25">
      <c r="B283" s="9"/>
      <c r="C283" s="8"/>
      <c r="D283" s="8"/>
      <c r="E283" s="14">
        <f>IFERROR(IF($D283="","",VLOOKUP($D283,'Bütçe Kalemleri'!$B$5:$D$304,3,FALSE)),"— tanımsız kalem —")</f>
      </c>
      <c r="F283" s="8"/>
      <c r="G283" s="10"/>
      <c r="H283" s="15"/>
      <c r="I283" s="16">
        <f>IF($G283="",0,$G283*IF($H283="",0,$H283))</f>
      </c>
      <c r="J283" s="16">
        <f>IF($G283="","",$G283+$I283)</f>
      </c>
      <c r="K283" s="8"/>
    </row>
    <row r="284" spans="2:11" x14ac:dyDescent="0.25">
      <c r="B284" s="12"/>
      <c r="C284" s="11"/>
      <c r="D284" s="11"/>
      <c r="E284" s="14">
        <f>IFERROR(IF($D284="","",VLOOKUP($D284,'Bütçe Kalemleri'!$B$5:$D$304,3,FALSE)),"— tanımsız kalem —")</f>
      </c>
      <c r="F284" s="11"/>
      <c r="G284" s="13"/>
      <c r="H284" s="17"/>
      <c r="I284" s="16">
        <f>IF($G284="",0,$G284*IF($H284="",0,$H284))</f>
      </c>
      <c r="J284" s="16">
        <f>IF($G284="","",$G284+$I284)</f>
      </c>
      <c r="K284" s="11"/>
    </row>
    <row r="285" spans="2:11" x14ac:dyDescent="0.25">
      <c r="B285" s="9"/>
      <c r="C285" s="8"/>
      <c r="D285" s="8"/>
      <c r="E285" s="14">
        <f>IFERROR(IF($D285="","",VLOOKUP($D285,'Bütçe Kalemleri'!$B$5:$D$304,3,FALSE)),"— tanımsız kalem —")</f>
      </c>
      <c r="F285" s="8"/>
      <c r="G285" s="10"/>
      <c r="H285" s="15"/>
      <c r="I285" s="16">
        <f>IF($G285="",0,$G285*IF($H285="",0,$H285))</f>
      </c>
      <c r="J285" s="16">
        <f>IF($G285="","",$G285+$I285)</f>
      </c>
      <c r="K285" s="8"/>
    </row>
    <row r="286" spans="2:11" x14ac:dyDescent="0.25">
      <c r="B286" s="12"/>
      <c r="C286" s="11"/>
      <c r="D286" s="11"/>
      <c r="E286" s="14">
        <f>IFERROR(IF($D286="","",VLOOKUP($D286,'Bütçe Kalemleri'!$B$5:$D$304,3,FALSE)),"— tanımsız kalem —")</f>
      </c>
      <c r="F286" s="11"/>
      <c r="G286" s="13"/>
      <c r="H286" s="17"/>
      <c r="I286" s="16">
        <f>IF($G286="",0,$G286*IF($H286="",0,$H286))</f>
      </c>
      <c r="J286" s="16">
        <f>IF($G286="","",$G286+$I286)</f>
      </c>
      <c r="K286" s="11"/>
    </row>
    <row r="287" spans="2:11" x14ac:dyDescent="0.25">
      <c r="B287" s="9"/>
      <c r="C287" s="8"/>
      <c r="D287" s="8"/>
      <c r="E287" s="14">
        <f>IFERROR(IF($D287="","",VLOOKUP($D287,'Bütçe Kalemleri'!$B$5:$D$304,3,FALSE)),"— tanımsız kalem —")</f>
      </c>
      <c r="F287" s="8"/>
      <c r="G287" s="10"/>
      <c r="H287" s="15"/>
      <c r="I287" s="16">
        <f>IF($G287="",0,$G287*IF($H287="",0,$H287))</f>
      </c>
      <c r="J287" s="16">
        <f>IF($G287="","",$G287+$I287)</f>
      </c>
      <c r="K287" s="8"/>
    </row>
    <row r="288" spans="2:11" x14ac:dyDescent="0.25">
      <c r="B288" s="12"/>
      <c r="C288" s="11"/>
      <c r="D288" s="11"/>
      <c r="E288" s="14">
        <f>IFERROR(IF($D288="","",VLOOKUP($D288,'Bütçe Kalemleri'!$B$5:$D$304,3,FALSE)),"— tanımsız kalem —")</f>
      </c>
      <c r="F288" s="11"/>
      <c r="G288" s="13"/>
      <c r="H288" s="17"/>
      <c r="I288" s="16">
        <f>IF($G288="",0,$G288*IF($H288="",0,$H288))</f>
      </c>
      <c r="J288" s="16">
        <f>IF($G288="","",$G288+$I288)</f>
      </c>
      <c r="K288" s="11"/>
    </row>
    <row r="289" spans="2:11" x14ac:dyDescent="0.25">
      <c r="B289" s="9"/>
      <c r="C289" s="8"/>
      <c r="D289" s="8"/>
      <c r="E289" s="14">
        <f>IFERROR(IF($D289="","",VLOOKUP($D289,'Bütçe Kalemleri'!$B$5:$D$304,3,FALSE)),"— tanımsız kalem —")</f>
      </c>
      <c r="F289" s="8"/>
      <c r="G289" s="10"/>
      <c r="H289" s="15"/>
      <c r="I289" s="16">
        <f>IF($G289="",0,$G289*IF($H289="",0,$H289))</f>
      </c>
      <c r="J289" s="16">
        <f>IF($G289="","",$G289+$I289)</f>
      </c>
      <c r="K289" s="8"/>
    </row>
    <row r="290" spans="2:11" x14ac:dyDescent="0.25">
      <c r="B290" s="12"/>
      <c r="C290" s="11"/>
      <c r="D290" s="11"/>
      <c r="E290" s="14">
        <f>IFERROR(IF($D290="","",VLOOKUP($D290,'Bütçe Kalemleri'!$B$5:$D$304,3,FALSE)),"— tanımsız kalem —")</f>
      </c>
      <c r="F290" s="11"/>
      <c r="G290" s="13"/>
      <c r="H290" s="17"/>
      <c r="I290" s="16">
        <f>IF($G290="",0,$G290*IF($H290="",0,$H290))</f>
      </c>
      <c r="J290" s="16">
        <f>IF($G290="","",$G290+$I290)</f>
      </c>
      <c r="K290" s="11"/>
    </row>
    <row r="291" spans="2:11" x14ac:dyDescent="0.25">
      <c r="B291" s="9"/>
      <c r="C291" s="8"/>
      <c r="D291" s="8"/>
      <c r="E291" s="14">
        <f>IFERROR(IF($D291="","",VLOOKUP($D291,'Bütçe Kalemleri'!$B$5:$D$304,3,FALSE)),"— tanımsız kalem —")</f>
      </c>
      <c r="F291" s="8"/>
      <c r="G291" s="10"/>
      <c r="H291" s="15"/>
      <c r="I291" s="16">
        <f>IF($G291="",0,$G291*IF($H291="",0,$H291))</f>
      </c>
      <c r="J291" s="16">
        <f>IF($G291="","",$G291+$I291)</f>
      </c>
      <c r="K291" s="8"/>
    </row>
    <row r="292" spans="2:11" x14ac:dyDescent="0.25">
      <c r="B292" s="12"/>
      <c r="C292" s="11"/>
      <c r="D292" s="11"/>
      <c r="E292" s="14">
        <f>IFERROR(IF($D292="","",VLOOKUP($D292,'Bütçe Kalemleri'!$B$5:$D$304,3,FALSE)),"— tanımsız kalem —")</f>
      </c>
      <c r="F292" s="11"/>
      <c r="G292" s="13"/>
      <c r="H292" s="17"/>
      <c r="I292" s="16">
        <f>IF($G292="",0,$G292*IF($H292="",0,$H292))</f>
      </c>
      <c r="J292" s="16">
        <f>IF($G292="","",$G292+$I292)</f>
      </c>
      <c r="K292" s="11"/>
    </row>
    <row r="293" spans="2:11" x14ac:dyDescent="0.25">
      <c r="B293" s="9"/>
      <c r="C293" s="8"/>
      <c r="D293" s="8"/>
      <c r="E293" s="14">
        <f>IFERROR(IF($D293="","",VLOOKUP($D293,'Bütçe Kalemleri'!$B$5:$D$304,3,FALSE)),"— tanımsız kalem —")</f>
      </c>
      <c r="F293" s="8"/>
      <c r="G293" s="10"/>
      <c r="H293" s="15"/>
      <c r="I293" s="16">
        <f>IF($G293="",0,$G293*IF($H293="",0,$H293))</f>
      </c>
      <c r="J293" s="16">
        <f>IF($G293="","",$G293+$I293)</f>
      </c>
      <c r="K293" s="8"/>
    </row>
    <row r="294" spans="2:11" x14ac:dyDescent="0.25">
      <c r="B294" s="12"/>
      <c r="C294" s="11"/>
      <c r="D294" s="11"/>
      <c r="E294" s="14">
        <f>IFERROR(IF($D294="","",VLOOKUP($D294,'Bütçe Kalemleri'!$B$5:$D$304,3,FALSE)),"— tanımsız kalem —")</f>
      </c>
      <c r="F294" s="11"/>
      <c r="G294" s="13"/>
      <c r="H294" s="17"/>
      <c r="I294" s="16">
        <f>IF($G294="",0,$G294*IF($H294="",0,$H294))</f>
      </c>
      <c r="J294" s="16">
        <f>IF($G294="","",$G294+$I294)</f>
      </c>
      <c r="K294" s="11"/>
    </row>
    <row r="295" spans="2:11" x14ac:dyDescent="0.25">
      <c r="B295" s="9"/>
      <c r="C295" s="8"/>
      <c r="D295" s="8"/>
      <c r="E295" s="14">
        <f>IFERROR(IF($D295="","",VLOOKUP($D295,'Bütçe Kalemleri'!$B$5:$D$304,3,FALSE)),"— tanımsız kalem —")</f>
      </c>
      <c r="F295" s="8"/>
      <c r="G295" s="10"/>
      <c r="H295" s="15"/>
      <c r="I295" s="16">
        <f>IF($G295="",0,$G295*IF($H295="",0,$H295))</f>
      </c>
      <c r="J295" s="16">
        <f>IF($G295="","",$G295+$I295)</f>
      </c>
      <c r="K295" s="8"/>
    </row>
    <row r="296" spans="2:11" x14ac:dyDescent="0.25">
      <c r="B296" s="12"/>
      <c r="C296" s="11"/>
      <c r="D296" s="11"/>
      <c r="E296" s="14">
        <f>IFERROR(IF($D296="","",VLOOKUP($D296,'Bütçe Kalemleri'!$B$5:$D$304,3,FALSE)),"— tanımsız kalem —")</f>
      </c>
      <c r="F296" s="11"/>
      <c r="G296" s="13"/>
      <c r="H296" s="17"/>
      <c r="I296" s="16">
        <f>IF($G296="",0,$G296*IF($H296="",0,$H296))</f>
      </c>
      <c r="J296" s="16">
        <f>IF($G296="","",$G296+$I296)</f>
      </c>
      <c r="K296" s="11"/>
    </row>
    <row r="297" spans="2:11" x14ac:dyDescent="0.25">
      <c r="B297" s="9"/>
      <c r="C297" s="8"/>
      <c r="D297" s="8"/>
      <c r="E297" s="14">
        <f>IFERROR(IF($D297="","",VLOOKUP($D297,'Bütçe Kalemleri'!$B$5:$D$304,3,FALSE)),"— tanımsız kalem —")</f>
      </c>
      <c r="F297" s="8"/>
      <c r="G297" s="10"/>
      <c r="H297" s="15"/>
      <c r="I297" s="16">
        <f>IF($G297="",0,$G297*IF($H297="",0,$H297))</f>
      </c>
      <c r="J297" s="16">
        <f>IF($G297="","",$G297+$I297)</f>
      </c>
      <c r="K297" s="8"/>
    </row>
    <row r="298" spans="2:11" x14ac:dyDescent="0.25">
      <c r="B298" s="12"/>
      <c r="C298" s="11"/>
      <c r="D298" s="11"/>
      <c r="E298" s="14">
        <f>IFERROR(IF($D298="","",VLOOKUP($D298,'Bütçe Kalemleri'!$B$5:$D$304,3,FALSE)),"— tanımsız kalem —")</f>
      </c>
      <c r="F298" s="11"/>
      <c r="G298" s="13"/>
      <c r="H298" s="17"/>
      <c r="I298" s="16">
        <f>IF($G298="",0,$G298*IF($H298="",0,$H298))</f>
      </c>
      <c r="J298" s="16">
        <f>IF($G298="","",$G298+$I298)</f>
      </c>
      <c r="K298" s="11"/>
    </row>
    <row r="299" spans="2:11" x14ac:dyDescent="0.25">
      <c r="B299" s="9"/>
      <c r="C299" s="8"/>
      <c r="D299" s="8"/>
      <c r="E299" s="14">
        <f>IFERROR(IF($D299="","",VLOOKUP($D299,'Bütçe Kalemleri'!$B$5:$D$304,3,FALSE)),"— tanımsız kalem —")</f>
      </c>
      <c r="F299" s="8"/>
      <c r="G299" s="10"/>
      <c r="H299" s="15"/>
      <c r="I299" s="16">
        <f>IF($G299="",0,$G299*IF($H299="",0,$H299))</f>
      </c>
      <c r="J299" s="16">
        <f>IF($G299="","",$G299+$I299)</f>
      </c>
      <c r="K299" s="8"/>
    </row>
    <row r="300" spans="2:11" x14ac:dyDescent="0.25">
      <c r="B300" s="12"/>
      <c r="C300" s="11"/>
      <c r="D300" s="11"/>
      <c r="E300" s="14">
        <f>IFERROR(IF($D300="","",VLOOKUP($D300,'Bütçe Kalemleri'!$B$5:$D$304,3,FALSE)),"— tanımsız kalem —")</f>
      </c>
      <c r="F300" s="11"/>
      <c r="G300" s="13"/>
      <c r="H300" s="17"/>
      <c r="I300" s="16">
        <f>IF($G300="",0,$G300*IF($H300="",0,$H300))</f>
      </c>
      <c r="J300" s="16">
        <f>IF($G300="","",$G300+$I300)</f>
      </c>
      <c r="K300" s="11"/>
    </row>
    <row r="301" spans="2:11" x14ac:dyDescent="0.25">
      <c r="B301" s="9"/>
      <c r="C301" s="8"/>
      <c r="D301" s="8"/>
      <c r="E301" s="14">
        <f>IFERROR(IF($D301="","",VLOOKUP($D301,'Bütçe Kalemleri'!$B$5:$D$304,3,FALSE)),"— tanımsız kalem —")</f>
      </c>
      <c r="F301" s="8"/>
      <c r="G301" s="10"/>
      <c r="H301" s="15"/>
      <c r="I301" s="16">
        <f>IF($G301="",0,$G301*IF($H301="",0,$H301))</f>
      </c>
      <c r="J301" s="16">
        <f>IF($G301="","",$G301+$I301)</f>
      </c>
      <c r="K301" s="8"/>
    </row>
    <row r="302" spans="2:11" x14ac:dyDescent="0.25">
      <c r="B302" s="12"/>
      <c r="C302" s="11"/>
      <c r="D302" s="11"/>
      <c r="E302" s="14">
        <f>IFERROR(IF($D302="","",VLOOKUP($D302,'Bütçe Kalemleri'!$B$5:$D$304,3,FALSE)),"— tanımsız kalem —")</f>
      </c>
      <c r="F302" s="11"/>
      <c r="G302" s="13"/>
      <c r="H302" s="17"/>
      <c r="I302" s="16">
        <f>IF($G302="",0,$G302*IF($H302="",0,$H302))</f>
      </c>
      <c r="J302" s="16">
        <f>IF($G302="","",$G302+$I302)</f>
      </c>
      <c r="K302" s="11"/>
    </row>
    <row r="303" spans="2:11" x14ac:dyDescent="0.25">
      <c r="B303" s="9"/>
      <c r="C303" s="8"/>
      <c r="D303" s="8"/>
      <c r="E303" s="14">
        <f>IFERROR(IF($D303="","",VLOOKUP($D303,'Bütçe Kalemleri'!$B$5:$D$304,3,FALSE)),"— tanımsız kalem —")</f>
      </c>
      <c r="F303" s="8"/>
      <c r="G303" s="10"/>
      <c r="H303" s="15"/>
      <c r="I303" s="16">
        <f>IF($G303="",0,$G303*IF($H303="",0,$H303))</f>
      </c>
      <c r="J303" s="16">
        <f>IF($G303="","",$G303+$I303)</f>
      </c>
      <c r="K303" s="8"/>
    </row>
    <row r="304" spans="2:11" x14ac:dyDescent="0.25">
      <c r="B304" s="12"/>
      <c r="C304" s="11"/>
      <c r="D304" s="11"/>
      <c r="E304" s="14">
        <f>IFERROR(IF($D304="","",VLOOKUP($D304,'Bütçe Kalemleri'!$B$5:$D$304,3,FALSE)),"— tanımsız kalem —")</f>
      </c>
      <c r="F304" s="11"/>
      <c r="G304" s="13"/>
      <c r="H304" s="17"/>
      <c r="I304" s="16">
        <f>IF($G304="",0,$G304*IF($H304="",0,$H304))</f>
      </c>
      <c r="J304" s="16">
        <f>IF($G304="","",$G304+$I304)</f>
      </c>
      <c r="K304" s="11"/>
    </row>
    <row r="305" spans="2:11" x14ac:dyDescent="0.25">
      <c r="B305" s="9"/>
      <c r="C305" s="8"/>
      <c r="D305" s="8"/>
      <c r="E305" s="14">
        <f>IFERROR(IF($D305="","",VLOOKUP($D305,'Bütçe Kalemleri'!$B$5:$D$304,3,FALSE)),"— tanımsız kalem —")</f>
      </c>
      <c r="F305" s="8"/>
      <c r="G305" s="10"/>
      <c r="H305" s="15"/>
      <c r="I305" s="16">
        <f>IF($G305="",0,$G305*IF($H305="",0,$H305))</f>
      </c>
      <c r="J305" s="16">
        <f>IF($G305="","",$G305+$I305)</f>
      </c>
      <c r="K305" s="8"/>
    </row>
    <row r="306" spans="2:11" x14ac:dyDescent="0.25">
      <c r="B306" s="12"/>
      <c r="C306" s="11"/>
      <c r="D306" s="11"/>
      <c r="E306" s="14">
        <f>IFERROR(IF($D306="","",VLOOKUP($D306,'Bütçe Kalemleri'!$B$5:$D$304,3,FALSE)),"— tanımsız kalem —")</f>
      </c>
      <c r="F306" s="11"/>
      <c r="G306" s="13"/>
      <c r="H306" s="17"/>
      <c r="I306" s="16">
        <f>IF($G306="",0,$G306*IF($H306="",0,$H306))</f>
      </c>
      <c r="J306" s="16">
        <f>IF($G306="","",$G306+$I306)</f>
      </c>
      <c r="K306" s="11"/>
    </row>
    <row r="307" spans="2:11" x14ac:dyDescent="0.25">
      <c r="B307" s="9"/>
      <c r="C307" s="8"/>
      <c r="D307" s="8"/>
      <c r="E307" s="14">
        <f>IFERROR(IF($D307="","",VLOOKUP($D307,'Bütçe Kalemleri'!$B$5:$D$304,3,FALSE)),"— tanımsız kalem —")</f>
      </c>
      <c r="F307" s="8"/>
      <c r="G307" s="10"/>
      <c r="H307" s="15"/>
      <c r="I307" s="16">
        <f>IF($G307="",0,$G307*IF($H307="",0,$H307))</f>
      </c>
      <c r="J307" s="16">
        <f>IF($G307="","",$G307+$I307)</f>
      </c>
      <c r="K307" s="8"/>
    </row>
    <row r="308" spans="2:11" x14ac:dyDescent="0.25">
      <c r="B308" s="12"/>
      <c r="C308" s="11"/>
      <c r="D308" s="11"/>
      <c r="E308" s="14">
        <f>IFERROR(IF($D308="","",VLOOKUP($D308,'Bütçe Kalemleri'!$B$5:$D$304,3,FALSE)),"— tanımsız kalem —")</f>
      </c>
      <c r="F308" s="11"/>
      <c r="G308" s="13"/>
      <c r="H308" s="17"/>
      <c r="I308" s="16">
        <f>IF($G308="",0,$G308*IF($H308="",0,$H308))</f>
      </c>
      <c r="J308" s="16">
        <f>IF($G308="","",$G308+$I308)</f>
      </c>
      <c r="K308" s="11"/>
    </row>
    <row r="309" spans="2:11" x14ac:dyDescent="0.25">
      <c r="B309" s="9"/>
      <c r="C309" s="8"/>
      <c r="D309" s="8"/>
      <c r="E309" s="14">
        <f>IFERROR(IF($D309="","",VLOOKUP($D309,'Bütçe Kalemleri'!$B$5:$D$304,3,FALSE)),"— tanımsız kalem —")</f>
      </c>
      <c r="F309" s="8"/>
      <c r="G309" s="10"/>
      <c r="H309" s="15"/>
      <c r="I309" s="16">
        <f>IF($G309="",0,$G309*IF($H309="",0,$H309))</f>
      </c>
      <c r="J309" s="16">
        <f>IF($G309="","",$G309+$I309)</f>
      </c>
      <c r="K309" s="8"/>
    </row>
    <row r="310" spans="2:11" x14ac:dyDescent="0.25">
      <c r="B310" s="12"/>
      <c r="C310" s="11"/>
      <c r="D310" s="11"/>
      <c r="E310" s="14">
        <f>IFERROR(IF($D310="","",VLOOKUP($D310,'Bütçe Kalemleri'!$B$5:$D$304,3,FALSE)),"— tanımsız kalem —")</f>
      </c>
      <c r="F310" s="11"/>
      <c r="G310" s="13"/>
      <c r="H310" s="17"/>
      <c r="I310" s="16">
        <f>IF($G310="",0,$G310*IF($H310="",0,$H310))</f>
      </c>
      <c r="J310" s="16">
        <f>IF($G310="","",$G310+$I310)</f>
      </c>
      <c r="K310" s="11"/>
    </row>
    <row r="311" spans="2:11" x14ac:dyDescent="0.25">
      <c r="B311" s="9"/>
      <c r="C311" s="8"/>
      <c r="D311" s="8"/>
      <c r="E311" s="14">
        <f>IFERROR(IF($D311="","",VLOOKUP($D311,'Bütçe Kalemleri'!$B$5:$D$304,3,FALSE)),"— tanımsız kalem —")</f>
      </c>
      <c r="F311" s="8"/>
      <c r="G311" s="10"/>
      <c r="H311" s="15"/>
      <c r="I311" s="16">
        <f>IF($G311="",0,$G311*IF($H311="",0,$H311))</f>
      </c>
      <c r="J311" s="16">
        <f>IF($G311="","",$G311+$I311)</f>
      </c>
      <c r="K311" s="8"/>
    </row>
    <row r="312" spans="2:11" x14ac:dyDescent="0.25">
      <c r="B312" s="12"/>
      <c r="C312" s="11"/>
      <c r="D312" s="11"/>
      <c r="E312" s="14">
        <f>IFERROR(IF($D312="","",VLOOKUP($D312,'Bütçe Kalemleri'!$B$5:$D$304,3,FALSE)),"— tanımsız kalem —")</f>
      </c>
      <c r="F312" s="11"/>
      <c r="G312" s="13"/>
      <c r="H312" s="17"/>
      <c r="I312" s="16">
        <f>IF($G312="",0,$G312*IF($H312="",0,$H312))</f>
      </c>
      <c r="J312" s="16">
        <f>IF($G312="","",$G312+$I312)</f>
      </c>
      <c r="K312" s="11"/>
    </row>
    <row r="313" spans="2:11" x14ac:dyDescent="0.25">
      <c r="B313" s="9"/>
      <c r="C313" s="8"/>
      <c r="D313" s="8"/>
      <c r="E313" s="14">
        <f>IFERROR(IF($D313="","",VLOOKUP($D313,'Bütçe Kalemleri'!$B$5:$D$304,3,FALSE)),"— tanımsız kalem —")</f>
      </c>
      <c r="F313" s="8"/>
      <c r="G313" s="10"/>
      <c r="H313" s="15"/>
      <c r="I313" s="16">
        <f>IF($G313="",0,$G313*IF($H313="",0,$H313))</f>
      </c>
      <c r="J313" s="16">
        <f>IF($G313="","",$G313+$I313)</f>
      </c>
      <c r="K313" s="8"/>
    </row>
    <row r="314" spans="2:11" x14ac:dyDescent="0.25">
      <c r="B314" s="12"/>
      <c r="C314" s="11"/>
      <c r="D314" s="11"/>
      <c r="E314" s="14">
        <f>IFERROR(IF($D314="","",VLOOKUP($D314,'Bütçe Kalemleri'!$B$5:$D$304,3,FALSE)),"— tanımsız kalem —")</f>
      </c>
      <c r="F314" s="11"/>
      <c r="G314" s="13"/>
      <c r="H314" s="17"/>
      <c r="I314" s="16">
        <f>IF($G314="",0,$G314*IF($H314="",0,$H314))</f>
      </c>
      <c r="J314" s="16">
        <f>IF($G314="","",$G314+$I314)</f>
      </c>
      <c r="K314" s="11"/>
    </row>
    <row r="315" spans="2:11" x14ac:dyDescent="0.25">
      <c r="B315" s="9"/>
      <c r="C315" s="8"/>
      <c r="D315" s="8"/>
      <c r="E315" s="14">
        <f>IFERROR(IF($D315="","",VLOOKUP($D315,'Bütçe Kalemleri'!$B$5:$D$304,3,FALSE)),"— tanımsız kalem —")</f>
      </c>
      <c r="F315" s="8"/>
      <c r="G315" s="10"/>
      <c r="H315" s="15"/>
      <c r="I315" s="16">
        <f>IF($G315="",0,$G315*IF($H315="",0,$H315))</f>
      </c>
      <c r="J315" s="16">
        <f>IF($G315="","",$G315+$I315)</f>
      </c>
      <c r="K315" s="8"/>
    </row>
    <row r="316" spans="2:11" x14ac:dyDescent="0.25">
      <c r="B316" s="12"/>
      <c r="C316" s="11"/>
      <c r="D316" s="11"/>
      <c r="E316" s="14">
        <f>IFERROR(IF($D316="","",VLOOKUP($D316,'Bütçe Kalemleri'!$B$5:$D$304,3,FALSE)),"— tanımsız kalem —")</f>
      </c>
      <c r="F316" s="11"/>
      <c r="G316" s="13"/>
      <c r="H316" s="17"/>
      <c r="I316" s="16">
        <f>IF($G316="",0,$G316*IF($H316="",0,$H316))</f>
      </c>
      <c r="J316" s="16">
        <f>IF($G316="","",$G316+$I316)</f>
      </c>
      <c r="K316" s="11"/>
    </row>
    <row r="317" spans="2:11" x14ac:dyDescent="0.25">
      <c r="B317" s="9"/>
      <c r="C317" s="8"/>
      <c r="D317" s="8"/>
      <c r="E317" s="14">
        <f>IFERROR(IF($D317="","",VLOOKUP($D317,'Bütçe Kalemleri'!$B$5:$D$304,3,FALSE)),"— tanımsız kalem —")</f>
      </c>
      <c r="F317" s="8"/>
      <c r="G317" s="10"/>
      <c r="H317" s="15"/>
      <c r="I317" s="16">
        <f>IF($G317="",0,$G317*IF($H317="",0,$H317))</f>
      </c>
      <c r="J317" s="16">
        <f>IF($G317="","",$G317+$I317)</f>
      </c>
      <c r="K317" s="8"/>
    </row>
    <row r="318" spans="2:11" x14ac:dyDescent="0.25">
      <c r="B318" s="12"/>
      <c r="C318" s="11"/>
      <c r="D318" s="11"/>
      <c r="E318" s="14">
        <f>IFERROR(IF($D318="","",VLOOKUP($D318,'Bütçe Kalemleri'!$B$5:$D$304,3,FALSE)),"— tanımsız kalem —")</f>
      </c>
      <c r="F318" s="11"/>
      <c r="G318" s="13"/>
      <c r="H318" s="17"/>
      <c r="I318" s="16">
        <f>IF($G318="",0,$G318*IF($H318="",0,$H318))</f>
      </c>
      <c r="J318" s="16">
        <f>IF($G318="","",$G318+$I318)</f>
      </c>
      <c r="K318" s="11"/>
    </row>
    <row r="319" spans="2:11" x14ac:dyDescent="0.25">
      <c r="B319" s="9"/>
      <c r="C319" s="8"/>
      <c r="D319" s="8"/>
      <c r="E319" s="14">
        <f>IFERROR(IF($D319="","",VLOOKUP($D319,'Bütçe Kalemleri'!$B$5:$D$304,3,FALSE)),"— tanımsız kalem —")</f>
      </c>
      <c r="F319" s="8"/>
      <c r="G319" s="10"/>
      <c r="H319" s="15"/>
      <c r="I319" s="16">
        <f>IF($G319="",0,$G319*IF($H319="",0,$H319))</f>
      </c>
      <c r="J319" s="16">
        <f>IF($G319="","",$G319+$I319)</f>
      </c>
      <c r="K319" s="8"/>
    </row>
    <row r="320" spans="2:11" x14ac:dyDescent="0.25">
      <c r="B320" s="12"/>
      <c r="C320" s="11"/>
      <c r="D320" s="11"/>
      <c r="E320" s="14">
        <f>IFERROR(IF($D320="","",VLOOKUP($D320,'Bütçe Kalemleri'!$B$5:$D$304,3,FALSE)),"— tanımsız kalem —")</f>
      </c>
      <c r="F320" s="11"/>
      <c r="G320" s="13"/>
      <c r="H320" s="17"/>
      <c r="I320" s="16">
        <f>IF($G320="",0,$G320*IF($H320="",0,$H320))</f>
      </c>
      <c r="J320" s="16">
        <f>IF($G320="","",$G320+$I320)</f>
      </c>
      <c r="K320" s="11"/>
    </row>
    <row r="321" spans="2:11" x14ac:dyDescent="0.25">
      <c r="B321" s="9"/>
      <c r="C321" s="8"/>
      <c r="D321" s="8"/>
      <c r="E321" s="14">
        <f>IFERROR(IF($D321="","",VLOOKUP($D321,'Bütçe Kalemleri'!$B$5:$D$304,3,FALSE)),"— tanımsız kalem —")</f>
      </c>
      <c r="F321" s="8"/>
      <c r="G321" s="10"/>
      <c r="H321" s="15"/>
      <c r="I321" s="16">
        <f>IF($G321="",0,$G321*IF($H321="",0,$H321))</f>
      </c>
      <c r="J321" s="16">
        <f>IF($G321="","",$G321+$I321)</f>
      </c>
      <c r="K321" s="8"/>
    </row>
    <row r="322" spans="2:11" x14ac:dyDescent="0.25">
      <c r="B322" s="12"/>
      <c r="C322" s="11"/>
      <c r="D322" s="11"/>
      <c r="E322" s="14">
        <f>IFERROR(IF($D322="","",VLOOKUP($D322,'Bütçe Kalemleri'!$B$5:$D$304,3,FALSE)),"— tanımsız kalem —")</f>
      </c>
      <c r="F322" s="11"/>
      <c r="G322" s="13"/>
      <c r="H322" s="17"/>
      <c r="I322" s="16">
        <f>IF($G322="",0,$G322*IF($H322="",0,$H322))</f>
      </c>
      <c r="J322" s="16">
        <f>IF($G322="","",$G322+$I322)</f>
      </c>
      <c r="K322" s="11"/>
    </row>
    <row r="323" spans="2:11" x14ac:dyDescent="0.25">
      <c r="B323" s="9"/>
      <c r="C323" s="8"/>
      <c r="D323" s="8"/>
      <c r="E323" s="14">
        <f>IFERROR(IF($D323="","",VLOOKUP($D323,'Bütçe Kalemleri'!$B$5:$D$304,3,FALSE)),"— tanımsız kalem —")</f>
      </c>
      <c r="F323" s="8"/>
      <c r="G323" s="10"/>
      <c r="H323" s="15"/>
      <c r="I323" s="16">
        <f>IF($G323="",0,$G323*IF($H323="",0,$H323))</f>
      </c>
      <c r="J323" s="16">
        <f>IF($G323="","",$G323+$I323)</f>
      </c>
      <c r="K323" s="8"/>
    </row>
    <row r="324" spans="2:11" x14ac:dyDescent="0.25">
      <c r="B324" s="12"/>
      <c r="C324" s="11"/>
      <c r="D324" s="11"/>
      <c r="E324" s="14">
        <f>IFERROR(IF($D324="","",VLOOKUP($D324,'Bütçe Kalemleri'!$B$5:$D$304,3,FALSE)),"— tanımsız kalem —")</f>
      </c>
      <c r="F324" s="11"/>
      <c r="G324" s="13"/>
      <c r="H324" s="17"/>
      <c r="I324" s="16">
        <f>IF($G324="",0,$G324*IF($H324="",0,$H324))</f>
      </c>
      <c r="J324" s="16">
        <f>IF($G324="","",$G324+$I324)</f>
      </c>
      <c r="K324" s="11"/>
    </row>
    <row r="325" spans="2:11" x14ac:dyDescent="0.25">
      <c r="B325" s="9"/>
      <c r="C325" s="8"/>
      <c r="D325" s="8"/>
      <c r="E325" s="14">
        <f>IFERROR(IF($D325="","",VLOOKUP($D325,'Bütçe Kalemleri'!$B$5:$D$304,3,FALSE)),"— tanımsız kalem —")</f>
      </c>
      <c r="F325" s="8"/>
      <c r="G325" s="10"/>
      <c r="H325" s="15"/>
      <c r="I325" s="16">
        <f>IF($G325="",0,$G325*IF($H325="",0,$H325))</f>
      </c>
      <c r="J325" s="16">
        <f>IF($G325="","",$G325+$I325)</f>
      </c>
      <c r="K325" s="8"/>
    </row>
    <row r="326" spans="2:11" x14ac:dyDescent="0.25">
      <c r="B326" s="12"/>
      <c r="C326" s="11"/>
      <c r="D326" s="11"/>
      <c r="E326" s="14">
        <f>IFERROR(IF($D326="","",VLOOKUP($D326,'Bütçe Kalemleri'!$B$5:$D$304,3,FALSE)),"— tanımsız kalem —")</f>
      </c>
      <c r="F326" s="11"/>
      <c r="G326" s="13"/>
      <c r="H326" s="17"/>
      <c r="I326" s="16">
        <f>IF($G326="",0,$G326*IF($H326="",0,$H326))</f>
      </c>
      <c r="J326" s="16">
        <f>IF($G326="","",$G326+$I326)</f>
      </c>
      <c r="K326" s="11"/>
    </row>
    <row r="327" spans="2:11" x14ac:dyDescent="0.25">
      <c r="B327" s="9"/>
      <c r="C327" s="8"/>
      <c r="D327" s="8"/>
      <c r="E327" s="14">
        <f>IFERROR(IF($D327="","",VLOOKUP($D327,'Bütçe Kalemleri'!$B$5:$D$304,3,FALSE)),"— tanımsız kalem —")</f>
      </c>
      <c r="F327" s="8"/>
      <c r="G327" s="10"/>
      <c r="H327" s="15"/>
      <c r="I327" s="16">
        <f>IF($G327="",0,$G327*IF($H327="",0,$H327))</f>
      </c>
      <c r="J327" s="16">
        <f>IF($G327="","",$G327+$I327)</f>
      </c>
      <c r="K327" s="8"/>
    </row>
    <row r="328" spans="2:11" x14ac:dyDescent="0.25">
      <c r="B328" s="12"/>
      <c r="C328" s="11"/>
      <c r="D328" s="11"/>
      <c r="E328" s="14">
        <f>IFERROR(IF($D328="","",VLOOKUP($D328,'Bütçe Kalemleri'!$B$5:$D$304,3,FALSE)),"— tanımsız kalem —")</f>
      </c>
      <c r="F328" s="11"/>
      <c r="G328" s="13"/>
      <c r="H328" s="17"/>
      <c r="I328" s="16">
        <f>IF($G328="",0,$G328*IF($H328="",0,$H328))</f>
      </c>
      <c r="J328" s="16">
        <f>IF($G328="","",$G328+$I328)</f>
      </c>
      <c r="K328" s="11"/>
    </row>
    <row r="329" spans="2:11" x14ac:dyDescent="0.25">
      <c r="B329" s="9"/>
      <c r="C329" s="8"/>
      <c r="D329" s="8"/>
      <c r="E329" s="14">
        <f>IFERROR(IF($D329="","",VLOOKUP($D329,'Bütçe Kalemleri'!$B$5:$D$304,3,FALSE)),"— tanımsız kalem —")</f>
      </c>
      <c r="F329" s="8"/>
      <c r="G329" s="10"/>
      <c r="H329" s="15"/>
      <c r="I329" s="16">
        <f>IF($G329="",0,$G329*IF($H329="",0,$H329))</f>
      </c>
      <c r="J329" s="16">
        <f>IF($G329="","",$G329+$I329)</f>
      </c>
      <c r="K329" s="8"/>
    </row>
    <row r="330" spans="2:11" x14ac:dyDescent="0.25">
      <c r="B330" s="12"/>
      <c r="C330" s="11"/>
      <c r="D330" s="11"/>
      <c r="E330" s="14">
        <f>IFERROR(IF($D330="","",VLOOKUP($D330,'Bütçe Kalemleri'!$B$5:$D$304,3,FALSE)),"— tanımsız kalem —")</f>
      </c>
      <c r="F330" s="11"/>
      <c r="G330" s="13"/>
      <c r="H330" s="17"/>
      <c r="I330" s="16">
        <f>IF($G330="",0,$G330*IF($H330="",0,$H330))</f>
      </c>
      <c r="J330" s="16">
        <f>IF($G330="","",$G330+$I330)</f>
      </c>
      <c r="K330" s="11"/>
    </row>
    <row r="331" spans="2:11" x14ac:dyDescent="0.25">
      <c r="B331" s="9"/>
      <c r="C331" s="8"/>
      <c r="D331" s="8"/>
      <c r="E331" s="14">
        <f>IFERROR(IF($D331="","",VLOOKUP($D331,'Bütçe Kalemleri'!$B$5:$D$304,3,FALSE)),"— tanımsız kalem —")</f>
      </c>
      <c r="F331" s="8"/>
      <c r="G331" s="10"/>
      <c r="H331" s="15"/>
      <c r="I331" s="16">
        <f>IF($G331="",0,$G331*IF($H331="",0,$H331))</f>
      </c>
      <c r="J331" s="16">
        <f>IF($G331="","",$G331+$I331)</f>
      </c>
      <c r="K331" s="8"/>
    </row>
    <row r="332" spans="2:11" x14ac:dyDescent="0.25">
      <c r="B332" s="12"/>
      <c r="C332" s="11"/>
      <c r="D332" s="11"/>
      <c r="E332" s="14">
        <f>IFERROR(IF($D332="","",VLOOKUP($D332,'Bütçe Kalemleri'!$B$5:$D$304,3,FALSE)),"— tanımsız kalem —")</f>
      </c>
      <c r="F332" s="11"/>
      <c r="G332" s="13"/>
      <c r="H332" s="17"/>
      <c r="I332" s="16">
        <f>IF($G332="",0,$G332*IF($H332="",0,$H332))</f>
      </c>
      <c r="J332" s="16">
        <f>IF($G332="","",$G332+$I332)</f>
      </c>
      <c r="K332" s="11"/>
    </row>
    <row r="333" spans="2:11" x14ac:dyDescent="0.25">
      <c r="B333" s="9"/>
      <c r="C333" s="8"/>
      <c r="D333" s="8"/>
      <c r="E333" s="14">
        <f>IFERROR(IF($D333="","",VLOOKUP($D333,'Bütçe Kalemleri'!$B$5:$D$304,3,FALSE)),"— tanımsız kalem —")</f>
      </c>
      <c r="F333" s="8"/>
      <c r="G333" s="10"/>
      <c r="H333" s="15"/>
      <c r="I333" s="16">
        <f>IF($G333="",0,$G333*IF($H333="",0,$H333))</f>
      </c>
      <c r="J333" s="16">
        <f>IF($G333="","",$G333+$I333)</f>
      </c>
      <c r="K333" s="8"/>
    </row>
    <row r="334" spans="2:11" x14ac:dyDescent="0.25">
      <c r="B334" s="12"/>
      <c r="C334" s="11"/>
      <c r="D334" s="11"/>
      <c r="E334" s="14">
        <f>IFERROR(IF($D334="","",VLOOKUP($D334,'Bütçe Kalemleri'!$B$5:$D$304,3,FALSE)),"— tanımsız kalem —")</f>
      </c>
      <c r="F334" s="11"/>
      <c r="G334" s="13"/>
      <c r="H334" s="17"/>
      <c r="I334" s="16">
        <f>IF($G334="",0,$G334*IF($H334="",0,$H334))</f>
      </c>
      <c r="J334" s="16">
        <f>IF($G334="","",$G334+$I334)</f>
      </c>
      <c r="K334" s="11"/>
    </row>
    <row r="335" spans="2:11" x14ac:dyDescent="0.25">
      <c r="B335" s="9"/>
      <c r="C335" s="8"/>
      <c r="D335" s="8"/>
      <c r="E335" s="14">
        <f>IFERROR(IF($D335="","",VLOOKUP($D335,'Bütçe Kalemleri'!$B$5:$D$304,3,FALSE)),"— tanımsız kalem —")</f>
      </c>
      <c r="F335" s="8"/>
      <c r="G335" s="10"/>
      <c r="H335" s="15"/>
      <c r="I335" s="16">
        <f>IF($G335="",0,$G335*IF($H335="",0,$H335))</f>
      </c>
      <c r="J335" s="16">
        <f>IF($G335="","",$G335+$I335)</f>
      </c>
      <c r="K335" s="8"/>
    </row>
    <row r="336" spans="2:11" x14ac:dyDescent="0.25">
      <c r="B336" s="12"/>
      <c r="C336" s="11"/>
      <c r="D336" s="11"/>
      <c r="E336" s="14">
        <f>IFERROR(IF($D336="","",VLOOKUP($D336,'Bütçe Kalemleri'!$B$5:$D$304,3,FALSE)),"— tanımsız kalem —")</f>
      </c>
      <c r="F336" s="11"/>
      <c r="G336" s="13"/>
      <c r="H336" s="17"/>
      <c r="I336" s="16">
        <f>IF($G336="",0,$G336*IF($H336="",0,$H336))</f>
      </c>
      <c r="J336" s="16">
        <f>IF($G336="","",$G336+$I336)</f>
      </c>
      <c r="K336" s="11"/>
    </row>
    <row r="337" spans="2:11" x14ac:dyDescent="0.25">
      <c r="B337" s="9"/>
      <c r="C337" s="8"/>
      <c r="D337" s="8"/>
      <c r="E337" s="14">
        <f>IFERROR(IF($D337="","",VLOOKUP($D337,'Bütçe Kalemleri'!$B$5:$D$304,3,FALSE)),"— tanımsız kalem —")</f>
      </c>
      <c r="F337" s="8"/>
      <c r="G337" s="10"/>
      <c r="H337" s="15"/>
      <c r="I337" s="16">
        <f>IF($G337="",0,$G337*IF($H337="",0,$H337))</f>
      </c>
      <c r="J337" s="16">
        <f>IF($G337="","",$G337+$I337)</f>
      </c>
      <c r="K337" s="8"/>
    </row>
    <row r="338" spans="2:11" x14ac:dyDescent="0.25">
      <c r="B338" s="12"/>
      <c r="C338" s="11"/>
      <c r="D338" s="11"/>
      <c r="E338" s="14">
        <f>IFERROR(IF($D338="","",VLOOKUP($D338,'Bütçe Kalemleri'!$B$5:$D$304,3,FALSE)),"— tanımsız kalem —")</f>
      </c>
      <c r="F338" s="11"/>
      <c r="G338" s="13"/>
      <c r="H338" s="17"/>
      <c r="I338" s="16">
        <f>IF($G338="",0,$G338*IF($H338="",0,$H338))</f>
      </c>
      <c r="J338" s="16">
        <f>IF($G338="","",$G338+$I338)</f>
      </c>
      <c r="K338" s="11"/>
    </row>
    <row r="339" spans="2:11" x14ac:dyDescent="0.25">
      <c r="B339" s="9"/>
      <c r="C339" s="8"/>
      <c r="D339" s="8"/>
      <c r="E339" s="14">
        <f>IFERROR(IF($D339="","",VLOOKUP($D339,'Bütçe Kalemleri'!$B$5:$D$304,3,FALSE)),"— tanımsız kalem —")</f>
      </c>
      <c r="F339" s="8"/>
      <c r="G339" s="10"/>
      <c r="H339" s="15"/>
      <c r="I339" s="16">
        <f>IF($G339="",0,$G339*IF($H339="",0,$H339))</f>
      </c>
      <c r="J339" s="16">
        <f>IF($G339="","",$G339+$I339)</f>
      </c>
      <c r="K339" s="8"/>
    </row>
    <row r="340" spans="2:11" x14ac:dyDescent="0.25">
      <c r="B340" s="12"/>
      <c r="C340" s="11"/>
      <c r="D340" s="11"/>
      <c r="E340" s="14">
        <f>IFERROR(IF($D340="","",VLOOKUP($D340,'Bütçe Kalemleri'!$B$5:$D$304,3,FALSE)),"— tanımsız kalem —")</f>
      </c>
      <c r="F340" s="11"/>
      <c r="G340" s="13"/>
      <c r="H340" s="17"/>
      <c r="I340" s="16">
        <f>IF($G340="",0,$G340*IF($H340="",0,$H340))</f>
      </c>
      <c r="J340" s="16">
        <f>IF($G340="","",$G340+$I340)</f>
      </c>
      <c r="K340" s="11"/>
    </row>
    <row r="341" spans="2:11" x14ac:dyDescent="0.25">
      <c r="B341" s="9"/>
      <c r="C341" s="8"/>
      <c r="D341" s="8"/>
      <c r="E341" s="14">
        <f>IFERROR(IF($D341="","",VLOOKUP($D341,'Bütçe Kalemleri'!$B$5:$D$304,3,FALSE)),"— tanımsız kalem —")</f>
      </c>
      <c r="F341" s="8"/>
      <c r="G341" s="10"/>
      <c r="H341" s="15"/>
      <c r="I341" s="16">
        <f>IF($G341="",0,$G341*IF($H341="",0,$H341))</f>
      </c>
      <c r="J341" s="16">
        <f>IF($G341="","",$G341+$I341)</f>
      </c>
      <c r="K341" s="8"/>
    </row>
    <row r="342" spans="2:11" x14ac:dyDescent="0.25">
      <c r="B342" s="12"/>
      <c r="C342" s="11"/>
      <c r="D342" s="11"/>
      <c r="E342" s="14">
        <f>IFERROR(IF($D342="","",VLOOKUP($D342,'Bütçe Kalemleri'!$B$5:$D$304,3,FALSE)),"— tanımsız kalem —")</f>
      </c>
      <c r="F342" s="11"/>
      <c r="G342" s="13"/>
      <c r="H342" s="17"/>
      <c r="I342" s="16">
        <f>IF($G342="",0,$G342*IF($H342="",0,$H342))</f>
      </c>
      <c r="J342" s="16">
        <f>IF($G342="","",$G342+$I342)</f>
      </c>
      <c r="K342" s="11"/>
    </row>
    <row r="343" spans="2:11" x14ac:dyDescent="0.25">
      <c r="B343" s="9"/>
      <c r="C343" s="8"/>
      <c r="D343" s="8"/>
      <c r="E343" s="14">
        <f>IFERROR(IF($D343="","",VLOOKUP($D343,'Bütçe Kalemleri'!$B$5:$D$304,3,FALSE)),"— tanımsız kalem —")</f>
      </c>
      <c r="F343" s="8"/>
      <c r="G343" s="10"/>
      <c r="H343" s="15"/>
      <c r="I343" s="16">
        <f>IF($G343="",0,$G343*IF($H343="",0,$H343))</f>
      </c>
      <c r="J343" s="16">
        <f>IF($G343="","",$G343+$I343)</f>
      </c>
      <c r="K343" s="8"/>
    </row>
    <row r="344" spans="2:11" x14ac:dyDescent="0.25">
      <c r="B344" s="12"/>
      <c r="C344" s="11"/>
      <c r="D344" s="11"/>
      <c r="E344" s="14">
        <f>IFERROR(IF($D344="","",VLOOKUP($D344,'Bütçe Kalemleri'!$B$5:$D$304,3,FALSE)),"— tanımsız kalem —")</f>
      </c>
      <c r="F344" s="11"/>
      <c r="G344" s="13"/>
      <c r="H344" s="17"/>
      <c r="I344" s="16">
        <f>IF($G344="",0,$G344*IF($H344="",0,$H344))</f>
      </c>
      <c r="J344" s="16">
        <f>IF($G344="","",$G344+$I344)</f>
      </c>
      <c r="K344" s="11"/>
    </row>
    <row r="345" spans="2:11" x14ac:dyDescent="0.25">
      <c r="B345" s="9"/>
      <c r="C345" s="8"/>
      <c r="D345" s="8"/>
      <c r="E345" s="14">
        <f>IFERROR(IF($D345="","",VLOOKUP($D345,'Bütçe Kalemleri'!$B$5:$D$304,3,FALSE)),"— tanımsız kalem —")</f>
      </c>
      <c r="F345" s="8"/>
      <c r="G345" s="10"/>
      <c r="H345" s="15"/>
      <c r="I345" s="16">
        <f>IF($G345="",0,$G345*IF($H345="",0,$H345))</f>
      </c>
      <c r="J345" s="16">
        <f>IF($G345="","",$G345+$I345)</f>
      </c>
      <c r="K345" s="8"/>
    </row>
    <row r="346" spans="2:11" x14ac:dyDescent="0.25">
      <c r="B346" s="12"/>
      <c r="C346" s="11"/>
      <c r="D346" s="11"/>
      <c r="E346" s="14">
        <f>IFERROR(IF($D346="","",VLOOKUP($D346,'Bütçe Kalemleri'!$B$5:$D$304,3,FALSE)),"— tanımsız kalem —")</f>
      </c>
      <c r="F346" s="11"/>
      <c r="G346" s="13"/>
      <c r="H346" s="17"/>
      <c r="I346" s="16">
        <f>IF($G346="",0,$G346*IF($H346="",0,$H346))</f>
      </c>
      <c r="J346" s="16">
        <f>IF($G346="","",$G346+$I346)</f>
      </c>
      <c r="K346" s="11"/>
    </row>
    <row r="347" spans="2:11" x14ac:dyDescent="0.25">
      <c r="B347" s="9"/>
      <c r="C347" s="8"/>
      <c r="D347" s="8"/>
      <c r="E347" s="14">
        <f>IFERROR(IF($D347="","",VLOOKUP($D347,'Bütçe Kalemleri'!$B$5:$D$304,3,FALSE)),"— tanımsız kalem —")</f>
      </c>
      <c r="F347" s="8"/>
      <c r="G347" s="10"/>
      <c r="H347" s="15"/>
      <c r="I347" s="16">
        <f>IF($G347="",0,$G347*IF($H347="",0,$H347))</f>
      </c>
      <c r="J347" s="16">
        <f>IF($G347="","",$G347+$I347)</f>
      </c>
      <c r="K347" s="8"/>
    </row>
    <row r="348" spans="2:11" x14ac:dyDescent="0.25">
      <c r="B348" s="12"/>
      <c r="C348" s="11"/>
      <c r="D348" s="11"/>
      <c r="E348" s="14">
        <f>IFERROR(IF($D348="","",VLOOKUP($D348,'Bütçe Kalemleri'!$B$5:$D$304,3,FALSE)),"— tanımsız kalem —")</f>
      </c>
      <c r="F348" s="11"/>
      <c r="G348" s="13"/>
      <c r="H348" s="17"/>
      <c r="I348" s="16">
        <f>IF($G348="",0,$G348*IF($H348="",0,$H348))</f>
      </c>
      <c r="J348" s="16">
        <f>IF($G348="","",$G348+$I348)</f>
      </c>
      <c r="K348" s="11"/>
    </row>
    <row r="349" spans="2:11" x14ac:dyDescent="0.25">
      <c r="B349" s="9"/>
      <c r="C349" s="8"/>
      <c r="D349" s="8"/>
      <c r="E349" s="14">
        <f>IFERROR(IF($D349="","",VLOOKUP($D349,'Bütçe Kalemleri'!$B$5:$D$304,3,FALSE)),"— tanımsız kalem —")</f>
      </c>
      <c r="F349" s="8"/>
      <c r="G349" s="10"/>
      <c r="H349" s="15"/>
      <c r="I349" s="16">
        <f>IF($G349="",0,$G349*IF($H349="",0,$H349))</f>
      </c>
      <c r="J349" s="16">
        <f>IF($G349="","",$G349+$I349)</f>
      </c>
      <c r="K349" s="8"/>
    </row>
    <row r="350" spans="2:11" x14ac:dyDescent="0.25">
      <c r="B350" s="12"/>
      <c r="C350" s="11"/>
      <c r="D350" s="11"/>
      <c r="E350" s="14">
        <f>IFERROR(IF($D350="","",VLOOKUP($D350,'Bütçe Kalemleri'!$B$5:$D$304,3,FALSE)),"— tanımsız kalem —")</f>
      </c>
      <c r="F350" s="11"/>
      <c r="G350" s="13"/>
      <c r="H350" s="17"/>
      <c r="I350" s="16">
        <f>IF($G350="",0,$G350*IF($H350="",0,$H350))</f>
      </c>
      <c r="J350" s="16">
        <f>IF($G350="","",$G350+$I350)</f>
      </c>
      <c r="K350" s="11"/>
    </row>
    <row r="351" spans="2:11" x14ac:dyDescent="0.25">
      <c r="B351" s="9"/>
      <c r="C351" s="8"/>
      <c r="D351" s="8"/>
      <c r="E351" s="14">
        <f>IFERROR(IF($D351="","",VLOOKUP($D351,'Bütçe Kalemleri'!$B$5:$D$304,3,FALSE)),"— tanımsız kalem —")</f>
      </c>
      <c r="F351" s="8"/>
      <c r="G351" s="10"/>
      <c r="H351" s="15"/>
      <c r="I351" s="16">
        <f>IF($G351="",0,$G351*IF($H351="",0,$H351))</f>
      </c>
      <c r="J351" s="16">
        <f>IF($G351="","",$G351+$I351)</f>
      </c>
      <c r="K351" s="8"/>
    </row>
    <row r="352" spans="2:11" x14ac:dyDescent="0.25">
      <c r="B352" s="12"/>
      <c r="C352" s="11"/>
      <c r="D352" s="11"/>
      <c r="E352" s="14">
        <f>IFERROR(IF($D352="","",VLOOKUP($D352,'Bütçe Kalemleri'!$B$5:$D$304,3,FALSE)),"— tanımsız kalem —")</f>
      </c>
      <c r="F352" s="11"/>
      <c r="G352" s="13"/>
      <c r="H352" s="17"/>
      <c r="I352" s="16">
        <f>IF($G352="",0,$G352*IF($H352="",0,$H352))</f>
      </c>
      <c r="J352" s="16">
        <f>IF($G352="","",$G352+$I352)</f>
      </c>
      <c r="K352" s="11"/>
    </row>
    <row r="353" spans="2:11" x14ac:dyDescent="0.25">
      <c r="B353" s="9"/>
      <c r="C353" s="8"/>
      <c r="D353" s="8"/>
      <c r="E353" s="14">
        <f>IFERROR(IF($D353="","",VLOOKUP($D353,'Bütçe Kalemleri'!$B$5:$D$304,3,FALSE)),"— tanımsız kalem —")</f>
      </c>
      <c r="F353" s="8"/>
      <c r="G353" s="10"/>
      <c r="H353" s="15"/>
      <c r="I353" s="16">
        <f>IF($G353="",0,$G353*IF($H353="",0,$H353))</f>
      </c>
      <c r="J353" s="16">
        <f>IF($G353="","",$G353+$I353)</f>
      </c>
      <c r="K353" s="8"/>
    </row>
    <row r="354" spans="2:11" x14ac:dyDescent="0.25">
      <c r="B354" s="12"/>
      <c r="C354" s="11"/>
      <c r="D354" s="11"/>
      <c r="E354" s="14">
        <f>IFERROR(IF($D354="","",VLOOKUP($D354,'Bütçe Kalemleri'!$B$5:$D$304,3,FALSE)),"— tanımsız kalem —")</f>
      </c>
      <c r="F354" s="11"/>
      <c r="G354" s="13"/>
      <c r="H354" s="17"/>
      <c r="I354" s="16">
        <f>IF($G354="",0,$G354*IF($H354="",0,$H354))</f>
      </c>
      <c r="J354" s="16">
        <f>IF($G354="","",$G354+$I354)</f>
      </c>
      <c r="K354" s="11"/>
    </row>
    <row r="355" spans="2:11" x14ac:dyDescent="0.25">
      <c r="B355" s="9"/>
      <c r="C355" s="8"/>
      <c r="D355" s="8"/>
      <c r="E355" s="14">
        <f>IFERROR(IF($D355="","",VLOOKUP($D355,'Bütçe Kalemleri'!$B$5:$D$304,3,FALSE)),"— tanımsız kalem —")</f>
      </c>
      <c r="F355" s="8"/>
      <c r="G355" s="10"/>
      <c r="H355" s="15"/>
      <c r="I355" s="16">
        <f>IF($G355="",0,$G355*IF($H355="",0,$H355))</f>
      </c>
      <c r="J355" s="16">
        <f>IF($G355="","",$G355+$I355)</f>
      </c>
      <c r="K355" s="8"/>
    </row>
    <row r="356" spans="2:11" x14ac:dyDescent="0.25">
      <c r="B356" s="12"/>
      <c r="C356" s="11"/>
      <c r="D356" s="11"/>
      <c r="E356" s="14">
        <f>IFERROR(IF($D356="","",VLOOKUP($D356,'Bütçe Kalemleri'!$B$5:$D$304,3,FALSE)),"— tanımsız kalem —")</f>
      </c>
      <c r="F356" s="11"/>
      <c r="G356" s="13"/>
      <c r="H356" s="17"/>
      <c r="I356" s="16">
        <f>IF($G356="",0,$G356*IF($H356="",0,$H356))</f>
      </c>
      <c r="J356" s="16">
        <f>IF($G356="","",$G356+$I356)</f>
      </c>
      <c r="K356" s="11"/>
    </row>
    <row r="357" spans="2:11" x14ac:dyDescent="0.25">
      <c r="B357" s="9"/>
      <c r="C357" s="8"/>
      <c r="D357" s="8"/>
      <c r="E357" s="14">
        <f>IFERROR(IF($D357="","",VLOOKUP($D357,'Bütçe Kalemleri'!$B$5:$D$304,3,FALSE)),"— tanımsız kalem —")</f>
      </c>
      <c r="F357" s="8"/>
      <c r="G357" s="10"/>
      <c r="H357" s="15"/>
      <c r="I357" s="16">
        <f>IF($G357="",0,$G357*IF($H357="",0,$H357))</f>
      </c>
      <c r="J357" s="16">
        <f>IF($G357="","",$G357+$I357)</f>
      </c>
      <c r="K357" s="8"/>
    </row>
    <row r="358" spans="2:11" x14ac:dyDescent="0.25">
      <c r="B358" s="12"/>
      <c r="C358" s="11"/>
      <c r="D358" s="11"/>
      <c r="E358" s="14">
        <f>IFERROR(IF($D358="","",VLOOKUP($D358,'Bütçe Kalemleri'!$B$5:$D$304,3,FALSE)),"— tanımsız kalem —")</f>
      </c>
      <c r="F358" s="11"/>
      <c r="G358" s="13"/>
      <c r="H358" s="17"/>
      <c r="I358" s="16">
        <f>IF($G358="",0,$G358*IF($H358="",0,$H358))</f>
      </c>
      <c r="J358" s="16">
        <f>IF($G358="","",$G358+$I358)</f>
      </c>
      <c r="K358" s="11"/>
    </row>
    <row r="359" spans="2:11" x14ac:dyDescent="0.25">
      <c r="B359" s="9"/>
      <c r="C359" s="8"/>
      <c r="D359" s="8"/>
      <c r="E359" s="14">
        <f>IFERROR(IF($D359="","",VLOOKUP($D359,'Bütçe Kalemleri'!$B$5:$D$304,3,FALSE)),"— tanımsız kalem —")</f>
      </c>
      <c r="F359" s="8"/>
      <c r="G359" s="10"/>
      <c r="H359" s="15"/>
      <c r="I359" s="16">
        <f>IF($G359="",0,$G359*IF($H359="",0,$H359))</f>
      </c>
      <c r="J359" s="16">
        <f>IF($G359="","",$G359+$I359)</f>
      </c>
      <c r="K359" s="8"/>
    </row>
    <row r="360" spans="2:11" x14ac:dyDescent="0.25">
      <c r="B360" s="12"/>
      <c r="C360" s="11"/>
      <c r="D360" s="11"/>
      <c r="E360" s="14">
        <f>IFERROR(IF($D360="","",VLOOKUP($D360,'Bütçe Kalemleri'!$B$5:$D$304,3,FALSE)),"— tanımsız kalem —")</f>
      </c>
      <c r="F360" s="11"/>
      <c r="G360" s="13"/>
      <c r="H360" s="17"/>
      <c r="I360" s="16">
        <f>IF($G360="",0,$G360*IF($H360="",0,$H360))</f>
      </c>
      <c r="J360" s="16">
        <f>IF($G360="","",$G360+$I360)</f>
      </c>
      <c r="K360" s="11"/>
    </row>
    <row r="361" spans="2:11" x14ac:dyDescent="0.25">
      <c r="B361" s="9"/>
      <c r="C361" s="8"/>
      <c r="D361" s="8"/>
      <c r="E361" s="14">
        <f>IFERROR(IF($D361="","",VLOOKUP($D361,'Bütçe Kalemleri'!$B$5:$D$304,3,FALSE)),"— tanımsız kalem —")</f>
      </c>
      <c r="F361" s="8"/>
      <c r="G361" s="10"/>
      <c r="H361" s="15"/>
      <c r="I361" s="16">
        <f>IF($G361="",0,$G361*IF($H361="",0,$H361))</f>
      </c>
      <c r="J361" s="16">
        <f>IF($G361="","",$G361+$I361)</f>
      </c>
      <c r="K361" s="8"/>
    </row>
    <row r="362" spans="2:11" x14ac:dyDescent="0.25">
      <c r="B362" s="12"/>
      <c r="C362" s="11"/>
      <c r="D362" s="11"/>
      <c r="E362" s="14">
        <f>IFERROR(IF($D362="","",VLOOKUP($D362,'Bütçe Kalemleri'!$B$5:$D$304,3,FALSE)),"— tanımsız kalem —")</f>
      </c>
      <c r="F362" s="11"/>
      <c r="G362" s="13"/>
      <c r="H362" s="17"/>
      <c r="I362" s="16">
        <f>IF($G362="",0,$G362*IF($H362="",0,$H362))</f>
      </c>
      <c r="J362" s="16">
        <f>IF($G362="","",$G362+$I362)</f>
      </c>
      <c r="K362" s="11"/>
    </row>
    <row r="363" spans="2:11" x14ac:dyDescent="0.25">
      <c r="B363" s="9"/>
      <c r="C363" s="8"/>
      <c r="D363" s="8"/>
      <c r="E363" s="14">
        <f>IFERROR(IF($D363="","",VLOOKUP($D363,'Bütçe Kalemleri'!$B$5:$D$304,3,FALSE)),"— tanımsız kalem —")</f>
      </c>
      <c r="F363" s="8"/>
      <c r="G363" s="10"/>
      <c r="H363" s="15"/>
      <c r="I363" s="16">
        <f>IF($G363="",0,$G363*IF($H363="",0,$H363))</f>
      </c>
      <c r="J363" s="16">
        <f>IF($G363="","",$G363+$I363)</f>
      </c>
      <c r="K363" s="8"/>
    </row>
    <row r="364" spans="2:11" x14ac:dyDescent="0.25">
      <c r="B364" s="12"/>
      <c r="C364" s="11"/>
      <c r="D364" s="11"/>
      <c r="E364" s="14">
        <f>IFERROR(IF($D364="","",VLOOKUP($D364,'Bütçe Kalemleri'!$B$5:$D$304,3,FALSE)),"— tanımsız kalem —")</f>
      </c>
      <c r="F364" s="11"/>
      <c r="G364" s="13"/>
      <c r="H364" s="17"/>
      <c r="I364" s="16">
        <f>IF($G364="",0,$G364*IF($H364="",0,$H364))</f>
      </c>
      <c r="J364" s="16">
        <f>IF($G364="","",$G364+$I364)</f>
      </c>
      <c r="K364" s="11"/>
    </row>
    <row r="365" spans="2:11" x14ac:dyDescent="0.25">
      <c r="B365" s="9"/>
      <c r="C365" s="8"/>
      <c r="D365" s="8"/>
      <c r="E365" s="14">
        <f>IFERROR(IF($D365="","",VLOOKUP($D365,'Bütçe Kalemleri'!$B$5:$D$304,3,FALSE)),"— tanımsız kalem —")</f>
      </c>
      <c r="F365" s="8"/>
      <c r="G365" s="10"/>
      <c r="H365" s="15"/>
      <c r="I365" s="16">
        <f>IF($G365="",0,$G365*IF($H365="",0,$H365))</f>
      </c>
      <c r="J365" s="16">
        <f>IF($G365="","",$G365+$I365)</f>
      </c>
      <c r="K365" s="8"/>
    </row>
    <row r="366" spans="2:11" x14ac:dyDescent="0.25">
      <c r="B366" s="12"/>
      <c r="C366" s="11"/>
      <c r="D366" s="11"/>
      <c r="E366" s="14">
        <f>IFERROR(IF($D366="","",VLOOKUP($D366,'Bütçe Kalemleri'!$B$5:$D$304,3,FALSE)),"— tanımsız kalem —")</f>
      </c>
      <c r="F366" s="11"/>
      <c r="G366" s="13"/>
      <c r="H366" s="17"/>
      <c r="I366" s="16">
        <f>IF($G366="",0,$G366*IF($H366="",0,$H366))</f>
      </c>
      <c r="J366" s="16">
        <f>IF($G366="","",$G366+$I366)</f>
      </c>
      <c r="K366" s="11"/>
    </row>
    <row r="367" spans="2:11" x14ac:dyDescent="0.25">
      <c r="B367" s="9"/>
      <c r="C367" s="8"/>
      <c r="D367" s="8"/>
      <c r="E367" s="14">
        <f>IFERROR(IF($D367="","",VLOOKUP($D367,'Bütçe Kalemleri'!$B$5:$D$304,3,FALSE)),"— tanımsız kalem —")</f>
      </c>
      <c r="F367" s="8"/>
      <c r="G367" s="10"/>
      <c r="H367" s="15"/>
      <c r="I367" s="16">
        <f>IF($G367="",0,$G367*IF($H367="",0,$H367))</f>
      </c>
      <c r="J367" s="16">
        <f>IF($G367="","",$G367+$I367)</f>
      </c>
      <c r="K367" s="8"/>
    </row>
    <row r="368" spans="2:11" x14ac:dyDescent="0.25">
      <c r="B368" s="12"/>
      <c r="C368" s="11"/>
      <c r="D368" s="11"/>
      <c r="E368" s="14">
        <f>IFERROR(IF($D368="","",VLOOKUP($D368,'Bütçe Kalemleri'!$B$5:$D$304,3,FALSE)),"— tanımsız kalem —")</f>
      </c>
      <c r="F368" s="11"/>
      <c r="G368" s="13"/>
      <c r="H368" s="17"/>
      <c r="I368" s="16">
        <f>IF($G368="",0,$G368*IF($H368="",0,$H368))</f>
      </c>
      <c r="J368" s="16">
        <f>IF($G368="","",$G368+$I368)</f>
      </c>
      <c r="K368" s="11"/>
    </row>
    <row r="369" spans="2:11" x14ac:dyDescent="0.25">
      <c r="B369" s="9"/>
      <c r="C369" s="8"/>
      <c r="D369" s="8"/>
      <c r="E369" s="14">
        <f>IFERROR(IF($D369="","",VLOOKUP($D369,'Bütçe Kalemleri'!$B$5:$D$304,3,FALSE)),"— tanımsız kalem —")</f>
      </c>
      <c r="F369" s="8"/>
      <c r="G369" s="10"/>
      <c r="H369" s="15"/>
      <c r="I369" s="16">
        <f>IF($G369="",0,$G369*IF($H369="",0,$H369))</f>
      </c>
      <c r="J369" s="16">
        <f>IF($G369="","",$G369+$I369)</f>
      </c>
      <c r="K369" s="8"/>
    </row>
    <row r="370" spans="2:11" x14ac:dyDescent="0.25">
      <c r="B370" s="12"/>
      <c r="C370" s="11"/>
      <c r="D370" s="11"/>
      <c r="E370" s="14">
        <f>IFERROR(IF($D370="","",VLOOKUP($D370,'Bütçe Kalemleri'!$B$5:$D$304,3,FALSE)),"— tanımsız kalem —")</f>
      </c>
      <c r="F370" s="11"/>
      <c r="G370" s="13"/>
      <c r="H370" s="17"/>
      <c r="I370" s="16">
        <f>IF($G370="",0,$G370*IF($H370="",0,$H370))</f>
      </c>
      <c r="J370" s="16">
        <f>IF($G370="","",$G370+$I370)</f>
      </c>
      <c r="K370" s="11"/>
    </row>
    <row r="371" spans="2:11" x14ac:dyDescent="0.25">
      <c r="B371" s="9"/>
      <c r="C371" s="8"/>
      <c r="D371" s="8"/>
      <c r="E371" s="14">
        <f>IFERROR(IF($D371="","",VLOOKUP($D371,'Bütçe Kalemleri'!$B$5:$D$304,3,FALSE)),"— tanımsız kalem —")</f>
      </c>
      <c r="F371" s="8"/>
      <c r="G371" s="10"/>
      <c r="H371" s="15"/>
      <c r="I371" s="16">
        <f>IF($G371="",0,$G371*IF($H371="",0,$H371))</f>
      </c>
      <c r="J371" s="16">
        <f>IF($G371="","",$G371+$I371)</f>
      </c>
      <c r="K371" s="8"/>
    </row>
    <row r="372" spans="2:11" x14ac:dyDescent="0.25">
      <c r="B372" s="12"/>
      <c r="C372" s="11"/>
      <c r="D372" s="11"/>
      <c r="E372" s="14">
        <f>IFERROR(IF($D372="","",VLOOKUP($D372,'Bütçe Kalemleri'!$B$5:$D$304,3,FALSE)),"— tanımsız kalem —")</f>
      </c>
      <c r="F372" s="11"/>
      <c r="G372" s="13"/>
      <c r="H372" s="17"/>
      <c r="I372" s="16">
        <f>IF($G372="",0,$G372*IF($H372="",0,$H372))</f>
      </c>
      <c r="J372" s="16">
        <f>IF($G372="","",$G372+$I372)</f>
      </c>
      <c r="K372" s="11"/>
    </row>
    <row r="373" spans="2:11" x14ac:dyDescent="0.25">
      <c r="B373" s="9"/>
      <c r="C373" s="8"/>
      <c r="D373" s="8"/>
      <c r="E373" s="14">
        <f>IFERROR(IF($D373="","",VLOOKUP($D373,'Bütçe Kalemleri'!$B$5:$D$304,3,FALSE)),"— tanımsız kalem —")</f>
      </c>
      <c r="F373" s="8"/>
      <c r="G373" s="10"/>
      <c r="H373" s="15"/>
      <c r="I373" s="16">
        <f>IF($G373="",0,$G373*IF($H373="",0,$H373))</f>
      </c>
      <c r="J373" s="16">
        <f>IF($G373="","",$G373+$I373)</f>
      </c>
      <c r="K373" s="8"/>
    </row>
    <row r="374" spans="2:11" x14ac:dyDescent="0.25">
      <c r="B374" s="12"/>
      <c r="C374" s="11"/>
      <c r="D374" s="11"/>
      <c r="E374" s="14">
        <f>IFERROR(IF($D374="","",VLOOKUP($D374,'Bütçe Kalemleri'!$B$5:$D$304,3,FALSE)),"— tanımsız kalem —")</f>
      </c>
      <c r="F374" s="11"/>
      <c r="G374" s="13"/>
      <c r="H374" s="17"/>
      <c r="I374" s="16">
        <f>IF($G374="",0,$G374*IF($H374="",0,$H374))</f>
      </c>
      <c r="J374" s="16">
        <f>IF($G374="","",$G374+$I374)</f>
      </c>
      <c r="K374" s="11"/>
    </row>
    <row r="375" spans="2:11" x14ac:dyDescent="0.25">
      <c r="B375" s="9"/>
      <c r="C375" s="8"/>
      <c r="D375" s="8"/>
      <c r="E375" s="14">
        <f>IFERROR(IF($D375="","",VLOOKUP($D375,'Bütçe Kalemleri'!$B$5:$D$304,3,FALSE)),"— tanımsız kalem —")</f>
      </c>
      <c r="F375" s="8"/>
      <c r="G375" s="10"/>
      <c r="H375" s="15"/>
      <c r="I375" s="16">
        <f>IF($G375="",0,$G375*IF($H375="",0,$H375))</f>
      </c>
      <c r="J375" s="16">
        <f>IF($G375="","",$G375+$I375)</f>
      </c>
      <c r="K375" s="8"/>
    </row>
    <row r="376" spans="2:11" x14ac:dyDescent="0.25">
      <c r="B376" s="12"/>
      <c r="C376" s="11"/>
      <c r="D376" s="11"/>
      <c r="E376" s="14">
        <f>IFERROR(IF($D376="","",VLOOKUP($D376,'Bütçe Kalemleri'!$B$5:$D$304,3,FALSE)),"— tanımsız kalem —")</f>
      </c>
      <c r="F376" s="11"/>
      <c r="G376" s="13"/>
      <c r="H376" s="17"/>
      <c r="I376" s="16">
        <f>IF($G376="",0,$G376*IF($H376="",0,$H376))</f>
      </c>
      <c r="J376" s="16">
        <f>IF($G376="","",$G376+$I376)</f>
      </c>
      <c r="K376" s="11"/>
    </row>
    <row r="377" spans="2:11" x14ac:dyDescent="0.25">
      <c r="B377" s="9"/>
      <c r="C377" s="8"/>
      <c r="D377" s="8"/>
      <c r="E377" s="14">
        <f>IFERROR(IF($D377="","",VLOOKUP($D377,'Bütçe Kalemleri'!$B$5:$D$304,3,FALSE)),"— tanımsız kalem —")</f>
      </c>
      <c r="F377" s="8"/>
      <c r="G377" s="10"/>
      <c r="H377" s="15"/>
      <c r="I377" s="16">
        <f>IF($G377="",0,$G377*IF($H377="",0,$H377))</f>
      </c>
      <c r="J377" s="16">
        <f>IF($G377="","",$G377+$I377)</f>
      </c>
      <c r="K377" s="8"/>
    </row>
    <row r="378" spans="2:11" x14ac:dyDescent="0.25">
      <c r="B378" s="12"/>
      <c r="C378" s="11"/>
      <c r="D378" s="11"/>
      <c r="E378" s="14">
        <f>IFERROR(IF($D378="","",VLOOKUP($D378,'Bütçe Kalemleri'!$B$5:$D$304,3,FALSE)),"— tanımsız kalem —")</f>
      </c>
      <c r="F378" s="11"/>
      <c r="G378" s="13"/>
      <c r="H378" s="17"/>
      <c r="I378" s="16">
        <f>IF($G378="",0,$G378*IF($H378="",0,$H378))</f>
      </c>
      <c r="J378" s="16">
        <f>IF($G378="","",$G378+$I378)</f>
      </c>
      <c r="K378" s="11"/>
    </row>
    <row r="379" spans="2:11" x14ac:dyDescent="0.25">
      <c r="B379" s="9"/>
      <c r="C379" s="8"/>
      <c r="D379" s="8"/>
      <c r="E379" s="14">
        <f>IFERROR(IF($D379="","",VLOOKUP($D379,'Bütçe Kalemleri'!$B$5:$D$304,3,FALSE)),"— tanımsız kalem —")</f>
      </c>
      <c r="F379" s="8"/>
      <c r="G379" s="10"/>
      <c r="H379" s="15"/>
      <c r="I379" s="16">
        <f>IF($G379="",0,$G379*IF($H379="",0,$H379))</f>
      </c>
      <c r="J379" s="16">
        <f>IF($G379="","",$G379+$I379)</f>
      </c>
      <c r="K379" s="8"/>
    </row>
    <row r="380" spans="2:11" x14ac:dyDescent="0.25">
      <c r="B380" s="12"/>
      <c r="C380" s="11"/>
      <c r="D380" s="11"/>
      <c r="E380" s="14">
        <f>IFERROR(IF($D380="","",VLOOKUP($D380,'Bütçe Kalemleri'!$B$5:$D$304,3,FALSE)),"— tanımsız kalem —")</f>
      </c>
      <c r="F380" s="11"/>
      <c r="G380" s="13"/>
      <c r="H380" s="17"/>
      <c r="I380" s="16">
        <f>IF($G380="",0,$G380*IF($H380="",0,$H380))</f>
      </c>
      <c r="J380" s="16">
        <f>IF($G380="","",$G380+$I380)</f>
      </c>
      <c r="K380" s="11"/>
    </row>
    <row r="381" spans="2:11" x14ac:dyDescent="0.25">
      <c r="B381" s="9"/>
      <c r="C381" s="8"/>
      <c r="D381" s="8"/>
      <c r="E381" s="14">
        <f>IFERROR(IF($D381="","",VLOOKUP($D381,'Bütçe Kalemleri'!$B$5:$D$304,3,FALSE)),"— tanımsız kalem —")</f>
      </c>
      <c r="F381" s="8"/>
      <c r="G381" s="10"/>
      <c r="H381" s="15"/>
      <c r="I381" s="16">
        <f>IF($G381="",0,$G381*IF($H381="",0,$H381))</f>
      </c>
      <c r="J381" s="16">
        <f>IF($G381="","",$G381+$I381)</f>
      </c>
      <c r="K381" s="8"/>
    </row>
    <row r="382" spans="2:11" x14ac:dyDescent="0.25">
      <c r="B382" s="12"/>
      <c r="C382" s="11"/>
      <c r="D382" s="11"/>
      <c r="E382" s="14">
        <f>IFERROR(IF($D382="","",VLOOKUP($D382,'Bütçe Kalemleri'!$B$5:$D$304,3,FALSE)),"— tanımsız kalem —")</f>
      </c>
      <c r="F382" s="11"/>
      <c r="G382" s="13"/>
      <c r="H382" s="17"/>
      <c r="I382" s="16">
        <f>IF($G382="",0,$G382*IF($H382="",0,$H382))</f>
      </c>
      <c r="J382" s="16">
        <f>IF($G382="","",$G382+$I382)</f>
      </c>
      <c r="K382" s="11"/>
    </row>
    <row r="383" spans="2:11" x14ac:dyDescent="0.25">
      <c r="B383" s="9"/>
      <c r="C383" s="8"/>
      <c r="D383" s="8"/>
      <c r="E383" s="14">
        <f>IFERROR(IF($D383="","",VLOOKUP($D383,'Bütçe Kalemleri'!$B$5:$D$304,3,FALSE)),"— tanımsız kalem —")</f>
      </c>
      <c r="F383" s="8"/>
      <c r="G383" s="10"/>
      <c r="H383" s="15"/>
      <c r="I383" s="16">
        <f>IF($G383="",0,$G383*IF($H383="",0,$H383))</f>
      </c>
      <c r="J383" s="16">
        <f>IF($G383="","",$G383+$I383)</f>
      </c>
      <c r="K383" s="8"/>
    </row>
    <row r="384" spans="2:11" x14ac:dyDescent="0.25">
      <c r="B384" s="12"/>
      <c r="C384" s="11"/>
      <c r="D384" s="11"/>
      <c r="E384" s="14">
        <f>IFERROR(IF($D384="","",VLOOKUP($D384,'Bütçe Kalemleri'!$B$5:$D$304,3,FALSE)),"— tanımsız kalem —")</f>
      </c>
      <c r="F384" s="11"/>
      <c r="G384" s="13"/>
      <c r="H384" s="17"/>
      <c r="I384" s="16">
        <f>IF($G384="",0,$G384*IF($H384="",0,$H384))</f>
      </c>
      <c r="J384" s="16">
        <f>IF($G384="","",$G384+$I384)</f>
      </c>
      <c r="K384" s="11"/>
    </row>
    <row r="385" spans="2:11" x14ac:dyDescent="0.25">
      <c r="B385" s="9"/>
      <c r="C385" s="8"/>
      <c r="D385" s="8"/>
      <c r="E385" s="14">
        <f>IFERROR(IF($D385="","",VLOOKUP($D385,'Bütçe Kalemleri'!$B$5:$D$304,3,FALSE)),"— tanımsız kalem —")</f>
      </c>
      <c r="F385" s="8"/>
      <c r="G385" s="10"/>
      <c r="H385" s="15"/>
      <c r="I385" s="16">
        <f>IF($G385="",0,$G385*IF($H385="",0,$H385))</f>
      </c>
      <c r="J385" s="16">
        <f>IF($G385="","",$G385+$I385)</f>
      </c>
      <c r="K385" s="8"/>
    </row>
    <row r="386" spans="2:11" x14ac:dyDescent="0.25">
      <c r="B386" s="12"/>
      <c r="C386" s="11"/>
      <c r="D386" s="11"/>
      <c r="E386" s="14">
        <f>IFERROR(IF($D386="","",VLOOKUP($D386,'Bütçe Kalemleri'!$B$5:$D$304,3,FALSE)),"— tanımsız kalem —")</f>
      </c>
      <c r="F386" s="11"/>
      <c r="G386" s="13"/>
      <c r="H386" s="17"/>
      <c r="I386" s="16">
        <f>IF($G386="",0,$G386*IF($H386="",0,$H386))</f>
      </c>
      <c r="J386" s="16">
        <f>IF($G386="","",$G386+$I386)</f>
      </c>
      <c r="K386" s="11"/>
    </row>
    <row r="387" spans="2:11" x14ac:dyDescent="0.25">
      <c r="B387" s="9"/>
      <c r="C387" s="8"/>
      <c r="D387" s="8"/>
      <c r="E387" s="14">
        <f>IFERROR(IF($D387="","",VLOOKUP($D387,'Bütçe Kalemleri'!$B$5:$D$304,3,FALSE)),"— tanımsız kalem —")</f>
      </c>
      <c r="F387" s="8"/>
      <c r="G387" s="10"/>
      <c r="H387" s="15"/>
      <c r="I387" s="16">
        <f>IF($G387="",0,$G387*IF($H387="",0,$H387))</f>
      </c>
      <c r="J387" s="16">
        <f>IF($G387="","",$G387+$I387)</f>
      </c>
      <c r="K387" s="8"/>
    </row>
    <row r="388" spans="2:11" x14ac:dyDescent="0.25">
      <c r="B388" s="12"/>
      <c r="C388" s="11"/>
      <c r="D388" s="11"/>
      <c r="E388" s="14">
        <f>IFERROR(IF($D388="","",VLOOKUP($D388,'Bütçe Kalemleri'!$B$5:$D$304,3,FALSE)),"— tanımsız kalem —")</f>
      </c>
      <c r="F388" s="11"/>
      <c r="G388" s="13"/>
      <c r="H388" s="17"/>
      <c r="I388" s="16">
        <f>IF($G388="",0,$G388*IF($H388="",0,$H388))</f>
      </c>
      <c r="J388" s="16">
        <f>IF($G388="","",$G388+$I388)</f>
      </c>
      <c r="K388" s="11"/>
    </row>
    <row r="389" spans="2:11" x14ac:dyDescent="0.25">
      <c r="B389" s="9"/>
      <c r="C389" s="8"/>
      <c r="D389" s="8"/>
      <c r="E389" s="14">
        <f>IFERROR(IF($D389="","",VLOOKUP($D389,'Bütçe Kalemleri'!$B$5:$D$304,3,FALSE)),"— tanımsız kalem —")</f>
      </c>
      <c r="F389" s="8"/>
      <c r="G389" s="10"/>
      <c r="H389" s="15"/>
      <c r="I389" s="16">
        <f>IF($G389="",0,$G389*IF($H389="",0,$H389))</f>
      </c>
      <c r="J389" s="16">
        <f>IF($G389="","",$G389+$I389)</f>
      </c>
      <c r="K389" s="8"/>
    </row>
    <row r="390" spans="2:11" x14ac:dyDescent="0.25">
      <c r="B390" s="12"/>
      <c r="C390" s="11"/>
      <c r="D390" s="11"/>
      <c r="E390" s="14">
        <f>IFERROR(IF($D390="","",VLOOKUP($D390,'Bütçe Kalemleri'!$B$5:$D$304,3,FALSE)),"— tanımsız kalem —")</f>
      </c>
      <c r="F390" s="11"/>
      <c r="G390" s="13"/>
      <c r="H390" s="17"/>
      <c r="I390" s="16">
        <f>IF($G390="",0,$G390*IF($H390="",0,$H390))</f>
      </c>
      <c r="J390" s="16">
        <f>IF($G390="","",$G390+$I390)</f>
      </c>
      <c r="K390" s="11"/>
    </row>
    <row r="391" spans="2:11" x14ac:dyDescent="0.25">
      <c r="B391" s="9"/>
      <c r="C391" s="8"/>
      <c r="D391" s="8"/>
      <c r="E391" s="14">
        <f>IFERROR(IF($D391="","",VLOOKUP($D391,'Bütçe Kalemleri'!$B$5:$D$304,3,FALSE)),"— tanımsız kalem —")</f>
      </c>
      <c r="F391" s="8"/>
      <c r="G391" s="10"/>
      <c r="H391" s="15"/>
      <c r="I391" s="16">
        <f>IF($G391="",0,$G391*IF($H391="",0,$H391))</f>
      </c>
      <c r="J391" s="16">
        <f>IF($G391="","",$G391+$I391)</f>
      </c>
      <c r="K391" s="8"/>
    </row>
    <row r="392" spans="2:11" x14ac:dyDescent="0.25">
      <c r="B392" s="12"/>
      <c r="C392" s="11"/>
      <c r="D392" s="11"/>
      <c r="E392" s="14">
        <f>IFERROR(IF($D392="","",VLOOKUP($D392,'Bütçe Kalemleri'!$B$5:$D$304,3,FALSE)),"— tanımsız kalem —")</f>
      </c>
      <c r="F392" s="11"/>
      <c r="G392" s="13"/>
      <c r="H392" s="17"/>
      <c r="I392" s="16">
        <f>IF($G392="",0,$G392*IF($H392="",0,$H392))</f>
      </c>
      <c r="J392" s="16">
        <f>IF($G392="","",$G392+$I392)</f>
      </c>
      <c r="K392" s="11"/>
    </row>
    <row r="393" spans="2:11" x14ac:dyDescent="0.25">
      <c r="B393" s="9"/>
      <c r="C393" s="8"/>
      <c r="D393" s="8"/>
      <c r="E393" s="14">
        <f>IFERROR(IF($D393="","",VLOOKUP($D393,'Bütçe Kalemleri'!$B$5:$D$304,3,FALSE)),"— tanımsız kalem —")</f>
      </c>
      <c r="F393" s="8"/>
      <c r="G393" s="10"/>
      <c r="H393" s="15"/>
      <c r="I393" s="16">
        <f>IF($G393="",0,$G393*IF($H393="",0,$H393))</f>
      </c>
      <c r="J393" s="16">
        <f>IF($G393="","",$G393+$I393)</f>
      </c>
      <c r="K393" s="8"/>
    </row>
    <row r="394" spans="2:11" x14ac:dyDescent="0.25">
      <c r="B394" s="12"/>
      <c r="C394" s="11"/>
      <c r="D394" s="11"/>
      <c r="E394" s="14">
        <f>IFERROR(IF($D394="","",VLOOKUP($D394,'Bütçe Kalemleri'!$B$5:$D$304,3,FALSE)),"— tanımsız kalem —")</f>
      </c>
      <c r="F394" s="11"/>
      <c r="G394" s="13"/>
      <c r="H394" s="17"/>
      <c r="I394" s="16">
        <f>IF($G394="",0,$G394*IF($H394="",0,$H394))</f>
      </c>
      <c r="J394" s="16">
        <f>IF($G394="","",$G394+$I394)</f>
      </c>
      <c r="K394" s="11"/>
    </row>
    <row r="395" spans="2:11" x14ac:dyDescent="0.25">
      <c r="B395" s="9"/>
      <c r="C395" s="8"/>
      <c r="D395" s="8"/>
      <c r="E395" s="14">
        <f>IFERROR(IF($D395="","",VLOOKUP($D395,'Bütçe Kalemleri'!$B$5:$D$304,3,FALSE)),"— tanımsız kalem —")</f>
      </c>
      <c r="F395" s="8"/>
      <c r="G395" s="10"/>
      <c r="H395" s="15"/>
      <c r="I395" s="16">
        <f>IF($G395="",0,$G395*IF($H395="",0,$H395))</f>
      </c>
      <c r="J395" s="16">
        <f>IF($G395="","",$G395+$I395)</f>
      </c>
      <c r="K395" s="8"/>
    </row>
    <row r="396" spans="2:11" x14ac:dyDescent="0.25">
      <c r="B396" s="12"/>
      <c r="C396" s="11"/>
      <c r="D396" s="11"/>
      <c r="E396" s="14">
        <f>IFERROR(IF($D396="","",VLOOKUP($D396,'Bütçe Kalemleri'!$B$5:$D$304,3,FALSE)),"— tanımsız kalem —")</f>
      </c>
      <c r="F396" s="11"/>
      <c r="G396" s="13"/>
      <c r="H396" s="17"/>
      <c r="I396" s="16">
        <f>IF($G396="",0,$G396*IF($H396="",0,$H396))</f>
      </c>
      <c r="J396" s="16">
        <f>IF($G396="","",$G396+$I396)</f>
      </c>
      <c r="K396" s="11"/>
    </row>
    <row r="397" spans="2:11" x14ac:dyDescent="0.25">
      <c r="B397" s="9"/>
      <c r="C397" s="8"/>
      <c r="D397" s="8"/>
      <c r="E397" s="14">
        <f>IFERROR(IF($D397="","",VLOOKUP($D397,'Bütçe Kalemleri'!$B$5:$D$304,3,FALSE)),"— tanımsız kalem —")</f>
      </c>
      <c r="F397" s="8"/>
      <c r="G397" s="10"/>
      <c r="H397" s="15"/>
      <c r="I397" s="16">
        <f>IF($G397="",0,$G397*IF($H397="",0,$H397))</f>
      </c>
      <c r="J397" s="16">
        <f>IF($G397="","",$G397+$I397)</f>
      </c>
      <c r="K397" s="8"/>
    </row>
    <row r="398" spans="2:11" x14ac:dyDescent="0.25">
      <c r="B398" s="12"/>
      <c r="C398" s="11"/>
      <c r="D398" s="11"/>
      <c r="E398" s="14">
        <f>IFERROR(IF($D398="","",VLOOKUP($D398,'Bütçe Kalemleri'!$B$5:$D$304,3,FALSE)),"— tanımsız kalem —")</f>
      </c>
      <c r="F398" s="11"/>
      <c r="G398" s="13"/>
      <c r="H398" s="17"/>
      <c r="I398" s="16">
        <f>IF($G398="",0,$G398*IF($H398="",0,$H398))</f>
      </c>
      <c r="J398" s="16">
        <f>IF($G398="","",$G398+$I398)</f>
      </c>
      <c r="K398" s="11"/>
    </row>
    <row r="399" spans="2:11" x14ac:dyDescent="0.25">
      <c r="B399" s="9"/>
      <c r="C399" s="8"/>
      <c r="D399" s="8"/>
      <c r="E399" s="14">
        <f>IFERROR(IF($D399="","",VLOOKUP($D399,'Bütçe Kalemleri'!$B$5:$D$304,3,FALSE)),"— tanımsız kalem —")</f>
      </c>
      <c r="F399" s="8"/>
      <c r="G399" s="10"/>
      <c r="H399" s="15"/>
      <c r="I399" s="16">
        <f>IF($G399="",0,$G399*IF($H399="",0,$H399))</f>
      </c>
      <c r="J399" s="16">
        <f>IF($G399="","",$G399+$I399)</f>
      </c>
      <c r="K399" s="8"/>
    </row>
    <row r="400" spans="2:11" x14ac:dyDescent="0.25">
      <c r="B400" s="12"/>
      <c r="C400" s="11"/>
      <c r="D400" s="11"/>
      <c r="E400" s="14">
        <f>IFERROR(IF($D400="","",VLOOKUP($D400,'Bütçe Kalemleri'!$B$5:$D$304,3,FALSE)),"— tanımsız kalem —")</f>
      </c>
      <c r="F400" s="11"/>
      <c r="G400" s="13"/>
      <c r="H400" s="17"/>
      <c r="I400" s="16">
        <f>IF($G400="",0,$G400*IF($H400="",0,$H400))</f>
      </c>
      <c r="J400" s="16">
        <f>IF($G400="","",$G400+$I400)</f>
      </c>
      <c r="K400" s="11"/>
    </row>
    <row r="401" spans="2:11" x14ac:dyDescent="0.25">
      <c r="B401" s="9"/>
      <c r="C401" s="8"/>
      <c r="D401" s="8"/>
      <c r="E401" s="14">
        <f>IFERROR(IF($D401="","",VLOOKUP($D401,'Bütçe Kalemleri'!$B$5:$D$304,3,FALSE)),"— tanımsız kalem —")</f>
      </c>
      <c r="F401" s="8"/>
      <c r="G401" s="10"/>
      <c r="H401" s="15"/>
      <c r="I401" s="16">
        <f>IF($G401="",0,$G401*IF($H401="",0,$H401))</f>
      </c>
      <c r="J401" s="16">
        <f>IF($G401="","",$G401+$I401)</f>
      </c>
      <c r="K401" s="8"/>
    </row>
    <row r="402" spans="2:11" x14ac:dyDescent="0.25">
      <c r="B402" s="12"/>
      <c r="C402" s="11"/>
      <c r="D402" s="11"/>
      <c r="E402" s="14">
        <f>IFERROR(IF($D402="","",VLOOKUP($D402,'Bütçe Kalemleri'!$B$5:$D$304,3,FALSE)),"— tanımsız kalem —")</f>
      </c>
      <c r="F402" s="11"/>
      <c r="G402" s="13"/>
      <c r="H402" s="17"/>
      <c r="I402" s="16">
        <f>IF($G402="",0,$G402*IF($H402="",0,$H402))</f>
      </c>
      <c r="J402" s="16">
        <f>IF($G402="","",$G402+$I402)</f>
      </c>
      <c r="K402" s="11"/>
    </row>
    <row r="403" spans="2:11" x14ac:dyDescent="0.25">
      <c r="B403" s="9"/>
      <c r="C403" s="8"/>
      <c r="D403" s="8"/>
      <c r="E403" s="14">
        <f>IFERROR(IF($D403="","",VLOOKUP($D403,'Bütçe Kalemleri'!$B$5:$D$304,3,FALSE)),"— tanımsız kalem —")</f>
      </c>
      <c r="F403" s="8"/>
      <c r="G403" s="10"/>
      <c r="H403" s="15"/>
      <c r="I403" s="16">
        <f>IF($G403="",0,$G403*IF($H403="",0,$H403))</f>
      </c>
      <c r="J403" s="16">
        <f>IF($G403="","",$G403+$I403)</f>
      </c>
      <c r="K403" s="8"/>
    </row>
    <row r="404" spans="2:11" x14ac:dyDescent="0.25">
      <c r="B404" s="12"/>
      <c r="C404" s="11"/>
      <c r="D404" s="11"/>
      <c r="E404" s="14">
        <f>IFERROR(IF($D404="","",VLOOKUP($D404,'Bütçe Kalemleri'!$B$5:$D$304,3,FALSE)),"— tanımsız kalem —")</f>
      </c>
      <c r="F404" s="11"/>
      <c r="G404" s="13"/>
      <c r="H404" s="17"/>
      <c r="I404" s="16">
        <f>IF($G404="",0,$G404*IF($H404="",0,$H404))</f>
      </c>
      <c r="J404" s="16">
        <f>IF($G404="","",$G404+$I404)</f>
      </c>
      <c r="K404" s="11"/>
    </row>
    <row r="405" spans="2:11" x14ac:dyDescent="0.25">
      <c r="B405" s="9"/>
      <c r="C405" s="8"/>
      <c r="D405" s="8"/>
      <c r="E405" s="14">
        <f>IFERROR(IF($D405="","",VLOOKUP($D405,'Bütçe Kalemleri'!$B$5:$D$304,3,FALSE)),"— tanımsız kalem —")</f>
      </c>
      <c r="F405" s="8"/>
      <c r="G405" s="10"/>
      <c r="H405" s="15"/>
      <c r="I405" s="16">
        <f>IF($G405="",0,$G405*IF($H405="",0,$H405))</f>
      </c>
      <c r="J405" s="16">
        <f>IF($G405="","",$G405+$I405)</f>
      </c>
      <c r="K405" s="8"/>
    </row>
    <row r="406" spans="2:11" x14ac:dyDescent="0.25">
      <c r="B406" s="12"/>
      <c r="C406" s="11"/>
      <c r="D406" s="11"/>
      <c r="E406" s="14">
        <f>IFERROR(IF($D406="","",VLOOKUP($D406,'Bütçe Kalemleri'!$B$5:$D$304,3,FALSE)),"— tanımsız kalem —")</f>
      </c>
      <c r="F406" s="11"/>
      <c r="G406" s="13"/>
      <c r="H406" s="17"/>
      <c r="I406" s="16">
        <f>IF($G406="",0,$G406*IF($H406="",0,$H406))</f>
      </c>
      <c r="J406" s="16">
        <f>IF($G406="","",$G406+$I406)</f>
      </c>
      <c r="K406" s="11"/>
    </row>
    <row r="407" spans="2:11" x14ac:dyDescent="0.25">
      <c r="B407" s="9"/>
      <c r="C407" s="8"/>
      <c r="D407" s="8"/>
      <c r="E407" s="14">
        <f>IFERROR(IF($D407="","",VLOOKUP($D407,'Bütçe Kalemleri'!$B$5:$D$304,3,FALSE)),"— tanımsız kalem —")</f>
      </c>
      <c r="F407" s="8"/>
      <c r="G407" s="10"/>
      <c r="H407" s="15"/>
      <c r="I407" s="16">
        <f>IF($G407="",0,$G407*IF($H407="",0,$H407))</f>
      </c>
      <c r="J407" s="16">
        <f>IF($G407="","",$G407+$I407)</f>
      </c>
      <c r="K407" s="8"/>
    </row>
    <row r="408" spans="2:11" x14ac:dyDescent="0.25">
      <c r="B408" s="12"/>
      <c r="C408" s="11"/>
      <c r="D408" s="11"/>
      <c r="E408" s="14">
        <f>IFERROR(IF($D408="","",VLOOKUP($D408,'Bütçe Kalemleri'!$B$5:$D$304,3,FALSE)),"— tanımsız kalem —")</f>
      </c>
      <c r="F408" s="11"/>
      <c r="G408" s="13"/>
      <c r="H408" s="17"/>
      <c r="I408" s="16">
        <f>IF($G408="",0,$G408*IF($H408="",0,$H408))</f>
      </c>
      <c r="J408" s="16">
        <f>IF($G408="","",$G408+$I408)</f>
      </c>
      <c r="K408" s="11"/>
    </row>
    <row r="409" spans="2:11" x14ac:dyDescent="0.25">
      <c r="B409" s="9"/>
      <c r="C409" s="8"/>
      <c r="D409" s="8"/>
      <c r="E409" s="14">
        <f>IFERROR(IF($D409="","",VLOOKUP($D409,'Bütçe Kalemleri'!$B$5:$D$304,3,FALSE)),"— tanımsız kalem —")</f>
      </c>
      <c r="F409" s="8"/>
      <c r="G409" s="10"/>
      <c r="H409" s="15"/>
      <c r="I409" s="16">
        <f>IF($G409="",0,$G409*IF($H409="",0,$H409))</f>
      </c>
      <c r="J409" s="16">
        <f>IF($G409="","",$G409+$I409)</f>
      </c>
      <c r="K409" s="8"/>
    </row>
    <row r="410" spans="2:11" x14ac:dyDescent="0.25">
      <c r="B410" s="12"/>
      <c r="C410" s="11"/>
      <c r="D410" s="11"/>
      <c r="E410" s="14">
        <f>IFERROR(IF($D410="","",VLOOKUP($D410,'Bütçe Kalemleri'!$B$5:$D$304,3,FALSE)),"— tanımsız kalem —")</f>
      </c>
      <c r="F410" s="11"/>
      <c r="G410" s="13"/>
      <c r="H410" s="17"/>
      <c r="I410" s="16">
        <f>IF($G410="",0,$G410*IF($H410="",0,$H410))</f>
      </c>
      <c r="J410" s="16">
        <f>IF($G410="","",$G410+$I410)</f>
      </c>
      <c r="K410" s="11"/>
    </row>
    <row r="411" spans="2:11" x14ac:dyDescent="0.25">
      <c r="B411" s="9"/>
      <c r="C411" s="8"/>
      <c r="D411" s="8"/>
      <c r="E411" s="14">
        <f>IFERROR(IF($D411="","",VLOOKUP($D411,'Bütçe Kalemleri'!$B$5:$D$304,3,FALSE)),"— tanımsız kalem —")</f>
      </c>
      <c r="F411" s="8"/>
      <c r="G411" s="10"/>
      <c r="H411" s="15"/>
      <c r="I411" s="16">
        <f>IF($G411="",0,$G411*IF($H411="",0,$H411))</f>
      </c>
      <c r="J411" s="16">
        <f>IF($G411="","",$G411+$I411)</f>
      </c>
      <c r="K411" s="8"/>
    </row>
    <row r="412" spans="2:11" x14ac:dyDescent="0.25">
      <c r="B412" s="12"/>
      <c r="C412" s="11"/>
      <c r="D412" s="11"/>
      <c r="E412" s="14">
        <f>IFERROR(IF($D412="","",VLOOKUP($D412,'Bütçe Kalemleri'!$B$5:$D$304,3,FALSE)),"— tanımsız kalem —")</f>
      </c>
      <c r="F412" s="11"/>
      <c r="G412" s="13"/>
      <c r="H412" s="17"/>
      <c r="I412" s="16">
        <f>IF($G412="",0,$G412*IF($H412="",0,$H412))</f>
      </c>
      <c r="J412" s="16">
        <f>IF($G412="","",$G412+$I412)</f>
      </c>
      <c r="K412" s="11"/>
    </row>
    <row r="413" spans="2:11" x14ac:dyDescent="0.25">
      <c r="B413" s="9"/>
      <c r="C413" s="8"/>
      <c r="D413" s="8"/>
      <c r="E413" s="14">
        <f>IFERROR(IF($D413="","",VLOOKUP($D413,'Bütçe Kalemleri'!$B$5:$D$304,3,FALSE)),"— tanımsız kalem —")</f>
      </c>
      <c r="F413" s="8"/>
      <c r="G413" s="10"/>
      <c r="H413" s="15"/>
      <c r="I413" s="16">
        <f>IF($G413="",0,$G413*IF($H413="",0,$H413))</f>
      </c>
      <c r="J413" s="16">
        <f>IF($G413="","",$G413+$I413)</f>
      </c>
      <c r="K413" s="8"/>
    </row>
    <row r="414" spans="2:11" x14ac:dyDescent="0.25">
      <c r="B414" s="12"/>
      <c r="C414" s="11"/>
      <c r="D414" s="11"/>
      <c r="E414" s="14">
        <f>IFERROR(IF($D414="","",VLOOKUP($D414,'Bütçe Kalemleri'!$B$5:$D$304,3,FALSE)),"— tanımsız kalem —")</f>
      </c>
      <c r="F414" s="11"/>
      <c r="G414" s="13"/>
      <c r="H414" s="17"/>
      <c r="I414" s="16">
        <f>IF($G414="",0,$G414*IF($H414="",0,$H414))</f>
      </c>
      <c r="J414" s="16">
        <f>IF($G414="","",$G414+$I414)</f>
      </c>
      <c r="K414" s="11"/>
    </row>
    <row r="415" spans="2:11" x14ac:dyDescent="0.25">
      <c r="B415" s="9"/>
      <c r="C415" s="8"/>
      <c r="D415" s="8"/>
      <c r="E415" s="14">
        <f>IFERROR(IF($D415="","",VLOOKUP($D415,'Bütçe Kalemleri'!$B$5:$D$304,3,FALSE)),"— tanımsız kalem —")</f>
      </c>
      <c r="F415" s="8"/>
      <c r="G415" s="10"/>
      <c r="H415" s="15"/>
      <c r="I415" s="16">
        <f>IF($G415="",0,$G415*IF($H415="",0,$H415))</f>
      </c>
      <c r="J415" s="16">
        <f>IF($G415="","",$G415+$I415)</f>
      </c>
      <c r="K415" s="8"/>
    </row>
    <row r="416" spans="2:11" x14ac:dyDescent="0.25">
      <c r="B416" s="12"/>
      <c r="C416" s="11"/>
      <c r="D416" s="11"/>
      <c r="E416" s="14">
        <f>IFERROR(IF($D416="","",VLOOKUP($D416,'Bütçe Kalemleri'!$B$5:$D$304,3,FALSE)),"— tanımsız kalem —")</f>
      </c>
      <c r="F416" s="11"/>
      <c r="G416" s="13"/>
      <c r="H416" s="17"/>
      <c r="I416" s="16">
        <f>IF($G416="",0,$G416*IF($H416="",0,$H416))</f>
      </c>
      <c r="J416" s="16">
        <f>IF($G416="","",$G416+$I416)</f>
      </c>
      <c r="K416" s="11"/>
    </row>
    <row r="417" spans="2:11" x14ac:dyDescent="0.25">
      <c r="B417" s="9"/>
      <c r="C417" s="8"/>
      <c r="D417" s="8"/>
      <c r="E417" s="14">
        <f>IFERROR(IF($D417="","",VLOOKUP($D417,'Bütçe Kalemleri'!$B$5:$D$304,3,FALSE)),"— tanımsız kalem —")</f>
      </c>
      <c r="F417" s="8"/>
      <c r="G417" s="10"/>
      <c r="H417" s="15"/>
      <c r="I417" s="16">
        <f>IF($G417="",0,$G417*IF($H417="",0,$H417))</f>
      </c>
      <c r="J417" s="16">
        <f>IF($G417="","",$G417+$I417)</f>
      </c>
      <c r="K417" s="8"/>
    </row>
    <row r="418" spans="2:11" x14ac:dyDescent="0.25">
      <c r="B418" s="12"/>
      <c r="C418" s="11"/>
      <c r="D418" s="11"/>
      <c r="E418" s="14">
        <f>IFERROR(IF($D418="","",VLOOKUP($D418,'Bütçe Kalemleri'!$B$5:$D$304,3,FALSE)),"— tanımsız kalem —")</f>
      </c>
      <c r="F418" s="11"/>
      <c r="G418" s="13"/>
      <c r="H418" s="17"/>
      <c r="I418" s="16">
        <f>IF($G418="",0,$G418*IF($H418="",0,$H418))</f>
      </c>
      <c r="J418" s="16">
        <f>IF($G418="","",$G418+$I418)</f>
      </c>
      <c r="K418" s="11"/>
    </row>
    <row r="419" spans="2:11" x14ac:dyDescent="0.25">
      <c r="B419" s="9"/>
      <c r="C419" s="8"/>
      <c r="D419" s="8"/>
      <c r="E419" s="14">
        <f>IFERROR(IF($D419="","",VLOOKUP($D419,'Bütçe Kalemleri'!$B$5:$D$304,3,FALSE)),"— tanımsız kalem —")</f>
      </c>
      <c r="F419" s="8"/>
      <c r="G419" s="10"/>
      <c r="H419" s="15"/>
      <c r="I419" s="16">
        <f>IF($G419="",0,$G419*IF($H419="",0,$H419))</f>
      </c>
      <c r="J419" s="16">
        <f>IF($G419="","",$G419+$I419)</f>
      </c>
      <c r="K419" s="8"/>
    </row>
    <row r="420" spans="2:11" x14ac:dyDescent="0.25">
      <c r="B420" s="12"/>
      <c r="C420" s="11"/>
      <c r="D420" s="11"/>
      <c r="E420" s="14">
        <f>IFERROR(IF($D420="","",VLOOKUP($D420,'Bütçe Kalemleri'!$B$5:$D$304,3,FALSE)),"— tanımsız kalem —")</f>
      </c>
      <c r="F420" s="11"/>
      <c r="G420" s="13"/>
      <c r="H420" s="17"/>
      <c r="I420" s="16">
        <f>IF($G420="",0,$G420*IF($H420="",0,$H420))</f>
      </c>
      <c r="J420" s="16">
        <f>IF($G420="","",$G420+$I420)</f>
      </c>
      <c r="K420" s="11"/>
    </row>
    <row r="421" spans="2:11" x14ac:dyDescent="0.25">
      <c r="B421" s="9"/>
      <c r="C421" s="8"/>
      <c r="D421" s="8"/>
      <c r="E421" s="14">
        <f>IFERROR(IF($D421="","",VLOOKUP($D421,'Bütçe Kalemleri'!$B$5:$D$304,3,FALSE)),"— tanımsız kalem —")</f>
      </c>
      <c r="F421" s="8"/>
      <c r="G421" s="10"/>
      <c r="H421" s="15"/>
      <c r="I421" s="16">
        <f>IF($G421="",0,$G421*IF($H421="",0,$H421))</f>
      </c>
      <c r="J421" s="16">
        <f>IF($G421="","",$G421+$I421)</f>
      </c>
      <c r="K421" s="8"/>
    </row>
    <row r="422" spans="2:11" x14ac:dyDescent="0.25">
      <c r="B422" s="12"/>
      <c r="C422" s="11"/>
      <c r="D422" s="11"/>
      <c r="E422" s="14">
        <f>IFERROR(IF($D422="","",VLOOKUP($D422,'Bütçe Kalemleri'!$B$5:$D$304,3,FALSE)),"— tanımsız kalem —")</f>
      </c>
      <c r="F422" s="11"/>
      <c r="G422" s="13"/>
      <c r="H422" s="17"/>
      <c r="I422" s="16">
        <f>IF($G422="",0,$G422*IF($H422="",0,$H422))</f>
      </c>
      <c r="J422" s="16">
        <f>IF($G422="","",$G422+$I422)</f>
      </c>
      <c r="K422" s="11"/>
    </row>
    <row r="423" spans="2:11" x14ac:dyDescent="0.25">
      <c r="B423" s="9"/>
      <c r="C423" s="8"/>
      <c r="D423" s="8"/>
      <c r="E423" s="14">
        <f>IFERROR(IF($D423="","",VLOOKUP($D423,'Bütçe Kalemleri'!$B$5:$D$304,3,FALSE)),"— tanımsız kalem —")</f>
      </c>
      <c r="F423" s="8"/>
      <c r="G423" s="10"/>
      <c r="H423" s="15"/>
      <c r="I423" s="16">
        <f>IF($G423="",0,$G423*IF($H423="",0,$H423))</f>
      </c>
      <c r="J423" s="16">
        <f>IF($G423="","",$G423+$I423)</f>
      </c>
      <c r="K423" s="8"/>
    </row>
    <row r="424" spans="2:11" x14ac:dyDescent="0.25">
      <c r="B424" s="12"/>
      <c r="C424" s="11"/>
      <c r="D424" s="11"/>
      <c r="E424" s="14">
        <f>IFERROR(IF($D424="","",VLOOKUP($D424,'Bütçe Kalemleri'!$B$5:$D$304,3,FALSE)),"— tanımsız kalem —")</f>
      </c>
      <c r="F424" s="11"/>
      <c r="G424" s="13"/>
      <c r="H424" s="17"/>
      <c r="I424" s="16">
        <f>IF($G424="",0,$G424*IF($H424="",0,$H424))</f>
      </c>
      <c r="J424" s="16">
        <f>IF($G424="","",$G424+$I424)</f>
      </c>
      <c r="K424" s="11"/>
    </row>
    <row r="425" spans="2:11" x14ac:dyDescent="0.25">
      <c r="B425" s="9"/>
      <c r="C425" s="8"/>
      <c r="D425" s="8"/>
      <c r="E425" s="14">
        <f>IFERROR(IF($D425="","",VLOOKUP($D425,'Bütçe Kalemleri'!$B$5:$D$304,3,FALSE)),"— tanımsız kalem —")</f>
      </c>
      <c r="F425" s="8"/>
      <c r="G425" s="10"/>
      <c r="H425" s="15"/>
      <c r="I425" s="16">
        <f>IF($G425="",0,$G425*IF($H425="",0,$H425))</f>
      </c>
      <c r="J425" s="16">
        <f>IF($G425="","",$G425+$I425)</f>
      </c>
      <c r="K425" s="8"/>
    </row>
    <row r="426" spans="2:11" x14ac:dyDescent="0.25">
      <c r="B426" s="12"/>
      <c r="C426" s="11"/>
      <c r="D426" s="11"/>
      <c r="E426" s="14">
        <f>IFERROR(IF($D426="","",VLOOKUP($D426,'Bütçe Kalemleri'!$B$5:$D$304,3,FALSE)),"— tanımsız kalem —")</f>
      </c>
      <c r="F426" s="11"/>
      <c r="G426" s="13"/>
      <c r="H426" s="17"/>
      <c r="I426" s="16">
        <f>IF($G426="",0,$G426*IF($H426="",0,$H426))</f>
      </c>
      <c r="J426" s="16">
        <f>IF($G426="","",$G426+$I426)</f>
      </c>
      <c r="K426" s="11"/>
    </row>
    <row r="427" spans="2:11" x14ac:dyDescent="0.25">
      <c r="B427" s="9"/>
      <c r="C427" s="8"/>
      <c r="D427" s="8"/>
      <c r="E427" s="14">
        <f>IFERROR(IF($D427="","",VLOOKUP($D427,'Bütçe Kalemleri'!$B$5:$D$304,3,FALSE)),"— tanımsız kalem —")</f>
      </c>
      <c r="F427" s="8"/>
      <c r="G427" s="10"/>
      <c r="H427" s="15"/>
      <c r="I427" s="16">
        <f>IF($G427="",0,$G427*IF($H427="",0,$H427))</f>
      </c>
      <c r="J427" s="16">
        <f>IF($G427="","",$G427+$I427)</f>
      </c>
      <c r="K427" s="8"/>
    </row>
    <row r="428" spans="2:11" x14ac:dyDescent="0.25">
      <c r="B428" s="12"/>
      <c r="C428" s="11"/>
      <c r="D428" s="11"/>
      <c r="E428" s="14">
        <f>IFERROR(IF($D428="","",VLOOKUP($D428,'Bütçe Kalemleri'!$B$5:$D$304,3,FALSE)),"— tanımsız kalem —")</f>
      </c>
      <c r="F428" s="11"/>
      <c r="G428" s="13"/>
      <c r="H428" s="17"/>
      <c r="I428" s="16">
        <f>IF($G428="",0,$G428*IF($H428="",0,$H428))</f>
      </c>
      <c r="J428" s="16">
        <f>IF($G428="","",$G428+$I428)</f>
      </c>
      <c r="K428" s="11"/>
    </row>
    <row r="429" spans="2:11" x14ac:dyDescent="0.25">
      <c r="B429" s="9"/>
      <c r="C429" s="8"/>
      <c r="D429" s="8"/>
      <c r="E429" s="14">
        <f>IFERROR(IF($D429="","",VLOOKUP($D429,'Bütçe Kalemleri'!$B$5:$D$304,3,FALSE)),"— tanımsız kalem —")</f>
      </c>
      <c r="F429" s="8"/>
      <c r="G429" s="10"/>
      <c r="H429" s="15"/>
      <c r="I429" s="16">
        <f>IF($G429="",0,$G429*IF($H429="",0,$H429))</f>
      </c>
      <c r="J429" s="16">
        <f>IF($G429="","",$G429+$I429)</f>
      </c>
      <c r="K429" s="8"/>
    </row>
    <row r="430" spans="2:11" x14ac:dyDescent="0.25">
      <c r="B430" s="12"/>
      <c r="C430" s="11"/>
      <c r="D430" s="11"/>
      <c r="E430" s="14">
        <f>IFERROR(IF($D430="","",VLOOKUP($D430,'Bütçe Kalemleri'!$B$5:$D$304,3,FALSE)),"— tanımsız kalem —")</f>
      </c>
      <c r="F430" s="11"/>
      <c r="G430" s="13"/>
      <c r="H430" s="17"/>
      <c r="I430" s="16">
        <f>IF($G430="",0,$G430*IF($H430="",0,$H430))</f>
      </c>
      <c r="J430" s="16">
        <f>IF($G430="","",$G430+$I430)</f>
      </c>
      <c r="K430" s="11"/>
    </row>
    <row r="431" spans="2:11" x14ac:dyDescent="0.25">
      <c r="B431" s="9"/>
      <c r="C431" s="8"/>
      <c r="D431" s="8"/>
      <c r="E431" s="14">
        <f>IFERROR(IF($D431="","",VLOOKUP($D431,'Bütçe Kalemleri'!$B$5:$D$304,3,FALSE)),"— tanımsız kalem —")</f>
      </c>
      <c r="F431" s="8"/>
      <c r="G431" s="10"/>
      <c r="H431" s="15"/>
      <c r="I431" s="16">
        <f>IF($G431="",0,$G431*IF($H431="",0,$H431))</f>
      </c>
      <c r="J431" s="16">
        <f>IF($G431="","",$G431+$I431)</f>
      </c>
      <c r="K431" s="8"/>
    </row>
    <row r="432" spans="2:11" x14ac:dyDescent="0.25">
      <c r="B432" s="12"/>
      <c r="C432" s="11"/>
      <c r="D432" s="11"/>
      <c r="E432" s="14">
        <f>IFERROR(IF($D432="","",VLOOKUP($D432,'Bütçe Kalemleri'!$B$5:$D$304,3,FALSE)),"— tanımsız kalem —")</f>
      </c>
      <c r="F432" s="11"/>
      <c r="G432" s="13"/>
      <c r="H432" s="17"/>
      <c r="I432" s="16">
        <f>IF($G432="",0,$G432*IF($H432="",0,$H432))</f>
      </c>
      <c r="J432" s="16">
        <f>IF($G432="","",$G432+$I432)</f>
      </c>
      <c r="K432" s="11"/>
    </row>
    <row r="433" spans="2:11" x14ac:dyDescent="0.25">
      <c r="B433" s="9"/>
      <c r="C433" s="8"/>
      <c r="D433" s="8"/>
      <c r="E433" s="14">
        <f>IFERROR(IF($D433="","",VLOOKUP($D433,'Bütçe Kalemleri'!$B$5:$D$304,3,FALSE)),"— tanımsız kalem —")</f>
      </c>
      <c r="F433" s="8"/>
      <c r="G433" s="10"/>
      <c r="H433" s="15"/>
      <c r="I433" s="16">
        <f>IF($G433="",0,$G433*IF($H433="",0,$H433))</f>
      </c>
      <c r="J433" s="16">
        <f>IF($G433="","",$G433+$I433)</f>
      </c>
      <c r="K433" s="8"/>
    </row>
    <row r="434" spans="2:11" x14ac:dyDescent="0.25">
      <c r="B434" s="12"/>
      <c r="C434" s="11"/>
      <c r="D434" s="11"/>
      <c r="E434" s="14">
        <f>IFERROR(IF($D434="","",VLOOKUP($D434,'Bütçe Kalemleri'!$B$5:$D$304,3,FALSE)),"— tanımsız kalem —")</f>
      </c>
      <c r="F434" s="11"/>
      <c r="G434" s="13"/>
      <c r="H434" s="17"/>
      <c r="I434" s="16">
        <f>IF($G434="",0,$G434*IF($H434="",0,$H434))</f>
      </c>
      <c r="J434" s="16">
        <f>IF($G434="","",$G434+$I434)</f>
      </c>
      <c r="K434" s="11"/>
    </row>
    <row r="435" spans="2:11" x14ac:dyDescent="0.25">
      <c r="B435" s="9"/>
      <c r="C435" s="8"/>
      <c r="D435" s="8"/>
      <c r="E435" s="14">
        <f>IFERROR(IF($D435="","",VLOOKUP($D435,'Bütçe Kalemleri'!$B$5:$D$304,3,FALSE)),"— tanımsız kalem —")</f>
      </c>
      <c r="F435" s="8"/>
      <c r="G435" s="10"/>
      <c r="H435" s="15"/>
      <c r="I435" s="16">
        <f>IF($G435="",0,$G435*IF($H435="",0,$H435))</f>
      </c>
      <c r="J435" s="16">
        <f>IF($G435="","",$G435+$I435)</f>
      </c>
      <c r="K435" s="8"/>
    </row>
    <row r="436" spans="2:11" x14ac:dyDescent="0.25">
      <c r="B436" s="12"/>
      <c r="C436" s="11"/>
      <c r="D436" s="11"/>
      <c r="E436" s="14">
        <f>IFERROR(IF($D436="","",VLOOKUP($D436,'Bütçe Kalemleri'!$B$5:$D$304,3,FALSE)),"— tanımsız kalem —")</f>
      </c>
      <c r="F436" s="11"/>
      <c r="G436" s="13"/>
      <c r="H436" s="17"/>
      <c r="I436" s="16">
        <f>IF($G436="",0,$G436*IF($H436="",0,$H436))</f>
      </c>
      <c r="J436" s="16">
        <f>IF($G436="","",$G436+$I436)</f>
      </c>
      <c r="K436" s="11"/>
    </row>
    <row r="437" spans="2:11" x14ac:dyDescent="0.25">
      <c r="B437" s="9"/>
      <c r="C437" s="8"/>
      <c r="D437" s="8"/>
      <c r="E437" s="14">
        <f>IFERROR(IF($D437="","",VLOOKUP($D437,'Bütçe Kalemleri'!$B$5:$D$304,3,FALSE)),"— tanımsız kalem —")</f>
      </c>
      <c r="F437" s="8"/>
      <c r="G437" s="10"/>
      <c r="H437" s="15"/>
      <c r="I437" s="16">
        <f>IF($G437="",0,$G437*IF($H437="",0,$H437))</f>
      </c>
      <c r="J437" s="16">
        <f>IF($G437="","",$G437+$I437)</f>
      </c>
      <c r="K437" s="8"/>
    </row>
    <row r="438" spans="2:11" x14ac:dyDescent="0.25">
      <c r="B438" s="12"/>
      <c r="C438" s="11"/>
      <c r="D438" s="11"/>
      <c r="E438" s="14">
        <f>IFERROR(IF($D438="","",VLOOKUP($D438,'Bütçe Kalemleri'!$B$5:$D$304,3,FALSE)),"— tanımsız kalem —")</f>
      </c>
      <c r="F438" s="11"/>
      <c r="G438" s="13"/>
      <c r="H438" s="17"/>
      <c r="I438" s="16">
        <f>IF($G438="",0,$G438*IF($H438="",0,$H438))</f>
      </c>
      <c r="J438" s="16">
        <f>IF($G438="","",$G438+$I438)</f>
      </c>
      <c r="K438" s="11"/>
    </row>
    <row r="439" spans="2:11" x14ac:dyDescent="0.25">
      <c r="B439" s="9"/>
      <c r="C439" s="8"/>
      <c r="D439" s="8"/>
      <c r="E439" s="14">
        <f>IFERROR(IF($D439="","",VLOOKUP($D439,'Bütçe Kalemleri'!$B$5:$D$304,3,FALSE)),"— tanımsız kalem —")</f>
      </c>
      <c r="F439" s="8"/>
      <c r="G439" s="10"/>
      <c r="H439" s="15"/>
      <c r="I439" s="16">
        <f>IF($G439="",0,$G439*IF($H439="",0,$H439))</f>
      </c>
      <c r="J439" s="16">
        <f>IF($G439="","",$G439+$I439)</f>
      </c>
      <c r="K439" s="8"/>
    </row>
    <row r="440" spans="2:11" x14ac:dyDescent="0.25">
      <c r="B440" s="12"/>
      <c r="C440" s="11"/>
      <c r="D440" s="11"/>
      <c r="E440" s="14">
        <f>IFERROR(IF($D440="","",VLOOKUP($D440,'Bütçe Kalemleri'!$B$5:$D$304,3,FALSE)),"— tanımsız kalem —")</f>
      </c>
      <c r="F440" s="11"/>
      <c r="G440" s="13"/>
      <c r="H440" s="17"/>
      <c r="I440" s="16">
        <f>IF($G440="",0,$G440*IF($H440="",0,$H440))</f>
      </c>
      <c r="J440" s="16">
        <f>IF($G440="","",$G440+$I440)</f>
      </c>
      <c r="K440" s="11"/>
    </row>
    <row r="441" spans="2:11" x14ac:dyDescent="0.25">
      <c r="B441" s="9"/>
      <c r="C441" s="8"/>
      <c r="D441" s="8"/>
      <c r="E441" s="14">
        <f>IFERROR(IF($D441="","",VLOOKUP($D441,'Bütçe Kalemleri'!$B$5:$D$304,3,FALSE)),"— tanımsız kalem —")</f>
      </c>
      <c r="F441" s="8"/>
      <c r="G441" s="10"/>
      <c r="H441" s="15"/>
      <c r="I441" s="16">
        <f>IF($G441="",0,$G441*IF($H441="",0,$H441))</f>
      </c>
      <c r="J441" s="16">
        <f>IF($G441="","",$G441+$I441)</f>
      </c>
      <c r="K441" s="8"/>
    </row>
    <row r="442" spans="2:11" x14ac:dyDescent="0.25">
      <c r="B442" s="12"/>
      <c r="C442" s="11"/>
      <c r="D442" s="11"/>
      <c r="E442" s="14">
        <f>IFERROR(IF($D442="","",VLOOKUP($D442,'Bütçe Kalemleri'!$B$5:$D$304,3,FALSE)),"— tanımsız kalem —")</f>
      </c>
      <c r="F442" s="11"/>
      <c r="G442" s="13"/>
      <c r="H442" s="17"/>
      <c r="I442" s="16">
        <f>IF($G442="",0,$G442*IF($H442="",0,$H442))</f>
      </c>
      <c r="J442" s="16">
        <f>IF($G442="","",$G442+$I442)</f>
      </c>
      <c r="K442" s="11"/>
    </row>
    <row r="443" spans="2:11" x14ac:dyDescent="0.25">
      <c r="B443" s="9"/>
      <c r="C443" s="8"/>
      <c r="D443" s="8"/>
      <c r="E443" s="14">
        <f>IFERROR(IF($D443="","",VLOOKUP($D443,'Bütçe Kalemleri'!$B$5:$D$304,3,FALSE)),"— tanımsız kalem —")</f>
      </c>
      <c r="F443" s="8"/>
      <c r="G443" s="10"/>
      <c r="H443" s="15"/>
      <c r="I443" s="16">
        <f>IF($G443="",0,$G443*IF($H443="",0,$H443))</f>
      </c>
      <c r="J443" s="16">
        <f>IF($G443="","",$G443+$I443)</f>
      </c>
      <c r="K443" s="8"/>
    </row>
    <row r="444" spans="2:11" x14ac:dyDescent="0.25">
      <c r="B444" s="12"/>
      <c r="C444" s="11"/>
      <c r="D444" s="11"/>
      <c r="E444" s="14">
        <f>IFERROR(IF($D444="","",VLOOKUP($D444,'Bütçe Kalemleri'!$B$5:$D$304,3,FALSE)),"— tanımsız kalem —")</f>
      </c>
      <c r="F444" s="11"/>
      <c r="G444" s="13"/>
      <c r="H444" s="17"/>
      <c r="I444" s="16">
        <f>IF($G444="",0,$G444*IF($H444="",0,$H444))</f>
      </c>
      <c r="J444" s="16">
        <f>IF($G444="","",$G444+$I444)</f>
      </c>
      <c r="K444" s="11"/>
    </row>
    <row r="445" spans="2:11" x14ac:dyDescent="0.25">
      <c r="B445" s="9"/>
      <c r="C445" s="8"/>
      <c r="D445" s="8"/>
      <c r="E445" s="14">
        <f>IFERROR(IF($D445="","",VLOOKUP($D445,'Bütçe Kalemleri'!$B$5:$D$304,3,FALSE)),"— tanımsız kalem —")</f>
      </c>
      <c r="F445" s="8"/>
      <c r="G445" s="10"/>
      <c r="H445" s="15"/>
      <c r="I445" s="16">
        <f>IF($G445="",0,$G445*IF($H445="",0,$H445))</f>
      </c>
      <c r="J445" s="16">
        <f>IF($G445="","",$G445+$I445)</f>
      </c>
      <c r="K445" s="8"/>
    </row>
    <row r="446" spans="2:11" x14ac:dyDescent="0.25">
      <c r="B446" s="12"/>
      <c r="C446" s="11"/>
      <c r="D446" s="11"/>
      <c r="E446" s="14">
        <f>IFERROR(IF($D446="","",VLOOKUP($D446,'Bütçe Kalemleri'!$B$5:$D$304,3,FALSE)),"— tanımsız kalem —")</f>
      </c>
      <c r="F446" s="11"/>
      <c r="G446" s="13"/>
      <c r="H446" s="17"/>
      <c r="I446" s="16">
        <f>IF($G446="",0,$G446*IF($H446="",0,$H446))</f>
      </c>
      <c r="J446" s="16">
        <f>IF($G446="","",$G446+$I446)</f>
      </c>
      <c r="K446" s="11"/>
    </row>
    <row r="447" spans="2:11" x14ac:dyDescent="0.25">
      <c r="B447" s="9"/>
      <c r="C447" s="8"/>
      <c r="D447" s="8"/>
      <c r="E447" s="14">
        <f>IFERROR(IF($D447="","",VLOOKUP($D447,'Bütçe Kalemleri'!$B$5:$D$304,3,FALSE)),"— tanımsız kalem —")</f>
      </c>
      <c r="F447" s="8"/>
      <c r="G447" s="10"/>
      <c r="H447" s="15"/>
      <c r="I447" s="16">
        <f>IF($G447="",0,$G447*IF($H447="",0,$H447))</f>
      </c>
      <c r="J447" s="16">
        <f>IF($G447="","",$G447+$I447)</f>
      </c>
      <c r="K447" s="8"/>
    </row>
    <row r="448" spans="2:11" x14ac:dyDescent="0.25">
      <c r="B448" s="12"/>
      <c r="C448" s="11"/>
      <c r="D448" s="11"/>
      <c r="E448" s="14">
        <f>IFERROR(IF($D448="","",VLOOKUP($D448,'Bütçe Kalemleri'!$B$5:$D$304,3,FALSE)),"— tanımsız kalem —")</f>
      </c>
      <c r="F448" s="11"/>
      <c r="G448" s="13"/>
      <c r="H448" s="17"/>
      <c r="I448" s="16">
        <f>IF($G448="",0,$G448*IF($H448="",0,$H448))</f>
      </c>
      <c r="J448" s="16">
        <f>IF($G448="","",$G448+$I448)</f>
      </c>
      <c r="K448" s="11"/>
    </row>
    <row r="449" spans="2:11" x14ac:dyDescent="0.25">
      <c r="B449" s="9"/>
      <c r="C449" s="8"/>
      <c r="D449" s="8"/>
      <c r="E449" s="14">
        <f>IFERROR(IF($D449="","",VLOOKUP($D449,'Bütçe Kalemleri'!$B$5:$D$304,3,FALSE)),"— tanımsız kalem —")</f>
      </c>
      <c r="F449" s="8"/>
      <c r="G449" s="10"/>
      <c r="H449" s="15"/>
      <c r="I449" s="16">
        <f>IF($G449="",0,$G449*IF($H449="",0,$H449))</f>
      </c>
      <c r="J449" s="16">
        <f>IF($G449="","",$G449+$I449)</f>
      </c>
      <c r="K449" s="8"/>
    </row>
    <row r="450" spans="2:11" x14ac:dyDescent="0.25">
      <c r="B450" s="12"/>
      <c r="C450" s="11"/>
      <c r="D450" s="11"/>
      <c r="E450" s="14">
        <f>IFERROR(IF($D450="","",VLOOKUP($D450,'Bütçe Kalemleri'!$B$5:$D$304,3,FALSE)),"— tanımsız kalem —")</f>
      </c>
      <c r="F450" s="11"/>
      <c r="G450" s="13"/>
      <c r="H450" s="17"/>
      <c r="I450" s="16">
        <f>IF($G450="",0,$G450*IF($H450="",0,$H450))</f>
      </c>
      <c r="J450" s="16">
        <f>IF($G450="","",$G450+$I450)</f>
      </c>
      <c r="K450" s="11"/>
    </row>
    <row r="451" spans="2:11" x14ac:dyDescent="0.25">
      <c r="B451" s="9"/>
      <c r="C451" s="8"/>
      <c r="D451" s="8"/>
      <c r="E451" s="14">
        <f>IFERROR(IF($D451="","",VLOOKUP($D451,'Bütçe Kalemleri'!$B$5:$D$304,3,FALSE)),"— tanımsız kalem —")</f>
      </c>
      <c r="F451" s="8"/>
      <c r="G451" s="10"/>
      <c r="H451" s="15"/>
      <c r="I451" s="16">
        <f>IF($G451="",0,$G451*IF($H451="",0,$H451))</f>
      </c>
      <c r="J451" s="16">
        <f>IF($G451="","",$G451+$I451)</f>
      </c>
      <c r="K451" s="8"/>
    </row>
    <row r="452" spans="2:11" x14ac:dyDescent="0.25">
      <c r="B452" s="12"/>
      <c r="C452" s="11"/>
      <c r="D452" s="11"/>
      <c r="E452" s="14">
        <f>IFERROR(IF($D452="","",VLOOKUP($D452,'Bütçe Kalemleri'!$B$5:$D$304,3,FALSE)),"— tanımsız kalem —")</f>
      </c>
      <c r="F452" s="11"/>
      <c r="G452" s="13"/>
      <c r="H452" s="17"/>
      <c r="I452" s="16">
        <f>IF($G452="",0,$G452*IF($H452="",0,$H452))</f>
      </c>
      <c r="J452" s="16">
        <f>IF($G452="","",$G452+$I452)</f>
      </c>
      <c r="K452" s="11"/>
    </row>
    <row r="453" spans="2:11" x14ac:dyDescent="0.25">
      <c r="B453" s="9"/>
      <c r="C453" s="8"/>
      <c r="D453" s="8"/>
      <c r="E453" s="14">
        <f>IFERROR(IF($D453="","",VLOOKUP($D453,'Bütçe Kalemleri'!$B$5:$D$304,3,FALSE)),"— tanımsız kalem —")</f>
      </c>
      <c r="F453" s="8"/>
      <c r="G453" s="10"/>
      <c r="H453" s="15"/>
      <c r="I453" s="16">
        <f>IF($G453="",0,$G453*IF($H453="",0,$H453))</f>
      </c>
      <c r="J453" s="16">
        <f>IF($G453="","",$G453+$I453)</f>
      </c>
      <c r="K453" s="8"/>
    </row>
    <row r="454" spans="2:11" x14ac:dyDescent="0.25">
      <c r="B454" s="12"/>
      <c r="C454" s="11"/>
      <c r="D454" s="11"/>
      <c r="E454" s="14">
        <f>IFERROR(IF($D454="","",VLOOKUP($D454,'Bütçe Kalemleri'!$B$5:$D$304,3,FALSE)),"— tanımsız kalem —")</f>
      </c>
      <c r="F454" s="11"/>
      <c r="G454" s="13"/>
      <c r="H454" s="17"/>
      <c r="I454" s="16">
        <f>IF($G454="",0,$G454*IF($H454="",0,$H454))</f>
      </c>
      <c r="J454" s="16">
        <f>IF($G454="","",$G454+$I454)</f>
      </c>
      <c r="K454" s="11"/>
    </row>
    <row r="455" spans="2:11" x14ac:dyDescent="0.25">
      <c r="B455" s="9"/>
      <c r="C455" s="8"/>
      <c r="D455" s="8"/>
      <c r="E455" s="14">
        <f>IFERROR(IF($D455="","",VLOOKUP($D455,'Bütçe Kalemleri'!$B$5:$D$304,3,FALSE)),"— tanımsız kalem —")</f>
      </c>
      <c r="F455" s="8"/>
      <c r="G455" s="10"/>
      <c r="H455" s="15"/>
      <c r="I455" s="16">
        <f>IF($G455="",0,$G455*IF($H455="",0,$H455))</f>
      </c>
      <c r="J455" s="16">
        <f>IF($G455="","",$G455+$I455)</f>
      </c>
      <c r="K455" s="8"/>
    </row>
    <row r="456" spans="2:11" x14ac:dyDescent="0.25">
      <c r="B456" s="12"/>
      <c r="C456" s="11"/>
      <c r="D456" s="11"/>
      <c r="E456" s="14">
        <f>IFERROR(IF($D456="","",VLOOKUP($D456,'Bütçe Kalemleri'!$B$5:$D$304,3,FALSE)),"— tanımsız kalem —")</f>
      </c>
      <c r="F456" s="11"/>
      <c r="G456" s="13"/>
      <c r="H456" s="17"/>
      <c r="I456" s="16">
        <f>IF($G456="",0,$G456*IF($H456="",0,$H456))</f>
      </c>
      <c r="J456" s="16">
        <f>IF($G456="","",$G456+$I456)</f>
      </c>
      <c r="K456" s="11"/>
    </row>
    <row r="457" spans="2:11" x14ac:dyDescent="0.25">
      <c r="B457" s="9"/>
      <c r="C457" s="8"/>
      <c r="D457" s="8"/>
      <c r="E457" s="14">
        <f>IFERROR(IF($D457="","",VLOOKUP($D457,'Bütçe Kalemleri'!$B$5:$D$304,3,FALSE)),"— tanımsız kalem —")</f>
      </c>
      <c r="F457" s="8"/>
      <c r="G457" s="10"/>
      <c r="H457" s="15"/>
      <c r="I457" s="16">
        <f>IF($G457="",0,$G457*IF($H457="",0,$H457))</f>
      </c>
      <c r="J457" s="16">
        <f>IF($G457="","",$G457+$I457)</f>
      </c>
      <c r="K457" s="8"/>
    </row>
    <row r="458" spans="2:11" x14ac:dyDescent="0.25">
      <c r="B458" s="12"/>
      <c r="C458" s="11"/>
      <c r="D458" s="11"/>
      <c r="E458" s="14">
        <f>IFERROR(IF($D458="","",VLOOKUP($D458,'Bütçe Kalemleri'!$B$5:$D$304,3,FALSE)),"— tanımsız kalem —")</f>
      </c>
      <c r="F458" s="11"/>
      <c r="G458" s="13"/>
      <c r="H458" s="17"/>
      <c r="I458" s="16">
        <f>IF($G458="",0,$G458*IF($H458="",0,$H458))</f>
      </c>
      <c r="J458" s="16">
        <f>IF($G458="","",$G458+$I458)</f>
      </c>
      <c r="K458" s="11"/>
    </row>
    <row r="459" spans="2:11" x14ac:dyDescent="0.25">
      <c r="B459" s="9"/>
      <c r="C459" s="8"/>
      <c r="D459" s="8"/>
      <c r="E459" s="14">
        <f>IFERROR(IF($D459="","",VLOOKUP($D459,'Bütçe Kalemleri'!$B$5:$D$304,3,FALSE)),"— tanımsız kalem —")</f>
      </c>
      <c r="F459" s="8"/>
      <c r="G459" s="10"/>
      <c r="H459" s="15"/>
      <c r="I459" s="16">
        <f>IF($G459="",0,$G459*IF($H459="",0,$H459))</f>
      </c>
      <c r="J459" s="16">
        <f>IF($G459="","",$G459+$I459)</f>
      </c>
      <c r="K459" s="8"/>
    </row>
    <row r="460" spans="2:11" x14ac:dyDescent="0.25">
      <c r="B460" s="12"/>
      <c r="C460" s="11"/>
      <c r="D460" s="11"/>
      <c r="E460" s="14">
        <f>IFERROR(IF($D460="","",VLOOKUP($D460,'Bütçe Kalemleri'!$B$5:$D$304,3,FALSE)),"— tanımsız kalem —")</f>
      </c>
      <c r="F460" s="11"/>
      <c r="G460" s="13"/>
      <c r="H460" s="17"/>
      <c r="I460" s="16">
        <f>IF($G460="",0,$G460*IF($H460="",0,$H460))</f>
      </c>
      <c r="J460" s="16">
        <f>IF($G460="","",$G460+$I460)</f>
      </c>
      <c r="K460" s="11"/>
    </row>
    <row r="461" spans="2:11" x14ac:dyDescent="0.25">
      <c r="B461" s="9"/>
      <c r="C461" s="8"/>
      <c r="D461" s="8"/>
      <c r="E461" s="14">
        <f>IFERROR(IF($D461="","",VLOOKUP($D461,'Bütçe Kalemleri'!$B$5:$D$304,3,FALSE)),"— tanımsız kalem —")</f>
      </c>
      <c r="F461" s="8"/>
      <c r="G461" s="10"/>
      <c r="H461" s="15"/>
      <c r="I461" s="16">
        <f>IF($G461="",0,$G461*IF($H461="",0,$H461))</f>
      </c>
      <c r="J461" s="16">
        <f>IF($G461="","",$G461+$I461)</f>
      </c>
      <c r="K461" s="8"/>
    </row>
    <row r="462" spans="2:11" x14ac:dyDescent="0.25">
      <c r="B462" s="12"/>
      <c r="C462" s="11"/>
      <c r="D462" s="11"/>
      <c r="E462" s="14">
        <f>IFERROR(IF($D462="","",VLOOKUP($D462,'Bütçe Kalemleri'!$B$5:$D$304,3,FALSE)),"— tanımsız kalem —")</f>
      </c>
      <c r="F462" s="11"/>
      <c r="G462" s="13"/>
      <c r="H462" s="17"/>
      <c r="I462" s="16">
        <f>IF($G462="",0,$G462*IF($H462="",0,$H462))</f>
      </c>
      <c r="J462" s="16">
        <f>IF($G462="","",$G462+$I462)</f>
      </c>
      <c r="K462" s="11"/>
    </row>
    <row r="463" spans="2:11" x14ac:dyDescent="0.25">
      <c r="B463" s="9"/>
      <c r="C463" s="8"/>
      <c r="D463" s="8"/>
      <c r="E463" s="14">
        <f>IFERROR(IF($D463="","",VLOOKUP($D463,'Bütçe Kalemleri'!$B$5:$D$304,3,FALSE)),"— tanımsız kalem —")</f>
      </c>
      <c r="F463" s="8"/>
      <c r="G463" s="10"/>
      <c r="H463" s="15"/>
      <c r="I463" s="16">
        <f>IF($G463="",0,$G463*IF($H463="",0,$H463))</f>
      </c>
      <c r="J463" s="16">
        <f>IF($G463="","",$G463+$I463)</f>
      </c>
      <c r="K463" s="8"/>
    </row>
    <row r="464" spans="2:11" x14ac:dyDescent="0.25">
      <c r="B464" s="12"/>
      <c r="C464" s="11"/>
      <c r="D464" s="11"/>
      <c r="E464" s="14">
        <f>IFERROR(IF($D464="","",VLOOKUP($D464,'Bütçe Kalemleri'!$B$5:$D$304,3,FALSE)),"— tanımsız kalem —")</f>
      </c>
      <c r="F464" s="11"/>
      <c r="G464" s="13"/>
      <c r="H464" s="17"/>
      <c r="I464" s="16">
        <f>IF($G464="",0,$G464*IF($H464="",0,$H464))</f>
      </c>
      <c r="J464" s="16">
        <f>IF($G464="","",$G464+$I464)</f>
      </c>
      <c r="K464" s="11"/>
    </row>
    <row r="465" spans="2:11" x14ac:dyDescent="0.25">
      <c r="B465" s="9"/>
      <c r="C465" s="8"/>
      <c r="D465" s="8"/>
      <c r="E465" s="14">
        <f>IFERROR(IF($D465="","",VLOOKUP($D465,'Bütçe Kalemleri'!$B$5:$D$304,3,FALSE)),"— tanımsız kalem —")</f>
      </c>
      <c r="F465" s="8"/>
      <c r="G465" s="10"/>
      <c r="H465" s="15"/>
      <c r="I465" s="16">
        <f>IF($G465="",0,$G465*IF($H465="",0,$H465))</f>
      </c>
      <c r="J465" s="16">
        <f>IF($G465="","",$G465+$I465)</f>
      </c>
      <c r="K465" s="8"/>
    </row>
    <row r="466" spans="2:11" x14ac:dyDescent="0.25">
      <c r="B466" s="12"/>
      <c r="C466" s="11"/>
      <c r="D466" s="11"/>
      <c r="E466" s="14">
        <f>IFERROR(IF($D466="","",VLOOKUP($D466,'Bütçe Kalemleri'!$B$5:$D$304,3,FALSE)),"— tanımsız kalem —")</f>
      </c>
      <c r="F466" s="11"/>
      <c r="G466" s="13"/>
      <c r="H466" s="17"/>
      <c r="I466" s="16">
        <f>IF($G466="",0,$G466*IF($H466="",0,$H466))</f>
      </c>
      <c r="J466" s="16">
        <f>IF($G466="","",$G466+$I466)</f>
      </c>
      <c r="K466" s="11"/>
    </row>
    <row r="467" spans="2:11" x14ac:dyDescent="0.25">
      <c r="B467" s="9"/>
      <c r="C467" s="8"/>
      <c r="D467" s="8"/>
      <c r="E467" s="14">
        <f>IFERROR(IF($D467="","",VLOOKUP($D467,'Bütçe Kalemleri'!$B$5:$D$304,3,FALSE)),"— tanımsız kalem —")</f>
      </c>
      <c r="F467" s="8"/>
      <c r="G467" s="10"/>
      <c r="H467" s="15"/>
      <c r="I467" s="16">
        <f>IF($G467="",0,$G467*IF($H467="",0,$H467))</f>
      </c>
      <c r="J467" s="16">
        <f>IF($G467="","",$G467+$I467)</f>
      </c>
      <c r="K467" s="8"/>
    </row>
    <row r="468" spans="2:11" x14ac:dyDescent="0.25">
      <c r="B468" s="12"/>
      <c r="C468" s="11"/>
      <c r="D468" s="11"/>
      <c r="E468" s="14">
        <f>IFERROR(IF($D468="","",VLOOKUP($D468,'Bütçe Kalemleri'!$B$5:$D$304,3,FALSE)),"— tanımsız kalem —")</f>
      </c>
      <c r="F468" s="11"/>
      <c r="G468" s="13"/>
      <c r="H468" s="17"/>
      <c r="I468" s="16">
        <f>IF($G468="",0,$G468*IF($H468="",0,$H468))</f>
      </c>
      <c r="J468" s="16">
        <f>IF($G468="","",$G468+$I468)</f>
      </c>
      <c r="K468" s="11"/>
    </row>
    <row r="469" spans="2:11" x14ac:dyDescent="0.25">
      <c r="B469" s="9"/>
      <c r="C469" s="8"/>
      <c r="D469" s="8"/>
      <c r="E469" s="14">
        <f>IFERROR(IF($D469="","",VLOOKUP($D469,'Bütçe Kalemleri'!$B$5:$D$304,3,FALSE)),"— tanımsız kalem —")</f>
      </c>
      <c r="F469" s="8"/>
      <c r="G469" s="10"/>
      <c r="H469" s="15"/>
      <c r="I469" s="16">
        <f>IF($G469="",0,$G469*IF($H469="",0,$H469))</f>
      </c>
      <c r="J469" s="16">
        <f>IF($G469="","",$G469+$I469)</f>
      </c>
      <c r="K469" s="8"/>
    </row>
    <row r="470" spans="2:11" x14ac:dyDescent="0.25">
      <c r="B470" s="12"/>
      <c r="C470" s="11"/>
      <c r="D470" s="11"/>
      <c r="E470" s="14">
        <f>IFERROR(IF($D470="","",VLOOKUP($D470,'Bütçe Kalemleri'!$B$5:$D$304,3,FALSE)),"— tanımsız kalem —")</f>
      </c>
      <c r="F470" s="11"/>
      <c r="G470" s="13"/>
      <c r="H470" s="17"/>
      <c r="I470" s="16">
        <f>IF($G470="",0,$G470*IF($H470="",0,$H470))</f>
      </c>
      <c r="J470" s="16">
        <f>IF($G470="","",$G470+$I470)</f>
      </c>
      <c r="K470" s="11"/>
    </row>
    <row r="471" spans="2:11" x14ac:dyDescent="0.25">
      <c r="B471" s="9"/>
      <c r="C471" s="8"/>
      <c r="D471" s="8"/>
      <c r="E471" s="14">
        <f>IFERROR(IF($D471="","",VLOOKUP($D471,'Bütçe Kalemleri'!$B$5:$D$304,3,FALSE)),"— tanımsız kalem —")</f>
      </c>
      <c r="F471" s="8"/>
      <c r="G471" s="10"/>
      <c r="H471" s="15"/>
      <c r="I471" s="16">
        <f>IF($G471="",0,$G471*IF($H471="",0,$H471))</f>
      </c>
      <c r="J471" s="16">
        <f>IF($G471="","",$G471+$I471)</f>
      </c>
      <c r="K471" s="8"/>
    </row>
    <row r="472" spans="2:11" x14ac:dyDescent="0.25">
      <c r="B472" s="12"/>
      <c r="C472" s="11"/>
      <c r="D472" s="11"/>
      <c r="E472" s="14">
        <f>IFERROR(IF($D472="","",VLOOKUP($D472,'Bütçe Kalemleri'!$B$5:$D$304,3,FALSE)),"— tanımsız kalem —")</f>
      </c>
      <c r="F472" s="11"/>
      <c r="G472" s="13"/>
      <c r="H472" s="17"/>
      <c r="I472" s="16">
        <f>IF($G472="",0,$G472*IF($H472="",0,$H472))</f>
      </c>
      <c r="J472" s="16">
        <f>IF($G472="","",$G472+$I472)</f>
      </c>
      <c r="K472" s="11"/>
    </row>
    <row r="473" spans="2:11" x14ac:dyDescent="0.25">
      <c r="B473" s="9"/>
      <c r="C473" s="8"/>
      <c r="D473" s="8"/>
      <c r="E473" s="14">
        <f>IFERROR(IF($D473="","",VLOOKUP($D473,'Bütçe Kalemleri'!$B$5:$D$304,3,FALSE)),"— tanımsız kalem —")</f>
      </c>
      <c r="F473" s="8"/>
      <c r="G473" s="10"/>
      <c r="H473" s="15"/>
      <c r="I473" s="16">
        <f>IF($G473="",0,$G473*IF($H473="",0,$H473))</f>
      </c>
      <c r="J473" s="16">
        <f>IF($G473="","",$G473+$I473)</f>
      </c>
      <c r="K473" s="8"/>
    </row>
    <row r="474" spans="2:11" x14ac:dyDescent="0.25">
      <c r="B474" s="12"/>
      <c r="C474" s="11"/>
      <c r="D474" s="11"/>
      <c r="E474" s="14">
        <f>IFERROR(IF($D474="","",VLOOKUP($D474,'Bütçe Kalemleri'!$B$5:$D$304,3,FALSE)),"— tanımsız kalem —")</f>
      </c>
      <c r="F474" s="11"/>
      <c r="G474" s="13"/>
      <c r="H474" s="17"/>
      <c r="I474" s="16">
        <f>IF($G474="",0,$G474*IF($H474="",0,$H474))</f>
      </c>
      <c r="J474" s="16">
        <f>IF($G474="","",$G474+$I474)</f>
      </c>
      <c r="K474" s="11"/>
    </row>
    <row r="475" spans="2:11" x14ac:dyDescent="0.25">
      <c r="B475" s="9"/>
      <c r="C475" s="8"/>
      <c r="D475" s="8"/>
      <c r="E475" s="14">
        <f>IFERROR(IF($D475="","",VLOOKUP($D475,'Bütçe Kalemleri'!$B$5:$D$304,3,FALSE)),"— tanımsız kalem —")</f>
      </c>
      <c r="F475" s="8"/>
      <c r="G475" s="10"/>
      <c r="H475" s="15"/>
      <c r="I475" s="16">
        <f>IF($G475="",0,$G475*IF($H475="",0,$H475))</f>
      </c>
      <c r="J475" s="16">
        <f>IF($G475="","",$G475+$I475)</f>
      </c>
      <c r="K475" s="8"/>
    </row>
    <row r="476" spans="2:11" x14ac:dyDescent="0.25">
      <c r="B476" s="12"/>
      <c r="C476" s="11"/>
      <c r="D476" s="11"/>
      <c r="E476" s="14">
        <f>IFERROR(IF($D476="","",VLOOKUP($D476,'Bütçe Kalemleri'!$B$5:$D$304,3,FALSE)),"— tanımsız kalem —")</f>
      </c>
      <c r="F476" s="11"/>
      <c r="G476" s="13"/>
      <c r="H476" s="17"/>
      <c r="I476" s="16">
        <f>IF($G476="",0,$G476*IF($H476="",0,$H476))</f>
      </c>
      <c r="J476" s="16">
        <f>IF($G476="","",$G476+$I476)</f>
      </c>
      <c r="K476" s="11"/>
    </row>
    <row r="477" spans="2:11" x14ac:dyDescent="0.25">
      <c r="B477" s="9"/>
      <c r="C477" s="8"/>
      <c r="D477" s="8"/>
      <c r="E477" s="14">
        <f>IFERROR(IF($D477="","",VLOOKUP($D477,'Bütçe Kalemleri'!$B$5:$D$304,3,FALSE)),"— tanımsız kalem —")</f>
      </c>
      <c r="F477" s="8"/>
      <c r="G477" s="10"/>
      <c r="H477" s="15"/>
      <c r="I477" s="16">
        <f>IF($G477="",0,$G477*IF($H477="",0,$H477))</f>
      </c>
      <c r="J477" s="16">
        <f>IF($G477="","",$G477+$I477)</f>
      </c>
      <c r="K477" s="8"/>
    </row>
    <row r="478" spans="2:11" x14ac:dyDescent="0.25">
      <c r="B478" s="12"/>
      <c r="C478" s="11"/>
      <c r="D478" s="11"/>
      <c r="E478" s="14">
        <f>IFERROR(IF($D478="","",VLOOKUP($D478,'Bütçe Kalemleri'!$B$5:$D$304,3,FALSE)),"— tanımsız kalem —")</f>
      </c>
      <c r="F478" s="11"/>
      <c r="G478" s="13"/>
      <c r="H478" s="17"/>
      <c r="I478" s="16">
        <f>IF($G478="",0,$G478*IF($H478="",0,$H478))</f>
      </c>
      <c r="J478" s="16">
        <f>IF($G478="","",$G478+$I478)</f>
      </c>
      <c r="K478" s="11"/>
    </row>
    <row r="479" spans="2:11" x14ac:dyDescent="0.25">
      <c r="B479" s="9"/>
      <c r="C479" s="8"/>
      <c r="D479" s="8"/>
      <c r="E479" s="14">
        <f>IFERROR(IF($D479="","",VLOOKUP($D479,'Bütçe Kalemleri'!$B$5:$D$304,3,FALSE)),"— tanımsız kalem —")</f>
      </c>
      <c r="F479" s="8"/>
      <c r="G479" s="10"/>
      <c r="H479" s="15"/>
      <c r="I479" s="16">
        <f>IF($G479="",0,$G479*IF($H479="",0,$H479))</f>
      </c>
      <c r="J479" s="16">
        <f>IF($G479="","",$G479+$I479)</f>
      </c>
      <c r="K479" s="8"/>
    </row>
    <row r="480" spans="2:11" x14ac:dyDescent="0.25">
      <c r="B480" s="12"/>
      <c r="C480" s="11"/>
      <c r="D480" s="11"/>
      <c r="E480" s="14">
        <f>IFERROR(IF($D480="","",VLOOKUP($D480,'Bütçe Kalemleri'!$B$5:$D$304,3,FALSE)),"— tanımsız kalem —")</f>
      </c>
      <c r="F480" s="11"/>
      <c r="G480" s="13"/>
      <c r="H480" s="17"/>
      <c r="I480" s="16">
        <f>IF($G480="",0,$G480*IF($H480="",0,$H480))</f>
      </c>
      <c r="J480" s="16">
        <f>IF($G480="","",$G480+$I480)</f>
      </c>
      <c r="K480" s="11"/>
    </row>
    <row r="481" spans="2:11" x14ac:dyDescent="0.25">
      <c r="B481" s="9"/>
      <c r="C481" s="8"/>
      <c r="D481" s="8"/>
      <c r="E481" s="14">
        <f>IFERROR(IF($D481="","",VLOOKUP($D481,'Bütçe Kalemleri'!$B$5:$D$304,3,FALSE)),"— tanımsız kalem —")</f>
      </c>
      <c r="F481" s="8"/>
      <c r="G481" s="10"/>
      <c r="H481" s="15"/>
      <c r="I481" s="16">
        <f>IF($G481="",0,$G481*IF($H481="",0,$H481))</f>
      </c>
      <c r="J481" s="16">
        <f>IF($G481="","",$G481+$I481)</f>
      </c>
      <c r="K481" s="8"/>
    </row>
    <row r="482" spans="2:11" x14ac:dyDescent="0.25">
      <c r="B482" s="12"/>
      <c r="C482" s="11"/>
      <c r="D482" s="11"/>
      <c r="E482" s="14">
        <f>IFERROR(IF($D482="","",VLOOKUP($D482,'Bütçe Kalemleri'!$B$5:$D$304,3,FALSE)),"— tanımsız kalem —")</f>
      </c>
      <c r="F482" s="11"/>
      <c r="G482" s="13"/>
      <c r="H482" s="17"/>
      <c r="I482" s="16">
        <f>IF($G482="",0,$G482*IF($H482="",0,$H482))</f>
      </c>
      <c r="J482" s="16">
        <f>IF($G482="","",$G482+$I482)</f>
      </c>
      <c r="K482" s="11"/>
    </row>
    <row r="483" spans="2:11" x14ac:dyDescent="0.25">
      <c r="B483" s="9"/>
      <c r="C483" s="8"/>
      <c r="D483" s="8"/>
      <c r="E483" s="14">
        <f>IFERROR(IF($D483="","",VLOOKUP($D483,'Bütçe Kalemleri'!$B$5:$D$304,3,FALSE)),"— tanımsız kalem —")</f>
      </c>
      <c r="F483" s="8"/>
      <c r="G483" s="10"/>
      <c r="H483" s="15"/>
      <c r="I483" s="16">
        <f>IF($G483="",0,$G483*IF($H483="",0,$H483))</f>
      </c>
      <c r="J483" s="16">
        <f>IF($G483="","",$G483+$I483)</f>
      </c>
      <c r="K483" s="8"/>
    </row>
    <row r="484" spans="2:11" x14ac:dyDescent="0.25">
      <c r="B484" s="12"/>
      <c r="C484" s="11"/>
      <c r="D484" s="11"/>
      <c r="E484" s="14">
        <f>IFERROR(IF($D484="","",VLOOKUP($D484,'Bütçe Kalemleri'!$B$5:$D$304,3,FALSE)),"— tanımsız kalem —")</f>
      </c>
      <c r="F484" s="11"/>
      <c r="G484" s="13"/>
      <c r="H484" s="17"/>
      <c r="I484" s="16">
        <f>IF($G484="",0,$G484*IF($H484="",0,$H484))</f>
      </c>
      <c r="J484" s="16">
        <f>IF($G484="","",$G484+$I484)</f>
      </c>
      <c r="K484" s="11"/>
    </row>
    <row r="485" spans="2:11" x14ac:dyDescent="0.25">
      <c r="B485" s="9"/>
      <c r="C485" s="8"/>
      <c r="D485" s="8"/>
      <c r="E485" s="14">
        <f>IFERROR(IF($D485="","",VLOOKUP($D485,'Bütçe Kalemleri'!$B$5:$D$304,3,FALSE)),"— tanımsız kalem —")</f>
      </c>
      <c r="F485" s="8"/>
      <c r="G485" s="10"/>
      <c r="H485" s="15"/>
      <c r="I485" s="16">
        <f>IF($G485="",0,$G485*IF($H485="",0,$H485))</f>
      </c>
      <c r="J485" s="16">
        <f>IF($G485="","",$G485+$I485)</f>
      </c>
      <c r="K485" s="8"/>
    </row>
    <row r="486" spans="2:11" x14ac:dyDescent="0.25">
      <c r="B486" s="12"/>
      <c r="C486" s="11"/>
      <c r="D486" s="11"/>
      <c r="E486" s="14">
        <f>IFERROR(IF($D486="","",VLOOKUP($D486,'Bütçe Kalemleri'!$B$5:$D$304,3,FALSE)),"— tanımsız kalem —")</f>
      </c>
      <c r="F486" s="11"/>
      <c r="G486" s="13"/>
      <c r="H486" s="17"/>
      <c r="I486" s="16">
        <f>IF($G486="",0,$G486*IF($H486="",0,$H486))</f>
      </c>
      <c r="J486" s="16">
        <f>IF($G486="","",$G486+$I486)</f>
      </c>
      <c r="K486" s="11"/>
    </row>
    <row r="487" spans="2:11" x14ac:dyDescent="0.25">
      <c r="B487" s="9"/>
      <c r="C487" s="8"/>
      <c r="D487" s="8"/>
      <c r="E487" s="14">
        <f>IFERROR(IF($D487="","",VLOOKUP($D487,'Bütçe Kalemleri'!$B$5:$D$304,3,FALSE)),"— tanımsız kalem —")</f>
      </c>
      <c r="F487" s="8"/>
      <c r="G487" s="10"/>
      <c r="H487" s="15"/>
      <c r="I487" s="16">
        <f>IF($G487="",0,$G487*IF($H487="",0,$H487))</f>
      </c>
      <c r="J487" s="16">
        <f>IF($G487="","",$G487+$I487)</f>
      </c>
      <c r="K487" s="8"/>
    </row>
    <row r="488" spans="2:11" x14ac:dyDescent="0.25">
      <c r="B488" s="12"/>
      <c r="C488" s="11"/>
      <c r="D488" s="11"/>
      <c r="E488" s="14">
        <f>IFERROR(IF($D488="","",VLOOKUP($D488,'Bütçe Kalemleri'!$B$5:$D$304,3,FALSE)),"— tanımsız kalem —")</f>
      </c>
      <c r="F488" s="11"/>
      <c r="G488" s="13"/>
      <c r="H488" s="17"/>
      <c r="I488" s="16">
        <f>IF($G488="",0,$G488*IF($H488="",0,$H488))</f>
      </c>
      <c r="J488" s="16">
        <f>IF($G488="","",$G488+$I488)</f>
      </c>
      <c r="K488" s="11"/>
    </row>
    <row r="489" spans="2:11" x14ac:dyDescent="0.25">
      <c r="B489" s="9"/>
      <c r="C489" s="8"/>
      <c r="D489" s="8"/>
      <c r="E489" s="14">
        <f>IFERROR(IF($D489="","",VLOOKUP($D489,'Bütçe Kalemleri'!$B$5:$D$304,3,FALSE)),"— tanımsız kalem —")</f>
      </c>
      <c r="F489" s="8"/>
      <c r="G489" s="10"/>
      <c r="H489" s="15"/>
      <c r="I489" s="16">
        <f>IF($G489="",0,$G489*IF($H489="",0,$H489))</f>
      </c>
      <c r="J489" s="16">
        <f>IF($G489="","",$G489+$I489)</f>
      </c>
      <c r="K489" s="8"/>
    </row>
    <row r="490" spans="2:11" x14ac:dyDescent="0.25">
      <c r="B490" s="12"/>
      <c r="C490" s="11"/>
      <c r="D490" s="11"/>
      <c r="E490" s="14">
        <f>IFERROR(IF($D490="","",VLOOKUP($D490,'Bütçe Kalemleri'!$B$5:$D$304,3,FALSE)),"— tanımsız kalem —")</f>
      </c>
      <c r="F490" s="11"/>
      <c r="G490" s="13"/>
      <c r="H490" s="17"/>
      <c r="I490" s="16">
        <f>IF($G490="",0,$G490*IF($H490="",0,$H490))</f>
      </c>
      <c r="J490" s="16">
        <f>IF($G490="","",$G490+$I490)</f>
      </c>
      <c r="K490" s="11"/>
    </row>
    <row r="491" spans="2:11" x14ac:dyDescent="0.25">
      <c r="B491" s="9"/>
      <c r="C491" s="8"/>
      <c r="D491" s="8"/>
      <c r="E491" s="14">
        <f>IFERROR(IF($D491="","",VLOOKUP($D491,'Bütçe Kalemleri'!$B$5:$D$304,3,FALSE)),"— tanımsız kalem —")</f>
      </c>
      <c r="F491" s="8"/>
      <c r="G491" s="10"/>
      <c r="H491" s="15"/>
      <c r="I491" s="16">
        <f>IF($G491="",0,$G491*IF($H491="",0,$H491))</f>
      </c>
      <c r="J491" s="16">
        <f>IF($G491="","",$G491+$I491)</f>
      </c>
      <c r="K491" s="8"/>
    </row>
    <row r="492" spans="2:11" x14ac:dyDescent="0.25">
      <c r="B492" s="12"/>
      <c r="C492" s="11"/>
      <c r="D492" s="11"/>
      <c r="E492" s="14">
        <f>IFERROR(IF($D492="","",VLOOKUP($D492,'Bütçe Kalemleri'!$B$5:$D$304,3,FALSE)),"— tanımsız kalem —")</f>
      </c>
      <c r="F492" s="11"/>
      <c r="G492" s="13"/>
      <c r="H492" s="17"/>
      <c r="I492" s="16">
        <f>IF($G492="",0,$G492*IF($H492="",0,$H492))</f>
      </c>
      <c r="J492" s="16">
        <f>IF($G492="","",$G492+$I492)</f>
      </c>
      <c r="K492" s="11"/>
    </row>
    <row r="493" spans="2:11" x14ac:dyDescent="0.25">
      <c r="B493" s="9"/>
      <c r="C493" s="8"/>
      <c r="D493" s="8"/>
      <c r="E493" s="14">
        <f>IFERROR(IF($D493="","",VLOOKUP($D493,'Bütçe Kalemleri'!$B$5:$D$304,3,FALSE)),"— tanımsız kalem —")</f>
      </c>
      <c r="F493" s="8"/>
      <c r="G493" s="10"/>
      <c r="H493" s="15"/>
      <c r="I493" s="16">
        <f>IF($G493="",0,$G493*IF($H493="",0,$H493))</f>
      </c>
      <c r="J493" s="16">
        <f>IF($G493="","",$G493+$I493)</f>
      </c>
      <c r="K493" s="8"/>
    </row>
    <row r="494" spans="2:11" x14ac:dyDescent="0.25">
      <c r="B494" s="12"/>
      <c r="C494" s="11"/>
      <c r="D494" s="11"/>
      <c r="E494" s="14">
        <f>IFERROR(IF($D494="","",VLOOKUP($D494,'Bütçe Kalemleri'!$B$5:$D$304,3,FALSE)),"— tanımsız kalem —")</f>
      </c>
      <c r="F494" s="11"/>
      <c r="G494" s="13"/>
      <c r="H494" s="17"/>
      <c r="I494" s="16">
        <f>IF($G494="",0,$G494*IF($H494="",0,$H494))</f>
      </c>
      <c r="J494" s="16">
        <f>IF($G494="","",$G494+$I494)</f>
      </c>
      <c r="K494" s="11"/>
    </row>
    <row r="495" spans="2:11" x14ac:dyDescent="0.25">
      <c r="B495" s="9"/>
      <c r="C495" s="8"/>
      <c r="D495" s="8"/>
      <c r="E495" s="14">
        <f>IFERROR(IF($D495="","",VLOOKUP($D495,'Bütçe Kalemleri'!$B$5:$D$304,3,FALSE)),"— tanımsız kalem —")</f>
      </c>
      <c r="F495" s="8"/>
      <c r="G495" s="10"/>
      <c r="H495" s="15"/>
      <c r="I495" s="16">
        <f>IF($G495="",0,$G495*IF($H495="",0,$H495))</f>
      </c>
      <c r="J495" s="16">
        <f>IF($G495="","",$G495+$I495)</f>
      </c>
      <c r="K495" s="8"/>
    </row>
    <row r="496" spans="2:11" x14ac:dyDescent="0.25">
      <c r="B496" s="12"/>
      <c r="C496" s="11"/>
      <c r="D496" s="11"/>
      <c r="E496" s="14">
        <f>IFERROR(IF($D496="","",VLOOKUP($D496,'Bütçe Kalemleri'!$B$5:$D$304,3,FALSE)),"— tanımsız kalem —")</f>
      </c>
      <c r="F496" s="11"/>
      <c r="G496" s="13"/>
      <c r="H496" s="17"/>
      <c r="I496" s="16">
        <f>IF($G496="",0,$G496*IF($H496="",0,$H496))</f>
      </c>
      <c r="J496" s="16">
        <f>IF($G496="","",$G496+$I496)</f>
      </c>
      <c r="K496" s="11"/>
    </row>
    <row r="497" spans="2:11" x14ac:dyDescent="0.25">
      <c r="B497" s="9"/>
      <c r="C497" s="8"/>
      <c r="D497" s="8"/>
      <c r="E497" s="14">
        <f>IFERROR(IF($D497="","",VLOOKUP($D497,'Bütçe Kalemleri'!$B$5:$D$304,3,FALSE)),"— tanımsız kalem —")</f>
      </c>
      <c r="F497" s="8"/>
      <c r="G497" s="10"/>
      <c r="H497" s="15"/>
      <c r="I497" s="16">
        <f>IF($G497="",0,$G497*IF($H497="",0,$H497))</f>
      </c>
      <c r="J497" s="16">
        <f>IF($G497="","",$G497+$I497)</f>
      </c>
      <c r="K497" s="8"/>
    </row>
    <row r="498" spans="2:11" x14ac:dyDescent="0.25">
      <c r="B498" s="12"/>
      <c r="C498" s="11"/>
      <c r="D498" s="11"/>
      <c r="E498" s="14">
        <f>IFERROR(IF($D498="","",VLOOKUP($D498,'Bütçe Kalemleri'!$B$5:$D$304,3,FALSE)),"— tanımsız kalem —")</f>
      </c>
      <c r="F498" s="11"/>
      <c r="G498" s="13"/>
      <c r="H498" s="17"/>
      <c r="I498" s="16">
        <f>IF($G498="",0,$G498*IF($H498="",0,$H498))</f>
      </c>
      <c r="J498" s="16">
        <f>IF($G498="","",$G498+$I498)</f>
      </c>
      <c r="K498" s="11"/>
    </row>
    <row r="499" spans="2:11" x14ac:dyDescent="0.25">
      <c r="B499" s="9"/>
      <c r="C499" s="8"/>
      <c r="D499" s="8"/>
      <c r="E499" s="14">
        <f>IFERROR(IF($D499="","",VLOOKUP($D499,'Bütçe Kalemleri'!$B$5:$D$304,3,FALSE)),"— tanımsız kalem —")</f>
      </c>
      <c r="F499" s="8"/>
      <c r="G499" s="10"/>
      <c r="H499" s="15"/>
      <c r="I499" s="16">
        <f>IF($G499="",0,$G499*IF($H499="",0,$H499))</f>
      </c>
      <c r="J499" s="16">
        <f>IF($G499="","",$G499+$I499)</f>
      </c>
      <c r="K499" s="8"/>
    </row>
    <row r="500" spans="2:11" x14ac:dyDescent="0.25">
      <c r="B500" s="12"/>
      <c r="C500" s="11"/>
      <c r="D500" s="11"/>
      <c r="E500" s="14">
        <f>IFERROR(IF($D500="","",VLOOKUP($D500,'Bütçe Kalemleri'!$B$5:$D$304,3,FALSE)),"— tanımsız kalem —")</f>
      </c>
      <c r="F500" s="11"/>
      <c r="G500" s="13"/>
      <c r="H500" s="17"/>
      <c r="I500" s="16">
        <f>IF($G500="",0,$G500*IF($H500="",0,$H500))</f>
      </c>
      <c r="J500" s="16">
        <f>IF($G500="","",$G500+$I500)</f>
      </c>
      <c r="K500" s="11"/>
    </row>
    <row r="501" spans="2:11" x14ac:dyDescent="0.25">
      <c r="B501" s="9"/>
      <c r="C501" s="8"/>
      <c r="D501" s="8"/>
      <c r="E501" s="14">
        <f>IFERROR(IF($D501="","",VLOOKUP($D501,'Bütçe Kalemleri'!$B$5:$D$304,3,FALSE)),"— tanımsız kalem —")</f>
      </c>
      <c r="F501" s="8"/>
      <c r="G501" s="10"/>
      <c r="H501" s="15"/>
      <c r="I501" s="16">
        <f>IF($G501="",0,$G501*IF($H501="",0,$H501))</f>
      </c>
      <c r="J501" s="16">
        <f>IF($G501="","",$G501+$I501)</f>
      </c>
      <c r="K501" s="8"/>
    </row>
    <row r="502" spans="2:11" x14ac:dyDescent="0.25">
      <c r="B502" s="12"/>
      <c r="C502" s="11"/>
      <c r="D502" s="11"/>
      <c r="E502" s="14">
        <f>IFERROR(IF($D502="","",VLOOKUP($D502,'Bütçe Kalemleri'!$B$5:$D$304,3,FALSE)),"— tanımsız kalem —")</f>
      </c>
      <c r="F502" s="11"/>
      <c r="G502" s="13"/>
      <c r="H502" s="17"/>
      <c r="I502" s="16">
        <f>IF($G502="",0,$G502*IF($H502="",0,$H502))</f>
      </c>
      <c r="J502" s="16">
        <f>IF($G502="","",$G502+$I502)</f>
      </c>
      <c r="K502" s="11"/>
    </row>
    <row r="503" spans="2:11" x14ac:dyDescent="0.25">
      <c r="B503" s="9"/>
      <c r="C503" s="8"/>
      <c r="D503" s="8"/>
      <c r="E503" s="14">
        <f>IFERROR(IF($D503="","",VLOOKUP($D503,'Bütçe Kalemleri'!$B$5:$D$304,3,FALSE)),"— tanımsız kalem —")</f>
      </c>
      <c r="F503" s="8"/>
      <c r="G503" s="10"/>
      <c r="H503" s="15"/>
      <c r="I503" s="16">
        <f>IF($G503="",0,$G503*IF($H503="",0,$H503))</f>
      </c>
      <c r="J503" s="16">
        <f>IF($G503="","",$G503+$I503)</f>
      </c>
      <c r="K503" s="8"/>
    </row>
    <row r="504" spans="2:11" x14ac:dyDescent="0.25">
      <c r="B504" s="12"/>
      <c r="C504" s="11"/>
      <c r="D504" s="11"/>
      <c r="E504" s="14">
        <f>IFERROR(IF($D504="","",VLOOKUP($D504,'Bütçe Kalemleri'!$B$5:$D$304,3,FALSE)),"— tanımsız kalem —")</f>
      </c>
      <c r="F504" s="11"/>
      <c r="G504" s="13"/>
      <c r="H504" s="17"/>
      <c r="I504" s="16">
        <f>IF($G504="",0,$G504*IF($H504="",0,$H504))</f>
      </c>
      <c r="J504" s="16">
        <f>IF($G504="","",$G504+$I504)</f>
      </c>
      <c r="K504" s="11"/>
    </row>
    <row r="505" spans="2:11" x14ac:dyDescent="0.25">
      <c r="B505" s="9"/>
      <c r="C505" s="8"/>
      <c r="D505" s="8"/>
      <c r="E505" s="14">
        <f>IFERROR(IF($D505="","",VLOOKUP($D505,'Bütçe Kalemleri'!$B$5:$D$304,3,FALSE)),"— tanımsız kalem —")</f>
      </c>
      <c r="F505" s="8"/>
      <c r="G505" s="10"/>
      <c r="H505" s="15"/>
      <c r="I505" s="16">
        <f>IF($G505="",0,$G505*IF($H505="",0,$H505))</f>
      </c>
      <c r="J505" s="16">
        <f>IF($G505="","",$G505+$I505)</f>
      </c>
      <c r="K505" s="8"/>
    </row>
    <row r="506" spans="2:11" x14ac:dyDescent="0.25">
      <c r="B506" s="12"/>
      <c r="C506" s="11"/>
      <c r="D506" s="11"/>
      <c r="E506" s="14">
        <f>IFERROR(IF($D506="","",VLOOKUP($D506,'Bütçe Kalemleri'!$B$5:$D$304,3,FALSE)),"— tanımsız kalem —")</f>
      </c>
      <c r="F506" s="11"/>
      <c r="G506" s="13"/>
      <c r="H506" s="17"/>
      <c r="I506" s="16">
        <f>IF($G506="",0,$G506*IF($H506="",0,$H506))</f>
      </c>
      <c r="J506" s="16">
        <f>IF($G506="","",$G506+$I506)</f>
      </c>
      <c r="K506" s="11"/>
    </row>
    <row r="507" spans="2:11" x14ac:dyDescent="0.25">
      <c r="B507" s="9"/>
      <c r="C507" s="8"/>
      <c r="D507" s="8"/>
      <c r="E507" s="14">
        <f>IFERROR(IF($D507="","",VLOOKUP($D507,'Bütçe Kalemleri'!$B$5:$D$304,3,FALSE)),"— tanımsız kalem —")</f>
      </c>
      <c r="F507" s="8"/>
      <c r="G507" s="10"/>
      <c r="H507" s="15"/>
      <c r="I507" s="16">
        <f>IF($G507="",0,$G507*IF($H507="",0,$H507))</f>
      </c>
      <c r="J507" s="16">
        <f>IF($G507="","",$G507+$I507)</f>
      </c>
      <c r="K507" s="8"/>
    </row>
    <row r="508" spans="2:11" x14ac:dyDescent="0.25">
      <c r="B508" s="12"/>
      <c r="C508" s="11"/>
      <c r="D508" s="11"/>
      <c r="E508" s="14">
        <f>IFERROR(IF($D508="","",VLOOKUP($D508,'Bütçe Kalemleri'!$B$5:$D$304,3,FALSE)),"— tanımsız kalem —")</f>
      </c>
      <c r="F508" s="11"/>
      <c r="G508" s="13"/>
      <c r="H508" s="17"/>
      <c r="I508" s="16">
        <f>IF($G508="",0,$G508*IF($H508="",0,$H508))</f>
      </c>
      <c r="J508" s="16">
        <f>IF($G508="","",$G508+$I508)</f>
      </c>
      <c r="K508" s="11"/>
    </row>
    <row r="509" spans="2:11" x14ac:dyDescent="0.25">
      <c r="B509" s="9"/>
      <c r="C509" s="8"/>
      <c r="D509" s="8"/>
      <c r="E509" s="14">
        <f>IFERROR(IF($D509="","",VLOOKUP($D509,'Bütçe Kalemleri'!$B$5:$D$304,3,FALSE)),"— tanımsız kalem —")</f>
      </c>
      <c r="F509" s="8"/>
      <c r="G509" s="10"/>
      <c r="H509" s="15"/>
      <c r="I509" s="16">
        <f>IF($G509="",0,$G509*IF($H509="",0,$H509))</f>
      </c>
      <c r="J509" s="16">
        <f>IF($G509="","",$G509+$I509)</f>
      </c>
      <c r="K509" s="8"/>
    </row>
    <row r="510" spans="2:11" x14ac:dyDescent="0.25">
      <c r="B510" s="12"/>
      <c r="C510" s="11"/>
      <c r="D510" s="11"/>
      <c r="E510" s="14">
        <f>IFERROR(IF($D510="","",VLOOKUP($D510,'Bütçe Kalemleri'!$B$5:$D$304,3,FALSE)),"— tanımsız kalem —")</f>
      </c>
      <c r="F510" s="11"/>
      <c r="G510" s="13"/>
      <c r="H510" s="17"/>
      <c r="I510" s="16">
        <f>IF($G510="",0,$G510*IF($H510="",0,$H510))</f>
      </c>
      <c r="J510" s="16">
        <f>IF($G510="","",$G510+$I510)</f>
      </c>
      <c r="K510" s="11"/>
    </row>
    <row r="511" spans="2:11" x14ac:dyDescent="0.25">
      <c r="B511" s="9"/>
      <c r="C511" s="8"/>
      <c r="D511" s="8"/>
      <c r="E511" s="14">
        <f>IFERROR(IF($D511="","",VLOOKUP($D511,'Bütçe Kalemleri'!$B$5:$D$304,3,FALSE)),"— tanımsız kalem —")</f>
      </c>
      <c r="F511" s="8"/>
      <c r="G511" s="10"/>
      <c r="H511" s="15"/>
      <c r="I511" s="16">
        <f>IF($G511="",0,$G511*IF($H511="",0,$H511))</f>
      </c>
      <c r="J511" s="16">
        <f>IF($G511="","",$G511+$I511)</f>
      </c>
      <c r="K511" s="8"/>
    </row>
    <row r="512" spans="2:11" x14ac:dyDescent="0.25">
      <c r="B512" s="12"/>
      <c r="C512" s="11"/>
      <c r="D512" s="11"/>
      <c r="E512" s="14">
        <f>IFERROR(IF($D512="","",VLOOKUP($D512,'Bütçe Kalemleri'!$B$5:$D$304,3,FALSE)),"— tanımsız kalem —")</f>
      </c>
      <c r="F512" s="11"/>
      <c r="G512" s="13"/>
      <c r="H512" s="17"/>
      <c r="I512" s="16">
        <f>IF($G512="",0,$G512*IF($H512="",0,$H512))</f>
      </c>
      <c r="J512" s="16">
        <f>IF($G512="","",$G512+$I512)</f>
      </c>
      <c r="K512" s="11"/>
    </row>
    <row r="513" spans="2:11" x14ac:dyDescent="0.25">
      <c r="B513" s="9"/>
      <c r="C513" s="8"/>
      <c r="D513" s="8"/>
      <c r="E513" s="14">
        <f>IFERROR(IF($D513="","",VLOOKUP($D513,'Bütçe Kalemleri'!$B$5:$D$304,3,FALSE)),"— tanımsız kalem —")</f>
      </c>
      <c r="F513" s="8"/>
      <c r="G513" s="10"/>
      <c r="H513" s="15"/>
      <c r="I513" s="16">
        <f>IF($G513="",0,$G513*IF($H513="",0,$H513))</f>
      </c>
      <c r="J513" s="16">
        <f>IF($G513="","",$G513+$I513)</f>
      </c>
      <c r="K513" s="8"/>
    </row>
    <row r="514" spans="2:11" x14ac:dyDescent="0.25">
      <c r="B514" s="12"/>
      <c r="C514" s="11"/>
      <c r="D514" s="11"/>
      <c r="E514" s="14">
        <f>IFERROR(IF($D514="","",VLOOKUP($D514,'Bütçe Kalemleri'!$B$5:$D$304,3,FALSE)),"— tanımsız kalem —")</f>
      </c>
      <c r="F514" s="11"/>
      <c r="G514" s="13"/>
      <c r="H514" s="17"/>
      <c r="I514" s="16">
        <f>IF($G514="",0,$G514*IF($H514="",0,$H514))</f>
      </c>
      <c r="J514" s="16">
        <f>IF($G514="","",$G514+$I514)</f>
      </c>
      <c r="K514" s="11"/>
    </row>
    <row r="515" spans="2:11" x14ac:dyDescent="0.25">
      <c r="B515" s="9"/>
      <c r="C515" s="8"/>
      <c r="D515" s="8"/>
      <c r="E515" s="14">
        <f>IFERROR(IF($D515="","",VLOOKUP($D515,'Bütçe Kalemleri'!$B$5:$D$304,3,FALSE)),"— tanımsız kalem —")</f>
      </c>
      <c r="F515" s="8"/>
      <c r="G515" s="10"/>
      <c r="H515" s="15"/>
      <c r="I515" s="16">
        <f>IF($G515="",0,$G515*IF($H515="",0,$H515))</f>
      </c>
      <c r="J515" s="16">
        <f>IF($G515="","",$G515+$I515)</f>
      </c>
      <c r="K515" s="8"/>
    </row>
    <row r="516" spans="2:11" x14ac:dyDescent="0.25">
      <c r="B516" s="12"/>
      <c r="C516" s="11"/>
      <c r="D516" s="11"/>
      <c r="E516" s="14">
        <f>IFERROR(IF($D516="","",VLOOKUP($D516,'Bütçe Kalemleri'!$B$5:$D$304,3,FALSE)),"— tanımsız kalem —")</f>
      </c>
      <c r="F516" s="11"/>
      <c r="G516" s="13"/>
      <c r="H516" s="17"/>
      <c r="I516" s="16">
        <f>IF($G516="",0,$G516*IF($H516="",0,$H516))</f>
      </c>
      <c r="J516" s="16">
        <f>IF($G516="","",$G516+$I516)</f>
      </c>
      <c r="K516" s="11"/>
    </row>
    <row r="517" spans="2:11" x14ac:dyDescent="0.25">
      <c r="B517" s="9"/>
      <c r="C517" s="8"/>
      <c r="D517" s="8"/>
      <c r="E517" s="14">
        <f>IFERROR(IF($D517="","",VLOOKUP($D517,'Bütçe Kalemleri'!$B$5:$D$304,3,FALSE)),"— tanımsız kalem —")</f>
      </c>
      <c r="F517" s="8"/>
      <c r="G517" s="10"/>
      <c r="H517" s="15"/>
      <c r="I517" s="16">
        <f>IF($G517="",0,$G517*IF($H517="",0,$H517))</f>
      </c>
      <c r="J517" s="16">
        <f>IF($G517="","",$G517+$I517)</f>
      </c>
      <c r="K517" s="8"/>
    </row>
    <row r="518" spans="2:11" x14ac:dyDescent="0.25">
      <c r="B518" s="12"/>
      <c r="C518" s="11"/>
      <c r="D518" s="11"/>
      <c r="E518" s="14">
        <f>IFERROR(IF($D518="","",VLOOKUP($D518,'Bütçe Kalemleri'!$B$5:$D$304,3,FALSE)),"— tanımsız kalem —")</f>
      </c>
      <c r="F518" s="11"/>
      <c r="G518" s="13"/>
      <c r="H518" s="17"/>
      <c r="I518" s="16">
        <f>IF($G518="",0,$G518*IF($H518="",0,$H518))</f>
      </c>
      <c r="J518" s="16">
        <f>IF($G518="","",$G518+$I518)</f>
      </c>
      <c r="K518" s="11"/>
    </row>
    <row r="519" spans="2:11" x14ac:dyDescent="0.25">
      <c r="B519" s="9"/>
      <c r="C519" s="8"/>
      <c r="D519" s="8"/>
      <c r="E519" s="14">
        <f>IFERROR(IF($D519="","",VLOOKUP($D519,'Bütçe Kalemleri'!$B$5:$D$304,3,FALSE)),"— tanımsız kalem —")</f>
      </c>
      <c r="F519" s="8"/>
      <c r="G519" s="10"/>
      <c r="H519" s="15"/>
      <c r="I519" s="16">
        <f>IF($G519="",0,$G519*IF($H519="",0,$H519))</f>
      </c>
      <c r="J519" s="16">
        <f>IF($G519="","",$G519+$I519)</f>
      </c>
      <c r="K519" s="8"/>
    </row>
    <row r="520" spans="2:11" x14ac:dyDescent="0.25">
      <c r="B520" s="12"/>
      <c r="C520" s="11"/>
      <c r="D520" s="11"/>
      <c r="E520" s="14">
        <f>IFERROR(IF($D520="","",VLOOKUP($D520,'Bütçe Kalemleri'!$B$5:$D$304,3,FALSE)),"— tanımsız kalem —")</f>
      </c>
      <c r="F520" s="11"/>
      <c r="G520" s="13"/>
      <c r="H520" s="17"/>
      <c r="I520" s="16">
        <f>IF($G520="",0,$G520*IF($H520="",0,$H520))</f>
      </c>
      <c r="J520" s="16">
        <f>IF($G520="","",$G520+$I520)</f>
      </c>
      <c r="K520" s="11"/>
    </row>
    <row r="521" spans="2:11" x14ac:dyDescent="0.25">
      <c r="B521" s="9"/>
      <c r="C521" s="8"/>
      <c r="D521" s="8"/>
      <c r="E521" s="14">
        <f>IFERROR(IF($D521="","",VLOOKUP($D521,'Bütçe Kalemleri'!$B$5:$D$304,3,FALSE)),"— tanımsız kalem —")</f>
      </c>
      <c r="F521" s="8"/>
      <c r="G521" s="10"/>
      <c r="H521" s="15"/>
      <c r="I521" s="16">
        <f>IF($G521="",0,$G521*IF($H521="",0,$H521))</f>
      </c>
      <c r="J521" s="16">
        <f>IF($G521="","",$G521+$I521)</f>
      </c>
      <c r="K521" s="8"/>
    </row>
    <row r="522" spans="2:11" x14ac:dyDescent="0.25">
      <c r="B522" s="12"/>
      <c r="C522" s="11"/>
      <c r="D522" s="11"/>
      <c r="E522" s="14">
        <f>IFERROR(IF($D522="","",VLOOKUP($D522,'Bütçe Kalemleri'!$B$5:$D$304,3,FALSE)),"— tanımsız kalem —")</f>
      </c>
      <c r="F522" s="11"/>
      <c r="G522" s="13"/>
      <c r="H522" s="17"/>
      <c r="I522" s="16">
        <f>IF($G522="",0,$G522*IF($H522="",0,$H522))</f>
      </c>
      <c r="J522" s="16">
        <f>IF($G522="","",$G522+$I522)</f>
      </c>
      <c r="K522" s="11"/>
    </row>
    <row r="523" spans="2:11" x14ac:dyDescent="0.25">
      <c r="B523" s="9"/>
      <c r="C523" s="8"/>
      <c r="D523" s="8"/>
      <c r="E523" s="14">
        <f>IFERROR(IF($D523="","",VLOOKUP($D523,'Bütçe Kalemleri'!$B$5:$D$304,3,FALSE)),"— tanımsız kalem —")</f>
      </c>
      <c r="F523" s="8"/>
      <c r="G523" s="10"/>
      <c r="H523" s="15"/>
      <c r="I523" s="16">
        <f>IF($G523="",0,$G523*IF($H523="",0,$H523))</f>
      </c>
      <c r="J523" s="16">
        <f>IF($G523="","",$G523+$I523)</f>
      </c>
      <c r="K523" s="8"/>
    </row>
    <row r="524" spans="2:11" x14ac:dyDescent="0.25">
      <c r="B524" s="12"/>
      <c r="C524" s="11"/>
      <c r="D524" s="11"/>
      <c r="E524" s="14">
        <f>IFERROR(IF($D524="","",VLOOKUP($D524,'Bütçe Kalemleri'!$B$5:$D$304,3,FALSE)),"— tanımsız kalem —")</f>
      </c>
      <c r="F524" s="11"/>
      <c r="G524" s="13"/>
      <c r="H524" s="17"/>
      <c r="I524" s="16">
        <f>IF($G524="",0,$G524*IF($H524="",0,$H524))</f>
      </c>
      <c r="J524" s="16">
        <f>IF($G524="","",$G524+$I524)</f>
      </c>
      <c r="K524" s="11"/>
    </row>
    <row r="525" spans="2:11" x14ac:dyDescent="0.25">
      <c r="B525" s="9"/>
      <c r="C525" s="8"/>
      <c r="D525" s="8"/>
      <c r="E525" s="14">
        <f>IFERROR(IF($D525="","",VLOOKUP($D525,'Bütçe Kalemleri'!$B$5:$D$304,3,FALSE)),"— tanımsız kalem —")</f>
      </c>
      <c r="F525" s="8"/>
      <c r="G525" s="10"/>
      <c r="H525" s="15"/>
      <c r="I525" s="16">
        <f>IF($G525="",0,$G525*IF($H525="",0,$H525))</f>
      </c>
      <c r="J525" s="16">
        <f>IF($G525="","",$G525+$I525)</f>
      </c>
      <c r="K525" s="8"/>
    </row>
    <row r="526" spans="2:11" x14ac:dyDescent="0.25">
      <c r="B526" s="12"/>
      <c r="C526" s="11"/>
      <c r="D526" s="11"/>
      <c r="E526" s="14">
        <f>IFERROR(IF($D526="","",VLOOKUP($D526,'Bütçe Kalemleri'!$B$5:$D$304,3,FALSE)),"— tanımsız kalem —")</f>
      </c>
      <c r="F526" s="11"/>
      <c r="G526" s="13"/>
      <c r="H526" s="17"/>
      <c r="I526" s="16">
        <f>IF($G526="",0,$G526*IF($H526="",0,$H526))</f>
      </c>
      <c r="J526" s="16">
        <f>IF($G526="","",$G526+$I526)</f>
      </c>
      <c r="K526" s="11"/>
    </row>
    <row r="527" spans="2:11" x14ac:dyDescent="0.25">
      <c r="B527" s="9"/>
      <c r="C527" s="8"/>
      <c r="D527" s="8"/>
      <c r="E527" s="14">
        <f>IFERROR(IF($D527="","",VLOOKUP($D527,'Bütçe Kalemleri'!$B$5:$D$304,3,FALSE)),"— tanımsız kalem —")</f>
      </c>
      <c r="F527" s="8"/>
      <c r="G527" s="10"/>
      <c r="H527" s="15"/>
      <c r="I527" s="16">
        <f>IF($G527="",0,$G527*IF($H527="",0,$H527))</f>
      </c>
      <c r="J527" s="16">
        <f>IF($G527="","",$G527+$I527)</f>
      </c>
      <c r="K527" s="8"/>
    </row>
    <row r="528" spans="2:11" x14ac:dyDescent="0.25">
      <c r="B528" s="12"/>
      <c r="C528" s="11"/>
      <c r="D528" s="11"/>
      <c r="E528" s="14">
        <f>IFERROR(IF($D528="","",VLOOKUP($D528,'Bütçe Kalemleri'!$B$5:$D$304,3,FALSE)),"— tanımsız kalem —")</f>
      </c>
      <c r="F528" s="11"/>
      <c r="G528" s="13"/>
      <c r="H528" s="17"/>
      <c r="I528" s="16">
        <f>IF($G528="",0,$G528*IF($H528="",0,$H528))</f>
      </c>
      <c r="J528" s="16">
        <f>IF($G528="","",$G528+$I528)</f>
      </c>
      <c r="K528" s="11"/>
    </row>
    <row r="529" spans="2:11" x14ac:dyDescent="0.25">
      <c r="B529" s="9"/>
      <c r="C529" s="8"/>
      <c r="D529" s="8"/>
      <c r="E529" s="14">
        <f>IFERROR(IF($D529="","",VLOOKUP($D529,'Bütçe Kalemleri'!$B$5:$D$304,3,FALSE)),"— tanımsız kalem —")</f>
      </c>
      <c r="F529" s="8"/>
      <c r="G529" s="10"/>
      <c r="H529" s="15"/>
      <c r="I529" s="16">
        <f>IF($G529="",0,$G529*IF($H529="",0,$H529))</f>
      </c>
      <c r="J529" s="16">
        <f>IF($G529="","",$G529+$I529)</f>
      </c>
      <c r="K529" s="8"/>
    </row>
    <row r="530" spans="2:11" x14ac:dyDescent="0.25">
      <c r="B530" s="12"/>
      <c r="C530" s="11"/>
      <c r="D530" s="11"/>
      <c r="E530" s="14">
        <f>IFERROR(IF($D530="","",VLOOKUP($D530,'Bütçe Kalemleri'!$B$5:$D$304,3,FALSE)),"— tanımsız kalem —")</f>
      </c>
      <c r="F530" s="11"/>
      <c r="G530" s="13"/>
      <c r="H530" s="17"/>
      <c r="I530" s="16">
        <f>IF($G530="",0,$G530*IF($H530="",0,$H530))</f>
      </c>
      <c r="J530" s="16">
        <f>IF($G530="","",$G530+$I530)</f>
      </c>
      <c r="K530" s="11"/>
    </row>
    <row r="531" spans="2:11" x14ac:dyDescent="0.25">
      <c r="B531" s="9"/>
      <c r="C531" s="8"/>
      <c r="D531" s="8"/>
      <c r="E531" s="14">
        <f>IFERROR(IF($D531="","",VLOOKUP($D531,'Bütçe Kalemleri'!$B$5:$D$304,3,FALSE)),"— tanımsız kalem —")</f>
      </c>
      <c r="F531" s="8"/>
      <c r="G531" s="10"/>
      <c r="H531" s="15"/>
      <c r="I531" s="16">
        <f>IF($G531="",0,$G531*IF($H531="",0,$H531))</f>
      </c>
      <c r="J531" s="16">
        <f>IF($G531="","",$G531+$I531)</f>
      </c>
      <c r="K531" s="8"/>
    </row>
    <row r="532" spans="2:11" x14ac:dyDescent="0.25">
      <c r="B532" s="12"/>
      <c r="C532" s="11"/>
      <c r="D532" s="11"/>
      <c r="E532" s="14">
        <f>IFERROR(IF($D532="","",VLOOKUP($D532,'Bütçe Kalemleri'!$B$5:$D$304,3,FALSE)),"— tanımsız kalem —")</f>
      </c>
      <c r="F532" s="11"/>
      <c r="G532" s="13"/>
      <c r="H532" s="17"/>
      <c r="I532" s="16">
        <f>IF($G532="",0,$G532*IF($H532="",0,$H532))</f>
      </c>
      <c r="J532" s="16">
        <f>IF($G532="","",$G532+$I532)</f>
      </c>
      <c r="K532" s="11"/>
    </row>
    <row r="533" spans="2:11" x14ac:dyDescent="0.25">
      <c r="B533" s="9"/>
      <c r="C533" s="8"/>
      <c r="D533" s="8"/>
      <c r="E533" s="14">
        <f>IFERROR(IF($D533="","",VLOOKUP($D533,'Bütçe Kalemleri'!$B$5:$D$304,3,FALSE)),"— tanımsız kalem —")</f>
      </c>
      <c r="F533" s="8"/>
      <c r="G533" s="10"/>
      <c r="H533" s="15"/>
      <c r="I533" s="16">
        <f>IF($G533="",0,$G533*IF($H533="",0,$H533))</f>
      </c>
      <c r="J533" s="16">
        <f>IF($G533="","",$G533+$I533)</f>
      </c>
      <c r="K533" s="8"/>
    </row>
    <row r="534" spans="2:11" x14ac:dyDescent="0.25">
      <c r="B534" s="12"/>
      <c r="C534" s="11"/>
      <c r="D534" s="11"/>
      <c r="E534" s="14">
        <f>IFERROR(IF($D534="","",VLOOKUP($D534,'Bütçe Kalemleri'!$B$5:$D$304,3,FALSE)),"— tanımsız kalem —")</f>
      </c>
      <c r="F534" s="11"/>
      <c r="G534" s="13"/>
      <c r="H534" s="17"/>
      <c r="I534" s="16">
        <f>IF($G534="",0,$G534*IF($H534="",0,$H534))</f>
      </c>
      <c r="J534" s="16">
        <f>IF($G534="","",$G534+$I534)</f>
      </c>
      <c r="K534" s="11"/>
    </row>
    <row r="535" spans="2:11" x14ac:dyDescent="0.25">
      <c r="B535" s="9"/>
      <c r="C535" s="8"/>
      <c r="D535" s="8"/>
      <c r="E535" s="14">
        <f>IFERROR(IF($D535="","",VLOOKUP($D535,'Bütçe Kalemleri'!$B$5:$D$304,3,FALSE)),"— tanımsız kalem —")</f>
      </c>
      <c r="F535" s="8"/>
      <c r="G535" s="10"/>
      <c r="H535" s="15"/>
      <c r="I535" s="16">
        <f>IF($G535="",0,$G535*IF($H535="",0,$H535))</f>
      </c>
      <c r="J535" s="16">
        <f>IF($G535="","",$G535+$I535)</f>
      </c>
      <c r="K535" s="8"/>
    </row>
    <row r="536" spans="2:11" x14ac:dyDescent="0.25">
      <c r="B536" s="12"/>
      <c r="C536" s="11"/>
      <c r="D536" s="11"/>
      <c r="E536" s="14">
        <f>IFERROR(IF($D536="","",VLOOKUP($D536,'Bütçe Kalemleri'!$B$5:$D$304,3,FALSE)),"— tanımsız kalem —")</f>
      </c>
      <c r="F536" s="11"/>
      <c r="G536" s="13"/>
      <c r="H536" s="17"/>
      <c r="I536" s="16">
        <f>IF($G536="",0,$G536*IF($H536="",0,$H536))</f>
      </c>
      <c r="J536" s="16">
        <f>IF($G536="","",$G536+$I536)</f>
      </c>
      <c r="K536" s="11"/>
    </row>
    <row r="537" spans="2:11" x14ac:dyDescent="0.25">
      <c r="B537" s="9"/>
      <c r="C537" s="8"/>
      <c r="D537" s="8"/>
      <c r="E537" s="14">
        <f>IFERROR(IF($D537="","",VLOOKUP($D537,'Bütçe Kalemleri'!$B$5:$D$304,3,FALSE)),"— tanımsız kalem —")</f>
      </c>
      <c r="F537" s="8"/>
      <c r="G537" s="10"/>
      <c r="H537" s="15"/>
      <c r="I537" s="16">
        <f>IF($G537="",0,$G537*IF($H537="",0,$H537))</f>
      </c>
      <c r="J537" s="16">
        <f>IF($G537="","",$G537+$I537)</f>
      </c>
      <c r="K537" s="8"/>
    </row>
    <row r="538" spans="2:11" x14ac:dyDescent="0.25">
      <c r="B538" s="12"/>
      <c r="C538" s="11"/>
      <c r="D538" s="11"/>
      <c r="E538" s="14">
        <f>IFERROR(IF($D538="","",VLOOKUP($D538,'Bütçe Kalemleri'!$B$5:$D$304,3,FALSE)),"— tanımsız kalem —")</f>
      </c>
      <c r="F538" s="11"/>
      <c r="G538" s="13"/>
      <c r="H538" s="17"/>
      <c r="I538" s="16">
        <f>IF($G538="",0,$G538*IF($H538="",0,$H538))</f>
      </c>
      <c r="J538" s="16">
        <f>IF($G538="","",$G538+$I538)</f>
      </c>
      <c r="K538" s="11"/>
    </row>
    <row r="539" spans="2:11" x14ac:dyDescent="0.25">
      <c r="B539" s="9"/>
      <c r="C539" s="8"/>
      <c r="D539" s="8"/>
      <c r="E539" s="14">
        <f>IFERROR(IF($D539="","",VLOOKUP($D539,'Bütçe Kalemleri'!$B$5:$D$304,3,FALSE)),"— tanımsız kalem —")</f>
      </c>
      <c r="F539" s="8"/>
      <c r="G539" s="10"/>
      <c r="H539" s="15"/>
      <c r="I539" s="16">
        <f>IF($G539="",0,$G539*IF($H539="",0,$H539))</f>
      </c>
      <c r="J539" s="16">
        <f>IF($G539="","",$G539+$I539)</f>
      </c>
      <c r="K539" s="8"/>
    </row>
    <row r="540" spans="2:11" x14ac:dyDescent="0.25">
      <c r="B540" s="12"/>
      <c r="C540" s="11"/>
      <c r="D540" s="11"/>
      <c r="E540" s="14">
        <f>IFERROR(IF($D540="","",VLOOKUP($D540,'Bütçe Kalemleri'!$B$5:$D$304,3,FALSE)),"— tanımsız kalem —")</f>
      </c>
      <c r="F540" s="11"/>
      <c r="G540" s="13"/>
      <c r="H540" s="17"/>
      <c r="I540" s="16">
        <f>IF($G540="",0,$G540*IF($H540="",0,$H540))</f>
      </c>
      <c r="J540" s="16">
        <f>IF($G540="","",$G540+$I540)</f>
      </c>
      <c r="K540" s="11"/>
    </row>
    <row r="541" spans="2:11" x14ac:dyDescent="0.25">
      <c r="B541" s="9"/>
      <c r="C541" s="8"/>
      <c r="D541" s="8"/>
      <c r="E541" s="14">
        <f>IFERROR(IF($D541="","",VLOOKUP($D541,'Bütçe Kalemleri'!$B$5:$D$304,3,FALSE)),"— tanımsız kalem —")</f>
      </c>
      <c r="F541" s="8"/>
      <c r="G541" s="10"/>
      <c r="H541" s="15"/>
      <c r="I541" s="16">
        <f>IF($G541="",0,$G541*IF($H541="",0,$H541))</f>
      </c>
      <c r="J541" s="16">
        <f>IF($G541="","",$G541+$I541)</f>
      </c>
      <c r="K541" s="8"/>
    </row>
    <row r="542" spans="2:11" x14ac:dyDescent="0.25">
      <c r="B542" s="12"/>
      <c r="C542" s="11"/>
      <c r="D542" s="11"/>
      <c r="E542" s="14">
        <f>IFERROR(IF($D542="","",VLOOKUP($D542,'Bütçe Kalemleri'!$B$5:$D$304,3,FALSE)),"— tanımsız kalem —")</f>
      </c>
      <c r="F542" s="11"/>
      <c r="G542" s="13"/>
      <c r="H542" s="17"/>
      <c r="I542" s="16">
        <f>IF($G542="",0,$G542*IF($H542="",0,$H542))</f>
      </c>
      <c r="J542" s="16">
        <f>IF($G542="","",$G542+$I542)</f>
      </c>
      <c r="K542" s="11"/>
    </row>
    <row r="543" spans="2:11" x14ac:dyDescent="0.25">
      <c r="B543" s="9"/>
      <c r="C543" s="8"/>
      <c r="D543" s="8"/>
      <c r="E543" s="14">
        <f>IFERROR(IF($D543="","",VLOOKUP($D543,'Bütçe Kalemleri'!$B$5:$D$304,3,FALSE)),"— tanımsız kalem —")</f>
      </c>
      <c r="F543" s="8"/>
      <c r="G543" s="10"/>
      <c r="H543" s="15"/>
      <c r="I543" s="16">
        <f>IF($G543="",0,$G543*IF($H543="",0,$H543))</f>
      </c>
      <c r="J543" s="16">
        <f>IF($G543="","",$G543+$I543)</f>
      </c>
      <c r="K543" s="8"/>
    </row>
    <row r="544" spans="2:11" x14ac:dyDescent="0.25">
      <c r="B544" s="12"/>
      <c r="C544" s="11"/>
      <c r="D544" s="11"/>
      <c r="E544" s="14">
        <f>IFERROR(IF($D544="","",VLOOKUP($D544,'Bütçe Kalemleri'!$B$5:$D$304,3,FALSE)),"— tanımsız kalem —")</f>
      </c>
      <c r="F544" s="11"/>
      <c r="G544" s="13"/>
      <c r="H544" s="17"/>
      <c r="I544" s="16">
        <f>IF($G544="",0,$G544*IF($H544="",0,$H544))</f>
      </c>
      <c r="J544" s="16">
        <f>IF($G544="","",$G544+$I544)</f>
      </c>
      <c r="K544" s="11"/>
    </row>
    <row r="545" spans="2:11" x14ac:dyDescent="0.25">
      <c r="B545" s="9"/>
      <c r="C545" s="8"/>
      <c r="D545" s="8"/>
      <c r="E545" s="14">
        <f>IFERROR(IF($D545="","",VLOOKUP($D545,'Bütçe Kalemleri'!$B$5:$D$304,3,FALSE)),"— tanımsız kalem —")</f>
      </c>
      <c r="F545" s="8"/>
      <c r="G545" s="10"/>
      <c r="H545" s="15"/>
      <c r="I545" s="16">
        <f>IF($G545="",0,$G545*IF($H545="",0,$H545))</f>
      </c>
      <c r="J545" s="16">
        <f>IF($G545="","",$G545+$I545)</f>
      </c>
      <c r="K545" s="8"/>
    </row>
    <row r="546" spans="2:11" x14ac:dyDescent="0.25">
      <c r="B546" s="12"/>
      <c r="C546" s="11"/>
      <c r="D546" s="11"/>
      <c r="E546" s="14">
        <f>IFERROR(IF($D546="","",VLOOKUP($D546,'Bütçe Kalemleri'!$B$5:$D$304,3,FALSE)),"— tanımsız kalem —")</f>
      </c>
      <c r="F546" s="11"/>
      <c r="G546" s="13"/>
      <c r="H546" s="17"/>
      <c r="I546" s="16">
        <f>IF($G546="",0,$G546*IF($H546="",0,$H546))</f>
      </c>
      <c r="J546" s="16">
        <f>IF($G546="","",$G546+$I546)</f>
      </c>
      <c r="K546" s="11"/>
    </row>
    <row r="547" spans="2:11" x14ac:dyDescent="0.25">
      <c r="B547" s="9"/>
      <c r="C547" s="8"/>
      <c r="D547" s="8"/>
      <c r="E547" s="14">
        <f>IFERROR(IF($D547="","",VLOOKUP($D547,'Bütçe Kalemleri'!$B$5:$D$304,3,FALSE)),"— tanımsız kalem —")</f>
      </c>
      <c r="F547" s="8"/>
      <c r="G547" s="10"/>
      <c r="H547" s="15"/>
      <c r="I547" s="16">
        <f>IF($G547="",0,$G547*IF($H547="",0,$H547))</f>
      </c>
      <c r="J547" s="16">
        <f>IF($G547="","",$G547+$I547)</f>
      </c>
      <c r="K547" s="8"/>
    </row>
    <row r="548" spans="2:11" x14ac:dyDescent="0.25">
      <c r="B548" s="12"/>
      <c r="C548" s="11"/>
      <c r="D548" s="11"/>
      <c r="E548" s="14">
        <f>IFERROR(IF($D548="","",VLOOKUP($D548,'Bütçe Kalemleri'!$B$5:$D$304,3,FALSE)),"— tanımsız kalem —")</f>
      </c>
      <c r="F548" s="11"/>
      <c r="G548" s="13"/>
      <c r="H548" s="17"/>
      <c r="I548" s="16">
        <f>IF($G548="",0,$G548*IF($H548="",0,$H548))</f>
      </c>
      <c r="J548" s="16">
        <f>IF($G548="","",$G548+$I548)</f>
      </c>
      <c r="K548" s="11"/>
    </row>
    <row r="549" spans="2:11" x14ac:dyDescent="0.25">
      <c r="B549" s="9"/>
      <c r="C549" s="8"/>
      <c r="D549" s="8"/>
      <c r="E549" s="14">
        <f>IFERROR(IF($D549="","",VLOOKUP($D549,'Bütçe Kalemleri'!$B$5:$D$304,3,FALSE)),"— tanımsız kalem —")</f>
      </c>
      <c r="F549" s="8"/>
      <c r="G549" s="10"/>
      <c r="H549" s="15"/>
      <c r="I549" s="16">
        <f>IF($G549="",0,$G549*IF($H549="",0,$H549))</f>
      </c>
      <c r="J549" s="16">
        <f>IF($G549="","",$G549+$I549)</f>
      </c>
      <c r="K549" s="8"/>
    </row>
    <row r="550" spans="2:11" x14ac:dyDescent="0.25">
      <c r="B550" s="12"/>
      <c r="C550" s="11"/>
      <c r="D550" s="11"/>
      <c r="E550" s="14">
        <f>IFERROR(IF($D550="","",VLOOKUP($D550,'Bütçe Kalemleri'!$B$5:$D$304,3,FALSE)),"— tanımsız kalem —")</f>
      </c>
      <c r="F550" s="11"/>
      <c r="G550" s="13"/>
      <c r="H550" s="17"/>
      <c r="I550" s="16">
        <f>IF($G550="",0,$G550*IF($H550="",0,$H550))</f>
      </c>
      <c r="J550" s="16">
        <f>IF($G550="","",$G550+$I550)</f>
      </c>
      <c r="K550" s="11"/>
    </row>
    <row r="551" spans="2:11" x14ac:dyDescent="0.25">
      <c r="B551" s="9"/>
      <c r="C551" s="8"/>
      <c r="D551" s="8"/>
      <c r="E551" s="14">
        <f>IFERROR(IF($D551="","",VLOOKUP($D551,'Bütçe Kalemleri'!$B$5:$D$304,3,FALSE)),"— tanımsız kalem —")</f>
      </c>
      <c r="F551" s="8"/>
      <c r="G551" s="10"/>
      <c r="H551" s="15"/>
      <c r="I551" s="16">
        <f>IF($G551="",0,$G551*IF($H551="",0,$H551))</f>
      </c>
      <c r="J551" s="16">
        <f>IF($G551="","",$G551+$I551)</f>
      </c>
      <c r="K551" s="8"/>
    </row>
    <row r="552" spans="2:11" x14ac:dyDescent="0.25">
      <c r="B552" s="12"/>
      <c r="C552" s="11"/>
      <c r="D552" s="11"/>
      <c r="E552" s="14">
        <f>IFERROR(IF($D552="","",VLOOKUP($D552,'Bütçe Kalemleri'!$B$5:$D$304,3,FALSE)),"— tanımsız kalem —")</f>
      </c>
      <c r="F552" s="11"/>
      <c r="G552" s="13"/>
      <c r="H552" s="17"/>
      <c r="I552" s="16">
        <f>IF($G552="",0,$G552*IF($H552="",0,$H552))</f>
      </c>
      <c r="J552" s="16">
        <f>IF($G552="","",$G552+$I552)</f>
      </c>
      <c r="K552" s="11"/>
    </row>
    <row r="553" spans="2:11" x14ac:dyDescent="0.25">
      <c r="B553" s="9"/>
      <c r="C553" s="8"/>
      <c r="D553" s="8"/>
      <c r="E553" s="14">
        <f>IFERROR(IF($D553="","",VLOOKUP($D553,'Bütçe Kalemleri'!$B$5:$D$304,3,FALSE)),"— tanımsız kalem —")</f>
      </c>
      <c r="F553" s="8"/>
      <c r="G553" s="10"/>
      <c r="H553" s="15"/>
      <c r="I553" s="16">
        <f>IF($G553="",0,$G553*IF($H553="",0,$H553))</f>
      </c>
      <c r="J553" s="16">
        <f>IF($G553="","",$G553+$I553)</f>
      </c>
      <c r="K553" s="8"/>
    </row>
    <row r="554" spans="2:11" x14ac:dyDescent="0.25">
      <c r="B554" s="12"/>
      <c r="C554" s="11"/>
      <c r="D554" s="11"/>
      <c r="E554" s="14">
        <f>IFERROR(IF($D554="","",VLOOKUP($D554,'Bütçe Kalemleri'!$B$5:$D$304,3,FALSE)),"— tanımsız kalem —")</f>
      </c>
      <c r="F554" s="11"/>
      <c r="G554" s="13"/>
      <c r="H554" s="17"/>
      <c r="I554" s="16">
        <f>IF($G554="",0,$G554*IF($H554="",0,$H554))</f>
      </c>
      <c r="J554" s="16">
        <f>IF($G554="","",$G554+$I554)</f>
      </c>
      <c r="K554" s="11"/>
    </row>
    <row r="555" spans="2:11" x14ac:dyDescent="0.25">
      <c r="B555" s="9"/>
      <c r="C555" s="8"/>
      <c r="D555" s="8"/>
      <c r="E555" s="14">
        <f>IFERROR(IF($D555="","",VLOOKUP($D555,'Bütçe Kalemleri'!$B$5:$D$304,3,FALSE)),"— tanımsız kalem —")</f>
      </c>
      <c r="F555" s="8"/>
      <c r="G555" s="10"/>
      <c r="H555" s="15"/>
      <c r="I555" s="16">
        <f>IF($G555="",0,$G555*IF($H555="",0,$H555))</f>
      </c>
      <c r="J555" s="16">
        <f>IF($G555="","",$G555+$I555)</f>
      </c>
      <c r="K555" s="8"/>
    </row>
    <row r="556" spans="2:11" x14ac:dyDescent="0.25">
      <c r="B556" s="12"/>
      <c r="C556" s="11"/>
      <c r="D556" s="11"/>
      <c r="E556" s="14">
        <f>IFERROR(IF($D556="","",VLOOKUP($D556,'Bütçe Kalemleri'!$B$5:$D$304,3,FALSE)),"— tanımsız kalem —")</f>
      </c>
      <c r="F556" s="11"/>
      <c r="G556" s="13"/>
      <c r="H556" s="17"/>
      <c r="I556" s="16">
        <f>IF($G556="",0,$G556*IF($H556="",0,$H556))</f>
      </c>
      <c r="J556" s="16">
        <f>IF($G556="","",$G556+$I556)</f>
      </c>
      <c r="K556" s="11"/>
    </row>
    <row r="557" spans="2:11" x14ac:dyDescent="0.25">
      <c r="B557" s="9"/>
      <c r="C557" s="8"/>
      <c r="D557" s="8"/>
      <c r="E557" s="14">
        <f>IFERROR(IF($D557="","",VLOOKUP($D557,'Bütçe Kalemleri'!$B$5:$D$304,3,FALSE)),"— tanımsız kalem —")</f>
      </c>
      <c r="F557" s="8"/>
      <c r="G557" s="10"/>
      <c r="H557" s="15"/>
      <c r="I557" s="16">
        <f>IF($G557="",0,$G557*IF($H557="",0,$H557))</f>
      </c>
      <c r="J557" s="16">
        <f>IF($G557="","",$G557+$I557)</f>
      </c>
      <c r="K557" s="8"/>
    </row>
    <row r="558" spans="2:11" x14ac:dyDescent="0.25">
      <c r="B558" s="12"/>
      <c r="C558" s="11"/>
      <c r="D558" s="11"/>
      <c r="E558" s="14">
        <f>IFERROR(IF($D558="","",VLOOKUP($D558,'Bütçe Kalemleri'!$B$5:$D$304,3,FALSE)),"— tanımsız kalem —")</f>
      </c>
      <c r="F558" s="11"/>
      <c r="G558" s="13"/>
      <c r="H558" s="17"/>
      <c r="I558" s="16">
        <f>IF($G558="",0,$G558*IF($H558="",0,$H558))</f>
      </c>
      <c r="J558" s="16">
        <f>IF($G558="","",$G558+$I558)</f>
      </c>
      <c r="K558" s="11"/>
    </row>
    <row r="559" spans="2:11" x14ac:dyDescent="0.25">
      <c r="B559" s="9"/>
      <c r="C559" s="8"/>
      <c r="D559" s="8"/>
      <c r="E559" s="14">
        <f>IFERROR(IF($D559="","",VLOOKUP($D559,'Bütçe Kalemleri'!$B$5:$D$304,3,FALSE)),"— tanımsız kalem —")</f>
      </c>
      <c r="F559" s="8"/>
      <c r="G559" s="10"/>
      <c r="H559" s="15"/>
      <c r="I559" s="16">
        <f>IF($G559="",0,$G559*IF($H559="",0,$H559))</f>
      </c>
      <c r="J559" s="16">
        <f>IF($G559="","",$G559+$I559)</f>
      </c>
      <c r="K559" s="8"/>
    </row>
    <row r="560" spans="2:11" x14ac:dyDescent="0.25">
      <c r="B560" s="12"/>
      <c r="C560" s="11"/>
      <c r="D560" s="11"/>
      <c r="E560" s="14">
        <f>IFERROR(IF($D560="","",VLOOKUP($D560,'Bütçe Kalemleri'!$B$5:$D$304,3,FALSE)),"— tanımsız kalem —")</f>
      </c>
      <c r="F560" s="11"/>
      <c r="G560" s="13"/>
      <c r="H560" s="17"/>
      <c r="I560" s="16">
        <f>IF($G560="",0,$G560*IF($H560="",0,$H560))</f>
      </c>
      <c r="J560" s="16">
        <f>IF($G560="","",$G560+$I560)</f>
      </c>
      <c r="K560" s="11"/>
    </row>
    <row r="561" spans="2:11" x14ac:dyDescent="0.25">
      <c r="B561" s="9"/>
      <c r="C561" s="8"/>
      <c r="D561" s="8"/>
      <c r="E561" s="14">
        <f>IFERROR(IF($D561="","",VLOOKUP($D561,'Bütçe Kalemleri'!$B$5:$D$304,3,FALSE)),"— tanımsız kalem —")</f>
      </c>
      <c r="F561" s="8"/>
      <c r="G561" s="10"/>
      <c r="H561" s="15"/>
      <c r="I561" s="16">
        <f>IF($G561="",0,$G561*IF($H561="",0,$H561))</f>
      </c>
      <c r="J561" s="16">
        <f>IF($G561="","",$G561+$I561)</f>
      </c>
      <c r="K561" s="8"/>
    </row>
    <row r="562" spans="2:11" x14ac:dyDescent="0.25">
      <c r="B562" s="12"/>
      <c r="C562" s="11"/>
      <c r="D562" s="11"/>
      <c r="E562" s="14">
        <f>IFERROR(IF($D562="","",VLOOKUP($D562,'Bütçe Kalemleri'!$B$5:$D$304,3,FALSE)),"— tanımsız kalem —")</f>
      </c>
      <c r="F562" s="11"/>
      <c r="G562" s="13"/>
      <c r="H562" s="17"/>
      <c r="I562" s="16">
        <f>IF($G562="",0,$G562*IF($H562="",0,$H562))</f>
      </c>
      <c r="J562" s="16">
        <f>IF($G562="","",$G562+$I562)</f>
      </c>
      <c r="K562" s="11"/>
    </row>
    <row r="563" spans="2:11" x14ac:dyDescent="0.25">
      <c r="B563" s="9"/>
      <c r="C563" s="8"/>
      <c r="D563" s="8"/>
      <c r="E563" s="14">
        <f>IFERROR(IF($D563="","",VLOOKUP($D563,'Bütçe Kalemleri'!$B$5:$D$304,3,FALSE)),"— tanımsız kalem —")</f>
      </c>
      <c r="F563" s="8"/>
      <c r="G563" s="10"/>
      <c r="H563" s="15"/>
      <c r="I563" s="16">
        <f>IF($G563="",0,$G563*IF($H563="",0,$H563))</f>
      </c>
      <c r="J563" s="16">
        <f>IF($G563="","",$G563+$I563)</f>
      </c>
      <c r="K563" s="8"/>
    </row>
    <row r="564" spans="2:11" x14ac:dyDescent="0.25">
      <c r="B564" s="12"/>
      <c r="C564" s="11"/>
      <c r="D564" s="11"/>
      <c r="E564" s="14">
        <f>IFERROR(IF($D564="","",VLOOKUP($D564,'Bütçe Kalemleri'!$B$5:$D$304,3,FALSE)),"— tanımsız kalem —")</f>
      </c>
      <c r="F564" s="11"/>
      <c r="G564" s="13"/>
      <c r="H564" s="17"/>
      <c r="I564" s="16">
        <f>IF($G564="",0,$G564*IF($H564="",0,$H564))</f>
      </c>
      <c r="J564" s="16">
        <f>IF($G564="","",$G564+$I564)</f>
      </c>
      <c r="K564" s="11"/>
    </row>
    <row r="565" spans="2:11" x14ac:dyDescent="0.25">
      <c r="B565" s="9"/>
      <c r="C565" s="8"/>
      <c r="D565" s="8"/>
      <c r="E565" s="14">
        <f>IFERROR(IF($D565="","",VLOOKUP($D565,'Bütçe Kalemleri'!$B$5:$D$304,3,FALSE)),"— tanımsız kalem —")</f>
      </c>
      <c r="F565" s="8"/>
      <c r="G565" s="10"/>
      <c r="H565" s="15"/>
      <c r="I565" s="16">
        <f>IF($G565="",0,$G565*IF($H565="",0,$H565))</f>
      </c>
      <c r="J565" s="16">
        <f>IF($G565="","",$G565+$I565)</f>
      </c>
      <c r="K565" s="8"/>
    </row>
    <row r="566" spans="2:11" x14ac:dyDescent="0.25">
      <c r="B566" s="12"/>
      <c r="C566" s="11"/>
      <c r="D566" s="11"/>
      <c r="E566" s="14">
        <f>IFERROR(IF($D566="","",VLOOKUP($D566,'Bütçe Kalemleri'!$B$5:$D$304,3,FALSE)),"— tanımsız kalem —")</f>
      </c>
      <c r="F566" s="11"/>
      <c r="G566" s="13"/>
      <c r="H566" s="17"/>
      <c r="I566" s="16">
        <f>IF($G566="",0,$G566*IF($H566="",0,$H566))</f>
      </c>
      <c r="J566" s="16">
        <f>IF($G566="","",$G566+$I566)</f>
      </c>
      <c r="K566" s="11"/>
    </row>
    <row r="567" spans="2:11" x14ac:dyDescent="0.25">
      <c r="B567" s="9"/>
      <c r="C567" s="8"/>
      <c r="D567" s="8"/>
      <c r="E567" s="14">
        <f>IFERROR(IF($D567="","",VLOOKUP($D567,'Bütçe Kalemleri'!$B$5:$D$304,3,FALSE)),"— tanımsız kalem —")</f>
      </c>
      <c r="F567" s="8"/>
      <c r="G567" s="10"/>
      <c r="H567" s="15"/>
      <c r="I567" s="16">
        <f>IF($G567="",0,$G567*IF($H567="",0,$H567))</f>
      </c>
      <c r="J567" s="16">
        <f>IF($G567="","",$G567+$I567)</f>
      </c>
      <c r="K567" s="8"/>
    </row>
    <row r="568" spans="2:11" x14ac:dyDescent="0.25">
      <c r="B568" s="12"/>
      <c r="C568" s="11"/>
      <c r="D568" s="11"/>
      <c r="E568" s="14">
        <f>IFERROR(IF($D568="","",VLOOKUP($D568,'Bütçe Kalemleri'!$B$5:$D$304,3,FALSE)),"— tanımsız kalem —")</f>
      </c>
      <c r="F568" s="11"/>
      <c r="G568" s="13"/>
      <c r="H568" s="17"/>
      <c r="I568" s="16">
        <f>IF($G568="",0,$G568*IF($H568="",0,$H568))</f>
      </c>
      <c r="J568" s="16">
        <f>IF($G568="","",$G568+$I568)</f>
      </c>
      <c r="K568" s="11"/>
    </row>
    <row r="569" spans="2:11" x14ac:dyDescent="0.25">
      <c r="B569" s="9"/>
      <c r="C569" s="8"/>
      <c r="D569" s="8"/>
      <c r="E569" s="14">
        <f>IFERROR(IF($D569="","",VLOOKUP($D569,'Bütçe Kalemleri'!$B$5:$D$304,3,FALSE)),"— tanımsız kalem —")</f>
      </c>
      <c r="F569" s="8"/>
      <c r="G569" s="10"/>
      <c r="H569" s="15"/>
      <c r="I569" s="16">
        <f>IF($G569="",0,$G569*IF($H569="",0,$H569))</f>
      </c>
      <c r="J569" s="16">
        <f>IF($G569="","",$G569+$I569)</f>
      </c>
      <c r="K569" s="8"/>
    </row>
    <row r="570" spans="2:11" x14ac:dyDescent="0.25">
      <c r="B570" s="12"/>
      <c r="C570" s="11"/>
      <c r="D570" s="11"/>
      <c r="E570" s="14">
        <f>IFERROR(IF($D570="","",VLOOKUP($D570,'Bütçe Kalemleri'!$B$5:$D$304,3,FALSE)),"— tanımsız kalem —")</f>
      </c>
      <c r="F570" s="11"/>
      <c r="G570" s="13"/>
      <c r="H570" s="17"/>
      <c r="I570" s="16">
        <f>IF($G570="",0,$G570*IF($H570="",0,$H570))</f>
      </c>
      <c r="J570" s="16">
        <f>IF($G570="","",$G570+$I570)</f>
      </c>
      <c r="K570" s="11"/>
    </row>
    <row r="571" spans="2:11" x14ac:dyDescent="0.25">
      <c r="B571" s="9"/>
      <c r="C571" s="8"/>
      <c r="D571" s="8"/>
      <c r="E571" s="14">
        <f>IFERROR(IF($D571="","",VLOOKUP($D571,'Bütçe Kalemleri'!$B$5:$D$304,3,FALSE)),"— tanımsız kalem —")</f>
      </c>
      <c r="F571" s="8"/>
      <c r="G571" s="10"/>
      <c r="H571" s="15"/>
      <c r="I571" s="16">
        <f>IF($G571="",0,$G571*IF($H571="",0,$H571))</f>
      </c>
      <c r="J571" s="16">
        <f>IF($G571="","",$G571+$I571)</f>
      </c>
      <c r="K571" s="8"/>
    </row>
    <row r="572" spans="2:11" x14ac:dyDescent="0.25">
      <c r="B572" s="12"/>
      <c r="C572" s="11"/>
      <c r="D572" s="11"/>
      <c r="E572" s="14">
        <f>IFERROR(IF($D572="","",VLOOKUP($D572,'Bütçe Kalemleri'!$B$5:$D$304,3,FALSE)),"— tanımsız kalem —")</f>
      </c>
      <c r="F572" s="11"/>
      <c r="G572" s="13"/>
      <c r="H572" s="17"/>
      <c r="I572" s="16">
        <f>IF($G572="",0,$G572*IF($H572="",0,$H572))</f>
      </c>
      <c r="J572" s="16">
        <f>IF($G572="","",$G572+$I572)</f>
      </c>
      <c r="K572" s="11"/>
    </row>
    <row r="573" spans="2:11" x14ac:dyDescent="0.25">
      <c r="B573" s="9"/>
      <c r="C573" s="8"/>
      <c r="D573" s="8"/>
      <c r="E573" s="14">
        <f>IFERROR(IF($D573="","",VLOOKUP($D573,'Bütçe Kalemleri'!$B$5:$D$304,3,FALSE)),"— tanımsız kalem —")</f>
      </c>
      <c r="F573" s="8"/>
      <c r="G573" s="10"/>
      <c r="H573" s="15"/>
      <c r="I573" s="16">
        <f>IF($G573="",0,$G573*IF($H573="",0,$H573))</f>
      </c>
      <c r="J573" s="16">
        <f>IF($G573="","",$G573+$I573)</f>
      </c>
      <c r="K573" s="8"/>
    </row>
    <row r="574" spans="2:11" x14ac:dyDescent="0.25">
      <c r="B574" s="12"/>
      <c r="C574" s="11"/>
      <c r="D574" s="11"/>
      <c r="E574" s="14">
        <f>IFERROR(IF($D574="","",VLOOKUP($D574,'Bütçe Kalemleri'!$B$5:$D$304,3,FALSE)),"— tanımsız kalem —")</f>
      </c>
      <c r="F574" s="11"/>
      <c r="G574" s="13"/>
      <c r="H574" s="17"/>
      <c r="I574" s="16">
        <f>IF($G574="",0,$G574*IF($H574="",0,$H574))</f>
      </c>
      <c r="J574" s="16">
        <f>IF($G574="","",$G574+$I574)</f>
      </c>
      <c r="K574" s="11"/>
    </row>
    <row r="575" spans="2:11" x14ac:dyDescent="0.25">
      <c r="B575" s="9"/>
      <c r="C575" s="8"/>
      <c r="D575" s="8"/>
      <c r="E575" s="14">
        <f>IFERROR(IF($D575="","",VLOOKUP($D575,'Bütçe Kalemleri'!$B$5:$D$304,3,FALSE)),"— tanımsız kalem —")</f>
      </c>
      <c r="F575" s="8"/>
      <c r="G575" s="10"/>
      <c r="H575" s="15"/>
      <c r="I575" s="16">
        <f>IF($G575="",0,$G575*IF($H575="",0,$H575))</f>
      </c>
      <c r="J575" s="16">
        <f>IF($G575="","",$G575+$I575)</f>
      </c>
      <c r="K575" s="8"/>
    </row>
    <row r="576" spans="2:11" x14ac:dyDescent="0.25">
      <c r="B576" s="12"/>
      <c r="C576" s="11"/>
      <c r="D576" s="11"/>
      <c r="E576" s="14">
        <f>IFERROR(IF($D576="","",VLOOKUP($D576,'Bütçe Kalemleri'!$B$5:$D$304,3,FALSE)),"— tanımsız kalem —")</f>
      </c>
      <c r="F576" s="11"/>
      <c r="G576" s="13"/>
      <c r="H576" s="17"/>
      <c r="I576" s="16">
        <f>IF($G576="",0,$G576*IF($H576="",0,$H576))</f>
      </c>
      <c r="J576" s="16">
        <f>IF($G576="","",$G576+$I576)</f>
      </c>
      <c r="K576" s="11"/>
    </row>
    <row r="577" spans="2:11" x14ac:dyDescent="0.25">
      <c r="B577" s="9"/>
      <c r="C577" s="8"/>
      <c r="D577" s="8"/>
      <c r="E577" s="14">
        <f>IFERROR(IF($D577="","",VLOOKUP($D577,'Bütçe Kalemleri'!$B$5:$D$304,3,FALSE)),"— tanımsız kalem —")</f>
      </c>
      <c r="F577" s="8"/>
      <c r="G577" s="10"/>
      <c r="H577" s="15"/>
      <c r="I577" s="16">
        <f>IF($G577="",0,$G577*IF($H577="",0,$H577))</f>
      </c>
      <c r="J577" s="16">
        <f>IF($G577="","",$G577+$I577)</f>
      </c>
      <c r="K577" s="8"/>
    </row>
    <row r="578" spans="2:11" x14ac:dyDescent="0.25">
      <c r="B578" s="12"/>
      <c r="C578" s="11"/>
      <c r="D578" s="11"/>
      <c r="E578" s="14">
        <f>IFERROR(IF($D578="","",VLOOKUP($D578,'Bütçe Kalemleri'!$B$5:$D$304,3,FALSE)),"— tanımsız kalem —")</f>
      </c>
      <c r="F578" s="11"/>
      <c r="G578" s="13"/>
      <c r="H578" s="17"/>
      <c r="I578" s="16">
        <f>IF($G578="",0,$G578*IF($H578="",0,$H578))</f>
      </c>
      <c r="J578" s="16">
        <f>IF($G578="","",$G578+$I578)</f>
      </c>
      <c r="K578" s="11"/>
    </row>
    <row r="579" spans="2:11" x14ac:dyDescent="0.25">
      <c r="B579" s="9"/>
      <c r="C579" s="8"/>
      <c r="D579" s="8"/>
      <c r="E579" s="14">
        <f>IFERROR(IF($D579="","",VLOOKUP($D579,'Bütçe Kalemleri'!$B$5:$D$304,3,FALSE)),"— tanımsız kalem —")</f>
      </c>
      <c r="F579" s="8"/>
      <c r="G579" s="10"/>
      <c r="H579" s="15"/>
      <c r="I579" s="16">
        <f>IF($G579="",0,$G579*IF($H579="",0,$H579))</f>
      </c>
      <c r="J579" s="16">
        <f>IF($G579="","",$G579+$I579)</f>
      </c>
      <c r="K579" s="8"/>
    </row>
    <row r="580" spans="2:11" x14ac:dyDescent="0.25">
      <c r="B580" s="12"/>
      <c r="C580" s="11"/>
      <c r="D580" s="11"/>
      <c r="E580" s="14">
        <f>IFERROR(IF($D580="","",VLOOKUP($D580,'Bütçe Kalemleri'!$B$5:$D$304,3,FALSE)),"— tanımsız kalem —")</f>
      </c>
      <c r="F580" s="11"/>
      <c r="G580" s="13"/>
      <c r="H580" s="17"/>
      <c r="I580" s="16">
        <f>IF($G580="",0,$G580*IF($H580="",0,$H580))</f>
      </c>
      <c r="J580" s="16">
        <f>IF($G580="","",$G580+$I580)</f>
      </c>
      <c r="K580" s="11"/>
    </row>
    <row r="581" spans="2:11" x14ac:dyDescent="0.25">
      <c r="B581" s="9"/>
      <c r="C581" s="8"/>
      <c r="D581" s="8"/>
      <c r="E581" s="14">
        <f>IFERROR(IF($D581="","",VLOOKUP($D581,'Bütçe Kalemleri'!$B$5:$D$304,3,FALSE)),"— tanımsız kalem —")</f>
      </c>
      <c r="F581" s="8"/>
      <c r="G581" s="10"/>
      <c r="H581" s="15"/>
      <c r="I581" s="16">
        <f>IF($G581="",0,$G581*IF($H581="",0,$H581))</f>
      </c>
      <c r="J581" s="16">
        <f>IF($G581="","",$G581+$I581)</f>
      </c>
      <c r="K581" s="8"/>
    </row>
    <row r="582" spans="2:11" x14ac:dyDescent="0.25">
      <c r="B582" s="12"/>
      <c r="C582" s="11"/>
      <c r="D582" s="11"/>
      <c r="E582" s="14">
        <f>IFERROR(IF($D582="","",VLOOKUP($D582,'Bütçe Kalemleri'!$B$5:$D$304,3,FALSE)),"— tanımsız kalem —")</f>
      </c>
      <c r="F582" s="11"/>
      <c r="G582" s="13"/>
      <c r="H582" s="17"/>
      <c r="I582" s="16">
        <f>IF($G582="",0,$G582*IF($H582="",0,$H582))</f>
      </c>
      <c r="J582" s="16">
        <f>IF($G582="","",$G582+$I582)</f>
      </c>
      <c r="K582" s="11"/>
    </row>
    <row r="583" spans="2:11" x14ac:dyDescent="0.25">
      <c r="B583" s="9"/>
      <c r="C583" s="8"/>
      <c r="D583" s="8"/>
      <c r="E583" s="14">
        <f>IFERROR(IF($D583="","",VLOOKUP($D583,'Bütçe Kalemleri'!$B$5:$D$304,3,FALSE)),"— tanımsız kalem —")</f>
      </c>
      <c r="F583" s="8"/>
      <c r="G583" s="10"/>
      <c r="H583" s="15"/>
      <c r="I583" s="16">
        <f>IF($G583="",0,$G583*IF($H583="",0,$H583))</f>
      </c>
      <c r="J583" s="16">
        <f>IF($G583="","",$G583+$I583)</f>
      </c>
      <c r="K583" s="8"/>
    </row>
    <row r="584" spans="2:11" x14ac:dyDescent="0.25">
      <c r="B584" s="12"/>
      <c r="C584" s="11"/>
      <c r="D584" s="11"/>
      <c r="E584" s="14">
        <f>IFERROR(IF($D584="","",VLOOKUP($D584,'Bütçe Kalemleri'!$B$5:$D$304,3,FALSE)),"— tanımsız kalem —")</f>
      </c>
      <c r="F584" s="11"/>
      <c r="G584" s="13"/>
      <c r="H584" s="17"/>
      <c r="I584" s="16">
        <f>IF($G584="",0,$G584*IF($H584="",0,$H584))</f>
      </c>
      <c r="J584" s="16">
        <f>IF($G584="","",$G584+$I584)</f>
      </c>
      <c r="K584" s="11"/>
    </row>
    <row r="585" spans="2:11" x14ac:dyDescent="0.25">
      <c r="B585" s="9"/>
      <c r="C585" s="8"/>
      <c r="D585" s="8"/>
      <c r="E585" s="14">
        <f>IFERROR(IF($D585="","",VLOOKUP($D585,'Bütçe Kalemleri'!$B$5:$D$304,3,FALSE)),"— tanımsız kalem —")</f>
      </c>
      <c r="F585" s="8"/>
      <c r="G585" s="10"/>
      <c r="H585" s="15"/>
      <c r="I585" s="16">
        <f>IF($G585="",0,$G585*IF($H585="",0,$H585))</f>
      </c>
      <c r="J585" s="16">
        <f>IF($G585="","",$G585+$I585)</f>
      </c>
      <c r="K585" s="8"/>
    </row>
    <row r="586" spans="2:11" x14ac:dyDescent="0.25">
      <c r="B586" s="12"/>
      <c r="C586" s="11"/>
      <c r="D586" s="11"/>
      <c r="E586" s="14">
        <f>IFERROR(IF($D586="","",VLOOKUP($D586,'Bütçe Kalemleri'!$B$5:$D$304,3,FALSE)),"— tanımsız kalem —")</f>
      </c>
      <c r="F586" s="11"/>
      <c r="G586" s="13"/>
      <c r="H586" s="17"/>
      <c r="I586" s="16">
        <f>IF($G586="",0,$G586*IF($H586="",0,$H586))</f>
      </c>
      <c r="J586" s="16">
        <f>IF($G586="","",$G586+$I586)</f>
      </c>
      <c r="K586" s="11"/>
    </row>
    <row r="587" spans="2:11" x14ac:dyDescent="0.25">
      <c r="B587" s="9"/>
      <c r="C587" s="8"/>
      <c r="D587" s="8"/>
      <c r="E587" s="14">
        <f>IFERROR(IF($D587="","",VLOOKUP($D587,'Bütçe Kalemleri'!$B$5:$D$304,3,FALSE)),"— tanımsız kalem —")</f>
      </c>
      <c r="F587" s="8"/>
      <c r="G587" s="10"/>
      <c r="H587" s="15"/>
      <c r="I587" s="16">
        <f>IF($G587="",0,$G587*IF($H587="",0,$H587))</f>
      </c>
      <c r="J587" s="16">
        <f>IF($G587="","",$G587+$I587)</f>
      </c>
      <c r="K587" s="8"/>
    </row>
    <row r="588" spans="2:11" x14ac:dyDescent="0.25">
      <c r="B588" s="12"/>
      <c r="C588" s="11"/>
      <c r="D588" s="11"/>
      <c r="E588" s="14">
        <f>IFERROR(IF($D588="","",VLOOKUP($D588,'Bütçe Kalemleri'!$B$5:$D$304,3,FALSE)),"— tanımsız kalem —")</f>
      </c>
      <c r="F588" s="11"/>
      <c r="G588" s="13"/>
      <c r="H588" s="17"/>
      <c r="I588" s="16">
        <f>IF($G588="",0,$G588*IF($H588="",0,$H588))</f>
      </c>
      <c r="J588" s="16">
        <f>IF($G588="","",$G588+$I588)</f>
      </c>
      <c r="K588" s="11"/>
    </row>
    <row r="589" spans="2:11" x14ac:dyDescent="0.25">
      <c r="B589" s="9"/>
      <c r="C589" s="8"/>
      <c r="D589" s="8"/>
      <c r="E589" s="14">
        <f>IFERROR(IF($D589="","",VLOOKUP($D589,'Bütçe Kalemleri'!$B$5:$D$304,3,FALSE)),"— tanımsız kalem —")</f>
      </c>
      <c r="F589" s="8"/>
      <c r="G589" s="10"/>
      <c r="H589" s="15"/>
      <c r="I589" s="16">
        <f>IF($G589="",0,$G589*IF($H589="",0,$H589))</f>
      </c>
      <c r="J589" s="16">
        <f>IF($G589="","",$G589+$I589)</f>
      </c>
      <c r="K589" s="8"/>
    </row>
    <row r="590" spans="2:11" x14ac:dyDescent="0.25">
      <c r="B590" s="12"/>
      <c r="C590" s="11"/>
      <c r="D590" s="11"/>
      <c r="E590" s="14">
        <f>IFERROR(IF($D590="","",VLOOKUP($D590,'Bütçe Kalemleri'!$B$5:$D$304,3,FALSE)),"— tanımsız kalem —")</f>
      </c>
      <c r="F590" s="11"/>
      <c r="G590" s="13"/>
      <c r="H590" s="17"/>
      <c r="I590" s="16">
        <f>IF($G590="",0,$G590*IF($H590="",0,$H590))</f>
      </c>
      <c r="J590" s="16">
        <f>IF($G590="","",$G590+$I590)</f>
      </c>
      <c r="K590" s="11"/>
    </row>
    <row r="591" spans="2:11" x14ac:dyDescent="0.25">
      <c r="B591" s="9"/>
      <c r="C591" s="8"/>
      <c r="D591" s="8"/>
      <c r="E591" s="14">
        <f>IFERROR(IF($D591="","",VLOOKUP($D591,'Bütçe Kalemleri'!$B$5:$D$304,3,FALSE)),"— tanımsız kalem —")</f>
      </c>
      <c r="F591" s="8"/>
      <c r="G591" s="10"/>
      <c r="H591" s="15"/>
      <c r="I591" s="16">
        <f>IF($G591="",0,$G591*IF($H591="",0,$H591))</f>
      </c>
      <c r="J591" s="16">
        <f>IF($G591="","",$G591+$I591)</f>
      </c>
      <c r="K591" s="8"/>
    </row>
    <row r="592" spans="2:11" x14ac:dyDescent="0.25">
      <c r="B592" s="12"/>
      <c r="C592" s="11"/>
      <c r="D592" s="11"/>
      <c r="E592" s="14">
        <f>IFERROR(IF($D592="","",VLOOKUP($D592,'Bütçe Kalemleri'!$B$5:$D$304,3,FALSE)),"— tanımsız kalem —")</f>
      </c>
      <c r="F592" s="11"/>
      <c r="G592" s="13"/>
      <c r="H592" s="17"/>
      <c r="I592" s="16">
        <f>IF($G592="",0,$G592*IF($H592="",0,$H592))</f>
      </c>
      <c r="J592" s="16">
        <f>IF($G592="","",$G592+$I592)</f>
      </c>
      <c r="K592" s="11"/>
    </row>
    <row r="593" spans="2:11" x14ac:dyDescent="0.25">
      <c r="B593" s="9"/>
      <c r="C593" s="8"/>
      <c r="D593" s="8"/>
      <c r="E593" s="14">
        <f>IFERROR(IF($D593="","",VLOOKUP($D593,'Bütçe Kalemleri'!$B$5:$D$304,3,FALSE)),"— tanımsız kalem —")</f>
      </c>
      <c r="F593" s="8"/>
      <c r="G593" s="10"/>
      <c r="H593" s="15"/>
      <c r="I593" s="16">
        <f>IF($G593="",0,$G593*IF($H593="",0,$H593))</f>
      </c>
      <c r="J593" s="16">
        <f>IF($G593="","",$G593+$I593)</f>
      </c>
      <c r="K593" s="8"/>
    </row>
    <row r="594" spans="2:11" x14ac:dyDescent="0.25">
      <c r="B594" s="12"/>
      <c r="C594" s="11"/>
      <c r="D594" s="11"/>
      <c r="E594" s="14">
        <f>IFERROR(IF($D594="","",VLOOKUP($D594,'Bütçe Kalemleri'!$B$5:$D$304,3,FALSE)),"— tanımsız kalem —")</f>
      </c>
      <c r="F594" s="11"/>
      <c r="G594" s="13"/>
      <c r="H594" s="17"/>
      <c r="I594" s="16">
        <f>IF($G594="",0,$G594*IF($H594="",0,$H594))</f>
      </c>
      <c r="J594" s="16">
        <f>IF($G594="","",$G594+$I594)</f>
      </c>
      <c r="K594" s="11"/>
    </row>
    <row r="595" spans="2:11" x14ac:dyDescent="0.25">
      <c r="B595" s="9"/>
      <c r="C595" s="8"/>
      <c r="D595" s="8"/>
      <c r="E595" s="14">
        <f>IFERROR(IF($D595="","",VLOOKUP($D595,'Bütçe Kalemleri'!$B$5:$D$304,3,FALSE)),"— tanımsız kalem —")</f>
      </c>
      <c r="F595" s="8"/>
      <c r="G595" s="10"/>
      <c r="H595" s="15"/>
      <c r="I595" s="16">
        <f>IF($G595="",0,$G595*IF($H595="",0,$H595))</f>
      </c>
      <c r="J595" s="16">
        <f>IF($G595="","",$G595+$I595)</f>
      </c>
      <c r="K595" s="8"/>
    </row>
    <row r="596" spans="2:11" x14ac:dyDescent="0.25">
      <c r="B596" s="12"/>
      <c r="C596" s="11"/>
      <c r="D596" s="11"/>
      <c r="E596" s="14">
        <f>IFERROR(IF($D596="","",VLOOKUP($D596,'Bütçe Kalemleri'!$B$5:$D$304,3,FALSE)),"— tanımsız kalem —")</f>
      </c>
      <c r="F596" s="11"/>
      <c r="G596" s="13"/>
      <c r="H596" s="17"/>
      <c r="I596" s="16">
        <f>IF($G596="",0,$G596*IF($H596="",0,$H596))</f>
      </c>
      <c r="J596" s="16">
        <f>IF($G596="","",$G596+$I596)</f>
      </c>
      <c r="K596" s="11"/>
    </row>
    <row r="597" spans="2:11" x14ac:dyDescent="0.25">
      <c r="B597" s="9"/>
      <c r="C597" s="8"/>
      <c r="D597" s="8"/>
      <c r="E597" s="14">
        <f>IFERROR(IF($D597="","",VLOOKUP($D597,'Bütçe Kalemleri'!$B$5:$D$304,3,FALSE)),"— tanımsız kalem —")</f>
      </c>
      <c r="F597" s="8"/>
      <c r="G597" s="10"/>
      <c r="H597" s="15"/>
      <c r="I597" s="16">
        <f>IF($G597="",0,$G597*IF($H597="",0,$H597))</f>
      </c>
      <c r="J597" s="16">
        <f>IF($G597="","",$G597+$I597)</f>
      </c>
      <c r="K597" s="8"/>
    </row>
    <row r="598" spans="2:11" x14ac:dyDescent="0.25">
      <c r="B598" s="12"/>
      <c r="C598" s="11"/>
      <c r="D598" s="11"/>
      <c r="E598" s="14">
        <f>IFERROR(IF($D598="","",VLOOKUP($D598,'Bütçe Kalemleri'!$B$5:$D$304,3,FALSE)),"— tanımsız kalem —")</f>
      </c>
      <c r="F598" s="11"/>
      <c r="G598" s="13"/>
      <c r="H598" s="17"/>
      <c r="I598" s="16">
        <f>IF($G598="",0,$G598*IF($H598="",0,$H598))</f>
      </c>
      <c r="J598" s="16">
        <f>IF($G598="","",$G598+$I598)</f>
      </c>
      <c r="K598" s="11"/>
    </row>
    <row r="599" spans="2:11" x14ac:dyDescent="0.25">
      <c r="B599" s="9"/>
      <c r="C599" s="8"/>
      <c r="D599" s="8"/>
      <c r="E599" s="14">
        <f>IFERROR(IF($D599="","",VLOOKUP($D599,'Bütçe Kalemleri'!$B$5:$D$304,3,FALSE)),"— tanımsız kalem —")</f>
      </c>
      <c r="F599" s="8"/>
      <c r="G599" s="10"/>
      <c r="H599" s="15"/>
      <c r="I599" s="16">
        <f>IF($G599="",0,$G599*IF($H599="",0,$H599))</f>
      </c>
      <c r="J599" s="16">
        <f>IF($G599="","",$G599+$I599)</f>
      </c>
      <c r="K599" s="8"/>
    </row>
    <row r="600" spans="2:11" x14ac:dyDescent="0.25">
      <c r="B600" s="12"/>
      <c r="C600" s="11"/>
      <c r="D600" s="11"/>
      <c r="E600" s="14">
        <f>IFERROR(IF($D600="","",VLOOKUP($D600,'Bütçe Kalemleri'!$B$5:$D$304,3,FALSE)),"— tanımsız kalem —")</f>
      </c>
      <c r="F600" s="11"/>
      <c r="G600" s="13"/>
      <c r="H600" s="17"/>
      <c r="I600" s="16">
        <f>IF($G600="",0,$G600*IF($H600="",0,$H600))</f>
      </c>
      <c r="J600" s="16">
        <f>IF($G600="","",$G600+$I600)</f>
      </c>
      <c r="K600" s="11"/>
    </row>
    <row r="601" spans="2:11" x14ac:dyDescent="0.25">
      <c r="B601" s="9"/>
      <c r="C601" s="8"/>
      <c r="D601" s="8"/>
      <c r="E601" s="14">
        <f>IFERROR(IF($D601="","",VLOOKUP($D601,'Bütçe Kalemleri'!$B$5:$D$304,3,FALSE)),"— tanımsız kalem —")</f>
      </c>
      <c r="F601" s="8"/>
      <c r="G601" s="10"/>
      <c r="H601" s="15"/>
      <c r="I601" s="16">
        <f>IF($G601="",0,$G601*IF($H601="",0,$H601))</f>
      </c>
      <c r="J601" s="16">
        <f>IF($G601="","",$G601+$I601)</f>
      </c>
      <c r="K601" s="8"/>
    </row>
    <row r="602" spans="2:11" x14ac:dyDescent="0.25">
      <c r="B602" s="12"/>
      <c r="C602" s="11"/>
      <c r="D602" s="11"/>
      <c r="E602" s="14">
        <f>IFERROR(IF($D602="","",VLOOKUP($D602,'Bütçe Kalemleri'!$B$5:$D$304,3,FALSE)),"— tanımsız kalem —")</f>
      </c>
      <c r="F602" s="11"/>
      <c r="G602" s="13"/>
      <c r="H602" s="17"/>
      <c r="I602" s="16">
        <f>IF($G602="",0,$G602*IF($H602="",0,$H602))</f>
      </c>
      <c r="J602" s="16">
        <f>IF($G602="","",$G602+$I602)</f>
      </c>
      <c r="K602" s="11"/>
    </row>
    <row r="603" spans="2:11" x14ac:dyDescent="0.25">
      <c r="B603" s="9"/>
      <c r="C603" s="8"/>
      <c r="D603" s="8"/>
      <c r="E603" s="14">
        <f>IFERROR(IF($D603="","",VLOOKUP($D603,'Bütçe Kalemleri'!$B$5:$D$304,3,FALSE)),"— tanımsız kalem —")</f>
      </c>
      <c r="F603" s="8"/>
      <c r="G603" s="10"/>
      <c r="H603" s="15"/>
      <c r="I603" s="16">
        <f>IF($G603="",0,$G603*IF($H603="",0,$H603))</f>
      </c>
      <c r="J603" s="16">
        <f>IF($G603="","",$G603+$I603)</f>
      </c>
      <c r="K603" s="8"/>
    </row>
    <row r="604" spans="2:11" x14ac:dyDescent="0.25">
      <c r="B604" s="12"/>
      <c r="C604" s="11"/>
      <c r="D604" s="11"/>
      <c r="E604" s="14">
        <f>IFERROR(IF($D604="","",VLOOKUP($D604,'Bütçe Kalemleri'!$B$5:$D$304,3,FALSE)),"— tanımsız kalem —")</f>
      </c>
      <c r="F604" s="11"/>
      <c r="G604" s="13"/>
      <c r="H604" s="17"/>
      <c r="I604" s="16">
        <f>IF($G604="",0,$G604*IF($H604="",0,$H604))</f>
      </c>
      <c r="J604" s="16">
        <f>IF($G604="","",$G604+$I604)</f>
      </c>
      <c r="K604" s="11"/>
    </row>
    <row r="605" spans="2:11" x14ac:dyDescent="0.25">
      <c r="B605" s="9"/>
      <c r="C605" s="8"/>
      <c r="D605" s="8"/>
      <c r="E605" s="14">
        <f>IFERROR(IF($D605="","",VLOOKUP($D605,'Bütçe Kalemleri'!$B$5:$D$304,3,FALSE)),"— tanımsız kalem —")</f>
      </c>
      <c r="F605" s="8"/>
      <c r="G605" s="10"/>
      <c r="H605" s="15"/>
      <c r="I605" s="16">
        <f>IF($G605="",0,$G605*IF($H605="",0,$H605))</f>
      </c>
      <c r="J605" s="16">
        <f>IF($G605="","",$G605+$I605)</f>
      </c>
      <c r="K605" s="8"/>
    </row>
    <row r="606" spans="2:11" x14ac:dyDescent="0.25">
      <c r="B606" s="12"/>
      <c r="C606" s="11"/>
      <c r="D606" s="11"/>
      <c r="E606" s="14">
        <f>IFERROR(IF($D606="","",VLOOKUP($D606,'Bütçe Kalemleri'!$B$5:$D$304,3,FALSE)),"— tanımsız kalem —")</f>
      </c>
      <c r="F606" s="11"/>
      <c r="G606" s="13"/>
      <c r="H606" s="17"/>
      <c r="I606" s="16">
        <f>IF($G606="",0,$G606*IF($H606="",0,$H606))</f>
      </c>
      <c r="J606" s="16">
        <f>IF($G606="","",$G606+$I606)</f>
      </c>
      <c r="K606" s="11"/>
    </row>
    <row r="607" spans="2:11" x14ac:dyDescent="0.25">
      <c r="B607" s="9"/>
      <c r="C607" s="8"/>
      <c r="D607" s="8"/>
      <c r="E607" s="14">
        <f>IFERROR(IF($D607="","",VLOOKUP($D607,'Bütçe Kalemleri'!$B$5:$D$304,3,FALSE)),"— tanımsız kalem —")</f>
      </c>
      <c r="F607" s="8"/>
      <c r="G607" s="10"/>
      <c r="H607" s="15"/>
      <c r="I607" s="16">
        <f>IF($G607="",0,$G607*IF($H607="",0,$H607))</f>
      </c>
      <c r="J607" s="16">
        <f>IF($G607="","",$G607+$I607)</f>
      </c>
      <c r="K607" s="8"/>
    </row>
    <row r="608" spans="2:11" x14ac:dyDescent="0.25">
      <c r="B608" s="12"/>
      <c r="C608" s="11"/>
      <c r="D608" s="11"/>
      <c r="E608" s="14">
        <f>IFERROR(IF($D608="","",VLOOKUP($D608,'Bütçe Kalemleri'!$B$5:$D$304,3,FALSE)),"— tanımsız kalem —")</f>
      </c>
      <c r="F608" s="11"/>
      <c r="G608" s="13"/>
      <c r="H608" s="17"/>
      <c r="I608" s="16">
        <f>IF($G608="",0,$G608*IF($H608="",0,$H608))</f>
      </c>
      <c r="J608" s="16">
        <f>IF($G608="","",$G608+$I608)</f>
      </c>
      <c r="K608" s="11"/>
    </row>
    <row r="609" spans="2:11" x14ac:dyDescent="0.25">
      <c r="B609" s="9"/>
      <c r="C609" s="8"/>
      <c r="D609" s="8"/>
      <c r="E609" s="14">
        <f>IFERROR(IF($D609="","",VLOOKUP($D609,'Bütçe Kalemleri'!$B$5:$D$304,3,FALSE)),"— tanımsız kalem —")</f>
      </c>
      <c r="F609" s="8"/>
      <c r="G609" s="10"/>
      <c r="H609" s="15"/>
      <c r="I609" s="16">
        <f>IF($G609="",0,$G609*IF($H609="",0,$H609))</f>
      </c>
      <c r="J609" s="16">
        <f>IF($G609="","",$G609+$I609)</f>
      </c>
      <c r="K609" s="8"/>
    </row>
    <row r="610" spans="2:11" x14ac:dyDescent="0.25">
      <c r="B610" s="12"/>
      <c r="C610" s="11"/>
      <c r="D610" s="11"/>
      <c r="E610" s="14">
        <f>IFERROR(IF($D610="","",VLOOKUP($D610,'Bütçe Kalemleri'!$B$5:$D$304,3,FALSE)),"— tanımsız kalem —")</f>
      </c>
      <c r="F610" s="11"/>
      <c r="G610" s="13"/>
      <c r="H610" s="17"/>
      <c r="I610" s="16">
        <f>IF($G610="",0,$G610*IF($H610="",0,$H610))</f>
      </c>
      <c r="J610" s="16">
        <f>IF($G610="","",$G610+$I610)</f>
      </c>
      <c r="K610" s="11"/>
    </row>
    <row r="611" spans="2:11" x14ac:dyDescent="0.25">
      <c r="B611" s="9"/>
      <c r="C611" s="8"/>
      <c r="D611" s="8"/>
      <c r="E611" s="14">
        <f>IFERROR(IF($D611="","",VLOOKUP($D611,'Bütçe Kalemleri'!$B$5:$D$304,3,FALSE)),"— tanımsız kalem —")</f>
      </c>
      <c r="F611" s="8"/>
      <c r="G611" s="10"/>
      <c r="H611" s="15"/>
      <c r="I611" s="16">
        <f>IF($G611="",0,$G611*IF($H611="",0,$H611))</f>
      </c>
      <c r="J611" s="16">
        <f>IF($G611="","",$G611+$I611)</f>
      </c>
      <c r="K611" s="8"/>
    </row>
    <row r="612" spans="2:11" x14ac:dyDescent="0.25">
      <c r="B612" s="12"/>
      <c r="C612" s="11"/>
      <c r="D612" s="11"/>
      <c r="E612" s="14">
        <f>IFERROR(IF($D612="","",VLOOKUP($D612,'Bütçe Kalemleri'!$B$5:$D$304,3,FALSE)),"— tanımsız kalem —")</f>
      </c>
      <c r="F612" s="11"/>
      <c r="G612" s="13"/>
      <c r="H612" s="17"/>
      <c r="I612" s="16">
        <f>IF($G612="",0,$G612*IF($H612="",0,$H612))</f>
      </c>
      <c r="J612" s="16">
        <f>IF($G612="","",$G612+$I612)</f>
      </c>
      <c r="K612" s="11"/>
    </row>
    <row r="613" spans="2:11" x14ac:dyDescent="0.25">
      <c r="B613" s="9"/>
      <c r="C613" s="8"/>
      <c r="D613" s="8"/>
      <c r="E613" s="14">
        <f>IFERROR(IF($D613="","",VLOOKUP($D613,'Bütçe Kalemleri'!$B$5:$D$304,3,FALSE)),"— tanımsız kalem —")</f>
      </c>
      <c r="F613" s="8"/>
      <c r="G613" s="10"/>
      <c r="H613" s="15"/>
      <c r="I613" s="16">
        <f>IF($G613="",0,$G613*IF($H613="",0,$H613))</f>
      </c>
      <c r="J613" s="16">
        <f>IF($G613="","",$G613+$I613)</f>
      </c>
      <c r="K613" s="8"/>
    </row>
    <row r="614" spans="2:11" x14ac:dyDescent="0.25">
      <c r="B614" s="12"/>
      <c r="C614" s="11"/>
      <c r="D614" s="11"/>
      <c r="E614" s="14">
        <f>IFERROR(IF($D614="","",VLOOKUP($D614,'Bütçe Kalemleri'!$B$5:$D$304,3,FALSE)),"— tanımsız kalem —")</f>
      </c>
      <c r="F614" s="11"/>
      <c r="G614" s="13"/>
      <c r="H614" s="17"/>
      <c r="I614" s="16">
        <f>IF($G614="",0,$G614*IF($H614="",0,$H614))</f>
      </c>
      <c r="J614" s="16">
        <f>IF($G614="","",$G614+$I614)</f>
      </c>
      <c r="K614" s="11"/>
    </row>
    <row r="615" spans="2:11" x14ac:dyDescent="0.25">
      <c r="B615" s="9"/>
      <c r="C615" s="8"/>
      <c r="D615" s="8"/>
      <c r="E615" s="14">
        <f>IFERROR(IF($D615="","",VLOOKUP($D615,'Bütçe Kalemleri'!$B$5:$D$304,3,FALSE)),"— tanımsız kalem —")</f>
      </c>
      <c r="F615" s="8"/>
      <c r="G615" s="10"/>
      <c r="H615" s="15"/>
      <c r="I615" s="16">
        <f>IF($G615="",0,$G615*IF($H615="",0,$H615))</f>
      </c>
      <c r="J615" s="16">
        <f>IF($G615="","",$G615+$I615)</f>
      </c>
      <c r="K615" s="8"/>
    </row>
    <row r="616" spans="2:11" x14ac:dyDescent="0.25">
      <c r="B616" s="12"/>
      <c r="C616" s="11"/>
      <c r="D616" s="11"/>
      <c r="E616" s="14">
        <f>IFERROR(IF($D616="","",VLOOKUP($D616,'Bütçe Kalemleri'!$B$5:$D$304,3,FALSE)),"— tanımsız kalem —")</f>
      </c>
      <c r="F616" s="11"/>
      <c r="G616" s="13"/>
      <c r="H616" s="17"/>
      <c r="I616" s="16">
        <f>IF($G616="",0,$G616*IF($H616="",0,$H616))</f>
      </c>
      <c r="J616" s="16">
        <f>IF($G616="","",$G616+$I616)</f>
      </c>
      <c r="K616" s="11"/>
    </row>
    <row r="617" spans="2:11" x14ac:dyDescent="0.25">
      <c r="B617" s="9"/>
      <c r="C617" s="8"/>
      <c r="D617" s="8"/>
      <c r="E617" s="14">
        <f>IFERROR(IF($D617="","",VLOOKUP($D617,'Bütçe Kalemleri'!$B$5:$D$304,3,FALSE)),"— tanımsız kalem —")</f>
      </c>
      <c r="F617" s="8"/>
      <c r="G617" s="10"/>
      <c r="H617" s="15"/>
      <c r="I617" s="16">
        <f>IF($G617="",0,$G617*IF($H617="",0,$H617))</f>
      </c>
      <c r="J617" s="16">
        <f>IF($G617="","",$G617+$I617)</f>
      </c>
      <c r="K617" s="8"/>
    </row>
    <row r="618" spans="2:11" x14ac:dyDescent="0.25">
      <c r="B618" s="12"/>
      <c r="C618" s="11"/>
      <c r="D618" s="11"/>
      <c r="E618" s="14">
        <f>IFERROR(IF($D618="","",VLOOKUP($D618,'Bütçe Kalemleri'!$B$5:$D$304,3,FALSE)),"— tanımsız kalem —")</f>
      </c>
      <c r="F618" s="11"/>
      <c r="G618" s="13"/>
      <c r="H618" s="17"/>
      <c r="I618" s="16">
        <f>IF($G618="",0,$G618*IF($H618="",0,$H618))</f>
      </c>
      <c r="J618" s="16">
        <f>IF($G618="","",$G618+$I618)</f>
      </c>
      <c r="K618" s="11"/>
    </row>
    <row r="619" spans="2:11" x14ac:dyDescent="0.25">
      <c r="B619" s="9"/>
      <c r="C619" s="8"/>
      <c r="D619" s="8"/>
      <c r="E619" s="14">
        <f>IFERROR(IF($D619="","",VLOOKUP($D619,'Bütçe Kalemleri'!$B$5:$D$304,3,FALSE)),"— tanımsız kalem —")</f>
      </c>
      <c r="F619" s="8"/>
      <c r="G619" s="10"/>
      <c r="H619" s="15"/>
      <c r="I619" s="16">
        <f>IF($G619="",0,$G619*IF($H619="",0,$H619))</f>
      </c>
      <c r="J619" s="16">
        <f>IF($G619="","",$G619+$I619)</f>
      </c>
      <c r="K619" s="8"/>
    </row>
    <row r="620" spans="2:11" x14ac:dyDescent="0.25">
      <c r="B620" s="12"/>
      <c r="C620" s="11"/>
      <c r="D620" s="11"/>
      <c r="E620" s="14">
        <f>IFERROR(IF($D620="","",VLOOKUP($D620,'Bütçe Kalemleri'!$B$5:$D$304,3,FALSE)),"— tanımsız kalem —")</f>
      </c>
      <c r="F620" s="11"/>
      <c r="G620" s="13"/>
      <c r="H620" s="17"/>
      <c r="I620" s="16">
        <f>IF($G620="",0,$G620*IF($H620="",0,$H620))</f>
      </c>
      <c r="J620" s="16">
        <f>IF($G620="","",$G620+$I620)</f>
      </c>
      <c r="K620" s="11"/>
    </row>
    <row r="621" spans="2:11" x14ac:dyDescent="0.25">
      <c r="B621" s="9"/>
      <c r="C621" s="8"/>
      <c r="D621" s="8"/>
      <c r="E621" s="14">
        <f>IFERROR(IF($D621="","",VLOOKUP($D621,'Bütçe Kalemleri'!$B$5:$D$304,3,FALSE)),"— tanımsız kalem —")</f>
      </c>
      <c r="F621" s="8"/>
      <c r="G621" s="10"/>
      <c r="H621" s="15"/>
      <c r="I621" s="16">
        <f>IF($G621="",0,$G621*IF($H621="",0,$H621))</f>
      </c>
      <c r="J621" s="16">
        <f>IF($G621="","",$G621+$I621)</f>
      </c>
      <c r="K621" s="8"/>
    </row>
    <row r="622" spans="2:11" x14ac:dyDescent="0.25">
      <c r="B622" s="12"/>
      <c r="C622" s="11"/>
      <c r="D622" s="11"/>
      <c r="E622" s="14">
        <f>IFERROR(IF($D622="","",VLOOKUP($D622,'Bütçe Kalemleri'!$B$5:$D$304,3,FALSE)),"— tanımsız kalem —")</f>
      </c>
      <c r="F622" s="11"/>
      <c r="G622" s="13"/>
      <c r="H622" s="17"/>
      <c r="I622" s="16">
        <f>IF($G622="",0,$G622*IF($H622="",0,$H622))</f>
      </c>
      <c r="J622" s="16">
        <f>IF($G622="","",$G622+$I622)</f>
      </c>
      <c r="K622" s="11"/>
    </row>
    <row r="623" spans="2:11" x14ac:dyDescent="0.25">
      <c r="B623" s="9"/>
      <c r="C623" s="8"/>
      <c r="D623" s="8"/>
      <c r="E623" s="14">
        <f>IFERROR(IF($D623="","",VLOOKUP($D623,'Bütçe Kalemleri'!$B$5:$D$304,3,FALSE)),"— tanımsız kalem —")</f>
      </c>
      <c r="F623" s="8"/>
      <c r="G623" s="10"/>
      <c r="H623" s="15"/>
      <c r="I623" s="16">
        <f>IF($G623="",0,$G623*IF($H623="",0,$H623))</f>
      </c>
      <c r="J623" s="16">
        <f>IF($G623="","",$G623+$I623)</f>
      </c>
      <c r="K623" s="8"/>
    </row>
    <row r="624" spans="2:11" x14ac:dyDescent="0.25">
      <c r="B624" s="12"/>
      <c r="C624" s="11"/>
      <c r="D624" s="11"/>
      <c r="E624" s="14">
        <f>IFERROR(IF($D624="","",VLOOKUP($D624,'Bütçe Kalemleri'!$B$5:$D$304,3,FALSE)),"— tanımsız kalem —")</f>
      </c>
      <c r="F624" s="11"/>
      <c r="G624" s="13"/>
      <c r="H624" s="17"/>
      <c r="I624" s="16">
        <f>IF($G624="",0,$G624*IF($H624="",0,$H624))</f>
      </c>
      <c r="J624" s="16">
        <f>IF($G624="","",$G624+$I624)</f>
      </c>
      <c r="K624" s="11"/>
    </row>
    <row r="625" spans="2:11" x14ac:dyDescent="0.25">
      <c r="B625" s="9"/>
      <c r="C625" s="8"/>
      <c r="D625" s="8"/>
      <c r="E625" s="14">
        <f>IFERROR(IF($D625="","",VLOOKUP($D625,'Bütçe Kalemleri'!$B$5:$D$304,3,FALSE)),"— tanımsız kalem —")</f>
      </c>
      <c r="F625" s="8"/>
      <c r="G625" s="10"/>
      <c r="H625" s="15"/>
      <c r="I625" s="16">
        <f>IF($G625="",0,$G625*IF($H625="",0,$H625))</f>
      </c>
      <c r="J625" s="16">
        <f>IF($G625="","",$G625+$I625)</f>
      </c>
      <c r="K625" s="8"/>
    </row>
    <row r="626" spans="2:11" x14ac:dyDescent="0.25">
      <c r="B626" s="12"/>
      <c r="C626" s="11"/>
      <c r="D626" s="11"/>
      <c r="E626" s="14">
        <f>IFERROR(IF($D626="","",VLOOKUP($D626,'Bütçe Kalemleri'!$B$5:$D$304,3,FALSE)),"— tanımsız kalem —")</f>
      </c>
      <c r="F626" s="11"/>
      <c r="G626" s="13"/>
      <c r="H626" s="17"/>
      <c r="I626" s="16">
        <f>IF($G626="",0,$G626*IF($H626="",0,$H626))</f>
      </c>
      <c r="J626" s="16">
        <f>IF($G626="","",$G626+$I626)</f>
      </c>
      <c r="K626" s="11"/>
    </row>
    <row r="627" spans="2:11" x14ac:dyDescent="0.25">
      <c r="B627" s="9"/>
      <c r="C627" s="8"/>
      <c r="D627" s="8"/>
      <c r="E627" s="14">
        <f>IFERROR(IF($D627="","",VLOOKUP($D627,'Bütçe Kalemleri'!$B$5:$D$304,3,FALSE)),"— tanımsız kalem —")</f>
      </c>
      <c r="F627" s="8"/>
      <c r="G627" s="10"/>
      <c r="H627" s="15"/>
      <c r="I627" s="16">
        <f>IF($G627="",0,$G627*IF($H627="",0,$H627))</f>
      </c>
      <c r="J627" s="16">
        <f>IF($G627="","",$G627+$I627)</f>
      </c>
      <c r="K627" s="8"/>
    </row>
    <row r="628" spans="2:11" x14ac:dyDescent="0.25">
      <c r="B628" s="12"/>
      <c r="C628" s="11"/>
      <c r="D628" s="11"/>
      <c r="E628" s="14">
        <f>IFERROR(IF($D628="","",VLOOKUP($D628,'Bütçe Kalemleri'!$B$5:$D$304,3,FALSE)),"— tanımsız kalem —")</f>
      </c>
      <c r="F628" s="11"/>
      <c r="G628" s="13"/>
      <c r="H628" s="17"/>
      <c r="I628" s="16">
        <f>IF($G628="",0,$G628*IF($H628="",0,$H628))</f>
      </c>
      <c r="J628" s="16">
        <f>IF($G628="","",$G628+$I628)</f>
      </c>
      <c r="K628" s="11"/>
    </row>
    <row r="629" spans="2:11" x14ac:dyDescent="0.25">
      <c r="B629" s="9"/>
      <c r="C629" s="8"/>
      <c r="D629" s="8"/>
      <c r="E629" s="14">
        <f>IFERROR(IF($D629="","",VLOOKUP($D629,'Bütçe Kalemleri'!$B$5:$D$304,3,FALSE)),"— tanımsız kalem —")</f>
      </c>
      <c r="F629" s="8"/>
      <c r="G629" s="10"/>
      <c r="H629" s="15"/>
      <c r="I629" s="16">
        <f>IF($G629="",0,$G629*IF($H629="",0,$H629))</f>
      </c>
      <c r="J629" s="16">
        <f>IF($G629="","",$G629+$I629)</f>
      </c>
      <c r="K629" s="8"/>
    </row>
    <row r="630" spans="2:11" x14ac:dyDescent="0.25">
      <c r="B630" s="12"/>
      <c r="C630" s="11"/>
      <c r="D630" s="11"/>
      <c r="E630" s="14">
        <f>IFERROR(IF($D630="","",VLOOKUP($D630,'Bütçe Kalemleri'!$B$5:$D$304,3,FALSE)),"— tanımsız kalem —")</f>
      </c>
      <c r="F630" s="11"/>
      <c r="G630" s="13"/>
      <c r="H630" s="17"/>
      <c r="I630" s="16">
        <f>IF($G630="",0,$G630*IF($H630="",0,$H630))</f>
      </c>
      <c r="J630" s="16">
        <f>IF($G630="","",$G630+$I630)</f>
      </c>
      <c r="K630" s="11"/>
    </row>
    <row r="631" spans="2:11" x14ac:dyDescent="0.25">
      <c r="B631" s="9"/>
      <c r="C631" s="8"/>
      <c r="D631" s="8"/>
      <c r="E631" s="14">
        <f>IFERROR(IF($D631="","",VLOOKUP($D631,'Bütçe Kalemleri'!$B$5:$D$304,3,FALSE)),"— tanımsız kalem —")</f>
      </c>
      <c r="F631" s="8"/>
      <c r="G631" s="10"/>
      <c r="H631" s="15"/>
      <c r="I631" s="16">
        <f>IF($G631="",0,$G631*IF($H631="",0,$H631))</f>
      </c>
      <c r="J631" s="16">
        <f>IF($G631="","",$G631+$I631)</f>
      </c>
      <c r="K631" s="8"/>
    </row>
    <row r="632" spans="2:11" x14ac:dyDescent="0.25">
      <c r="B632" s="12"/>
      <c r="C632" s="11"/>
      <c r="D632" s="11"/>
      <c r="E632" s="14">
        <f>IFERROR(IF($D632="","",VLOOKUP($D632,'Bütçe Kalemleri'!$B$5:$D$304,3,FALSE)),"— tanımsız kalem —")</f>
      </c>
      <c r="F632" s="11"/>
      <c r="G632" s="13"/>
      <c r="H632" s="17"/>
      <c r="I632" s="16">
        <f>IF($G632="",0,$G632*IF($H632="",0,$H632))</f>
      </c>
      <c r="J632" s="16">
        <f>IF($G632="","",$G632+$I632)</f>
      </c>
      <c r="K632" s="11"/>
    </row>
    <row r="633" spans="2:11" x14ac:dyDescent="0.25">
      <c r="B633" s="9"/>
      <c r="C633" s="8"/>
      <c r="D633" s="8"/>
      <c r="E633" s="14">
        <f>IFERROR(IF($D633="","",VLOOKUP($D633,'Bütçe Kalemleri'!$B$5:$D$304,3,FALSE)),"— tanımsız kalem —")</f>
      </c>
      <c r="F633" s="8"/>
      <c r="G633" s="10"/>
      <c r="H633" s="15"/>
      <c r="I633" s="16">
        <f>IF($G633="",0,$G633*IF($H633="",0,$H633))</f>
      </c>
      <c r="J633" s="16">
        <f>IF($G633="","",$G633+$I633)</f>
      </c>
      <c r="K633" s="8"/>
    </row>
    <row r="634" spans="2:11" x14ac:dyDescent="0.25">
      <c r="B634" s="12"/>
      <c r="C634" s="11"/>
      <c r="D634" s="11"/>
      <c r="E634" s="14">
        <f>IFERROR(IF($D634="","",VLOOKUP($D634,'Bütçe Kalemleri'!$B$5:$D$304,3,FALSE)),"— tanımsız kalem —")</f>
      </c>
      <c r="F634" s="11"/>
      <c r="G634" s="13"/>
      <c r="H634" s="17"/>
      <c r="I634" s="16">
        <f>IF($G634="",0,$G634*IF($H634="",0,$H634))</f>
      </c>
      <c r="J634" s="16">
        <f>IF($G634="","",$G634+$I634)</f>
      </c>
      <c r="K634" s="11"/>
    </row>
    <row r="635" spans="2:11" x14ac:dyDescent="0.25">
      <c r="B635" s="9"/>
      <c r="C635" s="8"/>
      <c r="D635" s="8"/>
      <c r="E635" s="14">
        <f>IFERROR(IF($D635="","",VLOOKUP($D635,'Bütçe Kalemleri'!$B$5:$D$304,3,FALSE)),"— tanımsız kalem —")</f>
      </c>
      <c r="F635" s="8"/>
      <c r="G635" s="10"/>
      <c r="H635" s="15"/>
      <c r="I635" s="16">
        <f>IF($G635="",0,$G635*IF($H635="",0,$H635))</f>
      </c>
      <c r="J635" s="16">
        <f>IF($G635="","",$G635+$I635)</f>
      </c>
      <c r="K635" s="8"/>
    </row>
    <row r="636" spans="2:11" x14ac:dyDescent="0.25">
      <c r="B636" s="12"/>
      <c r="C636" s="11"/>
      <c r="D636" s="11"/>
      <c r="E636" s="14">
        <f>IFERROR(IF($D636="","",VLOOKUP($D636,'Bütçe Kalemleri'!$B$5:$D$304,3,FALSE)),"— tanımsız kalem —")</f>
      </c>
      <c r="F636" s="11"/>
      <c r="G636" s="13"/>
      <c r="H636" s="17"/>
      <c r="I636" s="16">
        <f>IF($G636="",0,$G636*IF($H636="",0,$H636))</f>
      </c>
      <c r="J636" s="16">
        <f>IF($G636="","",$G636+$I636)</f>
      </c>
      <c r="K636" s="11"/>
    </row>
    <row r="637" spans="2:11" x14ac:dyDescent="0.25">
      <c r="B637" s="9"/>
      <c r="C637" s="8"/>
      <c r="D637" s="8"/>
      <c r="E637" s="14">
        <f>IFERROR(IF($D637="","",VLOOKUP($D637,'Bütçe Kalemleri'!$B$5:$D$304,3,FALSE)),"— tanımsız kalem —")</f>
      </c>
      <c r="F637" s="8"/>
      <c r="G637" s="10"/>
      <c r="H637" s="15"/>
      <c r="I637" s="16">
        <f>IF($G637="",0,$G637*IF($H637="",0,$H637))</f>
      </c>
      <c r="J637" s="16">
        <f>IF($G637="","",$G637+$I637)</f>
      </c>
      <c r="K637" s="8"/>
    </row>
    <row r="638" spans="2:11" x14ac:dyDescent="0.25">
      <c r="B638" s="12"/>
      <c r="C638" s="11"/>
      <c r="D638" s="11"/>
      <c r="E638" s="14">
        <f>IFERROR(IF($D638="","",VLOOKUP($D638,'Bütçe Kalemleri'!$B$5:$D$304,3,FALSE)),"— tanımsız kalem —")</f>
      </c>
      <c r="F638" s="11"/>
      <c r="G638" s="13"/>
      <c r="H638" s="17"/>
      <c r="I638" s="16">
        <f>IF($G638="",0,$G638*IF($H638="",0,$H638))</f>
      </c>
      <c r="J638" s="16">
        <f>IF($G638="","",$G638+$I638)</f>
      </c>
      <c r="K638" s="11"/>
    </row>
    <row r="639" spans="2:11" x14ac:dyDescent="0.25">
      <c r="B639" s="9"/>
      <c r="C639" s="8"/>
      <c r="D639" s="8"/>
      <c r="E639" s="14">
        <f>IFERROR(IF($D639="","",VLOOKUP($D639,'Bütçe Kalemleri'!$B$5:$D$304,3,FALSE)),"— tanımsız kalem —")</f>
      </c>
      <c r="F639" s="8"/>
      <c r="G639" s="10"/>
      <c r="H639" s="15"/>
      <c r="I639" s="16">
        <f>IF($G639="",0,$G639*IF($H639="",0,$H639))</f>
      </c>
      <c r="J639" s="16">
        <f>IF($G639="","",$G639+$I639)</f>
      </c>
      <c r="K639" s="8"/>
    </row>
    <row r="640" spans="2:11" x14ac:dyDescent="0.25">
      <c r="B640" s="12"/>
      <c r="C640" s="11"/>
      <c r="D640" s="11"/>
      <c r="E640" s="14">
        <f>IFERROR(IF($D640="","",VLOOKUP($D640,'Bütçe Kalemleri'!$B$5:$D$304,3,FALSE)),"— tanımsız kalem —")</f>
      </c>
      <c r="F640" s="11"/>
      <c r="G640" s="13"/>
      <c r="H640" s="17"/>
      <c r="I640" s="16">
        <f>IF($G640="",0,$G640*IF($H640="",0,$H640))</f>
      </c>
      <c r="J640" s="16">
        <f>IF($G640="","",$G640+$I640)</f>
      </c>
      <c r="K640" s="11"/>
    </row>
    <row r="641" spans="2:11" x14ac:dyDescent="0.25">
      <c r="B641" s="9"/>
      <c r="C641" s="8"/>
      <c r="D641" s="8"/>
      <c r="E641" s="14">
        <f>IFERROR(IF($D641="","",VLOOKUP($D641,'Bütçe Kalemleri'!$B$5:$D$304,3,FALSE)),"— tanımsız kalem —")</f>
      </c>
      <c r="F641" s="8"/>
      <c r="G641" s="10"/>
      <c r="H641" s="15"/>
      <c r="I641" s="16">
        <f>IF($G641="",0,$G641*IF($H641="",0,$H641))</f>
      </c>
      <c r="J641" s="16">
        <f>IF($G641="","",$G641+$I641)</f>
      </c>
      <c r="K641" s="8"/>
    </row>
    <row r="642" spans="2:11" x14ac:dyDescent="0.25">
      <c r="B642" s="12"/>
      <c r="C642" s="11"/>
      <c r="D642" s="11"/>
      <c r="E642" s="14">
        <f>IFERROR(IF($D642="","",VLOOKUP($D642,'Bütçe Kalemleri'!$B$5:$D$304,3,FALSE)),"— tanımsız kalem —")</f>
      </c>
      <c r="F642" s="11"/>
      <c r="G642" s="13"/>
      <c r="H642" s="17"/>
      <c r="I642" s="16">
        <f>IF($G642="",0,$G642*IF($H642="",0,$H642))</f>
      </c>
      <c r="J642" s="16">
        <f>IF($G642="","",$G642+$I642)</f>
      </c>
      <c r="K642" s="11"/>
    </row>
    <row r="643" spans="2:11" x14ac:dyDescent="0.25">
      <c r="B643" s="9"/>
      <c r="C643" s="8"/>
      <c r="D643" s="8"/>
      <c r="E643" s="14">
        <f>IFERROR(IF($D643="","",VLOOKUP($D643,'Bütçe Kalemleri'!$B$5:$D$304,3,FALSE)),"— tanımsız kalem —")</f>
      </c>
      <c r="F643" s="8"/>
      <c r="G643" s="10"/>
      <c r="H643" s="15"/>
      <c r="I643" s="16">
        <f>IF($G643="",0,$G643*IF($H643="",0,$H643))</f>
      </c>
      <c r="J643" s="16">
        <f>IF($G643="","",$G643+$I643)</f>
      </c>
      <c r="K643" s="8"/>
    </row>
    <row r="644" spans="2:11" x14ac:dyDescent="0.25">
      <c r="B644" s="12"/>
      <c r="C644" s="11"/>
      <c r="D644" s="11"/>
      <c r="E644" s="14">
        <f>IFERROR(IF($D644="","",VLOOKUP($D644,'Bütçe Kalemleri'!$B$5:$D$304,3,FALSE)),"— tanımsız kalem —")</f>
      </c>
      <c r="F644" s="11"/>
      <c r="G644" s="13"/>
      <c r="H644" s="17"/>
      <c r="I644" s="16">
        <f>IF($G644="",0,$G644*IF($H644="",0,$H644))</f>
      </c>
      <c r="J644" s="16">
        <f>IF($G644="","",$G644+$I644)</f>
      </c>
      <c r="K644" s="11"/>
    </row>
    <row r="645" spans="2:11" x14ac:dyDescent="0.25">
      <c r="B645" s="9"/>
      <c r="C645" s="8"/>
      <c r="D645" s="8"/>
      <c r="E645" s="14">
        <f>IFERROR(IF($D645="","",VLOOKUP($D645,'Bütçe Kalemleri'!$B$5:$D$304,3,FALSE)),"— tanımsız kalem —")</f>
      </c>
      <c r="F645" s="8"/>
      <c r="G645" s="10"/>
      <c r="H645" s="15"/>
      <c r="I645" s="16">
        <f>IF($G645="",0,$G645*IF($H645="",0,$H645))</f>
      </c>
      <c r="J645" s="16">
        <f>IF($G645="","",$G645+$I645)</f>
      </c>
      <c r="K645" s="8"/>
    </row>
    <row r="646" spans="2:11" x14ac:dyDescent="0.25">
      <c r="B646" s="12"/>
      <c r="C646" s="11"/>
      <c r="D646" s="11"/>
      <c r="E646" s="14">
        <f>IFERROR(IF($D646="","",VLOOKUP($D646,'Bütçe Kalemleri'!$B$5:$D$304,3,FALSE)),"— tanımsız kalem —")</f>
      </c>
      <c r="F646" s="11"/>
      <c r="G646" s="13"/>
      <c r="H646" s="17"/>
      <c r="I646" s="16">
        <f>IF($G646="",0,$G646*IF($H646="",0,$H646))</f>
      </c>
      <c r="J646" s="16">
        <f>IF($G646="","",$G646+$I646)</f>
      </c>
      <c r="K646" s="11"/>
    </row>
    <row r="647" spans="2:11" x14ac:dyDescent="0.25">
      <c r="B647" s="9"/>
      <c r="C647" s="8"/>
      <c r="D647" s="8"/>
      <c r="E647" s="14">
        <f>IFERROR(IF($D647="","",VLOOKUP($D647,'Bütçe Kalemleri'!$B$5:$D$304,3,FALSE)),"— tanımsız kalem —")</f>
      </c>
      <c r="F647" s="8"/>
      <c r="G647" s="10"/>
      <c r="H647" s="15"/>
      <c r="I647" s="16">
        <f>IF($G647="",0,$G647*IF($H647="",0,$H647))</f>
      </c>
      <c r="J647" s="16">
        <f>IF($G647="","",$G647+$I647)</f>
      </c>
      <c r="K647" s="8"/>
    </row>
    <row r="648" spans="2:11" x14ac:dyDescent="0.25">
      <c r="B648" s="12"/>
      <c r="C648" s="11"/>
      <c r="D648" s="11"/>
      <c r="E648" s="14">
        <f>IFERROR(IF($D648="","",VLOOKUP($D648,'Bütçe Kalemleri'!$B$5:$D$304,3,FALSE)),"— tanımsız kalem —")</f>
      </c>
      <c r="F648" s="11"/>
      <c r="G648" s="13"/>
      <c r="H648" s="17"/>
      <c r="I648" s="16">
        <f>IF($G648="",0,$G648*IF($H648="",0,$H648))</f>
      </c>
      <c r="J648" s="16">
        <f>IF($G648="","",$G648+$I648)</f>
      </c>
      <c r="K648" s="11"/>
    </row>
    <row r="649" spans="2:11" x14ac:dyDescent="0.25">
      <c r="B649" s="9"/>
      <c r="C649" s="8"/>
      <c r="D649" s="8"/>
      <c r="E649" s="14">
        <f>IFERROR(IF($D649="","",VLOOKUP($D649,'Bütçe Kalemleri'!$B$5:$D$304,3,FALSE)),"— tanımsız kalem —")</f>
      </c>
      <c r="F649" s="8"/>
      <c r="G649" s="10"/>
      <c r="H649" s="15"/>
      <c r="I649" s="16">
        <f>IF($G649="",0,$G649*IF($H649="",0,$H649))</f>
      </c>
      <c r="J649" s="16">
        <f>IF($G649="","",$G649+$I649)</f>
      </c>
      <c r="K649" s="8"/>
    </row>
    <row r="650" spans="2:11" x14ac:dyDescent="0.25">
      <c r="B650" s="12"/>
      <c r="C650" s="11"/>
      <c r="D650" s="11"/>
      <c r="E650" s="14">
        <f>IFERROR(IF($D650="","",VLOOKUP($D650,'Bütçe Kalemleri'!$B$5:$D$304,3,FALSE)),"— tanımsız kalem —")</f>
      </c>
      <c r="F650" s="11"/>
      <c r="G650" s="13"/>
      <c r="H650" s="17"/>
      <c r="I650" s="16">
        <f>IF($G650="",0,$G650*IF($H650="",0,$H650))</f>
      </c>
      <c r="J650" s="16">
        <f>IF($G650="","",$G650+$I650)</f>
      </c>
      <c r="K650" s="11"/>
    </row>
    <row r="651" spans="2:11" x14ac:dyDescent="0.25">
      <c r="B651" s="9"/>
      <c r="C651" s="8"/>
      <c r="D651" s="8"/>
      <c r="E651" s="14">
        <f>IFERROR(IF($D651="","",VLOOKUP($D651,'Bütçe Kalemleri'!$B$5:$D$304,3,FALSE)),"— tanımsız kalem —")</f>
      </c>
      <c r="F651" s="8"/>
      <c r="G651" s="10"/>
      <c r="H651" s="15"/>
      <c r="I651" s="16">
        <f>IF($G651="",0,$G651*IF($H651="",0,$H651))</f>
      </c>
      <c r="J651" s="16">
        <f>IF($G651="","",$G651+$I651)</f>
      </c>
      <c r="K651" s="8"/>
    </row>
    <row r="652" spans="2:11" x14ac:dyDescent="0.25">
      <c r="B652" s="12"/>
      <c r="C652" s="11"/>
      <c r="D652" s="11"/>
      <c r="E652" s="14">
        <f>IFERROR(IF($D652="","",VLOOKUP($D652,'Bütçe Kalemleri'!$B$5:$D$304,3,FALSE)),"— tanımsız kalem —")</f>
      </c>
      <c r="F652" s="11"/>
      <c r="G652" s="13"/>
      <c r="H652" s="17"/>
      <c r="I652" s="16">
        <f>IF($G652="",0,$G652*IF($H652="",0,$H652))</f>
      </c>
      <c r="J652" s="16">
        <f>IF($G652="","",$G652+$I652)</f>
      </c>
      <c r="K652" s="11"/>
    </row>
    <row r="653" spans="2:11" x14ac:dyDescent="0.25">
      <c r="B653" s="9"/>
      <c r="C653" s="8"/>
      <c r="D653" s="8"/>
      <c r="E653" s="14">
        <f>IFERROR(IF($D653="","",VLOOKUP($D653,'Bütçe Kalemleri'!$B$5:$D$304,3,FALSE)),"— tanımsız kalem —")</f>
      </c>
      <c r="F653" s="8"/>
      <c r="G653" s="10"/>
      <c r="H653" s="15"/>
      <c r="I653" s="16">
        <f>IF($G653="",0,$G653*IF($H653="",0,$H653))</f>
      </c>
      <c r="J653" s="16">
        <f>IF($G653="","",$G653+$I653)</f>
      </c>
      <c r="K653" s="8"/>
    </row>
    <row r="654" spans="2:11" x14ac:dyDescent="0.25">
      <c r="B654" s="12"/>
      <c r="C654" s="11"/>
      <c r="D654" s="11"/>
      <c r="E654" s="14">
        <f>IFERROR(IF($D654="","",VLOOKUP($D654,'Bütçe Kalemleri'!$B$5:$D$304,3,FALSE)),"— tanımsız kalem —")</f>
      </c>
      <c r="F654" s="11"/>
      <c r="G654" s="13"/>
      <c r="H654" s="17"/>
      <c r="I654" s="16">
        <f>IF($G654="",0,$G654*IF($H654="",0,$H654))</f>
      </c>
      <c r="J654" s="16">
        <f>IF($G654="","",$G654+$I654)</f>
      </c>
      <c r="K654" s="11"/>
    </row>
    <row r="655" spans="2:11" x14ac:dyDescent="0.25">
      <c r="B655" s="9"/>
      <c r="C655" s="8"/>
      <c r="D655" s="8"/>
      <c r="E655" s="14">
        <f>IFERROR(IF($D655="","",VLOOKUP($D655,'Bütçe Kalemleri'!$B$5:$D$304,3,FALSE)),"— tanımsız kalem —")</f>
      </c>
      <c r="F655" s="8"/>
      <c r="G655" s="10"/>
      <c r="H655" s="15"/>
      <c r="I655" s="16">
        <f>IF($G655="",0,$G655*IF($H655="",0,$H655))</f>
      </c>
      <c r="J655" s="16">
        <f>IF($G655="","",$G655+$I655)</f>
      </c>
      <c r="K655" s="8"/>
    </row>
    <row r="656" spans="2:11" x14ac:dyDescent="0.25">
      <c r="B656" s="12"/>
      <c r="C656" s="11"/>
      <c r="D656" s="11"/>
      <c r="E656" s="14">
        <f>IFERROR(IF($D656="","",VLOOKUP($D656,'Bütçe Kalemleri'!$B$5:$D$304,3,FALSE)),"— tanımsız kalem —")</f>
      </c>
      <c r="F656" s="11"/>
      <c r="G656" s="13"/>
      <c r="H656" s="17"/>
      <c r="I656" s="16">
        <f>IF($G656="",0,$G656*IF($H656="",0,$H656))</f>
      </c>
      <c r="J656" s="16">
        <f>IF($G656="","",$G656+$I656)</f>
      </c>
      <c r="K656" s="11"/>
    </row>
    <row r="657" spans="2:11" x14ac:dyDescent="0.25">
      <c r="B657" s="9"/>
      <c r="C657" s="8"/>
      <c r="D657" s="8"/>
      <c r="E657" s="14">
        <f>IFERROR(IF($D657="","",VLOOKUP($D657,'Bütçe Kalemleri'!$B$5:$D$304,3,FALSE)),"— tanımsız kalem —")</f>
      </c>
      <c r="F657" s="8"/>
      <c r="G657" s="10"/>
      <c r="H657" s="15"/>
      <c r="I657" s="16">
        <f>IF($G657="",0,$G657*IF($H657="",0,$H657))</f>
      </c>
      <c r="J657" s="16">
        <f>IF($G657="","",$G657+$I657)</f>
      </c>
      <c r="K657" s="8"/>
    </row>
    <row r="658" spans="2:11" x14ac:dyDescent="0.25">
      <c r="B658" s="12"/>
      <c r="C658" s="11"/>
      <c r="D658" s="11"/>
      <c r="E658" s="14">
        <f>IFERROR(IF($D658="","",VLOOKUP($D658,'Bütçe Kalemleri'!$B$5:$D$304,3,FALSE)),"— tanımsız kalem —")</f>
      </c>
      <c r="F658" s="11"/>
      <c r="G658" s="13"/>
      <c r="H658" s="17"/>
      <c r="I658" s="16">
        <f>IF($G658="",0,$G658*IF($H658="",0,$H658))</f>
      </c>
      <c r="J658" s="16">
        <f>IF($G658="","",$G658+$I658)</f>
      </c>
      <c r="K658" s="11"/>
    </row>
    <row r="659" spans="2:11" x14ac:dyDescent="0.25">
      <c r="B659" s="9"/>
      <c r="C659" s="8"/>
      <c r="D659" s="8"/>
      <c r="E659" s="14">
        <f>IFERROR(IF($D659="","",VLOOKUP($D659,'Bütçe Kalemleri'!$B$5:$D$304,3,FALSE)),"— tanımsız kalem —")</f>
      </c>
      <c r="F659" s="8"/>
      <c r="G659" s="10"/>
      <c r="H659" s="15"/>
      <c r="I659" s="16">
        <f>IF($G659="",0,$G659*IF($H659="",0,$H659))</f>
      </c>
      <c r="J659" s="16">
        <f>IF($G659="","",$G659+$I659)</f>
      </c>
      <c r="K659" s="8"/>
    </row>
    <row r="660" spans="2:11" x14ac:dyDescent="0.25">
      <c r="B660" s="12"/>
      <c r="C660" s="11"/>
      <c r="D660" s="11"/>
      <c r="E660" s="14">
        <f>IFERROR(IF($D660="","",VLOOKUP($D660,'Bütçe Kalemleri'!$B$5:$D$304,3,FALSE)),"— tanımsız kalem —")</f>
      </c>
      <c r="F660" s="11"/>
      <c r="G660" s="13"/>
      <c r="H660" s="17"/>
      <c r="I660" s="16">
        <f>IF($G660="",0,$G660*IF($H660="",0,$H660))</f>
      </c>
      <c r="J660" s="16">
        <f>IF($G660="","",$G660+$I660)</f>
      </c>
      <c r="K660" s="11"/>
    </row>
    <row r="661" spans="2:11" x14ac:dyDescent="0.25">
      <c r="B661" s="9"/>
      <c r="C661" s="8"/>
      <c r="D661" s="8"/>
      <c r="E661" s="14">
        <f>IFERROR(IF($D661="","",VLOOKUP($D661,'Bütçe Kalemleri'!$B$5:$D$304,3,FALSE)),"— tanımsız kalem —")</f>
      </c>
      <c r="F661" s="8"/>
      <c r="G661" s="10"/>
      <c r="H661" s="15"/>
      <c r="I661" s="16">
        <f>IF($G661="",0,$G661*IF($H661="",0,$H661))</f>
      </c>
      <c r="J661" s="16">
        <f>IF($G661="","",$G661+$I661)</f>
      </c>
      <c r="K661" s="8"/>
    </row>
    <row r="662" spans="2:11" x14ac:dyDescent="0.25">
      <c r="B662" s="12"/>
      <c r="C662" s="11"/>
      <c r="D662" s="11"/>
      <c r="E662" s="14">
        <f>IFERROR(IF($D662="","",VLOOKUP($D662,'Bütçe Kalemleri'!$B$5:$D$304,3,FALSE)),"— tanımsız kalem —")</f>
      </c>
      <c r="F662" s="11"/>
      <c r="G662" s="13"/>
      <c r="H662" s="17"/>
      <c r="I662" s="16">
        <f>IF($G662="",0,$G662*IF($H662="",0,$H662))</f>
      </c>
      <c r="J662" s="16">
        <f>IF($G662="","",$G662+$I662)</f>
      </c>
      <c r="K662" s="11"/>
    </row>
    <row r="663" spans="2:11" x14ac:dyDescent="0.25">
      <c r="B663" s="9"/>
      <c r="C663" s="8"/>
      <c r="D663" s="8"/>
      <c r="E663" s="14">
        <f>IFERROR(IF($D663="","",VLOOKUP($D663,'Bütçe Kalemleri'!$B$5:$D$304,3,FALSE)),"— tanımsız kalem —")</f>
      </c>
      <c r="F663" s="8"/>
      <c r="G663" s="10"/>
      <c r="H663" s="15"/>
      <c r="I663" s="16">
        <f>IF($G663="",0,$G663*IF($H663="",0,$H663))</f>
      </c>
      <c r="J663" s="16">
        <f>IF($G663="","",$G663+$I663)</f>
      </c>
      <c r="K663" s="8"/>
    </row>
    <row r="664" spans="2:11" x14ac:dyDescent="0.25">
      <c r="B664" s="12"/>
      <c r="C664" s="11"/>
      <c r="D664" s="11"/>
      <c r="E664" s="14">
        <f>IFERROR(IF($D664="","",VLOOKUP($D664,'Bütçe Kalemleri'!$B$5:$D$304,3,FALSE)),"— tanımsız kalem —")</f>
      </c>
      <c r="F664" s="11"/>
      <c r="G664" s="13"/>
      <c r="H664" s="17"/>
      <c r="I664" s="16">
        <f>IF($G664="",0,$G664*IF($H664="",0,$H664))</f>
      </c>
      <c r="J664" s="16">
        <f>IF($G664="","",$G664+$I664)</f>
      </c>
      <c r="K664" s="11"/>
    </row>
    <row r="665" spans="2:11" x14ac:dyDescent="0.25">
      <c r="B665" s="9"/>
      <c r="C665" s="8"/>
      <c r="D665" s="8"/>
      <c r="E665" s="14">
        <f>IFERROR(IF($D665="","",VLOOKUP($D665,'Bütçe Kalemleri'!$B$5:$D$304,3,FALSE)),"— tanımsız kalem —")</f>
      </c>
      <c r="F665" s="8"/>
      <c r="G665" s="10"/>
      <c r="H665" s="15"/>
      <c r="I665" s="16">
        <f>IF($G665="",0,$G665*IF($H665="",0,$H665))</f>
      </c>
      <c r="J665" s="16">
        <f>IF($G665="","",$G665+$I665)</f>
      </c>
      <c r="K665" s="8"/>
    </row>
    <row r="666" spans="2:11" x14ac:dyDescent="0.25">
      <c r="B666" s="12"/>
      <c r="C666" s="11"/>
      <c r="D666" s="11"/>
      <c r="E666" s="14">
        <f>IFERROR(IF($D666="","",VLOOKUP($D666,'Bütçe Kalemleri'!$B$5:$D$304,3,FALSE)),"— tanımsız kalem —")</f>
      </c>
      <c r="F666" s="11"/>
      <c r="G666" s="13"/>
      <c r="H666" s="17"/>
      <c r="I666" s="16">
        <f>IF($G666="",0,$G666*IF($H666="",0,$H666))</f>
      </c>
      <c r="J666" s="16">
        <f>IF($G666="","",$G666+$I666)</f>
      </c>
      <c r="K666" s="11"/>
    </row>
    <row r="667" spans="2:11" x14ac:dyDescent="0.25">
      <c r="B667" s="9"/>
      <c r="C667" s="8"/>
      <c r="D667" s="8"/>
      <c r="E667" s="14">
        <f>IFERROR(IF($D667="","",VLOOKUP($D667,'Bütçe Kalemleri'!$B$5:$D$304,3,FALSE)),"— tanımsız kalem —")</f>
      </c>
      <c r="F667" s="8"/>
      <c r="G667" s="10"/>
      <c r="H667" s="15"/>
      <c r="I667" s="16">
        <f>IF($G667="",0,$G667*IF($H667="",0,$H667))</f>
      </c>
      <c r="J667" s="16">
        <f>IF($G667="","",$G667+$I667)</f>
      </c>
      <c r="K667" s="8"/>
    </row>
    <row r="668" spans="2:11" x14ac:dyDescent="0.25">
      <c r="B668" s="12"/>
      <c r="C668" s="11"/>
      <c r="D668" s="11"/>
      <c r="E668" s="14">
        <f>IFERROR(IF($D668="","",VLOOKUP($D668,'Bütçe Kalemleri'!$B$5:$D$304,3,FALSE)),"— tanımsız kalem —")</f>
      </c>
      <c r="F668" s="11"/>
      <c r="G668" s="13"/>
      <c r="H668" s="17"/>
      <c r="I668" s="16">
        <f>IF($G668="",0,$G668*IF($H668="",0,$H668))</f>
      </c>
      <c r="J668" s="16">
        <f>IF($G668="","",$G668+$I668)</f>
      </c>
      <c r="K668" s="11"/>
    </row>
    <row r="669" spans="2:11" x14ac:dyDescent="0.25">
      <c r="B669" s="9"/>
      <c r="C669" s="8"/>
      <c r="D669" s="8"/>
      <c r="E669" s="14">
        <f>IFERROR(IF($D669="","",VLOOKUP($D669,'Bütçe Kalemleri'!$B$5:$D$304,3,FALSE)),"— tanımsız kalem —")</f>
      </c>
      <c r="F669" s="8"/>
      <c r="G669" s="10"/>
      <c r="H669" s="15"/>
      <c r="I669" s="16">
        <f>IF($G669="",0,$G669*IF($H669="",0,$H669))</f>
      </c>
      <c r="J669" s="16">
        <f>IF($G669="","",$G669+$I669)</f>
      </c>
      <c r="K669" s="8"/>
    </row>
    <row r="670" spans="2:11" x14ac:dyDescent="0.25">
      <c r="B670" s="12"/>
      <c r="C670" s="11"/>
      <c r="D670" s="11"/>
      <c r="E670" s="14">
        <f>IFERROR(IF($D670="","",VLOOKUP($D670,'Bütçe Kalemleri'!$B$5:$D$304,3,FALSE)),"— tanımsız kalem —")</f>
      </c>
      <c r="F670" s="11"/>
      <c r="G670" s="13"/>
      <c r="H670" s="17"/>
      <c r="I670" s="16">
        <f>IF($G670="",0,$G670*IF($H670="",0,$H670))</f>
      </c>
      <c r="J670" s="16">
        <f>IF($G670="","",$G670+$I670)</f>
      </c>
      <c r="K670" s="11"/>
    </row>
    <row r="671" spans="2:11" x14ac:dyDescent="0.25">
      <c r="B671" s="9"/>
      <c r="C671" s="8"/>
      <c r="D671" s="8"/>
      <c r="E671" s="14">
        <f>IFERROR(IF($D671="","",VLOOKUP($D671,'Bütçe Kalemleri'!$B$5:$D$304,3,FALSE)),"— tanımsız kalem —")</f>
      </c>
      <c r="F671" s="8"/>
      <c r="G671" s="10"/>
      <c r="H671" s="15"/>
      <c r="I671" s="16">
        <f>IF($G671="",0,$G671*IF($H671="",0,$H671))</f>
      </c>
      <c r="J671" s="16">
        <f>IF($G671="","",$G671+$I671)</f>
      </c>
      <c r="K671" s="8"/>
    </row>
    <row r="672" spans="2:11" x14ac:dyDescent="0.25">
      <c r="B672" s="12"/>
      <c r="C672" s="11"/>
      <c r="D672" s="11"/>
      <c r="E672" s="14">
        <f>IFERROR(IF($D672="","",VLOOKUP($D672,'Bütçe Kalemleri'!$B$5:$D$304,3,FALSE)),"— tanımsız kalem —")</f>
      </c>
      <c r="F672" s="11"/>
      <c r="G672" s="13"/>
      <c r="H672" s="17"/>
      <c r="I672" s="16">
        <f>IF($G672="",0,$G672*IF($H672="",0,$H672))</f>
      </c>
      <c r="J672" s="16">
        <f>IF($G672="","",$G672+$I672)</f>
      </c>
      <c r="K672" s="11"/>
    </row>
    <row r="673" spans="2:11" x14ac:dyDescent="0.25">
      <c r="B673" s="9"/>
      <c r="C673" s="8"/>
      <c r="D673" s="8"/>
      <c r="E673" s="14">
        <f>IFERROR(IF($D673="","",VLOOKUP($D673,'Bütçe Kalemleri'!$B$5:$D$304,3,FALSE)),"— tanımsız kalem —")</f>
      </c>
      <c r="F673" s="8"/>
      <c r="G673" s="10"/>
      <c r="H673" s="15"/>
      <c r="I673" s="16">
        <f>IF($G673="",0,$G673*IF($H673="",0,$H673))</f>
      </c>
      <c r="J673" s="16">
        <f>IF($G673="","",$G673+$I673)</f>
      </c>
      <c r="K673" s="8"/>
    </row>
    <row r="674" spans="2:11" x14ac:dyDescent="0.25">
      <c r="B674" s="12"/>
      <c r="C674" s="11"/>
      <c r="D674" s="11"/>
      <c r="E674" s="14">
        <f>IFERROR(IF($D674="","",VLOOKUP($D674,'Bütçe Kalemleri'!$B$5:$D$304,3,FALSE)),"— tanımsız kalem —")</f>
      </c>
      <c r="F674" s="11"/>
      <c r="G674" s="13"/>
      <c r="H674" s="17"/>
      <c r="I674" s="16">
        <f>IF($G674="",0,$G674*IF($H674="",0,$H674))</f>
      </c>
      <c r="J674" s="16">
        <f>IF($G674="","",$G674+$I674)</f>
      </c>
      <c r="K674" s="11"/>
    </row>
    <row r="675" spans="2:11" x14ac:dyDescent="0.25">
      <c r="B675" s="9"/>
      <c r="C675" s="8"/>
      <c r="D675" s="8"/>
      <c r="E675" s="14">
        <f>IFERROR(IF($D675="","",VLOOKUP($D675,'Bütçe Kalemleri'!$B$5:$D$304,3,FALSE)),"— tanımsız kalem —")</f>
      </c>
      <c r="F675" s="8"/>
      <c r="G675" s="10"/>
      <c r="H675" s="15"/>
      <c r="I675" s="16">
        <f>IF($G675="",0,$G675*IF($H675="",0,$H675))</f>
      </c>
      <c r="J675" s="16">
        <f>IF($G675="","",$G675+$I675)</f>
      </c>
      <c r="K675" s="8"/>
    </row>
    <row r="676" spans="2:11" x14ac:dyDescent="0.25">
      <c r="B676" s="12"/>
      <c r="C676" s="11"/>
      <c r="D676" s="11"/>
      <c r="E676" s="14">
        <f>IFERROR(IF($D676="","",VLOOKUP($D676,'Bütçe Kalemleri'!$B$5:$D$304,3,FALSE)),"— tanımsız kalem —")</f>
      </c>
      <c r="F676" s="11"/>
      <c r="G676" s="13"/>
      <c r="H676" s="17"/>
      <c r="I676" s="16">
        <f>IF($G676="",0,$G676*IF($H676="",0,$H676))</f>
      </c>
      <c r="J676" s="16">
        <f>IF($G676="","",$G676+$I676)</f>
      </c>
      <c r="K676" s="11"/>
    </row>
    <row r="677" spans="2:11" x14ac:dyDescent="0.25">
      <c r="B677" s="9"/>
      <c r="C677" s="8"/>
      <c r="D677" s="8"/>
      <c r="E677" s="14">
        <f>IFERROR(IF($D677="","",VLOOKUP($D677,'Bütçe Kalemleri'!$B$5:$D$304,3,FALSE)),"— tanımsız kalem —")</f>
      </c>
      <c r="F677" s="8"/>
      <c r="G677" s="10"/>
      <c r="H677" s="15"/>
      <c r="I677" s="16">
        <f>IF($G677="",0,$G677*IF($H677="",0,$H677))</f>
      </c>
      <c r="J677" s="16">
        <f>IF($G677="","",$G677+$I677)</f>
      </c>
      <c r="K677" s="8"/>
    </row>
    <row r="678" spans="2:11" x14ac:dyDescent="0.25">
      <c r="B678" s="12"/>
      <c r="C678" s="11"/>
      <c r="D678" s="11"/>
      <c r="E678" s="14">
        <f>IFERROR(IF($D678="","",VLOOKUP($D678,'Bütçe Kalemleri'!$B$5:$D$304,3,FALSE)),"— tanımsız kalem —")</f>
      </c>
      <c r="F678" s="11"/>
      <c r="G678" s="13"/>
      <c r="H678" s="17"/>
      <c r="I678" s="16">
        <f>IF($G678="",0,$G678*IF($H678="",0,$H678))</f>
      </c>
      <c r="J678" s="16">
        <f>IF($G678="","",$G678+$I678)</f>
      </c>
      <c r="K678" s="11"/>
    </row>
    <row r="679" spans="2:11" x14ac:dyDescent="0.25">
      <c r="B679" s="9"/>
      <c r="C679" s="8"/>
      <c r="D679" s="8"/>
      <c r="E679" s="14">
        <f>IFERROR(IF($D679="","",VLOOKUP($D679,'Bütçe Kalemleri'!$B$5:$D$304,3,FALSE)),"— tanımsız kalem —")</f>
      </c>
      <c r="F679" s="8"/>
      <c r="G679" s="10"/>
      <c r="H679" s="15"/>
      <c r="I679" s="16">
        <f>IF($G679="",0,$G679*IF($H679="",0,$H679))</f>
      </c>
      <c r="J679" s="16">
        <f>IF($G679="","",$G679+$I679)</f>
      </c>
      <c r="K679" s="8"/>
    </row>
    <row r="680" spans="2:11" x14ac:dyDescent="0.25">
      <c r="B680" s="12"/>
      <c r="C680" s="11"/>
      <c r="D680" s="11"/>
      <c r="E680" s="14">
        <f>IFERROR(IF($D680="","",VLOOKUP($D680,'Bütçe Kalemleri'!$B$5:$D$304,3,FALSE)),"— tanımsız kalem —")</f>
      </c>
      <c r="F680" s="11"/>
      <c r="G680" s="13"/>
      <c r="H680" s="17"/>
      <c r="I680" s="16">
        <f>IF($G680="",0,$G680*IF($H680="",0,$H680))</f>
      </c>
      <c r="J680" s="16">
        <f>IF($G680="","",$G680+$I680)</f>
      </c>
      <c r="K680" s="11"/>
    </row>
    <row r="681" spans="2:11" x14ac:dyDescent="0.25">
      <c r="B681" s="9"/>
      <c r="C681" s="8"/>
      <c r="D681" s="8"/>
      <c r="E681" s="14">
        <f>IFERROR(IF($D681="","",VLOOKUP($D681,'Bütçe Kalemleri'!$B$5:$D$304,3,FALSE)),"— tanımsız kalem —")</f>
      </c>
      <c r="F681" s="8"/>
      <c r="G681" s="10"/>
      <c r="H681" s="15"/>
      <c r="I681" s="16">
        <f>IF($G681="",0,$G681*IF($H681="",0,$H681))</f>
      </c>
      <c r="J681" s="16">
        <f>IF($G681="","",$G681+$I681)</f>
      </c>
      <c r="K681" s="8"/>
    </row>
    <row r="682" spans="2:11" x14ac:dyDescent="0.25">
      <c r="B682" s="12"/>
      <c r="C682" s="11"/>
      <c r="D682" s="11"/>
      <c r="E682" s="14">
        <f>IFERROR(IF($D682="","",VLOOKUP($D682,'Bütçe Kalemleri'!$B$5:$D$304,3,FALSE)),"— tanımsız kalem —")</f>
      </c>
      <c r="F682" s="11"/>
      <c r="G682" s="13"/>
      <c r="H682" s="17"/>
      <c r="I682" s="16">
        <f>IF($G682="",0,$G682*IF($H682="",0,$H682))</f>
      </c>
      <c r="J682" s="16">
        <f>IF($G682="","",$G682+$I682)</f>
      </c>
      <c r="K682" s="11"/>
    </row>
    <row r="683" spans="2:11" x14ac:dyDescent="0.25">
      <c r="B683" s="9"/>
      <c r="C683" s="8"/>
      <c r="D683" s="8"/>
      <c r="E683" s="14">
        <f>IFERROR(IF($D683="","",VLOOKUP($D683,'Bütçe Kalemleri'!$B$5:$D$304,3,FALSE)),"— tanımsız kalem —")</f>
      </c>
      <c r="F683" s="8"/>
      <c r="G683" s="10"/>
      <c r="H683" s="15"/>
      <c r="I683" s="16">
        <f>IF($G683="",0,$G683*IF($H683="",0,$H683))</f>
      </c>
      <c r="J683" s="16">
        <f>IF($G683="","",$G683+$I683)</f>
      </c>
      <c r="K683" s="8"/>
    </row>
    <row r="684" spans="2:11" x14ac:dyDescent="0.25">
      <c r="B684" s="12"/>
      <c r="C684" s="11"/>
      <c r="D684" s="11"/>
      <c r="E684" s="14">
        <f>IFERROR(IF($D684="","",VLOOKUP($D684,'Bütçe Kalemleri'!$B$5:$D$304,3,FALSE)),"— tanımsız kalem —")</f>
      </c>
      <c r="F684" s="11"/>
      <c r="G684" s="13"/>
      <c r="H684" s="17"/>
      <c r="I684" s="16">
        <f>IF($G684="",0,$G684*IF($H684="",0,$H684))</f>
      </c>
      <c r="J684" s="16">
        <f>IF($G684="","",$G684+$I684)</f>
      </c>
      <c r="K684" s="11"/>
    </row>
    <row r="685" spans="2:11" x14ac:dyDescent="0.25">
      <c r="B685" s="9"/>
      <c r="C685" s="8"/>
      <c r="D685" s="8"/>
      <c r="E685" s="14">
        <f>IFERROR(IF($D685="","",VLOOKUP($D685,'Bütçe Kalemleri'!$B$5:$D$304,3,FALSE)),"— tanımsız kalem —")</f>
      </c>
      <c r="F685" s="8"/>
      <c r="G685" s="10"/>
      <c r="H685" s="15"/>
      <c r="I685" s="16">
        <f>IF($G685="",0,$G685*IF($H685="",0,$H685))</f>
      </c>
      <c r="J685" s="16">
        <f>IF($G685="","",$G685+$I685)</f>
      </c>
      <c r="K685" s="8"/>
    </row>
    <row r="686" spans="2:11" x14ac:dyDescent="0.25">
      <c r="B686" s="12"/>
      <c r="C686" s="11"/>
      <c r="D686" s="11"/>
      <c r="E686" s="14">
        <f>IFERROR(IF($D686="","",VLOOKUP($D686,'Bütçe Kalemleri'!$B$5:$D$304,3,FALSE)),"— tanımsız kalem —")</f>
      </c>
      <c r="F686" s="11"/>
      <c r="G686" s="13"/>
      <c r="H686" s="17"/>
      <c r="I686" s="16">
        <f>IF($G686="",0,$G686*IF($H686="",0,$H686))</f>
      </c>
      <c r="J686" s="16">
        <f>IF($G686="","",$G686+$I686)</f>
      </c>
      <c r="K686" s="11"/>
    </row>
    <row r="687" spans="2:11" x14ac:dyDescent="0.25">
      <c r="B687" s="9"/>
      <c r="C687" s="8"/>
      <c r="D687" s="8"/>
      <c r="E687" s="14">
        <f>IFERROR(IF($D687="","",VLOOKUP($D687,'Bütçe Kalemleri'!$B$5:$D$304,3,FALSE)),"— tanımsız kalem —")</f>
      </c>
      <c r="F687" s="8"/>
      <c r="G687" s="10"/>
      <c r="H687" s="15"/>
      <c r="I687" s="16">
        <f>IF($G687="",0,$G687*IF($H687="",0,$H687))</f>
      </c>
      <c r="J687" s="16">
        <f>IF($G687="","",$G687+$I687)</f>
      </c>
      <c r="K687" s="8"/>
    </row>
    <row r="688" spans="2:11" x14ac:dyDescent="0.25">
      <c r="B688" s="12"/>
      <c r="C688" s="11"/>
      <c r="D688" s="11"/>
      <c r="E688" s="14">
        <f>IFERROR(IF($D688="","",VLOOKUP($D688,'Bütçe Kalemleri'!$B$5:$D$304,3,FALSE)),"— tanımsız kalem —")</f>
      </c>
      <c r="F688" s="11"/>
      <c r="G688" s="13"/>
      <c r="H688" s="17"/>
      <c r="I688" s="16">
        <f>IF($G688="",0,$G688*IF($H688="",0,$H688))</f>
      </c>
      <c r="J688" s="16">
        <f>IF($G688="","",$G688+$I688)</f>
      </c>
      <c r="K688" s="11"/>
    </row>
    <row r="689" spans="2:11" x14ac:dyDescent="0.25">
      <c r="B689" s="9"/>
      <c r="C689" s="8"/>
      <c r="D689" s="8"/>
      <c r="E689" s="14">
        <f>IFERROR(IF($D689="","",VLOOKUP($D689,'Bütçe Kalemleri'!$B$5:$D$304,3,FALSE)),"— tanımsız kalem —")</f>
      </c>
      <c r="F689" s="8"/>
      <c r="G689" s="10"/>
      <c r="H689" s="15"/>
      <c r="I689" s="16">
        <f>IF($G689="",0,$G689*IF($H689="",0,$H689))</f>
      </c>
      <c r="J689" s="16">
        <f>IF($G689="","",$G689+$I689)</f>
      </c>
      <c r="K689" s="8"/>
    </row>
    <row r="690" spans="2:11" x14ac:dyDescent="0.25">
      <c r="B690" s="12"/>
      <c r="C690" s="11"/>
      <c r="D690" s="11"/>
      <c r="E690" s="14">
        <f>IFERROR(IF($D690="","",VLOOKUP($D690,'Bütçe Kalemleri'!$B$5:$D$304,3,FALSE)),"— tanımsız kalem —")</f>
      </c>
      <c r="F690" s="11"/>
      <c r="G690" s="13"/>
      <c r="H690" s="17"/>
      <c r="I690" s="16">
        <f>IF($G690="",0,$G690*IF($H690="",0,$H690))</f>
      </c>
      <c r="J690" s="16">
        <f>IF($G690="","",$G690+$I690)</f>
      </c>
      <c r="K690" s="11"/>
    </row>
    <row r="691" spans="2:11" x14ac:dyDescent="0.25">
      <c r="B691" s="9"/>
      <c r="C691" s="8"/>
      <c r="D691" s="8"/>
      <c r="E691" s="14">
        <f>IFERROR(IF($D691="","",VLOOKUP($D691,'Bütçe Kalemleri'!$B$5:$D$304,3,FALSE)),"— tanımsız kalem —")</f>
      </c>
      <c r="F691" s="8"/>
      <c r="G691" s="10"/>
      <c r="H691" s="15"/>
      <c r="I691" s="16">
        <f>IF($G691="",0,$G691*IF($H691="",0,$H691))</f>
      </c>
      <c r="J691" s="16">
        <f>IF($G691="","",$G691+$I691)</f>
      </c>
      <c r="K691" s="8"/>
    </row>
    <row r="692" spans="2:11" x14ac:dyDescent="0.25">
      <c r="B692" s="12"/>
      <c r="C692" s="11"/>
      <c r="D692" s="11"/>
      <c r="E692" s="14">
        <f>IFERROR(IF($D692="","",VLOOKUP($D692,'Bütçe Kalemleri'!$B$5:$D$304,3,FALSE)),"— tanımsız kalem —")</f>
      </c>
      <c r="F692" s="11"/>
      <c r="G692" s="13"/>
      <c r="H692" s="17"/>
      <c r="I692" s="16">
        <f>IF($G692="",0,$G692*IF($H692="",0,$H692))</f>
      </c>
      <c r="J692" s="16">
        <f>IF($G692="","",$G692+$I692)</f>
      </c>
      <c r="K692" s="11"/>
    </row>
    <row r="693" spans="2:11" x14ac:dyDescent="0.25">
      <c r="B693" s="9"/>
      <c r="C693" s="8"/>
      <c r="D693" s="8"/>
      <c r="E693" s="14">
        <f>IFERROR(IF($D693="","",VLOOKUP($D693,'Bütçe Kalemleri'!$B$5:$D$304,3,FALSE)),"— tanımsız kalem —")</f>
      </c>
      <c r="F693" s="8"/>
      <c r="G693" s="10"/>
      <c r="H693" s="15"/>
      <c r="I693" s="16">
        <f>IF($G693="",0,$G693*IF($H693="",0,$H693))</f>
      </c>
      <c r="J693" s="16">
        <f>IF($G693="","",$G693+$I693)</f>
      </c>
      <c r="K693" s="8"/>
    </row>
    <row r="694" spans="2:11" x14ac:dyDescent="0.25">
      <c r="B694" s="12"/>
      <c r="C694" s="11"/>
      <c r="D694" s="11"/>
      <c r="E694" s="14">
        <f>IFERROR(IF($D694="","",VLOOKUP($D694,'Bütçe Kalemleri'!$B$5:$D$304,3,FALSE)),"— tanımsız kalem —")</f>
      </c>
      <c r="F694" s="11"/>
      <c r="G694" s="13"/>
      <c r="H694" s="17"/>
      <c r="I694" s="16">
        <f>IF($G694="",0,$G694*IF($H694="",0,$H694))</f>
      </c>
      <c r="J694" s="16">
        <f>IF($G694="","",$G694+$I694)</f>
      </c>
      <c r="K694" s="11"/>
    </row>
    <row r="695" spans="2:11" x14ac:dyDescent="0.25">
      <c r="B695" s="9"/>
      <c r="C695" s="8"/>
      <c r="D695" s="8"/>
      <c r="E695" s="14">
        <f>IFERROR(IF($D695="","",VLOOKUP($D695,'Bütçe Kalemleri'!$B$5:$D$304,3,FALSE)),"— tanımsız kalem —")</f>
      </c>
      <c r="F695" s="8"/>
      <c r="G695" s="10"/>
      <c r="H695" s="15"/>
      <c r="I695" s="16">
        <f>IF($G695="",0,$G695*IF($H695="",0,$H695))</f>
      </c>
      <c r="J695" s="16">
        <f>IF($G695="","",$G695+$I695)</f>
      </c>
      <c r="K695" s="8"/>
    </row>
    <row r="696" spans="2:11" x14ac:dyDescent="0.25">
      <c r="B696" s="12"/>
      <c r="C696" s="11"/>
      <c r="D696" s="11"/>
      <c r="E696" s="14">
        <f>IFERROR(IF($D696="","",VLOOKUP($D696,'Bütçe Kalemleri'!$B$5:$D$304,3,FALSE)),"— tanımsız kalem —")</f>
      </c>
      <c r="F696" s="11"/>
      <c r="G696" s="13"/>
      <c r="H696" s="17"/>
      <c r="I696" s="16">
        <f>IF($G696="",0,$G696*IF($H696="",0,$H696))</f>
      </c>
      <c r="J696" s="16">
        <f>IF($G696="","",$G696+$I696)</f>
      </c>
      <c r="K696" s="11"/>
    </row>
    <row r="697" spans="2:11" x14ac:dyDescent="0.25">
      <c r="B697" s="9"/>
      <c r="C697" s="8"/>
      <c r="D697" s="8"/>
      <c r="E697" s="14">
        <f>IFERROR(IF($D697="","",VLOOKUP($D697,'Bütçe Kalemleri'!$B$5:$D$304,3,FALSE)),"— tanımsız kalem —")</f>
      </c>
      <c r="F697" s="8"/>
      <c r="G697" s="10"/>
      <c r="H697" s="15"/>
      <c r="I697" s="16">
        <f>IF($G697="",0,$G697*IF($H697="",0,$H697))</f>
      </c>
      <c r="J697" s="16">
        <f>IF($G697="","",$G697+$I697)</f>
      </c>
      <c r="K697" s="8"/>
    </row>
    <row r="698" spans="2:11" x14ac:dyDescent="0.25">
      <c r="B698" s="12"/>
      <c r="C698" s="11"/>
      <c r="D698" s="11"/>
      <c r="E698" s="14">
        <f>IFERROR(IF($D698="","",VLOOKUP($D698,'Bütçe Kalemleri'!$B$5:$D$304,3,FALSE)),"— tanımsız kalem —")</f>
      </c>
      <c r="F698" s="11"/>
      <c r="G698" s="13"/>
      <c r="H698" s="17"/>
      <c r="I698" s="16">
        <f>IF($G698="",0,$G698*IF($H698="",0,$H698))</f>
      </c>
      <c r="J698" s="16">
        <f>IF($G698="","",$G698+$I698)</f>
      </c>
      <c r="K698" s="11"/>
    </row>
    <row r="699" spans="2:11" x14ac:dyDescent="0.25">
      <c r="B699" s="9"/>
      <c r="C699" s="8"/>
      <c r="D699" s="8"/>
      <c r="E699" s="14">
        <f>IFERROR(IF($D699="","",VLOOKUP($D699,'Bütçe Kalemleri'!$B$5:$D$304,3,FALSE)),"— tanımsız kalem —")</f>
      </c>
      <c r="F699" s="8"/>
      <c r="G699" s="10"/>
      <c r="H699" s="15"/>
      <c r="I699" s="16">
        <f>IF($G699="",0,$G699*IF($H699="",0,$H699))</f>
      </c>
      <c r="J699" s="16">
        <f>IF($G699="","",$G699+$I699)</f>
      </c>
      <c r="K699" s="8"/>
    </row>
    <row r="700" spans="2:11" x14ac:dyDescent="0.25">
      <c r="B700" s="12"/>
      <c r="C700" s="11"/>
      <c r="D700" s="11"/>
      <c r="E700" s="14">
        <f>IFERROR(IF($D700="","",VLOOKUP($D700,'Bütçe Kalemleri'!$B$5:$D$304,3,FALSE)),"— tanımsız kalem —")</f>
      </c>
      <c r="F700" s="11"/>
      <c r="G700" s="13"/>
      <c r="H700" s="17"/>
      <c r="I700" s="16">
        <f>IF($G700="",0,$G700*IF($H700="",0,$H700))</f>
      </c>
      <c r="J700" s="16">
        <f>IF($G700="","",$G700+$I700)</f>
      </c>
      <c r="K700" s="11"/>
    </row>
    <row r="701" spans="2:11" x14ac:dyDescent="0.25">
      <c r="B701" s="9"/>
      <c r="C701" s="8"/>
      <c r="D701" s="8"/>
      <c r="E701" s="14">
        <f>IFERROR(IF($D701="","",VLOOKUP($D701,'Bütçe Kalemleri'!$B$5:$D$304,3,FALSE)),"— tanımsız kalem —")</f>
      </c>
      <c r="F701" s="8"/>
      <c r="G701" s="10"/>
      <c r="H701" s="15"/>
      <c r="I701" s="16">
        <f>IF($G701="",0,$G701*IF($H701="",0,$H701))</f>
      </c>
      <c r="J701" s="16">
        <f>IF($G701="","",$G701+$I701)</f>
      </c>
      <c r="K701" s="8"/>
    </row>
    <row r="702" spans="2:11" x14ac:dyDescent="0.25">
      <c r="B702" s="12"/>
      <c r="C702" s="11"/>
      <c r="D702" s="11"/>
      <c r="E702" s="14">
        <f>IFERROR(IF($D702="","",VLOOKUP($D702,'Bütçe Kalemleri'!$B$5:$D$304,3,FALSE)),"— tanımsız kalem —")</f>
      </c>
      <c r="F702" s="11"/>
      <c r="G702" s="13"/>
      <c r="H702" s="17"/>
      <c r="I702" s="16">
        <f>IF($G702="",0,$G702*IF($H702="",0,$H702))</f>
      </c>
      <c r="J702" s="16">
        <f>IF($G702="","",$G702+$I702)</f>
      </c>
      <c r="K702" s="11"/>
    </row>
    <row r="703" spans="2:11" x14ac:dyDescent="0.25">
      <c r="B703" s="9"/>
      <c r="C703" s="8"/>
      <c r="D703" s="8"/>
      <c r="E703" s="14">
        <f>IFERROR(IF($D703="","",VLOOKUP($D703,'Bütçe Kalemleri'!$B$5:$D$304,3,FALSE)),"— tanımsız kalem —")</f>
      </c>
      <c r="F703" s="8"/>
      <c r="G703" s="10"/>
      <c r="H703" s="15"/>
      <c r="I703" s="16">
        <f>IF($G703="",0,$G703*IF($H703="",0,$H703))</f>
      </c>
      <c r="J703" s="16">
        <f>IF($G703="","",$G703+$I703)</f>
      </c>
      <c r="K703" s="8"/>
    </row>
    <row r="704" spans="2:11" x14ac:dyDescent="0.25">
      <c r="B704" s="12"/>
      <c r="C704" s="11"/>
      <c r="D704" s="11"/>
      <c r="E704" s="14">
        <f>IFERROR(IF($D704="","",VLOOKUP($D704,'Bütçe Kalemleri'!$B$5:$D$304,3,FALSE)),"— tanımsız kalem —")</f>
      </c>
      <c r="F704" s="11"/>
      <c r="G704" s="13"/>
      <c r="H704" s="17"/>
      <c r="I704" s="16">
        <f>IF($G704="",0,$G704*IF($H704="",0,$H704))</f>
      </c>
      <c r="J704" s="16">
        <f>IF($G704="","",$G704+$I704)</f>
      </c>
      <c r="K704" s="11"/>
    </row>
    <row r="705" spans="2:11" x14ac:dyDescent="0.25">
      <c r="B705" s="9"/>
      <c r="C705" s="8"/>
      <c r="D705" s="8"/>
      <c r="E705" s="14">
        <f>IFERROR(IF($D705="","",VLOOKUP($D705,'Bütçe Kalemleri'!$B$5:$D$304,3,FALSE)),"— tanımsız kalem —")</f>
      </c>
      <c r="F705" s="8"/>
      <c r="G705" s="10"/>
      <c r="H705" s="15"/>
      <c r="I705" s="16">
        <f>IF($G705="",0,$G705*IF($H705="",0,$H705))</f>
      </c>
      <c r="J705" s="16">
        <f>IF($G705="","",$G705+$I705)</f>
      </c>
      <c r="K705" s="8"/>
    </row>
    <row r="706" spans="2:11" x14ac:dyDescent="0.25">
      <c r="B706" s="12"/>
      <c r="C706" s="11"/>
      <c r="D706" s="11"/>
      <c r="E706" s="14">
        <f>IFERROR(IF($D706="","",VLOOKUP($D706,'Bütçe Kalemleri'!$B$5:$D$304,3,FALSE)),"— tanımsız kalem —")</f>
      </c>
      <c r="F706" s="11"/>
      <c r="G706" s="13"/>
      <c r="H706" s="17"/>
      <c r="I706" s="16">
        <f>IF($G706="",0,$G706*IF($H706="",0,$H706))</f>
      </c>
      <c r="J706" s="16">
        <f>IF($G706="","",$G706+$I706)</f>
      </c>
      <c r="K706" s="11"/>
    </row>
    <row r="707" spans="2:11" x14ac:dyDescent="0.25">
      <c r="B707" s="9"/>
      <c r="C707" s="8"/>
      <c r="D707" s="8"/>
      <c r="E707" s="14">
        <f>IFERROR(IF($D707="","",VLOOKUP($D707,'Bütçe Kalemleri'!$B$5:$D$304,3,FALSE)),"— tanımsız kalem —")</f>
      </c>
      <c r="F707" s="8"/>
      <c r="G707" s="10"/>
      <c r="H707" s="15"/>
      <c r="I707" s="16">
        <f>IF($G707="",0,$G707*IF($H707="",0,$H707))</f>
      </c>
      <c r="J707" s="16">
        <f>IF($G707="","",$G707+$I707)</f>
      </c>
      <c r="K707" s="8"/>
    </row>
    <row r="708" spans="2:11" x14ac:dyDescent="0.25">
      <c r="B708" s="12"/>
      <c r="C708" s="11"/>
      <c r="D708" s="11"/>
      <c r="E708" s="14">
        <f>IFERROR(IF($D708="","",VLOOKUP($D708,'Bütçe Kalemleri'!$B$5:$D$304,3,FALSE)),"— tanımsız kalem —")</f>
      </c>
      <c r="F708" s="11"/>
      <c r="G708" s="13"/>
      <c r="H708" s="17"/>
      <c r="I708" s="16">
        <f>IF($G708="",0,$G708*IF($H708="",0,$H708))</f>
      </c>
      <c r="J708" s="16">
        <f>IF($G708="","",$G708+$I708)</f>
      </c>
      <c r="K708" s="11"/>
    </row>
    <row r="709" spans="2:11" x14ac:dyDescent="0.25">
      <c r="B709" s="9"/>
      <c r="C709" s="8"/>
      <c r="D709" s="8"/>
      <c r="E709" s="14">
        <f>IFERROR(IF($D709="","",VLOOKUP($D709,'Bütçe Kalemleri'!$B$5:$D$304,3,FALSE)),"— tanımsız kalem —")</f>
      </c>
      <c r="F709" s="8"/>
      <c r="G709" s="10"/>
      <c r="H709" s="15"/>
      <c r="I709" s="16">
        <f>IF($G709="",0,$G709*IF($H709="",0,$H709))</f>
      </c>
      <c r="J709" s="16">
        <f>IF($G709="","",$G709+$I709)</f>
      </c>
      <c r="K709" s="8"/>
    </row>
    <row r="710" spans="2:11" x14ac:dyDescent="0.25">
      <c r="B710" s="12"/>
      <c r="C710" s="11"/>
      <c r="D710" s="11"/>
      <c r="E710" s="14">
        <f>IFERROR(IF($D710="","",VLOOKUP($D710,'Bütçe Kalemleri'!$B$5:$D$304,3,FALSE)),"— tanımsız kalem —")</f>
      </c>
      <c r="F710" s="11"/>
      <c r="G710" s="13"/>
      <c r="H710" s="17"/>
      <c r="I710" s="16">
        <f>IF($G710="",0,$G710*IF($H710="",0,$H710))</f>
      </c>
      <c r="J710" s="16">
        <f>IF($G710="","",$G710+$I710)</f>
      </c>
      <c r="K710" s="11"/>
    </row>
    <row r="711" spans="2:11" x14ac:dyDescent="0.25">
      <c r="B711" s="9"/>
      <c r="C711" s="8"/>
      <c r="D711" s="8"/>
      <c r="E711" s="14">
        <f>IFERROR(IF($D711="","",VLOOKUP($D711,'Bütçe Kalemleri'!$B$5:$D$304,3,FALSE)),"— tanımsız kalem —")</f>
      </c>
      <c r="F711" s="8"/>
      <c r="G711" s="10"/>
      <c r="H711" s="15"/>
      <c r="I711" s="16">
        <f>IF($G711="",0,$G711*IF($H711="",0,$H711))</f>
      </c>
      <c r="J711" s="16">
        <f>IF($G711="","",$G711+$I711)</f>
      </c>
      <c r="K711" s="8"/>
    </row>
    <row r="712" spans="2:11" x14ac:dyDescent="0.25">
      <c r="B712" s="12"/>
      <c r="C712" s="11"/>
      <c r="D712" s="11"/>
      <c r="E712" s="14">
        <f>IFERROR(IF($D712="","",VLOOKUP($D712,'Bütçe Kalemleri'!$B$5:$D$304,3,FALSE)),"— tanımsız kalem —")</f>
      </c>
      <c r="F712" s="11"/>
      <c r="G712" s="13"/>
      <c r="H712" s="17"/>
      <c r="I712" s="16">
        <f>IF($G712="",0,$G712*IF($H712="",0,$H712))</f>
      </c>
      <c r="J712" s="16">
        <f>IF($G712="","",$G712+$I712)</f>
      </c>
      <c r="K712" s="11"/>
    </row>
    <row r="713" spans="2:11" x14ac:dyDescent="0.25">
      <c r="B713" s="9"/>
      <c r="C713" s="8"/>
      <c r="D713" s="8"/>
      <c r="E713" s="14">
        <f>IFERROR(IF($D713="","",VLOOKUP($D713,'Bütçe Kalemleri'!$B$5:$D$304,3,FALSE)),"— tanımsız kalem —")</f>
      </c>
      <c r="F713" s="8"/>
      <c r="G713" s="10"/>
      <c r="H713" s="15"/>
      <c r="I713" s="16">
        <f>IF($G713="",0,$G713*IF($H713="",0,$H713))</f>
      </c>
      <c r="J713" s="16">
        <f>IF($G713="","",$G713+$I713)</f>
      </c>
      <c r="K713" s="8"/>
    </row>
    <row r="714" spans="2:11" x14ac:dyDescent="0.25">
      <c r="B714" s="12"/>
      <c r="C714" s="11"/>
      <c r="D714" s="11"/>
      <c r="E714" s="14">
        <f>IFERROR(IF($D714="","",VLOOKUP($D714,'Bütçe Kalemleri'!$B$5:$D$304,3,FALSE)),"— tanımsız kalem —")</f>
      </c>
      <c r="F714" s="11"/>
      <c r="G714" s="13"/>
      <c r="H714" s="17"/>
      <c r="I714" s="16">
        <f>IF($G714="",0,$G714*IF($H714="",0,$H714))</f>
      </c>
      <c r="J714" s="16">
        <f>IF($G714="","",$G714+$I714)</f>
      </c>
      <c r="K714" s="11"/>
    </row>
    <row r="715" spans="2:11" x14ac:dyDescent="0.25">
      <c r="B715" s="9"/>
      <c r="C715" s="8"/>
      <c r="D715" s="8"/>
      <c r="E715" s="14">
        <f>IFERROR(IF($D715="","",VLOOKUP($D715,'Bütçe Kalemleri'!$B$5:$D$304,3,FALSE)),"— tanımsız kalem —")</f>
      </c>
      <c r="F715" s="8"/>
      <c r="G715" s="10"/>
      <c r="H715" s="15"/>
      <c r="I715" s="16">
        <f>IF($G715="",0,$G715*IF($H715="",0,$H715))</f>
      </c>
      <c r="J715" s="16">
        <f>IF($G715="","",$G715+$I715)</f>
      </c>
      <c r="K715" s="8"/>
    </row>
    <row r="716" spans="2:11" x14ac:dyDescent="0.25">
      <c r="B716" s="12"/>
      <c r="C716" s="11"/>
      <c r="D716" s="11"/>
      <c r="E716" s="14">
        <f>IFERROR(IF($D716="","",VLOOKUP($D716,'Bütçe Kalemleri'!$B$5:$D$304,3,FALSE)),"— tanımsız kalem —")</f>
      </c>
      <c r="F716" s="11"/>
      <c r="G716" s="13"/>
      <c r="H716" s="17"/>
      <c r="I716" s="16">
        <f>IF($G716="",0,$G716*IF($H716="",0,$H716))</f>
      </c>
      <c r="J716" s="16">
        <f>IF($G716="","",$G716+$I716)</f>
      </c>
      <c r="K716" s="11"/>
    </row>
    <row r="717" spans="2:11" x14ac:dyDescent="0.25">
      <c r="B717" s="9"/>
      <c r="C717" s="8"/>
      <c r="D717" s="8"/>
      <c r="E717" s="14">
        <f>IFERROR(IF($D717="","",VLOOKUP($D717,'Bütçe Kalemleri'!$B$5:$D$304,3,FALSE)),"— tanımsız kalem —")</f>
      </c>
      <c r="F717" s="8"/>
      <c r="G717" s="10"/>
      <c r="H717" s="15"/>
      <c r="I717" s="16">
        <f>IF($G717="",0,$G717*IF($H717="",0,$H717))</f>
      </c>
      <c r="J717" s="16">
        <f>IF($G717="","",$G717+$I717)</f>
      </c>
      <c r="K717" s="8"/>
    </row>
    <row r="718" spans="2:11" x14ac:dyDescent="0.25">
      <c r="B718" s="12"/>
      <c r="C718" s="11"/>
      <c r="D718" s="11"/>
      <c r="E718" s="14">
        <f>IFERROR(IF($D718="","",VLOOKUP($D718,'Bütçe Kalemleri'!$B$5:$D$304,3,FALSE)),"— tanımsız kalem —")</f>
      </c>
      <c r="F718" s="11"/>
      <c r="G718" s="13"/>
      <c r="H718" s="17"/>
      <c r="I718" s="16">
        <f>IF($G718="",0,$G718*IF($H718="",0,$H718))</f>
      </c>
      <c r="J718" s="16">
        <f>IF($G718="","",$G718+$I718)</f>
      </c>
      <c r="K718" s="11"/>
    </row>
    <row r="719" spans="2:11" x14ac:dyDescent="0.25">
      <c r="B719" s="9"/>
      <c r="C719" s="8"/>
      <c r="D719" s="8"/>
      <c r="E719" s="14">
        <f>IFERROR(IF($D719="","",VLOOKUP($D719,'Bütçe Kalemleri'!$B$5:$D$304,3,FALSE)),"— tanımsız kalem —")</f>
      </c>
      <c r="F719" s="8"/>
      <c r="G719" s="10"/>
      <c r="H719" s="15"/>
      <c r="I719" s="16">
        <f>IF($G719="",0,$G719*IF($H719="",0,$H719))</f>
      </c>
      <c r="J719" s="16">
        <f>IF($G719="","",$G719+$I719)</f>
      </c>
      <c r="K719" s="8"/>
    </row>
    <row r="720" spans="2:11" x14ac:dyDescent="0.25">
      <c r="B720" s="12"/>
      <c r="C720" s="11"/>
      <c r="D720" s="11"/>
      <c r="E720" s="14">
        <f>IFERROR(IF($D720="","",VLOOKUP($D720,'Bütçe Kalemleri'!$B$5:$D$304,3,FALSE)),"— tanımsız kalem —")</f>
      </c>
      <c r="F720" s="11"/>
      <c r="G720" s="13"/>
      <c r="H720" s="17"/>
      <c r="I720" s="16">
        <f>IF($G720="",0,$G720*IF($H720="",0,$H720))</f>
      </c>
      <c r="J720" s="16">
        <f>IF($G720="","",$G720+$I720)</f>
      </c>
      <c r="K720" s="11"/>
    </row>
    <row r="721" spans="2:11" x14ac:dyDescent="0.25">
      <c r="B721" s="9"/>
      <c r="C721" s="8"/>
      <c r="D721" s="8"/>
      <c r="E721" s="14">
        <f>IFERROR(IF($D721="","",VLOOKUP($D721,'Bütçe Kalemleri'!$B$5:$D$304,3,FALSE)),"— tanımsız kalem —")</f>
      </c>
      <c r="F721" s="8"/>
      <c r="G721" s="10"/>
      <c r="H721" s="15"/>
      <c r="I721" s="16">
        <f>IF($G721="",0,$G721*IF($H721="",0,$H721))</f>
      </c>
      <c r="J721" s="16">
        <f>IF($G721="","",$G721+$I721)</f>
      </c>
      <c r="K721" s="8"/>
    </row>
    <row r="722" spans="2:11" x14ac:dyDescent="0.25">
      <c r="B722" s="12"/>
      <c r="C722" s="11"/>
      <c r="D722" s="11"/>
      <c r="E722" s="14">
        <f>IFERROR(IF($D722="","",VLOOKUP($D722,'Bütçe Kalemleri'!$B$5:$D$304,3,FALSE)),"— tanımsız kalem —")</f>
      </c>
      <c r="F722" s="11"/>
      <c r="G722" s="13"/>
      <c r="H722" s="17"/>
      <c r="I722" s="16">
        <f>IF($G722="",0,$G722*IF($H722="",0,$H722))</f>
      </c>
      <c r="J722" s="16">
        <f>IF($G722="","",$G722+$I722)</f>
      </c>
      <c r="K722" s="11"/>
    </row>
    <row r="723" spans="2:11" x14ac:dyDescent="0.25">
      <c r="B723" s="9"/>
      <c r="C723" s="8"/>
      <c r="D723" s="8"/>
      <c r="E723" s="14">
        <f>IFERROR(IF($D723="","",VLOOKUP($D723,'Bütçe Kalemleri'!$B$5:$D$304,3,FALSE)),"— tanımsız kalem —")</f>
      </c>
      <c r="F723" s="8"/>
      <c r="G723" s="10"/>
      <c r="H723" s="15"/>
      <c r="I723" s="16">
        <f>IF($G723="",0,$G723*IF($H723="",0,$H723))</f>
      </c>
      <c r="J723" s="16">
        <f>IF($G723="","",$G723+$I723)</f>
      </c>
      <c r="K723" s="8"/>
    </row>
    <row r="724" spans="2:11" x14ac:dyDescent="0.25">
      <c r="B724" s="12"/>
      <c r="C724" s="11"/>
      <c r="D724" s="11"/>
      <c r="E724" s="14">
        <f>IFERROR(IF($D724="","",VLOOKUP($D724,'Bütçe Kalemleri'!$B$5:$D$304,3,FALSE)),"— tanımsız kalem —")</f>
      </c>
      <c r="F724" s="11"/>
      <c r="G724" s="13"/>
      <c r="H724" s="17"/>
      <c r="I724" s="16">
        <f>IF($G724="",0,$G724*IF($H724="",0,$H724))</f>
      </c>
      <c r="J724" s="16">
        <f>IF($G724="","",$G724+$I724)</f>
      </c>
      <c r="K724" s="11"/>
    </row>
    <row r="725" spans="2:11" x14ac:dyDescent="0.25">
      <c r="B725" s="9"/>
      <c r="C725" s="8"/>
      <c r="D725" s="8"/>
      <c r="E725" s="14">
        <f>IFERROR(IF($D725="","",VLOOKUP($D725,'Bütçe Kalemleri'!$B$5:$D$304,3,FALSE)),"— tanımsız kalem —")</f>
      </c>
      <c r="F725" s="8"/>
      <c r="G725" s="10"/>
      <c r="H725" s="15"/>
      <c r="I725" s="16">
        <f>IF($G725="",0,$G725*IF($H725="",0,$H725))</f>
      </c>
      <c r="J725" s="16">
        <f>IF($G725="","",$G725+$I725)</f>
      </c>
      <c r="K725" s="8"/>
    </row>
    <row r="726" spans="2:11" x14ac:dyDescent="0.25">
      <c r="B726" s="12"/>
      <c r="C726" s="11"/>
      <c r="D726" s="11"/>
      <c r="E726" s="14">
        <f>IFERROR(IF($D726="","",VLOOKUP($D726,'Bütçe Kalemleri'!$B$5:$D$304,3,FALSE)),"— tanımsız kalem —")</f>
      </c>
      <c r="F726" s="11"/>
      <c r="G726" s="13"/>
      <c r="H726" s="17"/>
      <c r="I726" s="16">
        <f>IF($G726="",0,$G726*IF($H726="",0,$H726))</f>
      </c>
      <c r="J726" s="16">
        <f>IF($G726="","",$G726+$I726)</f>
      </c>
      <c r="K726" s="11"/>
    </row>
    <row r="727" spans="2:11" x14ac:dyDescent="0.25">
      <c r="B727" s="9"/>
      <c r="C727" s="8"/>
      <c r="D727" s="8"/>
      <c r="E727" s="14">
        <f>IFERROR(IF($D727="","",VLOOKUP($D727,'Bütçe Kalemleri'!$B$5:$D$304,3,FALSE)),"— tanımsız kalem —")</f>
      </c>
      <c r="F727" s="8"/>
      <c r="G727" s="10"/>
      <c r="H727" s="15"/>
      <c r="I727" s="16">
        <f>IF($G727="",0,$G727*IF($H727="",0,$H727))</f>
      </c>
      <c r="J727" s="16">
        <f>IF($G727="","",$G727+$I727)</f>
      </c>
      <c r="K727" s="8"/>
    </row>
    <row r="728" spans="2:11" x14ac:dyDescent="0.25">
      <c r="B728" s="12"/>
      <c r="C728" s="11"/>
      <c r="D728" s="11"/>
      <c r="E728" s="14">
        <f>IFERROR(IF($D728="","",VLOOKUP($D728,'Bütçe Kalemleri'!$B$5:$D$304,3,FALSE)),"— tanımsız kalem —")</f>
      </c>
      <c r="F728" s="11"/>
      <c r="G728" s="13"/>
      <c r="H728" s="17"/>
      <c r="I728" s="16">
        <f>IF($G728="",0,$G728*IF($H728="",0,$H728))</f>
      </c>
      <c r="J728" s="16">
        <f>IF($G728="","",$G728+$I728)</f>
      </c>
      <c r="K728" s="11"/>
    </row>
    <row r="729" spans="2:11" x14ac:dyDescent="0.25">
      <c r="B729" s="9"/>
      <c r="C729" s="8"/>
      <c r="D729" s="8"/>
      <c r="E729" s="14">
        <f>IFERROR(IF($D729="","",VLOOKUP($D729,'Bütçe Kalemleri'!$B$5:$D$304,3,FALSE)),"— tanımsız kalem —")</f>
      </c>
      <c r="F729" s="8"/>
      <c r="G729" s="10"/>
      <c r="H729" s="15"/>
      <c r="I729" s="16">
        <f>IF($G729="",0,$G729*IF($H729="",0,$H729))</f>
      </c>
      <c r="J729" s="16">
        <f>IF($G729="","",$G729+$I729)</f>
      </c>
      <c r="K729" s="8"/>
    </row>
    <row r="730" spans="2:11" x14ac:dyDescent="0.25">
      <c r="B730" s="12"/>
      <c r="C730" s="11"/>
      <c r="D730" s="11"/>
      <c r="E730" s="14">
        <f>IFERROR(IF($D730="","",VLOOKUP($D730,'Bütçe Kalemleri'!$B$5:$D$304,3,FALSE)),"— tanımsız kalem —")</f>
      </c>
      <c r="F730" s="11"/>
      <c r="G730" s="13"/>
      <c r="H730" s="17"/>
      <c r="I730" s="16">
        <f>IF($G730="",0,$G730*IF($H730="",0,$H730))</f>
      </c>
      <c r="J730" s="16">
        <f>IF($G730="","",$G730+$I730)</f>
      </c>
      <c r="K730" s="11"/>
    </row>
    <row r="731" spans="2:11" x14ac:dyDescent="0.25">
      <c r="B731" s="9"/>
      <c r="C731" s="8"/>
      <c r="D731" s="8"/>
      <c r="E731" s="14">
        <f>IFERROR(IF($D731="","",VLOOKUP($D731,'Bütçe Kalemleri'!$B$5:$D$304,3,FALSE)),"— tanımsız kalem —")</f>
      </c>
      <c r="F731" s="8"/>
      <c r="G731" s="10"/>
      <c r="H731" s="15"/>
      <c r="I731" s="16">
        <f>IF($G731="",0,$G731*IF($H731="",0,$H731))</f>
      </c>
      <c r="J731" s="16">
        <f>IF($G731="","",$G731+$I731)</f>
      </c>
      <c r="K731" s="8"/>
    </row>
    <row r="732" spans="2:11" x14ac:dyDescent="0.25">
      <c r="B732" s="12"/>
      <c r="C732" s="11"/>
      <c r="D732" s="11"/>
      <c r="E732" s="14">
        <f>IFERROR(IF($D732="","",VLOOKUP($D732,'Bütçe Kalemleri'!$B$5:$D$304,3,FALSE)),"— tanımsız kalem —")</f>
      </c>
      <c r="F732" s="11"/>
      <c r="G732" s="13"/>
      <c r="H732" s="17"/>
      <c r="I732" s="16">
        <f>IF($G732="",0,$G732*IF($H732="",0,$H732))</f>
      </c>
      <c r="J732" s="16">
        <f>IF($G732="","",$G732+$I732)</f>
      </c>
      <c r="K732" s="11"/>
    </row>
    <row r="733" spans="2:11" x14ac:dyDescent="0.25">
      <c r="B733" s="9"/>
      <c r="C733" s="8"/>
      <c r="D733" s="8"/>
      <c r="E733" s="14">
        <f>IFERROR(IF($D733="","",VLOOKUP($D733,'Bütçe Kalemleri'!$B$5:$D$304,3,FALSE)),"— tanımsız kalem —")</f>
      </c>
      <c r="F733" s="8"/>
      <c r="G733" s="10"/>
      <c r="H733" s="15"/>
      <c r="I733" s="16">
        <f>IF($G733="",0,$G733*IF($H733="",0,$H733))</f>
      </c>
      <c r="J733" s="16">
        <f>IF($G733="","",$G733+$I733)</f>
      </c>
      <c r="K733" s="8"/>
    </row>
    <row r="734" spans="2:11" x14ac:dyDescent="0.25">
      <c r="B734" s="12"/>
      <c r="C734" s="11"/>
      <c r="D734" s="11"/>
      <c r="E734" s="14">
        <f>IFERROR(IF($D734="","",VLOOKUP($D734,'Bütçe Kalemleri'!$B$5:$D$304,3,FALSE)),"— tanımsız kalem —")</f>
      </c>
      <c r="F734" s="11"/>
      <c r="G734" s="13"/>
      <c r="H734" s="17"/>
      <c r="I734" s="16">
        <f>IF($G734="",0,$G734*IF($H734="",0,$H734))</f>
      </c>
      <c r="J734" s="16">
        <f>IF($G734="","",$G734+$I734)</f>
      </c>
      <c r="K734" s="11"/>
    </row>
    <row r="735" spans="2:11" x14ac:dyDescent="0.25">
      <c r="B735" s="9"/>
      <c r="C735" s="8"/>
      <c r="D735" s="8"/>
      <c r="E735" s="14">
        <f>IFERROR(IF($D735="","",VLOOKUP($D735,'Bütçe Kalemleri'!$B$5:$D$304,3,FALSE)),"— tanımsız kalem —")</f>
      </c>
      <c r="F735" s="8"/>
      <c r="G735" s="10"/>
      <c r="H735" s="15"/>
      <c r="I735" s="16">
        <f>IF($G735="",0,$G735*IF($H735="",0,$H735))</f>
      </c>
      <c r="J735" s="16">
        <f>IF($G735="","",$G735+$I735)</f>
      </c>
      <c r="K735" s="8"/>
    </row>
    <row r="736" spans="2:11" x14ac:dyDescent="0.25">
      <c r="B736" s="12"/>
      <c r="C736" s="11"/>
      <c r="D736" s="11"/>
      <c r="E736" s="14">
        <f>IFERROR(IF($D736="","",VLOOKUP($D736,'Bütçe Kalemleri'!$B$5:$D$304,3,FALSE)),"— tanımsız kalem —")</f>
      </c>
      <c r="F736" s="11"/>
      <c r="G736" s="13"/>
      <c r="H736" s="17"/>
      <c r="I736" s="16">
        <f>IF($G736="",0,$G736*IF($H736="",0,$H736))</f>
      </c>
      <c r="J736" s="16">
        <f>IF($G736="","",$G736+$I736)</f>
      </c>
      <c r="K736" s="11"/>
    </row>
    <row r="737" spans="2:11" x14ac:dyDescent="0.25">
      <c r="B737" s="9"/>
      <c r="C737" s="8"/>
      <c r="D737" s="8"/>
      <c r="E737" s="14">
        <f>IFERROR(IF($D737="","",VLOOKUP($D737,'Bütçe Kalemleri'!$B$5:$D$304,3,FALSE)),"— tanımsız kalem —")</f>
      </c>
      <c r="F737" s="8"/>
      <c r="G737" s="10"/>
      <c r="H737" s="15"/>
      <c r="I737" s="16">
        <f>IF($G737="",0,$G737*IF($H737="",0,$H737))</f>
      </c>
      <c r="J737" s="16">
        <f>IF($G737="","",$G737+$I737)</f>
      </c>
      <c r="K737" s="8"/>
    </row>
    <row r="738" spans="2:11" x14ac:dyDescent="0.25">
      <c r="B738" s="12"/>
      <c r="C738" s="11"/>
      <c r="D738" s="11"/>
      <c r="E738" s="14">
        <f>IFERROR(IF($D738="","",VLOOKUP($D738,'Bütçe Kalemleri'!$B$5:$D$304,3,FALSE)),"— tanımsız kalem —")</f>
      </c>
      <c r="F738" s="11"/>
      <c r="G738" s="13"/>
      <c r="H738" s="17"/>
      <c r="I738" s="16">
        <f>IF($G738="",0,$G738*IF($H738="",0,$H738))</f>
      </c>
      <c r="J738" s="16">
        <f>IF($G738="","",$G738+$I738)</f>
      </c>
      <c r="K738" s="11"/>
    </row>
    <row r="739" spans="2:11" x14ac:dyDescent="0.25">
      <c r="B739" s="9"/>
      <c r="C739" s="8"/>
      <c r="D739" s="8"/>
      <c r="E739" s="14">
        <f>IFERROR(IF($D739="","",VLOOKUP($D739,'Bütçe Kalemleri'!$B$5:$D$304,3,FALSE)),"— tanımsız kalem —")</f>
      </c>
      <c r="F739" s="8"/>
      <c r="G739" s="10"/>
      <c r="H739" s="15"/>
      <c r="I739" s="16">
        <f>IF($G739="",0,$G739*IF($H739="",0,$H739))</f>
      </c>
      <c r="J739" s="16">
        <f>IF($G739="","",$G739+$I739)</f>
      </c>
      <c r="K739" s="8"/>
    </row>
    <row r="740" spans="2:11" x14ac:dyDescent="0.25">
      <c r="B740" s="12"/>
      <c r="C740" s="11"/>
      <c r="D740" s="11"/>
      <c r="E740" s="14">
        <f>IFERROR(IF($D740="","",VLOOKUP($D740,'Bütçe Kalemleri'!$B$5:$D$304,3,FALSE)),"— tanımsız kalem —")</f>
      </c>
      <c r="F740" s="11"/>
      <c r="G740" s="13"/>
      <c r="H740" s="17"/>
      <c r="I740" s="16">
        <f>IF($G740="",0,$G740*IF($H740="",0,$H740))</f>
      </c>
      <c r="J740" s="16">
        <f>IF($G740="","",$G740+$I740)</f>
      </c>
      <c r="K740" s="11"/>
    </row>
    <row r="741" spans="2:11" x14ac:dyDescent="0.25">
      <c r="B741" s="9"/>
      <c r="C741" s="8"/>
      <c r="D741" s="8"/>
      <c r="E741" s="14">
        <f>IFERROR(IF($D741="","",VLOOKUP($D741,'Bütçe Kalemleri'!$B$5:$D$304,3,FALSE)),"— tanımsız kalem —")</f>
      </c>
      <c r="F741" s="8"/>
      <c r="G741" s="10"/>
      <c r="H741" s="15"/>
      <c r="I741" s="16">
        <f>IF($G741="",0,$G741*IF($H741="",0,$H741))</f>
      </c>
      <c r="J741" s="16">
        <f>IF($G741="","",$G741+$I741)</f>
      </c>
      <c r="K741" s="8"/>
    </row>
    <row r="742" spans="2:11" x14ac:dyDescent="0.25">
      <c r="B742" s="12"/>
      <c r="C742" s="11"/>
      <c r="D742" s="11"/>
      <c r="E742" s="14">
        <f>IFERROR(IF($D742="","",VLOOKUP($D742,'Bütçe Kalemleri'!$B$5:$D$304,3,FALSE)),"— tanımsız kalem —")</f>
      </c>
      <c r="F742" s="11"/>
      <c r="G742" s="13"/>
      <c r="H742" s="17"/>
      <c r="I742" s="16">
        <f>IF($G742="",0,$G742*IF($H742="",0,$H742))</f>
      </c>
      <c r="J742" s="16">
        <f>IF($G742="","",$G742+$I742)</f>
      </c>
      <c r="K742" s="11"/>
    </row>
    <row r="743" spans="2:11" x14ac:dyDescent="0.25">
      <c r="B743" s="9"/>
      <c r="C743" s="8"/>
      <c r="D743" s="8"/>
      <c r="E743" s="14">
        <f>IFERROR(IF($D743="","",VLOOKUP($D743,'Bütçe Kalemleri'!$B$5:$D$304,3,FALSE)),"— tanımsız kalem —")</f>
      </c>
      <c r="F743" s="8"/>
      <c r="G743" s="10"/>
      <c r="H743" s="15"/>
      <c r="I743" s="16">
        <f>IF($G743="",0,$G743*IF($H743="",0,$H743))</f>
      </c>
      <c r="J743" s="16">
        <f>IF($G743="","",$G743+$I743)</f>
      </c>
      <c r="K743" s="8"/>
    </row>
    <row r="744" spans="2:11" x14ac:dyDescent="0.25">
      <c r="B744" s="12"/>
      <c r="C744" s="11"/>
      <c r="D744" s="11"/>
      <c r="E744" s="14">
        <f>IFERROR(IF($D744="","",VLOOKUP($D744,'Bütçe Kalemleri'!$B$5:$D$304,3,FALSE)),"— tanımsız kalem —")</f>
      </c>
      <c r="F744" s="11"/>
      <c r="G744" s="13"/>
      <c r="H744" s="17"/>
      <c r="I744" s="16">
        <f>IF($G744="",0,$G744*IF($H744="",0,$H744))</f>
      </c>
      <c r="J744" s="16">
        <f>IF($G744="","",$G744+$I744)</f>
      </c>
      <c r="K744" s="11"/>
    </row>
    <row r="745" spans="2:11" x14ac:dyDescent="0.25">
      <c r="B745" s="9"/>
      <c r="C745" s="8"/>
      <c r="D745" s="8"/>
      <c r="E745" s="14">
        <f>IFERROR(IF($D745="","",VLOOKUP($D745,'Bütçe Kalemleri'!$B$5:$D$304,3,FALSE)),"— tanımsız kalem —")</f>
      </c>
      <c r="F745" s="8"/>
      <c r="G745" s="10"/>
      <c r="H745" s="15"/>
      <c r="I745" s="16">
        <f>IF($G745="",0,$G745*IF($H745="",0,$H745))</f>
      </c>
      <c r="J745" s="16">
        <f>IF($G745="","",$G745+$I745)</f>
      </c>
      <c r="K745" s="8"/>
    </row>
    <row r="746" spans="2:11" x14ac:dyDescent="0.25">
      <c r="B746" s="12"/>
      <c r="C746" s="11"/>
      <c r="D746" s="11"/>
      <c r="E746" s="14">
        <f>IFERROR(IF($D746="","",VLOOKUP($D746,'Bütçe Kalemleri'!$B$5:$D$304,3,FALSE)),"— tanımsız kalem —")</f>
      </c>
      <c r="F746" s="11"/>
      <c r="G746" s="13"/>
      <c r="H746" s="17"/>
      <c r="I746" s="16">
        <f>IF($G746="",0,$G746*IF($H746="",0,$H746))</f>
      </c>
      <c r="J746" s="16">
        <f>IF($G746="","",$G746+$I746)</f>
      </c>
      <c r="K746" s="11"/>
    </row>
    <row r="747" spans="2:11" x14ac:dyDescent="0.25">
      <c r="B747" s="9"/>
      <c r="C747" s="8"/>
      <c r="D747" s="8"/>
      <c r="E747" s="14">
        <f>IFERROR(IF($D747="","",VLOOKUP($D747,'Bütçe Kalemleri'!$B$5:$D$304,3,FALSE)),"— tanımsız kalem —")</f>
      </c>
      <c r="F747" s="8"/>
      <c r="G747" s="10"/>
      <c r="H747" s="15"/>
      <c r="I747" s="16">
        <f>IF($G747="",0,$G747*IF($H747="",0,$H747))</f>
      </c>
      <c r="J747" s="16">
        <f>IF($G747="","",$G747+$I747)</f>
      </c>
      <c r="K747" s="8"/>
    </row>
    <row r="748" spans="2:11" x14ac:dyDescent="0.25">
      <c r="B748" s="12"/>
      <c r="C748" s="11"/>
      <c r="D748" s="11"/>
      <c r="E748" s="14">
        <f>IFERROR(IF($D748="","",VLOOKUP($D748,'Bütçe Kalemleri'!$B$5:$D$304,3,FALSE)),"— tanımsız kalem —")</f>
      </c>
      <c r="F748" s="11"/>
      <c r="G748" s="13"/>
      <c r="H748" s="17"/>
      <c r="I748" s="16">
        <f>IF($G748="",0,$G748*IF($H748="",0,$H748))</f>
      </c>
      <c r="J748" s="16">
        <f>IF($G748="","",$G748+$I748)</f>
      </c>
      <c r="K748" s="11"/>
    </row>
    <row r="749" spans="2:11" x14ac:dyDescent="0.25">
      <c r="B749" s="9"/>
      <c r="C749" s="8"/>
      <c r="D749" s="8"/>
      <c r="E749" s="14">
        <f>IFERROR(IF($D749="","",VLOOKUP($D749,'Bütçe Kalemleri'!$B$5:$D$304,3,FALSE)),"— tanımsız kalem —")</f>
      </c>
      <c r="F749" s="8"/>
      <c r="G749" s="10"/>
      <c r="H749" s="15"/>
      <c r="I749" s="16">
        <f>IF($G749="",0,$G749*IF($H749="",0,$H749))</f>
      </c>
      <c r="J749" s="16">
        <f>IF($G749="","",$G749+$I749)</f>
      </c>
      <c r="K749" s="8"/>
    </row>
    <row r="750" spans="2:11" x14ac:dyDescent="0.25">
      <c r="B750" s="12"/>
      <c r="C750" s="11"/>
      <c r="D750" s="11"/>
      <c r="E750" s="14">
        <f>IFERROR(IF($D750="","",VLOOKUP($D750,'Bütçe Kalemleri'!$B$5:$D$304,3,FALSE)),"— tanımsız kalem —")</f>
      </c>
      <c r="F750" s="11"/>
      <c r="G750" s="13"/>
      <c r="H750" s="17"/>
      <c r="I750" s="16">
        <f>IF($G750="",0,$G750*IF($H750="",0,$H750))</f>
      </c>
      <c r="J750" s="16">
        <f>IF($G750="","",$G750+$I750)</f>
      </c>
      <c r="K750" s="11"/>
    </row>
    <row r="751" spans="2:11" x14ac:dyDescent="0.25">
      <c r="B751" s="9"/>
      <c r="C751" s="8"/>
      <c r="D751" s="8"/>
      <c r="E751" s="14">
        <f>IFERROR(IF($D751="","",VLOOKUP($D751,'Bütçe Kalemleri'!$B$5:$D$304,3,FALSE)),"— tanımsız kalem —")</f>
      </c>
      <c r="F751" s="8"/>
      <c r="G751" s="10"/>
      <c r="H751" s="15"/>
      <c r="I751" s="16">
        <f>IF($G751="",0,$G751*IF($H751="",0,$H751))</f>
      </c>
      <c r="J751" s="16">
        <f>IF($G751="","",$G751+$I751)</f>
      </c>
      <c r="K751" s="8"/>
    </row>
    <row r="752" spans="2:11" x14ac:dyDescent="0.25">
      <c r="B752" s="12"/>
      <c r="C752" s="11"/>
      <c r="D752" s="11"/>
      <c r="E752" s="14">
        <f>IFERROR(IF($D752="","",VLOOKUP($D752,'Bütçe Kalemleri'!$B$5:$D$304,3,FALSE)),"— tanımsız kalem —")</f>
      </c>
      <c r="F752" s="11"/>
      <c r="G752" s="13"/>
      <c r="H752" s="17"/>
      <c r="I752" s="16">
        <f>IF($G752="",0,$G752*IF($H752="",0,$H752))</f>
      </c>
      <c r="J752" s="16">
        <f>IF($G752="","",$G752+$I752)</f>
      </c>
      <c r="K752" s="11"/>
    </row>
    <row r="753" spans="2:11" x14ac:dyDescent="0.25">
      <c r="B753" s="9"/>
      <c r="C753" s="8"/>
      <c r="D753" s="8"/>
      <c r="E753" s="14">
        <f>IFERROR(IF($D753="","",VLOOKUP($D753,'Bütçe Kalemleri'!$B$5:$D$304,3,FALSE)),"— tanımsız kalem —")</f>
      </c>
      <c r="F753" s="8"/>
      <c r="G753" s="10"/>
      <c r="H753" s="15"/>
      <c r="I753" s="16">
        <f>IF($G753="",0,$G753*IF($H753="",0,$H753))</f>
      </c>
      <c r="J753" s="16">
        <f>IF($G753="","",$G753+$I753)</f>
      </c>
      <c r="K753" s="8"/>
    </row>
    <row r="754" spans="2:11" x14ac:dyDescent="0.25">
      <c r="B754" s="12"/>
      <c r="C754" s="11"/>
      <c r="D754" s="11"/>
      <c r="E754" s="14">
        <f>IFERROR(IF($D754="","",VLOOKUP($D754,'Bütçe Kalemleri'!$B$5:$D$304,3,FALSE)),"— tanımsız kalem —")</f>
      </c>
      <c r="F754" s="11"/>
      <c r="G754" s="13"/>
      <c r="H754" s="17"/>
      <c r="I754" s="16">
        <f>IF($G754="",0,$G754*IF($H754="",0,$H754))</f>
      </c>
      <c r="J754" s="16">
        <f>IF($G754="","",$G754+$I754)</f>
      </c>
      <c r="K754" s="11"/>
    </row>
    <row r="755" spans="2:11" x14ac:dyDescent="0.25">
      <c r="B755" s="9"/>
      <c r="C755" s="8"/>
      <c r="D755" s="8"/>
      <c r="E755" s="14">
        <f>IFERROR(IF($D755="","",VLOOKUP($D755,'Bütçe Kalemleri'!$B$5:$D$304,3,FALSE)),"— tanımsız kalem —")</f>
      </c>
      <c r="F755" s="8"/>
      <c r="G755" s="10"/>
      <c r="H755" s="15"/>
      <c r="I755" s="16">
        <f>IF($G755="",0,$G755*IF($H755="",0,$H755))</f>
      </c>
      <c r="J755" s="16">
        <f>IF($G755="","",$G755+$I755)</f>
      </c>
      <c r="K755" s="8"/>
    </row>
    <row r="756" spans="2:11" x14ac:dyDescent="0.25">
      <c r="B756" s="12"/>
      <c r="C756" s="11"/>
      <c r="D756" s="11"/>
      <c r="E756" s="14">
        <f>IFERROR(IF($D756="","",VLOOKUP($D756,'Bütçe Kalemleri'!$B$5:$D$304,3,FALSE)),"— tanımsız kalem —")</f>
      </c>
      <c r="F756" s="11"/>
      <c r="G756" s="13"/>
      <c r="H756" s="17"/>
      <c r="I756" s="16">
        <f>IF($G756="",0,$G756*IF($H756="",0,$H756))</f>
      </c>
      <c r="J756" s="16">
        <f>IF($G756="","",$G756+$I756)</f>
      </c>
      <c r="K756" s="11"/>
    </row>
    <row r="757" spans="2:11" x14ac:dyDescent="0.25">
      <c r="B757" s="9"/>
      <c r="C757" s="8"/>
      <c r="D757" s="8"/>
      <c r="E757" s="14">
        <f>IFERROR(IF($D757="","",VLOOKUP($D757,'Bütçe Kalemleri'!$B$5:$D$304,3,FALSE)),"— tanımsız kalem —")</f>
      </c>
      <c r="F757" s="8"/>
      <c r="G757" s="10"/>
      <c r="H757" s="15"/>
      <c r="I757" s="16">
        <f>IF($G757="",0,$G757*IF($H757="",0,$H757))</f>
      </c>
      <c r="J757" s="16">
        <f>IF($G757="","",$G757+$I757)</f>
      </c>
      <c r="K757" s="8"/>
    </row>
    <row r="758" spans="2:11" x14ac:dyDescent="0.25">
      <c r="B758" s="12"/>
      <c r="C758" s="11"/>
      <c r="D758" s="11"/>
      <c r="E758" s="14">
        <f>IFERROR(IF($D758="","",VLOOKUP($D758,'Bütçe Kalemleri'!$B$5:$D$304,3,FALSE)),"— tanımsız kalem —")</f>
      </c>
      <c r="F758" s="11"/>
      <c r="G758" s="13"/>
      <c r="H758" s="17"/>
      <c r="I758" s="16">
        <f>IF($G758="",0,$G758*IF($H758="",0,$H758))</f>
      </c>
      <c r="J758" s="16">
        <f>IF($G758="","",$G758+$I758)</f>
      </c>
      <c r="K758" s="11"/>
    </row>
    <row r="759" spans="2:11" x14ac:dyDescent="0.25">
      <c r="B759" s="9"/>
      <c r="C759" s="8"/>
      <c r="D759" s="8"/>
      <c r="E759" s="14">
        <f>IFERROR(IF($D759="","",VLOOKUP($D759,'Bütçe Kalemleri'!$B$5:$D$304,3,FALSE)),"— tanımsız kalem —")</f>
      </c>
      <c r="F759" s="8"/>
      <c r="G759" s="10"/>
      <c r="H759" s="15"/>
      <c r="I759" s="16">
        <f>IF($G759="",0,$G759*IF($H759="",0,$H759))</f>
      </c>
      <c r="J759" s="16">
        <f>IF($G759="","",$G759+$I759)</f>
      </c>
      <c r="K759" s="8"/>
    </row>
    <row r="760" spans="2:11" x14ac:dyDescent="0.25">
      <c r="B760" s="12"/>
      <c r="C760" s="11"/>
      <c r="D760" s="11"/>
      <c r="E760" s="14">
        <f>IFERROR(IF($D760="","",VLOOKUP($D760,'Bütçe Kalemleri'!$B$5:$D$304,3,FALSE)),"— tanımsız kalem —")</f>
      </c>
      <c r="F760" s="11"/>
      <c r="G760" s="13"/>
      <c r="H760" s="17"/>
      <c r="I760" s="16">
        <f>IF($G760="",0,$G760*IF($H760="",0,$H760))</f>
      </c>
      <c r="J760" s="16">
        <f>IF($G760="","",$G760+$I760)</f>
      </c>
      <c r="K760" s="11"/>
    </row>
    <row r="761" spans="2:11" x14ac:dyDescent="0.25">
      <c r="B761" s="9"/>
      <c r="C761" s="8"/>
      <c r="D761" s="8"/>
      <c r="E761" s="14">
        <f>IFERROR(IF($D761="","",VLOOKUP($D761,'Bütçe Kalemleri'!$B$5:$D$304,3,FALSE)),"— tanımsız kalem —")</f>
      </c>
      <c r="F761" s="8"/>
      <c r="G761" s="10"/>
      <c r="H761" s="15"/>
      <c r="I761" s="16">
        <f>IF($G761="",0,$G761*IF($H761="",0,$H761))</f>
      </c>
      <c r="J761" s="16">
        <f>IF($G761="","",$G761+$I761)</f>
      </c>
      <c r="K761" s="8"/>
    </row>
    <row r="762" spans="2:11" x14ac:dyDescent="0.25">
      <c r="B762" s="12"/>
      <c r="C762" s="11"/>
      <c r="D762" s="11"/>
      <c r="E762" s="14">
        <f>IFERROR(IF($D762="","",VLOOKUP($D762,'Bütçe Kalemleri'!$B$5:$D$304,3,FALSE)),"— tanımsız kalem —")</f>
      </c>
      <c r="F762" s="11"/>
      <c r="G762" s="13"/>
      <c r="H762" s="17"/>
      <c r="I762" s="16">
        <f>IF($G762="",0,$G762*IF($H762="",0,$H762))</f>
      </c>
      <c r="J762" s="16">
        <f>IF($G762="","",$G762+$I762)</f>
      </c>
      <c r="K762" s="11"/>
    </row>
    <row r="763" spans="2:11" x14ac:dyDescent="0.25">
      <c r="B763" s="9"/>
      <c r="C763" s="8"/>
      <c r="D763" s="8"/>
      <c r="E763" s="14">
        <f>IFERROR(IF($D763="","",VLOOKUP($D763,'Bütçe Kalemleri'!$B$5:$D$304,3,FALSE)),"— tanımsız kalem —")</f>
      </c>
      <c r="F763" s="8"/>
      <c r="G763" s="10"/>
      <c r="H763" s="15"/>
      <c r="I763" s="16">
        <f>IF($G763="",0,$G763*IF($H763="",0,$H763))</f>
      </c>
      <c r="J763" s="16">
        <f>IF($G763="","",$G763+$I763)</f>
      </c>
      <c r="K763" s="8"/>
    </row>
    <row r="764" spans="2:11" x14ac:dyDescent="0.25">
      <c r="B764" s="12"/>
      <c r="C764" s="11"/>
      <c r="D764" s="11"/>
      <c r="E764" s="14">
        <f>IFERROR(IF($D764="","",VLOOKUP($D764,'Bütçe Kalemleri'!$B$5:$D$304,3,FALSE)),"— tanımsız kalem —")</f>
      </c>
      <c r="F764" s="11"/>
      <c r="G764" s="13"/>
      <c r="H764" s="17"/>
      <c r="I764" s="16">
        <f>IF($G764="",0,$G764*IF($H764="",0,$H764))</f>
      </c>
      <c r="J764" s="16">
        <f>IF($G764="","",$G764+$I764)</f>
      </c>
      <c r="K764" s="11"/>
    </row>
    <row r="765" spans="2:11" x14ac:dyDescent="0.25">
      <c r="B765" s="9"/>
      <c r="C765" s="8"/>
      <c r="D765" s="8"/>
      <c r="E765" s="14">
        <f>IFERROR(IF($D765="","",VLOOKUP($D765,'Bütçe Kalemleri'!$B$5:$D$304,3,FALSE)),"— tanımsız kalem —")</f>
      </c>
      <c r="F765" s="8"/>
      <c r="G765" s="10"/>
      <c r="H765" s="15"/>
      <c r="I765" s="16">
        <f>IF($G765="",0,$G765*IF($H765="",0,$H765))</f>
      </c>
      <c r="J765" s="16">
        <f>IF($G765="","",$G765+$I765)</f>
      </c>
      <c r="K765" s="8"/>
    </row>
    <row r="766" spans="2:11" x14ac:dyDescent="0.25">
      <c r="B766" s="12"/>
      <c r="C766" s="11"/>
      <c r="D766" s="11"/>
      <c r="E766" s="14">
        <f>IFERROR(IF($D766="","",VLOOKUP($D766,'Bütçe Kalemleri'!$B$5:$D$304,3,FALSE)),"— tanımsız kalem —")</f>
      </c>
      <c r="F766" s="11"/>
      <c r="G766" s="13"/>
      <c r="H766" s="17"/>
      <c r="I766" s="16">
        <f>IF($G766="",0,$G766*IF($H766="",0,$H766))</f>
      </c>
      <c r="J766" s="16">
        <f>IF($G766="","",$G766+$I766)</f>
      </c>
      <c r="K766" s="11"/>
    </row>
    <row r="767" spans="2:11" x14ac:dyDescent="0.25">
      <c r="B767" s="9"/>
      <c r="C767" s="8"/>
      <c r="D767" s="8"/>
      <c r="E767" s="14">
        <f>IFERROR(IF($D767="","",VLOOKUP($D767,'Bütçe Kalemleri'!$B$5:$D$304,3,FALSE)),"— tanımsız kalem —")</f>
      </c>
      <c r="F767" s="8"/>
      <c r="G767" s="10"/>
      <c r="H767" s="15"/>
      <c r="I767" s="16">
        <f>IF($G767="",0,$G767*IF($H767="",0,$H767))</f>
      </c>
      <c r="J767" s="16">
        <f>IF($G767="","",$G767+$I767)</f>
      </c>
      <c r="K767" s="8"/>
    </row>
    <row r="768" spans="2:11" x14ac:dyDescent="0.25">
      <c r="B768" s="12"/>
      <c r="C768" s="11"/>
      <c r="D768" s="11"/>
      <c r="E768" s="14">
        <f>IFERROR(IF($D768="","",VLOOKUP($D768,'Bütçe Kalemleri'!$B$5:$D$304,3,FALSE)),"— tanımsız kalem —")</f>
      </c>
      <c r="F768" s="11"/>
      <c r="G768" s="13"/>
      <c r="H768" s="17"/>
      <c r="I768" s="16">
        <f>IF($G768="",0,$G768*IF($H768="",0,$H768))</f>
      </c>
      <c r="J768" s="16">
        <f>IF($G768="","",$G768+$I768)</f>
      </c>
      <c r="K768" s="11"/>
    </row>
    <row r="769" spans="2:11" x14ac:dyDescent="0.25">
      <c r="B769" s="9"/>
      <c r="C769" s="8"/>
      <c r="D769" s="8"/>
      <c r="E769" s="14">
        <f>IFERROR(IF($D769="","",VLOOKUP($D769,'Bütçe Kalemleri'!$B$5:$D$304,3,FALSE)),"— tanımsız kalem —")</f>
      </c>
      <c r="F769" s="8"/>
      <c r="G769" s="10"/>
      <c r="H769" s="15"/>
      <c r="I769" s="16">
        <f>IF($G769="",0,$G769*IF($H769="",0,$H769))</f>
      </c>
      <c r="J769" s="16">
        <f>IF($G769="","",$G769+$I769)</f>
      </c>
      <c r="K769" s="8"/>
    </row>
    <row r="770" spans="2:11" x14ac:dyDescent="0.25">
      <c r="B770" s="12"/>
      <c r="C770" s="11"/>
      <c r="D770" s="11"/>
      <c r="E770" s="14">
        <f>IFERROR(IF($D770="","",VLOOKUP($D770,'Bütçe Kalemleri'!$B$5:$D$304,3,FALSE)),"— tanımsız kalem —")</f>
      </c>
      <c r="F770" s="11"/>
      <c r="G770" s="13"/>
      <c r="H770" s="17"/>
      <c r="I770" s="16">
        <f>IF($G770="",0,$G770*IF($H770="",0,$H770))</f>
      </c>
      <c r="J770" s="16">
        <f>IF($G770="","",$G770+$I770)</f>
      </c>
      <c r="K770" s="11"/>
    </row>
    <row r="771" spans="2:11" x14ac:dyDescent="0.25">
      <c r="B771" s="9"/>
      <c r="C771" s="8"/>
      <c r="D771" s="8"/>
      <c r="E771" s="14">
        <f>IFERROR(IF($D771="","",VLOOKUP($D771,'Bütçe Kalemleri'!$B$5:$D$304,3,FALSE)),"— tanımsız kalem —")</f>
      </c>
      <c r="F771" s="8"/>
      <c r="G771" s="10"/>
      <c r="H771" s="15"/>
      <c r="I771" s="16">
        <f>IF($G771="",0,$G771*IF($H771="",0,$H771))</f>
      </c>
      <c r="J771" s="16">
        <f>IF($G771="","",$G771+$I771)</f>
      </c>
      <c r="K771" s="8"/>
    </row>
    <row r="772" spans="2:11" x14ac:dyDescent="0.25">
      <c r="B772" s="12"/>
      <c r="C772" s="11"/>
      <c r="D772" s="11"/>
      <c r="E772" s="14">
        <f>IFERROR(IF($D772="","",VLOOKUP($D772,'Bütçe Kalemleri'!$B$5:$D$304,3,FALSE)),"— tanımsız kalem —")</f>
      </c>
      <c r="F772" s="11"/>
      <c r="G772" s="13"/>
      <c r="H772" s="17"/>
      <c r="I772" s="16">
        <f>IF($G772="",0,$G772*IF($H772="",0,$H772))</f>
      </c>
      <c r="J772" s="16">
        <f>IF($G772="","",$G772+$I772)</f>
      </c>
      <c r="K772" s="11"/>
    </row>
    <row r="773" spans="2:11" x14ac:dyDescent="0.25">
      <c r="B773" s="9"/>
      <c r="C773" s="8"/>
      <c r="D773" s="8"/>
      <c r="E773" s="14">
        <f>IFERROR(IF($D773="","",VLOOKUP($D773,'Bütçe Kalemleri'!$B$5:$D$304,3,FALSE)),"— tanımsız kalem —")</f>
      </c>
      <c r="F773" s="8"/>
      <c r="G773" s="10"/>
      <c r="H773" s="15"/>
      <c r="I773" s="16">
        <f>IF($G773="",0,$G773*IF($H773="",0,$H773))</f>
      </c>
      <c r="J773" s="16">
        <f>IF($G773="","",$G773+$I773)</f>
      </c>
      <c r="K773" s="8"/>
    </row>
    <row r="774" spans="2:11" x14ac:dyDescent="0.25">
      <c r="B774" s="12"/>
      <c r="C774" s="11"/>
      <c r="D774" s="11"/>
      <c r="E774" s="14">
        <f>IFERROR(IF($D774="","",VLOOKUP($D774,'Bütçe Kalemleri'!$B$5:$D$304,3,FALSE)),"— tanımsız kalem —")</f>
      </c>
      <c r="F774" s="11"/>
      <c r="G774" s="13"/>
      <c r="H774" s="17"/>
      <c r="I774" s="16">
        <f>IF($G774="",0,$G774*IF($H774="",0,$H774))</f>
      </c>
      <c r="J774" s="16">
        <f>IF($G774="","",$G774+$I774)</f>
      </c>
      <c r="K774" s="11"/>
    </row>
    <row r="775" spans="2:11" x14ac:dyDescent="0.25">
      <c r="B775" s="9"/>
      <c r="C775" s="8"/>
      <c r="D775" s="8"/>
      <c r="E775" s="14">
        <f>IFERROR(IF($D775="","",VLOOKUP($D775,'Bütçe Kalemleri'!$B$5:$D$304,3,FALSE)),"— tanımsız kalem —")</f>
      </c>
      <c r="F775" s="8"/>
      <c r="G775" s="10"/>
      <c r="H775" s="15"/>
      <c r="I775" s="16">
        <f>IF($G775="",0,$G775*IF($H775="",0,$H775))</f>
      </c>
      <c r="J775" s="16">
        <f>IF($G775="","",$G775+$I775)</f>
      </c>
      <c r="K775" s="8"/>
    </row>
    <row r="776" spans="2:11" x14ac:dyDescent="0.25">
      <c r="B776" s="12"/>
      <c r="C776" s="11"/>
      <c r="D776" s="11"/>
      <c r="E776" s="14">
        <f>IFERROR(IF($D776="","",VLOOKUP($D776,'Bütçe Kalemleri'!$B$5:$D$304,3,FALSE)),"— tanımsız kalem —")</f>
      </c>
      <c r="F776" s="11"/>
      <c r="G776" s="13"/>
      <c r="H776" s="17"/>
      <c r="I776" s="16">
        <f>IF($G776="",0,$G776*IF($H776="",0,$H776))</f>
      </c>
      <c r="J776" s="16">
        <f>IF($G776="","",$G776+$I776)</f>
      </c>
      <c r="K776" s="11"/>
    </row>
    <row r="777" spans="2:11" x14ac:dyDescent="0.25">
      <c r="B777" s="9"/>
      <c r="C777" s="8"/>
      <c r="D777" s="8"/>
      <c r="E777" s="14">
        <f>IFERROR(IF($D777="","",VLOOKUP($D777,'Bütçe Kalemleri'!$B$5:$D$304,3,FALSE)),"— tanımsız kalem —")</f>
      </c>
      <c r="F777" s="8"/>
      <c r="G777" s="10"/>
      <c r="H777" s="15"/>
      <c r="I777" s="16">
        <f>IF($G777="",0,$G777*IF($H777="",0,$H777))</f>
      </c>
      <c r="J777" s="16">
        <f>IF($G777="","",$G777+$I777)</f>
      </c>
      <c r="K777" s="8"/>
    </row>
    <row r="778" spans="2:11" x14ac:dyDescent="0.25">
      <c r="B778" s="12"/>
      <c r="C778" s="11"/>
      <c r="D778" s="11"/>
      <c r="E778" s="14">
        <f>IFERROR(IF($D778="","",VLOOKUP($D778,'Bütçe Kalemleri'!$B$5:$D$304,3,FALSE)),"— tanımsız kalem —")</f>
      </c>
      <c r="F778" s="11"/>
      <c r="G778" s="13"/>
      <c r="H778" s="17"/>
      <c r="I778" s="16">
        <f>IF($G778="",0,$G778*IF($H778="",0,$H778))</f>
      </c>
      <c r="J778" s="16">
        <f>IF($G778="","",$G778+$I778)</f>
      </c>
      <c r="K778" s="11"/>
    </row>
    <row r="779" spans="2:11" x14ac:dyDescent="0.25">
      <c r="B779" s="9"/>
      <c r="C779" s="8"/>
      <c r="D779" s="8"/>
      <c r="E779" s="14">
        <f>IFERROR(IF($D779="","",VLOOKUP($D779,'Bütçe Kalemleri'!$B$5:$D$304,3,FALSE)),"— tanımsız kalem —")</f>
      </c>
      <c r="F779" s="8"/>
      <c r="G779" s="10"/>
      <c r="H779" s="15"/>
      <c r="I779" s="16">
        <f>IF($G779="",0,$G779*IF($H779="",0,$H779))</f>
      </c>
      <c r="J779" s="16">
        <f>IF($G779="","",$G779+$I779)</f>
      </c>
      <c r="K779" s="8"/>
    </row>
    <row r="780" spans="2:11" x14ac:dyDescent="0.25">
      <c r="B780" s="12"/>
      <c r="C780" s="11"/>
      <c r="D780" s="11"/>
      <c r="E780" s="14">
        <f>IFERROR(IF($D780="","",VLOOKUP($D780,'Bütçe Kalemleri'!$B$5:$D$304,3,FALSE)),"— tanımsız kalem —")</f>
      </c>
      <c r="F780" s="11"/>
      <c r="G780" s="13"/>
      <c r="H780" s="17"/>
      <c r="I780" s="16">
        <f>IF($G780="",0,$G780*IF($H780="",0,$H780))</f>
      </c>
      <c r="J780" s="16">
        <f>IF($G780="","",$G780+$I780)</f>
      </c>
      <c r="K780" s="11"/>
    </row>
    <row r="781" spans="2:11" x14ac:dyDescent="0.25">
      <c r="B781" s="9"/>
      <c r="C781" s="8"/>
      <c r="D781" s="8"/>
      <c r="E781" s="14">
        <f>IFERROR(IF($D781="","",VLOOKUP($D781,'Bütçe Kalemleri'!$B$5:$D$304,3,FALSE)),"— tanımsız kalem —")</f>
      </c>
      <c r="F781" s="8"/>
      <c r="G781" s="10"/>
      <c r="H781" s="15"/>
      <c r="I781" s="16">
        <f>IF($G781="",0,$G781*IF($H781="",0,$H781))</f>
      </c>
      <c r="J781" s="16">
        <f>IF($G781="","",$G781+$I781)</f>
      </c>
      <c r="K781" s="8"/>
    </row>
    <row r="782" spans="2:11" x14ac:dyDescent="0.25">
      <c r="B782" s="12"/>
      <c r="C782" s="11"/>
      <c r="D782" s="11"/>
      <c r="E782" s="14">
        <f>IFERROR(IF($D782="","",VLOOKUP($D782,'Bütçe Kalemleri'!$B$5:$D$304,3,FALSE)),"— tanımsız kalem —")</f>
      </c>
      <c r="F782" s="11"/>
      <c r="G782" s="13"/>
      <c r="H782" s="17"/>
      <c r="I782" s="16">
        <f>IF($G782="",0,$G782*IF($H782="",0,$H782))</f>
      </c>
      <c r="J782" s="16">
        <f>IF($G782="","",$G782+$I782)</f>
      </c>
      <c r="K782" s="11"/>
    </row>
    <row r="783" spans="2:11" x14ac:dyDescent="0.25">
      <c r="B783" s="9"/>
      <c r="C783" s="8"/>
      <c r="D783" s="8"/>
      <c r="E783" s="14">
        <f>IFERROR(IF($D783="","",VLOOKUP($D783,'Bütçe Kalemleri'!$B$5:$D$304,3,FALSE)),"— tanımsız kalem —")</f>
      </c>
      <c r="F783" s="8"/>
      <c r="G783" s="10"/>
      <c r="H783" s="15"/>
      <c r="I783" s="16">
        <f>IF($G783="",0,$G783*IF($H783="",0,$H783))</f>
      </c>
      <c r="J783" s="16">
        <f>IF($G783="","",$G783+$I783)</f>
      </c>
      <c r="K783" s="8"/>
    </row>
    <row r="784" spans="2:11" x14ac:dyDescent="0.25">
      <c r="B784" s="12"/>
      <c r="C784" s="11"/>
      <c r="D784" s="11"/>
      <c r="E784" s="14">
        <f>IFERROR(IF($D784="","",VLOOKUP($D784,'Bütçe Kalemleri'!$B$5:$D$304,3,FALSE)),"— tanımsız kalem —")</f>
      </c>
      <c r="F784" s="11"/>
      <c r="G784" s="13"/>
      <c r="H784" s="17"/>
      <c r="I784" s="16">
        <f>IF($G784="",0,$G784*IF($H784="",0,$H784))</f>
      </c>
      <c r="J784" s="16">
        <f>IF($G784="","",$G784+$I784)</f>
      </c>
      <c r="K784" s="11"/>
    </row>
    <row r="785" spans="2:11" x14ac:dyDescent="0.25">
      <c r="B785" s="9"/>
      <c r="C785" s="8"/>
      <c r="D785" s="8"/>
      <c r="E785" s="14">
        <f>IFERROR(IF($D785="","",VLOOKUP($D785,'Bütçe Kalemleri'!$B$5:$D$304,3,FALSE)),"— tanımsız kalem —")</f>
      </c>
      <c r="F785" s="8"/>
      <c r="G785" s="10"/>
      <c r="H785" s="15"/>
      <c r="I785" s="16">
        <f>IF($G785="",0,$G785*IF($H785="",0,$H785))</f>
      </c>
      <c r="J785" s="16">
        <f>IF($G785="","",$G785+$I785)</f>
      </c>
      <c r="K785" s="8"/>
    </row>
    <row r="786" spans="2:11" x14ac:dyDescent="0.25">
      <c r="B786" s="12"/>
      <c r="C786" s="11"/>
      <c r="D786" s="11"/>
      <c r="E786" s="14">
        <f>IFERROR(IF($D786="","",VLOOKUP($D786,'Bütçe Kalemleri'!$B$5:$D$304,3,FALSE)),"— tanımsız kalem —")</f>
      </c>
      <c r="F786" s="11"/>
      <c r="G786" s="13"/>
      <c r="H786" s="17"/>
      <c r="I786" s="16">
        <f>IF($G786="",0,$G786*IF($H786="",0,$H786))</f>
      </c>
      <c r="J786" s="16">
        <f>IF($G786="","",$G786+$I786)</f>
      </c>
      <c r="K786" s="11"/>
    </row>
    <row r="787" spans="2:11" x14ac:dyDescent="0.25">
      <c r="B787" s="9"/>
      <c r="C787" s="8"/>
      <c r="D787" s="8"/>
      <c r="E787" s="14">
        <f>IFERROR(IF($D787="","",VLOOKUP($D787,'Bütçe Kalemleri'!$B$5:$D$304,3,FALSE)),"— tanımsız kalem —")</f>
      </c>
      <c r="F787" s="8"/>
      <c r="G787" s="10"/>
      <c r="H787" s="15"/>
      <c r="I787" s="16">
        <f>IF($G787="",0,$G787*IF($H787="",0,$H787))</f>
      </c>
      <c r="J787" s="16">
        <f>IF($G787="","",$G787+$I787)</f>
      </c>
      <c r="K787" s="8"/>
    </row>
    <row r="788" spans="2:11" x14ac:dyDescent="0.25">
      <c r="B788" s="12"/>
      <c r="C788" s="11"/>
      <c r="D788" s="11"/>
      <c r="E788" s="14">
        <f>IFERROR(IF($D788="","",VLOOKUP($D788,'Bütçe Kalemleri'!$B$5:$D$304,3,FALSE)),"— tanımsız kalem —")</f>
      </c>
      <c r="F788" s="11"/>
      <c r="G788" s="13"/>
      <c r="H788" s="17"/>
      <c r="I788" s="16">
        <f>IF($G788="",0,$G788*IF($H788="",0,$H788))</f>
      </c>
      <c r="J788" s="16">
        <f>IF($G788="","",$G788+$I788)</f>
      </c>
      <c r="K788" s="11"/>
    </row>
    <row r="789" spans="2:11" x14ac:dyDescent="0.25">
      <c r="B789" s="9"/>
      <c r="C789" s="8"/>
      <c r="D789" s="8"/>
      <c r="E789" s="14">
        <f>IFERROR(IF($D789="","",VLOOKUP($D789,'Bütçe Kalemleri'!$B$5:$D$304,3,FALSE)),"— tanımsız kalem —")</f>
      </c>
      <c r="F789" s="8"/>
      <c r="G789" s="10"/>
      <c r="H789" s="15"/>
      <c r="I789" s="16">
        <f>IF($G789="",0,$G789*IF($H789="",0,$H789))</f>
      </c>
      <c r="J789" s="16">
        <f>IF($G789="","",$G789+$I789)</f>
      </c>
      <c r="K789" s="8"/>
    </row>
    <row r="790" spans="2:11" x14ac:dyDescent="0.25">
      <c r="B790" s="12"/>
      <c r="C790" s="11"/>
      <c r="D790" s="11"/>
      <c r="E790" s="14">
        <f>IFERROR(IF($D790="","",VLOOKUP($D790,'Bütçe Kalemleri'!$B$5:$D$304,3,FALSE)),"— tanımsız kalem —")</f>
      </c>
      <c r="F790" s="11"/>
      <c r="G790" s="13"/>
      <c r="H790" s="17"/>
      <c r="I790" s="16">
        <f>IF($G790="",0,$G790*IF($H790="",0,$H790))</f>
      </c>
      <c r="J790" s="16">
        <f>IF($G790="","",$G790+$I790)</f>
      </c>
      <c r="K790" s="11"/>
    </row>
    <row r="791" spans="2:11" x14ac:dyDescent="0.25">
      <c r="B791" s="9"/>
      <c r="C791" s="8"/>
      <c r="D791" s="8"/>
      <c r="E791" s="14">
        <f>IFERROR(IF($D791="","",VLOOKUP($D791,'Bütçe Kalemleri'!$B$5:$D$304,3,FALSE)),"— tanımsız kalem —")</f>
      </c>
      <c r="F791" s="8"/>
      <c r="G791" s="10"/>
      <c r="H791" s="15"/>
      <c r="I791" s="16">
        <f>IF($G791="",0,$G791*IF($H791="",0,$H791))</f>
      </c>
      <c r="J791" s="16">
        <f>IF($G791="","",$G791+$I791)</f>
      </c>
      <c r="K791" s="8"/>
    </row>
    <row r="792" spans="2:11" x14ac:dyDescent="0.25">
      <c r="B792" s="12"/>
      <c r="C792" s="11"/>
      <c r="D792" s="11"/>
      <c r="E792" s="14">
        <f>IFERROR(IF($D792="","",VLOOKUP($D792,'Bütçe Kalemleri'!$B$5:$D$304,3,FALSE)),"— tanımsız kalem —")</f>
      </c>
      <c r="F792" s="11"/>
      <c r="G792" s="13"/>
      <c r="H792" s="17"/>
      <c r="I792" s="16">
        <f>IF($G792="",0,$G792*IF($H792="",0,$H792))</f>
      </c>
      <c r="J792" s="16">
        <f>IF($G792="","",$G792+$I792)</f>
      </c>
      <c r="K792" s="11"/>
    </row>
    <row r="793" spans="2:11" x14ac:dyDescent="0.25">
      <c r="B793" s="9"/>
      <c r="C793" s="8"/>
      <c r="D793" s="8"/>
      <c r="E793" s="14">
        <f>IFERROR(IF($D793="","",VLOOKUP($D793,'Bütçe Kalemleri'!$B$5:$D$304,3,FALSE)),"— tanımsız kalem —")</f>
      </c>
      <c r="F793" s="8"/>
      <c r="G793" s="10"/>
      <c r="H793" s="15"/>
      <c r="I793" s="16">
        <f>IF($G793="",0,$G793*IF($H793="",0,$H793))</f>
      </c>
      <c r="J793" s="16">
        <f>IF($G793="","",$G793+$I793)</f>
      </c>
      <c r="K793" s="8"/>
    </row>
    <row r="794" spans="2:11" x14ac:dyDescent="0.25">
      <c r="B794" s="12"/>
      <c r="C794" s="11"/>
      <c r="D794" s="11"/>
      <c r="E794" s="14">
        <f>IFERROR(IF($D794="","",VLOOKUP($D794,'Bütçe Kalemleri'!$B$5:$D$304,3,FALSE)),"— tanımsız kalem —")</f>
      </c>
      <c r="F794" s="11"/>
      <c r="G794" s="13"/>
      <c r="H794" s="17"/>
      <c r="I794" s="16">
        <f>IF($G794="",0,$G794*IF($H794="",0,$H794))</f>
      </c>
      <c r="J794" s="16">
        <f>IF($G794="","",$G794+$I794)</f>
      </c>
      <c r="K794" s="11"/>
    </row>
    <row r="795" spans="2:11" x14ac:dyDescent="0.25">
      <c r="B795" s="9"/>
      <c r="C795" s="8"/>
      <c r="D795" s="8"/>
      <c r="E795" s="14">
        <f>IFERROR(IF($D795="","",VLOOKUP($D795,'Bütçe Kalemleri'!$B$5:$D$304,3,FALSE)),"— tanımsız kalem —")</f>
      </c>
      <c r="F795" s="8"/>
      <c r="G795" s="10"/>
      <c r="H795" s="15"/>
      <c r="I795" s="16">
        <f>IF($G795="",0,$G795*IF($H795="",0,$H795))</f>
      </c>
      <c r="J795" s="16">
        <f>IF($G795="","",$G795+$I795)</f>
      </c>
      <c r="K795" s="8"/>
    </row>
    <row r="796" spans="2:11" x14ac:dyDescent="0.25">
      <c r="B796" s="12"/>
      <c r="C796" s="11"/>
      <c r="D796" s="11"/>
      <c r="E796" s="14">
        <f>IFERROR(IF($D796="","",VLOOKUP($D796,'Bütçe Kalemleri'!$B$5:$D$304,3,FALSE)),"— tanımsız kalem —")</f>
      </c>
      <c r="F796" s="11"/>
      <c r="G796" s="13"/>
      <c r="H796" s="17"/>
      <c r="I796" s="16">
        <f>IF($G796="",0,$G796*IF($H796="",0,$H796))</f>
      </c>
      <c r="J796" s="16">
        <f>IF($G796="","",$G796+$I796)</f>
      </c>
      <c r="K796" s="11"/>
    </row>
    <row r="797" spans="2:11" x14ac:dyDescent="0.25">
      <c r="B797" s="9"/>
      <c r="C797" s="8"/>
      <c r="D797" s="8"/>
      <c r="E797" s="14">
        <f>IFERROR(IF($D797="","",VLOOKUP($D797,'Bütçe Kalemleri'!$B$5:$D$304,3,FALSE)),"— tanımsız kalem —")</f>
      </c>
      <c r="F797" s="8"/>
      <c r="G797" s="10"/>
      <c r="H797" s="15"/>
      <c r="I797" s="16">
        <f>IF($G797="",0,$G797*IF($H797="",0,$H797))</f>
      </c>
      <c r="J797" s="16">
        <f>IF($G797="","",$G797+$I797)</f>
      </c>
      <c r="K797" s="8"/>
    </row>
    <row r="798" spans="2:11" x14ac:dyDescent="0.25">
      <c r="B798" s="12"/>
      <c r="C798" s="11"/>
      <c r="D798" s="11"/>
      <c r="E798" s="14">
        <f>IFERROR(IF($D798="","",VLOOKUP($D798,'Bütçe Kalemleri'!$B$5:$D$304,3,FALSE)),"— tanımsız kalem —")</f>
      </c>
      <c r="F798" s="11"/>
      <c r="G798" s="13"/>
      <c r="H798" s="17"/>
      <c r="I798" s="16">
        <f>IF($G798="",0,$G798*IF($H798="",0,$H798))</f>
      </c>
      <c r="J798" s="16">
        <f>IF($G798="","",$G798+$I798)</f>
      </c>
      <c r="K798" s="11"/>
    </row>
    <row r="799" spans="2:11" x14ac:dyDescent="0.25">
      <c r="B799" s="9"/>
      <c r="C799" s="8"/>
      <c r="D799" s="8"/>
      <c r="E799" s="14">
        <f>IFERROR(IF($D799="","",VLOOKUP($D799,'Bütçe Kalemleri'!$B$5:$D$304,3,FALSE)),"— tanımsız kalem —")</f>
      </c>
      <c r="F799" s="8"/>
      <c r="G799" s="10"/>
      <c r="H799" s="15"/>
      <c r="I799" s="16">
        <f>IF($G799="",0,$G799*IF($H799="",0,$H799))</f>
      </c>
      <c r="J799" s="16">
        <f>IF($G799="","",$G799+$I799)</f>
      </c>
      <c r="K799" s="8"/>
    </row>
    <row r="800" spans="2:11" x14ac:dyDescent="0.25">
      <c r="B800" s="12"/>
      <c r="C800" s="11"/>
      <c r="D800" s="11"/>
      <c r="E800" s="14">
        <f>IFERROR(IF($D800="","",VLOOKUP($D800,'Bütçe Kalemleri'!$B$5:$D$304,3,FALSE)),"— tanımsız kalem —")</f>
      </c>
      <c r="F800" s="11"/>
      <c r="G800" s="13"/>
      <c r="H800" s="17"/>
      <c r="I800" s="16">
        <f>IF($G800="",0,$G800*IF($H800="",0,$H800))</f>
      </c>
      <c r="J800" s="16">
        <f>IF($G800="","",$G800+$I800)</f>
      </c>
      <c r="K800" s="11"/>
    </row>
    <row r="801" spans="2:11" x14ac:dyDescent="0.25">
      <c r="B801" s="9"/>
      <c r="C801" s="8"/>
      <c r="D801" s="8"/>
      <c r="E801" s="14">
        <f>IFERROR(IF($D801="","",VLOOKUP($D801,'Bütçe Kalemleri'!$B$5:$D$304,3,FALSE)),"— tanımsız kalem —")</f>
      </c>
      <c r="F801" s="8"/>
      <c r="G801" s="10"/>
      <c r="H801" s="15"/>
      <c r="I801" s="16">
        <f>IF($G801="",0,$G801*IF($H801="",0,$H801))</f>
      </c>
      <c r="J801" s="16">
        <f>IF($G801="","",$G801+$I801)</f>
      </c>
      <c r="K801" s="8"/>
    </row>
    <row r="802" spans="2:11" x14ac:dyDescent="0.25">
      <c r="B802" s="12"/>
      <c r="C802" s="11"/>
      <c r="D802" s="11"/>
      <c r="E802" s="14">
        <f>IFERROR(IF($D802="","",VLOOKUP($D802,'Bütçe Kalemleri'!$B$5:$D$304,3,FALSE)),"— tanımsız kalem —")</f>
      </c>
      <c r="F802" s="11"/>
      <c r="G802" s="13"/>
      <c r="H802" s="17"/>
      <c r="I802" s="16">
        <f>IF($G802="",0,$G802*IF($H802="",0,$H802))</f>
      </c>
      <c r="J802" s="16">
        <f>IF($G802="","",$G802+$I802)</f>
      </c>
      <c r="K802" s="11"/>
    </row>
    <row r="803" spans="2:11" x14ac:dyDescent="0.25">
      <c r="B803" s="9"/>
      <c r="C803" s="8"/>
      <c r="D803" s="8"/>
      <c r="E803" s="14">
        <f>IFERROR(IF($D803="","",VLOOKUP($D803,'Bütçe Kalemleri'!$B$5:$D$304,3,FALSE)),"— tanımsız kalem —")</f>
      </c>
      <c r="F803" s="8"/>
      <c r="G803" s="10"/>
      <c r="H803" s="15"/>
      <c r="I803" s="16">
        <f>IF($G803="",0,$G803*IF($H803="",0,$H803))</f>
      </c>
      <c r="J803" s="16">
        <f>IF($G803="","",$G803+$I803)</f>
      </c>
      <c r="K803" s="8"/>
    </row>
    <row r="804" spans="2:11" x14ac:dyDescent="0.25">
      <c r="B804" s="12"/>
      <c r="C804" s="11"/>
      <c r="D804" s="11"/>
      <c r="E804" s="14">
        <f>IFERROR(IF($D804="","",VLOOKUP($D804,'Bütçe Kalemleri'!$B$5:$D$304,3,FALSE)),"— tanımsız kalem —")</f>
      </c>
      <c r="F804" s="11"/>
      <c r="G804" s="13"/>
      <c r="H804" s="17"/>
      <c r="I804" s="16">
        <f>IF($G804="",0,$G804*IF($H804="",0,$H804))</f>
      </c>
      <c r="J804" s="16">
        <f>IF($G804="","",$G804+$I804)</f>
      </c>
      <c r="K804" s="11"/>
    </row>
    <row r="805" spans="2:11" x14ac:dyDescent="0.25">
      <c r="B805" s="9"/>
      <c r="C805" s="8"/>
      <c r="D805" s="8"/>
      <c r="E805" s="14">
        <f>IFERROR(IF($D805="","",VLOOKUP($D805,'Bütçe Kalemleri'!$B$5:$D$304,3,FALSE)),"— tanımsız kalem —")</f>
      </c>
      <c r="F805" s="8"/>
      <c r="G805" s="10"/>
      <c r="H805" s="15"/>
      <c r="I805" s="16">
        <f>IF($G805="",0,$G805*IF($H805="",0,$H805))</f>
      </c>
      <c r="J805" s="16">
        <f>IF($G805="","",$G805+$I805)</f>
      </c>
      <c r="K805" s="8"/>
    </row>
    <row r="806" spans="2:11" x14ac:dyDescent="0.25">
      <c r="B806" s="12"/>
      <c r="C806" s="11"/>
      <c r="D806" s="11"/>
      <c r="E806" s="14">
        <f>IFERROR(IF($D806="","",VLOOKUP($D806,'Bütçe Kalemleri'!$B$5:$D$304,3,FALSE)),"— tanımsız kalem —")</f>
      </c>
      <c r="F806" s="11"/>
      <c r="G806" s="13"/>
      <c r="H806" s="17"/>
      <c r="I806" s="16">
        <f>IF($G806="",0,$G806*IF($H806="",0,$H806))</f>
      </c>
      <c r="J806" s="16">
        <f>IF($G806="","",$G806+$I806)</f>
      </c>
      <c r="K806" s="11"/>
    </row>
    <row r="807" spans="2:11" x14ac:dyDescent="0.25">
      <c r="B807" s="9"/>
      <c r="C807" s="8"/>
      <c r="D807" s="8"/>
      <c r="E807" s="14">
        <f>IFERROR(IF($D807="","",VLOOKUP($D807,'Bütçe Kalemleri'!$B$5:$D$304,3,FALSE)),"— tanımsız kalem —")</f>
      </c>
      <c r="F807" s="8"/>
      <c r="G807" s="10"/>
      <c r="H807" s="15"/>
      <c r="I807" s="16">
        <f>IF($G807="",0,$G807*IF($H807="",0,$H807))</f>
      </c>
      <c r="J807" s="16">
        <f>IF($G807="","",$G807+$I807)</f>
      </c>
      <c r="K807" s="8"/>
    </row>
    <row r="808" spans="2:11" x14ac:dyDescent="0.25">
      <c r="B808" s="12"/>
      <c r="C808" s="11"/>
      <c r="D808" s="11"/>
      <c r="E808" s="14">
        <f>IFERROR(IF($D808="","",VLOOKUP($D808,'Bütçe Kalemleri'!$B$5:$D$304,3,FALSE)),"— tanımsız kalem —")</f>
      </c>
      <c r="F808" s="11"/>
      <c r="G808" s="13"/>
      <c r="H808" s="17"/>
      <c r="I808" s="16">
        <f>IF($G808="",0,$G808*IF($H808="",0,$H808))</f>
      </c>
      <c r="J808" s="16">
        <f>IF($G808="","",$G808+$I808)</f>
      </c>
      <c r="K808" s="11"/>
    </row>
    <row r="809" spans="2:11" x14ac:dyDescent="0.25">
      <c r="B809" s="9"/>
      <c r="C809" s="8"/>
      <c r="D809" s="8"/>
      <c r="E809" s="14">
        <f>IFERROR(IF($D809="","",VLOOKUP($D809,'Bütçe Kalemleri'!$B$5:$D$304,3,FALSE)),"— tanımsız kalem —")</f>
      </c>
      <c r="F809" s="8"/>
      <c r="G809" s="10"/>
      <c r="H809" s="15"/>
      <c r="I809" s="16">
        <f>IF($G809="",0,$G809*IF($H809="",0,$H809))</f>
      </c>
      <c r="J809" s="16">
        <f>IF($G809="","",$G809+$I809)</f>
      </c>
      <c r="K809" s="8"/>
    </row>
    <row r="810" spans="2:11" x14ac:dyDescent="0.25">
      <c r="B810" s="12"/>
      <c r="C810" s="11"/>
      <c r="D810" s="11"/>
      <c r="E810" s="14">
        <f>IFERROR(IF($D810="","",VLOOKUP($D810,'Bütçe Kalemleri'!$B$5:$D$304,3,FALSE)),"— tanımsız kalem —")</f>
      </c>
      <c r="F810" s="11"/>
      <c r="G810" s="13"/>
      <c r="H810" s="17"/>
      <c r="I810" s="16">
        <f>IF($G810="",0,$G810*IF($H810="",0,$H810))</f>
      </c>
      <c r="J810" s="16">
        <f>IF($G810="","",$G810+$I810)</f>
      </c>
      <c r="K810" s="11"/>
    </row>
    <row r="811" spans="2:11" x14ac:dyDescent="0.25">
      <c r="B811" s="9"/>
      <c r="C811" s="8"/>
      <c r="D811" s="8"/>
      <c r="E811" s="14">
        <f>IFERROR(IF($D811="","",VLOOKUP($D811,'Bütçe Kalemleri'!$B$5:$D$304,3,FALSE)),"— tanımsız kalem —")</f>
      </c>
      <c r="F811" s="8"/>
      <c r="G811" s="10"/>
      <c r="H811" s="15"/>
      <c r="I811" s="16">
        <f>IF($G811="",0,$G811*IF($H811="",0,$H811))</f>
      </c>
      <c r="J811" s="16">
        <f>IF($G811="","",$G811+$I811)</f>
      </c>
      <c r="K811" s="8"/>
    </row>
    <row r="812" spans="2:11" x14ac:dyDescent="0.25">
      <c r="B812" s="12"/>
      <c r="C812" s="11"/>
      <c r="D812" s="11"/>
      <c r="E812" s="14">
        <f>IFERROR(IF($D812="","",VLOOKUP($D812,'Bütçe Kalemleri'!$B$5:$D$304,3,FALSE)),"— tanımsız kalem —")</f>
      </c>
      <c r="F812" s="11"/>
      <c r="G812" s="13"/>
      <c r="H812" s="17"/>
      <c r="I812" s="16">
        <f>IF($G812="",0,$G812*IF($H812="",0,$H812))</f>
      </c>
      <c r="J812" s="16">
        <f>IF($G812="","",$G812+$I812)</f>
      </c>
      <c r="K812" s="11"/>
    </row>
    <row r="813" spans="2:11" x14ac:dyDescent="0.25">
      <c r="B813" s="9"/>
      <c r="C813" s="8"/>
      <c r="D813" s="8"/>
      <c r="E813" s="14">
        <f>IFERROR(IF($D813="","",VLOOKUP($D813,'Bütçe Kalemleri'!$B$5:$D$304,3,FALSE)),"— tanımsız kalem —")</f>
      </c>
      <c r="F813" s="8"/>
      <c r="G813" s="10"/>
      <c r="H813" s="15"/>
      <c r="I813" s="16">
        <f>IF($G813="",0,$G813*IF($H813="",0,$H813))</f>
      </c>
      <c r="J813" s="16">
        <f>IF($G813="","",$G813+$I813)</f>
      </c>
      <c r="K813" s="8"/>
    </row>
    <row r="814" spans="2:11" x14ac:dyDescent="0.25">
      <c r="B814" s="12"/>
      <c r="C814" s="11"/>
      <c r="D814" s="11"/>
      <c r="E814" s="14">
        <f>IFERROR(IF($D814="","",VLOOKUP($D814,'Bütçe Kalemleri'!$B$5:$D$304,3,FALSE)),"— tanımsız kalem —")</f>
      </c>
      <c r="F814" s="11"/>
      <c r="G814" s="13"/>
      <c r="H814" s="17"/>
      <c r="I814" s="16">
        <f>IF($G814="",0,$G814*IF($H814="",0,$H814))</f>
      </c>
      <c r="J814" s="16">
        <f>IF($G814="","",$G814+$I814)</f>
      </c>
      <c r="K814" s="11"/>
    </row>
    <row r="815" spans="2:11" x14ac:dyDescent="0.25">
      <c r="B815" s="9"/>
      <c r="C815" s="8"/>
      <c r="D815" s="8"/>
      <c r="E815" s="14">
        <f>IFERROR(IF($D815="","",VLOOKUP($D815,'Bütçe Kalemleri'!$B$5:$D$304,3,FALSE)),"— tanımsız kalem —")</f>
      </c>
      <c r="F815" s="8"/>
      <c r="G815" s="10"/>
      <c r="H815" s="15"/>
      <c r="I815" s="16">
        <f>IF($G815="",0,$G815*IF($H815="",0,$H815))</f>
      </c>
      <c r="J815" s="16">
        <f>IF($G815="","",$G815+$I815)</f>
      </c>
      <c r="K815" s="8"/>
    </row>
    <row r="816" spans="2:11" x14ac:dyDescent="0.25">
      <c r="B816" s="12"/>
      <c r="C816" s="11"/>
      <c r="D816" s="11"/>
      <c r="E816" s="14">
        <f>IFERROR(IF($D816="","",VLOOKUP($D816,'Bütçe Kalemleri'!$B$5:$D$304,3,FALSE)),"— tanımsız kalem —")</f>
      </c>
      <c r="F816" s="11"/>
      <c r="G816" s="13"/>
      <c r="H816" s="17"/>
      <c r="I816" s="16">
        <f>IF($G816="",0,$G816*IF($H816="",0,$H816))</f>
      </c>
      <c r="J816" s="16">
        <f>IF($G816="","",$G816+$I816)</f>
      </c>
      <c r="K816" s="11"/>
    </row>
    <row r="817" spans="2:11" x14ac:dyDescent="0.25">
      <c r="B817" s="9"/>
      <c r="C817" s="8"/>
      <c r="D817" s="8"/>
      <c r="E817" s="14">
        <f>IFERROR(IF($D817="","",VLOOKUP($D817,'Bütçe Kalemleri'!$B$5:$D$304,3,FALSE)),"— tanımsız kalem —")</f>
      </c>
      <c r="F817" s="8"/>
      <c r="G817" s="10"/>
      <c r="H817" s="15"/>
      <c r="I817" s="16">
        <f>IF($G817="",0,$G817*IF($H817="",0,$H817))</f>
      </c>
      <c r="J817" s="16">
        <f>IF($G817="","",$G817+$I817)</f>
      </c>
      <c r="K817" s="8"/>
    </row>
    <row r="818" spans="2:11" x14ac:dyDescent="0.25">
      <c r="B818" s="12"/>
      <c r="C818" s="11"/>
      <c r="D818" s="11"/>
      <c r="E818" s="14">
        <f>IFERROR(IF($D818="","",VLOOKUP($D818,'Bütçe Kalemleri'!$B$5:$D$304,3,FALSE)),"— tanımsız kalem —")</f>
      </c>
      <c r="F818" s="11"/>
      <c r="G818" s="13"/>
      <c r="H818" s="17"/>
      <c r="I818" s="16">
        <f>IF($G818="",0,$G818*IF($H818="",0,$H818))</f>
      </c>
      <c r="J818" s="16">
        <f>IF($G818="","",$G818+$I818)</f>
      </c>
      <c r="K818" s="11"/>
    </row>
    <row r="819" spans="2:11" x14ac:dyDescent="0.25">
      <c r="B819" s="9"/>
      <c r="C819" s="8"/>
      <c r="D819" s="8"/>
      <c r="E819" s="14">
        <f>IFERROR(IF($D819="","",VLOOKUP($D819,'Bütçe Kalemleri'!$B$5:$D$304,3,FALSE)),"— tanımsız kalem —")</f>
      </c>
      <c r="F819" s="8"/>
      <c r="G819" s="10"/>
      <c r="H819" s="15"/>
      <c r="I819" s="16">
        <f>IF($G819="",0,$G819*IF($H819="",0,$H819))</f>
      </c>
      <c r="J819" s="16">
        <f>IF($G819="","",$G819+$I819)</f>
      </c>
      <c r="K819" s="8"/>
    </row>
    <row r="820" spans="2:11" x14ac:dyDescent="0.25">
      <c r="B820" s="12"/>
      <c r="C820" s="11"/>
      <c r="D820" s="11"/>
      <c r="E820" s="14">
        <f>IFERROR(IF($D820="","",VLOOKUP($D820,'Bütçe Kalemleri'!$B$5:$D$304,3,FALSE)),"— tanımsız kalem —")</f>
      </c>
      <c r="F820" s="11"/>
      <c r="G820" s="13"/>
      <c r="H820" s="17"/>
      <c r="I820" s="16">
        <f>IF($G820="",0,$G820*IF($H820="",0,$H820))</f>
      </c>
      <c r="J820" s="16">
        <f>IF($G820="","",$G820+$I820)</f>
      </c>
      <c r="K820" s="11"/>
    </row>
    <row r="821" spans="2:11" x14ac:dyDescent="0.25">
      <c r="B821" s="9"/>
      <c r="C821" s="8"/>
      <c r="D821" s="8"/>
      <c r="E821" s="14">
        <f>IFERROR(IF($D821="","",VLOOKUP($D821,'Bütçe Kalemleri'!$B$5:$D$304,3,FALSE)),"— tanımsız kalem —")</f>
      </c>
      <c r="F821" s="8"/>
      <c r="G821" s="10"/>
      <c r="H821" s="15"/>
      <c r="I821" s="16">
        <f>IF($G821="",0,$G821*IF($H821="",0,$H821))</f>
      </c>
      <c r="J821" s="16">
        <f>IF($G821="","",$G821+$I821)</f>
      </c>
      <c r="K821" s="8"/>
    </row>
    <row r="822" spans="2:11" x14ac:dyDescent="0.25">
      <c r="B822" s="12"/>
      <c r="C822" s="11"/>
      <c r="D822" s="11"/>
      <c r="E822" s="14">
        <f>IFERROR(IF($D822="","",VLOOKUP($D822,'Bütçe Kalemleri'!$B$5:$D$304,3,FALSE)),"— tanımsız kalem —")</f>
      </c>
      <c r="F822" s="11"/>
      <c r="G822" s="13"/>
      <c r="H822" s="17"/>
      <c r="I822" s="16">
        <f>IF($G822="",0,$G822*IF($H822="",0,$H822))</f>
      </c>
      <c r="J822" s="16">
        <f>IF($G822="","",$G822+$I822)</f>
      </c>
      <c r="K822" s="11"/>
    </row>
    <row r="823" spans="2:11" x14ac:dyDescent="0.25">
      <c r="B823" s="9"/>
      <c r="C823" s="8"/>
      <c r="D823" s="8"/>
      <c r="E823" s="14">
        <f>IFERROR(IF($D823="","",VLOOKUP($D823,'Bütçe Kalemleri'!$B$5:$D$304,3,FALSE)),"— tanımsız kalem —")</f>
      </c>
      <c r="F823" s="8"/>
      <c r="G823" s="10"/>
      <c r="H823" s="15"/>
      <c r="I823" s="16">
        <f>IF($G823="",0,$G823*IF($H823="",0,$H823))</f>
      </c>
      <c r="J823" s="16">
        <f>IF($G823="","",$G823+$I823)</f>
      </c>
      <c r="K823" s="8"/>
    </row>
    <row r="824" spans="2:11" x14ac:dyDescent="0.25">
      <c r="B824" s="12"/>
      <c r="C824" s="11"/>
      <c r="D824" s="11"/>
      <c r="E824" s="14">
        <f>IFERROR(IF($D824="","",VLOOKUP($D824,'Bütçe Kalemleri'!$B$5:$D$304,3,FALSE)),"— tanımsız kalem —")</f>
      </c>
      <c r="F824" s="11"/>
      <c r="G824" s="13"/>
      <c r="H824" s="17"/>
      <c r="I824" s="16">
        <f>IF($G824="",0,$G824*IF($H824="",0,$H824))</f>
      </c>
      <c r="J824" s="16">
        <f>IF($G824="","",$G824+$I824)</f>
      </c>
      <c r="K824" s="11"/>
    </row>
    <row r="825" spans="2:11" x14ac:dyDescent="0.25">
      <c r="B825" s="9"/>
      <c r="C825" s="8"/>
      <c r="D825" s="8"/>
      <c r="E825" s="14">
        <f>IFERROR(IF($D825="","",VLOOKUP($D825,'Bütçe Kalemleri'!$B$5:$D$304,3,FALSE)),"— tanımsız kalem —")</f>
      </c>
      <c r="F825" s="8"/>
      <c r="G825" s="10"/>
      <c r="H825" s="15"/>
      <c r="I825" s="16">
        <f>IF($G825="",0,$G825*IF($H825="",0,$H825))</f>
      </c>
      <c r="J825" s="16">
        <f>IF($G825="","",$G825+$I825)</f>
      </c>
      <c r="K825" s="8"/>
    </row>
    <row r="826" spans="2:11" x14ac:dyDescent="0.25">
      <c r="B826" s="12"/>
      <c r="C826" s="11"/>
      <c r="D826" s="11"/>
      <c r="E826" s="14">
        <f>IFERROR(IF($D826="","",VLOOKUP($D826,'Bütçe Kalemleri'!$B$5:$D$304,3,FALSE)),"— tanımsız kalem —")</f>
      </c>
      <c r="F826" s="11"/>
      <c r="G826" s="13"/>
      <c r="H826" s="17"/>
      <c r="I826" s="16">
        <f>IF($G826="",0,$G826*IF($H826="",0,$H826))</f>
      </c>
      <c r="J826" s="16">
        <f>IF($G826="","",$G826+$I826)</f>
      </c>
      <c r="K826" s="11"/>
    </row>
    <row r="827" spans="2:11" x14ac:dyDescent="0.25">
      <c r="B827" s="9"/>
      <c r="C827" s="8"/>
      <c r="D827" s="8"/>
      <c r="E827" s="14">
        <f>IFERROR(IF($D827="","",VLOOKUP($D827,'Bütçe Kalemleri'!$B$5:$D$304,3,FALSE)),"— tanımsız kalem —")</f>
      </c>
      <c r="F827" s="8"/>
      <c r="G827" s="10"/>
      <c r="H827" s="15"/>
      <c r="I827" s="16">
        <f>IF($G827="",0,$G827*IF($H827="",0,$H827))</f>
      </c>
      <c r="J827" s="16">
        <f>IF($G827="","",$G827+$I827)</f>
      </c>
      <c r="K827" s="8"/>
    </row>
    <row r="828" spans="2:11" x14ac:dyDescent="0.25">
      <c r="B828" s="12"/>
      <c r="C828" s="11"/>
      <c r="D828" s="11"/>
      <c r="E828" s="14">
        <f>IFERROR(IF($D828="","",VLOOKUP($D828,'Bütçe Kalemleri'!$B$5:$D$304,3,FALSE)),"— tanımsız kalem —")</f>
      </c>
      <c r="F828" s="11"/>
      <c r="G828" s="13"/>
      <c r="H828" s="17"/>
      <c r="I828" s="16">
        <f>IF($G828="",0,$G828*IF($H828="",0,$H828))</f>
      </c>
      <c r="J828" s="16">
        <f>IF($G828="","",$G828+$I828)</f>
      </c>
      <c r="K828" s="11"/>
    </row>
    <row r="829" spans="2:11" x14ac:dyDescent="0.25">
      <c r="B829" s="9"/>
      <c r="C829" s="8"/>
      <c r="D829" s="8"/>
      <c r="E829" s="14">
        <f>IFERROR(IF($D829="","",VLOOKUP($D829,'Bütçe Kalemleri'!$B$5:$D$304,3,FALSE)),"— tanımsız kalem —")</f>
      </c>
      <c r="F829" s="8"/>
      <c r="G829" s="10"/>
      <c r="H829" s="15"/>
      <c r="I829" s="16">
        <f>IF($G829="",0,$G829*IF($H829="",0,$H829))</f>
      </c>
      <c r="J829" s="16">
        <f>IF($G829="","",$G829+$I829)</f>
      </c>
      <c r="K829" s="8"/>
    </row>
    <row r="830" spans="2:11" x14ac:dyDescent="0.25">
      <c r="B830" s="12"/>
      <c r="C830" s="11"/>
      <c r="D830" s="11"/>
      <c r="E830" s="14">
        <f>IFERROR(IF($D830="","",VLOOKUP($D830,'Bütçe Kalemleri'!$B$5:$D$304,3,FALSE)),"— tanımsız kalem —")</f>
      </c>
      <c r="F830" s="11"/>
      <c r="G830" s="13"/>
      <c r="H830" s="17"/>
      <c r="I830" s="16">
        <f>IF($G830="",0,$G830*IF($H830="",0,$H830))</f>
      </c>
      <c r="J830" s="16">
        <f>IF($G830="","",$G830+$I830)</f>
      </c>
      <c r="K830" s="11"/>
    </row>
    <row r="831" spans="2:11" x14ac:dyDescent="0.25">
      <c r="B831" s="9"/>
      <c r="C831" s="8"/>
      <c r="D831" s="8"/>
      <c r="E831" s="14">
        <f>IFERROR(IF($D831="","",VLOOKUP($D831,'Bütçe Kalemleri'!$B$5:$D$304,3,FALSE)),"— tanımsız kalem —")</f>
      </c>
      <c r="F831" s="8"/>
      <c r="G831" s="10"/>
      <c r="H831" s="15"/>
      <c r="I831" s="16">
        <f>IF($G831="",0,$G831*IF($H831="",0,$H831))</f>
      </c>
      <c r="J831" s="16">
        <f>IF($G831="","",$G831+$I831)</f>
      </c>
      <c r="K831" s="8"/>
    </row>
    <row r="832" spans="2:11" x14ac:dyDescent="0.25">
      <c r="B832" s="12"/>
      <c r="C832" s="11"/>
      <c r="D832" s="11"/>
      <c r="E832" s="14">
        <f>IFERROR(IF($D832="","",VLOOKUP($D832,'Bütçe Kalemleri'!$B$5:$D$304,3,FALSE)),"— tanımsız kalem —")</f>
      </c>
      <c r="F832" s="11"/>
      <c r="G832" s="13"/>
      <c r="H832" s="17"/>
      <c r="I832" s="16">
        <f>IF($G832="",0,$G832*IF($H832="",0,$H832))</f>
      </c>
      <c r="J832" s="16">
        <f>IF($G832="","",$G832+$I832)</f>
      </c>
      <c r="K832" s="11"/>
    </row>
    <row r="833" spans="2:11" x14ac:dyDescent="0.25">
      <c r="B833" s="9"/>
      <c r="C833" s="8"/>
      <c r="D833" s="8"/>
      <c r="E833" s="14">
        <f>IFERROR(IF($D833="","",VLOOKUP($D833,'Bütçe Kalemleri'!$B$5:$D$304,3,FALSE)),"— tanımsız kalem —")</f>
      </c>
      <c r="F833" s="8"/>
      <c r="G833" s="10"/>
      <c r="H833" s="15"/>
      <c r="I833" s="16">
        <f>IF($G833="",0,$G833*IF($H833="",0,$H833))</f>
      </c>
      <c r="J833" s="16">
        <f>IF($G833="","",$G833+$I833)</f>
      </c>
      <c r="K833" s="8"/>
    </row>
    <row r="834" spans="2:11" x14ac:dyDescent="0.25">
      <c r="B834" s="12"/>
      <c r="C834" s="11"/>
      <c r="D834" s="11"/>
      <c r="E834" s="14">
        <f>IFERROR(IF($D834="","",VLOOKUP($D834,'Bütçe Kalemleri'!$B$5:$D$304,3,FALSE)),"— tanımsız kalem —")</f>
      </c>
      <c r="F834" s="11"/>
      <c r="G834" s="13"/>
      <c r="H834" s="17"/>
      <c r="I834" s="16">
        <f>IF($G834="",0,$G834*IF($H834="",0,$H834))</f>
      </c>
      <c r="J834" s="16">
        <f>IF($G834="","",$G834+$I834)</f>
      </c>
      <c r="K834" s="11"/>
    </row>
    <row r="835" spans="2:11" x14ac:dyDescent="0.25">
      <c r="B835" s="9"/>
      <c r="C835" s="8"/>
      <c r="D835" s="8"/>
      <c r="E835" s="14">
        <f>IFERROR(IF($D835="","",VLOOKUP($D835,'Bütçe Kalemleri'!$B$5:$D$304,3,FALSE)),"— tanımsız kalem —")</f>
      </c>
      <c r="F835" s="8"/>
      <c r="G835" s="10"/>
      <c r="H835" s="15"/>
      <c r="I835" s="16">
        <f>IF($G835="",0,$G835*IF($H835="",0,$H835))</f>
      </c>
      <c r="J835" s="16">
        <f>IF($G835="","",$G835+$I835)</f>
      </c>
      <c r="K835" s="8"/>
    </row>
    <row r="836" spans="2:11" x14ac:dyDescent="0.25">
      <c r="B836" s="12"/>
      <c r="C836" s="11"/>
      <c r="D836" s="11"/>
      <c r="E836" s="14">
        <f>IFERROR(IF($D836="","",VLOOKUP($D836,'Bütçe Kalemleri'!$B$5:$D$304,3,FALSE)),"— tanımsız kalem —")</f>
      </c>
      <c r="F836" s="11"/>
      <c r="G836" s="13"/>
      <c r="H836" s="17"/>
      <c r="I836" s="16">
        <f>IF($G836="",0,$G836*IF($H836="",0,$H836))</f>
      </c>
      <c r="J836" s="16">
        <f>IF($G836="","",$G836+$I836)</f>
      </c>
      <c r="K836" s="11"/>
    </row>
    <row r="837" spans="2:11" x14ac:dyDescent="0.25">
      <c r="B837" s="9"/>
      <c r="C837" s="8"/>
      <c r="D837" s="8"/>
      <c r="E837" s="14">
        <f>IFERROR(IF($D837="","",VLOOKUP($D837,'Bütçe Kalemleri'!$B$5:$D$304,3,FALSE)),"— tanımsız kalem —")</f>
      </c>
      <c r="F837" s="8"/>
      <c r="G837" s="10"/>
      <c r="H837" s="15"/>
      <c r="I837" s="16">
        <f>IF($G837="",0,$G837*IF($H837="",0,$H837))</f>
      </c>
      <c r="J837" s="16">
        <f>IF($G837="","",$G837+$I837)</f>
      </c>
      <c r="K837" s="8"/>
    </row>
    <row r="838" spans="2:11" x14ac:dyDescent="0.25">
      <c r="B838" s="12"/>
      <c r="C838" s="11"/>
      <c r="D838" s="11"/>
      <c r="E838" s="14">
        <f>IFERROR(IF($D838="","",VLOOKUP($D838,'Bütçe Kalemleri'!$B$5:$D$304,3,FALSE)),"— tanımsız kalem —")</f>
      </c>
      <c r="F838" s="11"/>
      <c r="G838" s="13"/>
      <c r="H838" s="17"/>
      <c r="I838" s="16">
        <f>IF($G838="",0,$G838*IF($H838="",0,$H838))</f>
      </c>
      <c r="J838" s="16">
        <f>IF($G838="","",$G838+$I838)</f>
      </c>
      <c r="K838" s="11"/>
    </row>
    <row r="839" spans="2:11" x14ac:dyDescent="0.25">
      <c r="B839" s="9"/>
      <c r="C839" s="8"/>
      <c r="D839" s="8"/>
      <c r="E839" s="14">
        <f>IFERROR(IF($D839="","",VLOOKUP($D839,'Bütçe Kalemleri'!$B$5:$D$304,3,FALSE)),"— tanımsız kalem —")</f>
      </c>
      <c r="F839" s="8"/>
      <c r="G839" s="10"/>
      <c r="H839" s="15"/>
      <c r="I839" s="16">
        <f>IF($G839="",0,$G839*IF($H839="",0,$H839))</f>
      </c>
      <c r="J839" s="16">
        <f>IF($G839="","",$G839+$I839)</f>
      </c>
      <c r="K839" s="8"/>
    </row>
    <row r="840" spans="2:11" x14ac:dyDescent="0.25">
      <c r="B840" s="12"/>
      <c r="C840" s="11"/>
      <c r="D840" s="11"/>
      <c r="E840" s="14">
        <f>IFERROR(IF($D840="","",VLOOKUP($D840,'Bütçe Kalemleri'!$B$5:$D$304,3,FALSE)),"— tanımsız kalem —")</f>
      </c>
      <c r="F840" s="11"/>
      <c r="G840" s="13"/>
      <c r="H840" s="17"/>
      <c r="I840" s="16">
        <f>IF($G840="",0,$G840*IF($H840="",0,$H840))</f>
      </c>
      <c r="J840" s="16">
        <f>IF($G840="","",$G840+$I840)</f>
      </c>
      <c r="K840" s="11"/>
    </row>
    <row r="841" spans="2:11" x14ac:dyDescent="0.25">
      <c r="B841" s="9"/>
      <c r="C841" s="8"/>
      <c r="D841" s="8"/>
      <c r="E841" s="14">
        <f>IFERROR(IF($D841="","",VLOOKUP($D841,'Bütçe Kalemleri'!$B$5:$D$304,3,FALSE)),"— tanımsız kalem —")</f>
      </c>
      <c r="F841" s="8"/>
      <c r="G841" s="10"/>
      <c r="H841" s="15"/>
      <c r="I841" s="16">
        <f>IF($G841="",0,$G841*IF($H841="",0,$H841))</f>
      </c>
      <c r="J841" s="16">
        <f>IF($G841="","",$G841+$I841)</f>
      </c>
      <c r="K841" s="8"/>
    </row>
    <row r="842" spans="2:11" x14ac:dyDescent="0.25">
      <c r="B842" s="12"/>
      <c r="C842" s="11"/>
      <c r="D842" s="11"/>
      <c r="E842" s="14">
        <f>IFERROR(IF($D842="","",VLOOKUP($D842,'Bütçe Kalemleri'!$B$5:$D$304,3,FALSE)),"— tanımsız kalem —")</f>
      </c>
      <c r="F842" s="11"/>
      <c r="G842" s="13"/>
      <c r="H842" s="17"/>
      <c r="I842" s="16">
        <f>IF($G842="",0,$G842*IF($H842="",0,$H842))</f>
      </c>
      <c r="J842" s="16">
        <f>IF($G842="","",$G842+$I842)</f>
      </c>
      <c r="K842" s="11"/>
    </row>
    <row r="843" spans="2:11" x14ac:dyDescent="0.25">
      <c r="B843" s="9"/>
      <c r="C843" s="8"/>
      <c r="D843" s="8"/>
      <c r="E843" s="14">
        <f>IFERROR(IF($D843="","",VLOOKUP($D843,'Bütçe Kalemleri'!$B$5:$D$304,3,FALSE)),"— tanımsız kalem —")</f>
      </c>
      <c r="F843" s="8"/>
      <c r="G843" s="10"/>
      <c r="H843" s="15"/>
      <c r="I843" s="16">
        <f>IF($G843="",0,$G843*IF($H843="",0,$H843))</f>
      </c>
      <c r="J843" s="16">
        <f>IF($G843="","",$G843+$I843)</f>
      </c>
      <c r="K843" s="8"/>
    </row>
    <row r="844" spans="2:11" x14ac:dyDescent="0.25">
      <c r="B844" s="12"/>
      <c r="C844" s="11"/>
      <c r="D844" s="11"/>
      <c r="E844" s="14">
        <f>IFERROR(IF($D844="","",VLOOKUP($D844,'Bütçe Kalemleri'!$B$5:$D$304,3,FALSE)),"— tanımsız kalem —")</f>
      </c>
      <c r="F844" s="11"/>
      <c r="G844" s="13"/>
      <c r="H844" s="17"/>
      <c r="I844" s="16">
        <f>IF($G844="",0,$G844*IF($H844="",0,$H844))</f>
      </c>
      <c r="J844" s="16">
        <f>IF($G844="","",$G844+$I844)</f>
      </c>
      <c r="K844" s="11"/>
    </row>
    <row r="845" spans="2:11" x14ac:dyDescent="0.25">
      <c r="B845" s="9"/>
      <c r="C845" s="8"/>
      <c r="D845" s="8"/>
      <c r="E845" s="14">
        <f>IFERROR(IF($D845="","",VLOOKUP($D845,'Bütçe Kalemleri'!$B$5:$D$304,3,FALSE)),"— tanımsız kalem —")</f>
      </c>
      <c r="F845" s="8"/>
      <c r="G845" s="10"/>
      <c r="H845" s="15"/>
      <c r="I845" s="16">
        <f>IF($G845="",0,$G845*IF($H845="",0,$H845))</f>
      </c>
      <c r="J845" s="16">
        <f>IF($G845="","",$G845+$I845)</f>
      </c>
      <c r="K845" s="8"/>
    </row>
    <row r="846" spans="2:11" x14ac:dyDescent="0.25">
      <c r="B846" s="12"/>
      <c r="C846" s="11"/>
      <c r="D846" s="11"/>
      <c r="E846" s="14">
        <f>IFERROR(IF($D846="","",VLOOKUP($D846,'Bütçe Kalemleri'!$B$5:$D$304,3,FALSE)),"— tanımsız kalem —")</f>
      </c>
      <c r="F846" s="11"/>
      <c r="G846" s="13"/>
      <c r="H846" s="17"/>
      <c r="I846" s="16">
        <f>IF($G846="",0,$G846*IF($H846="",0,$H846))</f>
      </c>
      <c r="J846" s="16">
        <f>IF($G846="","",$G846+$I846)</f>
      </c>
      <c r="K846" s="11"/>
    </row>
    <row r="847" spans="2:11" x14ac:dyDescent="0.25">
      <c r="B847" s="9"/>
      <c r="C847" s="8"/>
      <c r="D847" s="8"/>
      <c r="E847" s="14">
        <f>IFERROR(IF($D847="","",VLOOKUP($D847,'Bütçe Kalemleri'!$B$5:$D$304,3,FALSE)),"— tanımsız kalem —")</f>
      </c>
      <c r="F847" s="8"/>
      <c r="G847" s="10"/>
      <c r="H847" s="15"/>
      <c r="I847" s="16">
        <f>IF($G847="",0,$G847*IF($H847="",0,$H847))</f>
      </c>
      <c r="J847" s="16">
        <f>IF($G847="","",$G847+$I847)</f>
      </c>
      <c r="K847" s="8"/>
    </row>
    <row r="848" spans="2:11" x14ac:dyDescent="0.25">
      <c r="B848" s="12"/>
      <c r="C848" s="11"/>
      <c r="D848" s="11"/>
      <c r="E848" s="14">
        <f>IFERROR(IF($D848="","",VLOOKUP($D848,'Bütçe Kalemleri'!$B$5:$D$304,3,FALSE)),"— tanımsız kalem —")</f>
      </c>
      <c r="F848" s="11"/>
      <c r="G848" s="13"/>
      <c r="H848" s="17"/>
      <c r="I848" s="16">
        <f>IF($G848="",0,$G848*IF($H848="",0,$H848))</f>
      </c>
      <c r="J848" s="16">
        <f>IF($G848="","",$G848+$I848)</f>
      </c>
      <c r="K848" s="11"/>
    </row>
    <row r="849" spans="2:11" x14ac:dyDescent="0.25">
      <c r="B849" s="9"/>
      <c r="C849" s="8"/>
      <c r="D849" s="8"/>
      <c r="E849" s="14">
        <f>IFERROR(IF($D849="","",VLOOKUP($D849,'Bütçe Kalemleri'!$B$5:$D$304,3,FALSE)),"— tanımsız kalem —")</f>
      </c>
      <c r="F849" s="8"/>
      <c r="G849" s="10"/>
      <c r="H849" s="15"/>
      <c r="I849" s="16">
        <f>IF($G849="",0,$G849*IF($H849="",0,$H849))</f>
      </c>
      <c r="J849" s="16">
        <f>IF($G849="","",$G849+$I849)</f>
      </c>
      <c r="K849" s="8"/>
    </row>
    <row r="850" spans="2:11" x14ac:dyDescent="0.25">
      <c r="B850" s="12"/>
      <c r="C850" s="11"/>
      <c r="D850" s="11"/>
      <c r="E850" s="14">
        <f>IFERROR(IF($D850="","",VLOOKUP($D850,'Bütçe Kalemleri'!$B$5:$D$304,3,FALSE)),"— tanımsız kalem —")</f>
      </c>
      <c r="F850" s="11"/>
      <c r="G850" s="13"/>
      <c r="H850" s="17"/>
      <c r="I850" s="16">
        <f>IF($G850="",0,$G850*IF($H850="",0,$H850))</f>
      </c>
      <c r="J850" s="16">
        <f>IF($G850="","",$G850+$I850)</f>
      </c>
      <c r="K850" s="11"/>
    </row>
    <row r="851" spans="2:11" x14ac:dyDescent="0.25">
      <c r="B851" s="9"/>
      <c r="C851" s="8"/>
      <c r="D851" s="8"/>
      <c r="E851" s="14">
        <f>IFERROR(IF($D851="","",VLOOKUP($D851,'Bütçe Kalemleri'!$B$5:$D$304,3,FALSE)),"— tanımsız kalem —")</f>
      </c>
      <c r="F851" s="8"/>
      <c r="G851" s="10"/>
      <c r="H851" s="15"/>
      <c r="I851" s="16">
        <f>IF($G851="",0,$G851*IF($H851="",0,$H851))</f>
      </c>
      <c r="J851" s="16">
        <f>IF($G851="","",$G851+$I851)</f>
      </c>
      <c r="K851" s="8"/>
    </row>
    <row r="852" spans="2:11" x14ac:dyDescent="0.25">
      <c r="B852" s="12"/>
      <c r="C852" s="11"/>
      <c r="D852" s="11"/>
      <c r="E852" s="14">
        <f>IFERROR(IF($D852="","",VLOOKUP($D852,'Bütçe Kalemleri'!$B$5:$D$304,3,FALSE)),"— tanımsız kalem —")</f>
      </c>
      <c r="F852" s="11"/>
      <c r="G852" s="13"/>
      <c r="H852" s="17"/>
      <c r="I852" s="16">
        <f>IF($G852="",0,$G852*IF($H852="",0,$H852))</f>
      </c>
      <c r="J852" s="16">
        <f>IF($G852="","",$G852+$I852)</f>
      </c>
      <c r="K852" s="11"/>
    </row>
    <row r="853" spans="2:11" x14ac:dyDescent="0.25">
      <c r="B853" s="9"/>
      <c r="C853" s="8"/>
      <c r="D853" s="8"/>
      <c r="E853" s="14">
        <f>IFERROR(IF($D853="","",VLOOKUP($D853,'Bütçe Kalemleri'!$B$5:$D$304,3,FALSE)),"— tanımsız kalem —")</f>
      </c>
      <c r="F853" s="8"/>
      <c r="G853" s="10"/>
      <c r="H853" s="15"/>
      <c r="I853" s="16">
        <f>IF($G853="",0,$G853*IF($H853="",0,$H853))</f>
      </c>
      <c r="J853" s="16">
        <f>IF($G853="","",$G853+$I853)</f>
      </c>
      <c r="K853" s="8"/>
    </row>
    <row r="854" spans="2:11" x14ac:dyDescent="0.25">
      <c r="B854" s="12"/>
      <c r="C854" s="11"/>
      <c r="D854" s="11"/>
      <c r="E854" s="14">
        <f>IFERROR(IF($D854="","",VLOOKUP($D854,'Bütçe Kalemleri'!$B$5:$D$304,3,FALSE)),"— tanımsız kalem —")</f>
      </c>
      <c r="F854" s="11"/>
      <c r="G854" s="13"/>
      <c r="H854" s="17"/>
      <c r="I854" s="16">
        <f>IF($G854="",0,$G854*IF($H854="",0,$H854))</f>
      </c>
      <c r="J854" s="16">
        <f>IF($G854="","",$G854+$I854)</f>
      </c>
      <c r="K854" s="11"/>
    </row>
    <row r="855" spans="2:11" x14ac:dyDescent="0.25">
      <c r="B855" s="9"/>
      <c r="C855" s="8"/>
      <c r="D855" s="8"/>
      <c r="E855" s="14">
        <f>IFERROR(IF($D855="","",VLOOKUP($D855,'Bütçe Kalemleri'!$B$5:$D$304,3,FALSE)),"— tanımsız kalem —")</f>
      </c>
      <c r="F855" s="8"/>
      <c r="G855" s="10"/>
      <c r="H855" s="15"/>
      <c r="I855" s="16">
        <f>IF($G855="",0,$G855*IF($H855="",0,$H855))</f>
      </c>
      <c r="J855" s="16">
        <f>IF($G855="","",$G855+$I855)</f>
      </c>
      <c r="K855" s="8"/>
    </row>
    <row r="856" spans="2:11" x14ac:dyDescent="0.25">
      <c r="B856" s="12"/>
      <c r="C856" s="11"/>
      <c r="D856" s="11"/>
      <c r="E856" s="14">
        <f>IFERROR(IF($D856="","",VLOOKUP($D856,'Bütçe Kalemleri'!$B$5:$D$304,3,FALSE)),"— tanımsız kalem —")</f>
      </c>
      <c r="F856" s="11"/>
      <c r="G856" s="13"/>
      <c r="H856" s="17"/>
      <c r="I856" s="16">
        <f>IF($G856="",0,$G856*IF($H856="",0,$H856))</f>
      </c>
      <c r="J856" s="16">
        <f>IF($G856="","",$G856+$I856)</f>
      </c>
      <c r="K856" s="11"/>
    </row>
    <row r="857" spans="2:11" x14ac:dyDescent="0.25">
      <c r="B857" s="9"/>
      <c r="C857" s="8"/>
      <c r="D857" s="8"/>
      <c r="E857" s="14">
        <f>IFERROR(IF($D857="","",VLOOKUP($D857,'Bütçe Kalemleri'!$B$5:$D$304,3,FALSE)),"— tanımsız kalem —")</f>
      </c>
      <c r="F857" s="8"/>
      <c r="G857" s="10"/>
      <c r="H857" s="15"/>
      <c r="I857" s="16">
        <f>IF($G857="",0,$G857*IF($H857="",0,$H857))</f>
      </c>
      <c r="J857" s="16">
        <f>IF($G857="","",$G857+$I857)</f>
      </c>
      <c r="K857" s="8"/>
    </row>
    <row r="858" spans="2:11" x14ac:dyDescent="0.25">
      <c r="B858" s="12"/>
      <c r="C858" s="11"/>
      <c r="D858" s="11"/>
      <c r="E858" s="14">
        <f>IFERROR(IF($D858="","",VLOOKUP($D858,'Bütçe Kalemleri'!$B$5:$D$304,3,FALSE)),"— tanımsız kalem —")</f>
      </c>
      <c r="F858" s="11"/>
      <c r="G858" s="13"/>
      <c r="H858" s="17"/>
      <c r="I858" s="16">
        <f>IF($G858="",0,$G858*IF($H858="",0,$H858))</f>
      </c>
      <c r="J858" s="16">
        <f>IF($G858="","",$G858+$I858)</f>
      </c>
      <c r="K858" s="11"/>
    </row>
    <row r="859" spans="2:11" x14ac:dyDescent="0.25">
      <c r="B859" s="9"/>
      <c r="C859" s="8"/>
      <c r="D859" s="8"/>
      <c r="E859" s="14">
        <f>IFERROR(IF($D859="","",VLOOKUP($D859,'Bütçe Kalemleri'!$B$5:$D$304,3,FALSE)),"— tanımsız kalem —")</f>
      </c>
      <c r="F859" s="8"/>
      <c r="G859" s="10"/>
      <c r="H859" s="15"/>
      <c r="I859" s="16">
        <f>IF($G859="",0,$G859*IF($H859="",0,$H859))</f>
      </c>
      <c r="J859" s="16">
        <f>IF($G859="","",$G859+$I859)</f>
      </c>
      <c r="K859" s="8"/>
    </row>
    <row r="860" spans="2:11" x14ac:dyDescent="0.25">
      <c r="B860" s="12"/>
      <c r="C860" s="11"/>
      <c r="D860" s="11"/>
      <c r="E860" s="14">
        <f>IFERROR(IF($D860="","",VLOOKUP($D860,'Bütçe Kalemleri'!$B$5:$D$304,3,FALSE)),"— tanımsız kalem —")</f>
      </c>
      <c r="F860" s="11"/>
      <c r="G860" s="13"/>
      <c r="H860" s="17"/>
      <c r="I860" s="16">
        <f>IF($G860="",0,$G860*IF($H860="",0,$H860))</f>
      </c>
      <c r="J860" s="16">
        <f>IF($G860="","",$G860+$I860)</f>
      </c>
      <c r="K860" s="11"/>
    </row>
    <row r="861" spans="2:11" x14ac:dyDescent="0.25">
      <c r="B861" s="9"/>
      <c r="C861" s="8"/>
      <c r="D861" s="8"/>
      <c r="E861" s="14">
        <f>IFERROR(IF($D861="","",VLOOKUP($D861,'Bütçe Kalemleri'!$B$5:$D$304,3,FALSE)),"— tanımsız kalem —")</f>
      </c>
      <c r="F861" s="8"/>
      <c r="G861" s="10"/>
      <c r="H861" s="15"/>
      <c r="I861" s="16">
        <f>IF($G861="",0,$G861*IF($H861="",0,$H861))</f>
      </c>
      <c r="J861" s="16">
        <f>IF($G861="","",$G861+$I861)</f>
      </c>
      <c r="K861" s="8"/>
    </row>
    <row r="862" spans="2:11" x14ac:dyDescent="0.25">
      <c r="B862" s="12"/>
      <c r="C862" s="11"/>
      <c r="D862" s="11"/>
      <c r="E862" s="14">
        <f>IFERROR(IF($D862="","",VLOOKUP($D862,'Bütçe Kalemleri'!$B$5:$D$304,3,FALSE)),"— tanımsız kalem —")</f>
      </c>
      <c r="F862" s="11"/>
      <c r="G862" s="13"/>
      <c r="H862" s="17"/>
      <c r="I862" s="16">
        <f>IF($G862="",0,$G862*IF($H862="",0,$H862))</f>
      </c>
      <c r="J862" s="16">
        <f>IF($G862="","",$G862+$I862)</f>
      </c>
      <c r="K862" s="11"/>
    </row>
    <row r="863" spans="2:11" x14ac:dyDescent="0.25">
      <c r="B863" s="9"/>
      <c r="C863" s="8"/>
      <c r="D863" s="8"/>
      <c r="E863" s="14">
        <f>IFERROR(IF($D863="","",VLOOKUP($D863,'Bütçe Kalemleri'!$B$5:$D$304,3,FALSE)),"— tanımsız kalem —")</f>
      </c>
      <c r="F863" s="8"/>
      <c r="G863" s="10"/>
      <c r="H863" s="15"/>
      <c r="I863" s="16">
        <f>IF($G863="",0,$G863*IF($H863="",0,$H863))</f>
      </c>
      <c r="J863" s="16">
        <f>IF($G863="","",$G863+$I863)</f>
      </c>
      <c r="K863" s="8"/>
    </row>
    <row r="864" spans="2:11" x14ac:dyDescent="0.25">
      <c r="B864" s="12"/>
      <c r="C864" s="11"/>
      <c r="D864" s="11"/>
      <c r="E864" s="14">
        <f>IFERROR(IF($D864="","",VLOOKUP($D864,'Bütçe Kalemleri'!$B$5:$D$304,3,FALSE)),"— tanımsız kalem —")</f>
      </c>
      <c r="F864" s="11"/>
      <c r="G864" s="13"/>
      <c r="H864" s="17"/>
      <c r="I864" s="16">
        <f>IF($G864="",0,$G864*IF($H864="",0,$H864))</f>
      </c>
      <c r="J864" s="16">
        <f>IF($G864="","",$G864+$I864)</f>
      </c>
      <c r="K864" s="11"/>
    </row>
    <row r="865" spans="2:11" x14ac:dyDescent="0.25">
      <c r="B865" s="9"/>
      <c r="C865" s="8"/>
      <c r="D865" s="8"/>
      <c r="E865" s="14">
        <f>IFERROR(IF($D865="","",VLOOKUP($D865,'Bütçe Kalemleri'!$B$5:$D$304,3,FALSE)),"— tanımsız kalem —")</f>
      </c>
      <c r="F865" s="8"/>
      <c r="G865" s="10"/>
      <c r="H865" s="15"/>
      <c r="I865" s="16">
        <f>IF($G865="",0,$G865*IF($H865="",0,$H865))</f>
      </c>
      <c r="J865" s="16">
        <f>IF($G865="","",$G865+$I865)</f>
      </c>
      <c r="K865" s="8"/>
    </row>
    <row r="866" spans="2:11" x14ac:dyDescent="0.25">
      <c r="B866" s="12"/>
      <c r="C866" s="11"/>
      <c r="D866" s="11"/>
      <c r="E866" s="14">
        <f>IFERROR(IF($D866="","",VLOOKUP($D866,'Bütçe Kalemleri'!$B$5:$D$304,3,FALSE)),"— tanımsız kalem —")</f>
      </c>
      <c r="F866" s="11"/>
      <c r="G866" s="13"/>
      <c r="H866" s="17"/>
      <c r="I866" s="16">
        <f>IF($G866="",0,$G866*IF($H866="",0,$H866))</f>
      </c>
      <c r="J866" s="16">
        <f>IF($G866="","",$G866+$I866)</f>
      </c>
      <c r="K866" s="11"/>
    </row>
    <row r="867" spans="2:11" x14ac:dyDescent="0.25">
      <c r="B867" s="9"/>
      <c r="C867" s="8"/>
      <c r="D867" s="8"/>
      <c r="E867" s="14">
        <f>IFERROR(IF($D867="","",VLOOKUP($D867,'Bütçe Kalemleri'!$B$5:$D$304,3,FALSE)),"— tanımsız kalem —")</f>
      </c>
      <c r="F867" s="8"/>
      <c r="G867" s="10"/>
      <c r="H867" s="15"/>
      <c r="I867" s="16">
        <f>IF($G867="",0,$G867*IF($H867="",0,$H867))</f>
      </c>
      <c r="J867" s="16">
        <f>IF($G867="","",$G867+$I867)</f>
      </c>
      <c r="K867" s="8"/>
    </row>
    <row r="868" spans="2:11" x14ac:dyDescent="0.25">
      <c r="B868" s="12"/>
      <c r="C868" s="11"/>
      <c r="D868" s="11"/>
      <c r="E868" s="14">
        <f>IFERROR(IF($D868="","",VLOOKUP($D868,'Bütçe Kalemleri'!$B$5:$D$304,3,FALSE)),"— tanımsız kalem —")</f>
      </c>
      <c r="F868" s="11"/>
      <c r="G868" s="13"/>
      <c r="H868" s="17"/>
      <c r="I868" s="16">
        <f>IF($G868="",0,$G868*IF($H868="",0,$H868))</f>
      </c>
      <c r="J868" s="16">
        <f>IF($G868="","",$G868+$I868)</f>
      </c>
      <c r="K868" s="11"/>
    </row>
    <row r="869" spans="2:11" x14ac:dyDescent="0.25">
      <c r="B869" s="9"/>
      <c r="C869" s="8"/>
      <c r="D869" s="8"/>
      <c r="E869" s="14">
        <f>IFERROR(IF($D869="","",VLOOKUP($D869,'Bütçe Kalemleri'!$B$5:$D$304,3,FALSE)),"— tanımsız kalem —")</f>
      </c>
      <c r="F869" s="8"/>
      <c r="G869" s="10"/>
      <c r="H869" s="15"/>
      <c r="I869" s="16">
        <f>IF($G869="",0,$G869*IF($H869="",0,$H869))</f>
      </c>
      <c r="J869" s="16">
        <f>IF($G869="","",$G869+$I869)</f>
      </c>
      <c r="K869" s="8"/>
    </row>
    <row r="870" spans="2:11" x14ac:dyDescent="0.25">
      <c r="B870" s="12"/>
      <c r="C870" s="11"/>
      <c r="D870" s="11"/>
      <c r="E870" s="14">
        <f>IFERROR(IF($D870="","",VLOOKUP($D870,'Bütçe Kalemleri'!$B$5:$D$304,3,FALSE)),"— tanımsız kalem —")</f>
      </c>
      <c r="F870" s="11"/>
      <c r="G870" s="13"/>
      <c r="H870" s="17"/>
      <c r="I870" s="16">
        <f>IF($G870="",0,$G870*IF($H870="",0,$H870))</f>
      </c>
      <c r="J870" s="16">
        <f>IF($G870="","",$G870+$I870)</f>
      </c>
      <c r="K870" s="11"/>
    </row>
    <row r="871" spans="2:11" x14ac:dyDescent="0.25">
      <c r="B871" s="9"/>
      <c r="C871" s="8"/>
      <c r="D871" s="8"/>
      <c r="E871" s="14">
        <f>IFERROR(IF($D871="","",VLOOKUP($D871,'Bütçe Kalemleri'!$B$5:$D$304,3,FALSE)),"— tanımsız kalem —")</f>
      </c>
      <c r="F871" s="8"/>
      <c r="G871" s="10"/>
      <c r="H871" s="15"/>
      <c r="I871" s="16">
        <f>IF($G871="",0,$G871*IF($H871="",0,$H871))</f>
      </c>
      <c r="J871" s="16">
        <f>IF($G871="","",$G871+$I871)</f>
      </c>
      <c r="K871" s="8"/>
    </row>
    <row r="872" spans="2:11" x14ac:dyDescent="0.25">
      <c r="B872" s="12"/>
      <c r="C872" s="11"/>
      <c r="D872" s="11"/>
      <c r="E872" s="14">
        <f>IFERROR(IF($D872="","",VLOOKUP($D872,'Bütçe Kalemleri'!$B$5:$D$304,3,FALSE)),"— tanımsız kalem —")</f>
      </c>
      <c r="F872" s="11"/>
      <c r="G872" s="13"/>
      <c r="H872" s="17"/>
      <c r="I872" s="16">
        <f>IF($G872="",0,$G872*IF($H872="",0,$H872))</f>
      </c>
      <c r="J872" s="16">
        <f>IF($G872="","",$G872+$I872)</f>
      </c>
      <c r="K872" s="11"/>
    </row>
    <row r="873" spans="2:11" x14ac:dyDescent="0.25">
      <c r="B873" s="9"/>
      <c r="C873" s="8"/>
      <c r="D873" s="8"/>
      <c r="E873" s="14">
        <f>IFERROR(IF($D873="","",VLOOKUP($D873,'Bütçe Kalemleri'!$B$5:$D$304,3,FALSE)),"— tanımsız kalem —")</f>
      </c>
      <c r="F873" s="8"/>
      <c r="G873" s="10"/>
      <c r="H873" s="15"/>
      <c r="I873" s="16">
        <f>IF($G873="",0,$G873*IF($H873="",0,$H873))</f>
      </c>
      <c r="J873" s="16">
        <f>IF($G873="","",$G873+$I873)</f>
      </c>
      <c r="K873" s="8"/>
    </row>
    <row r="874" spans="2:11" x14ac:dyDescent="0.25">
      <c r="B874" s="12"/>
      <c r="C874" s="11"/>
      <c r="D874" s="11"/>
      <c r="E874" s="14">
        <f>IFERROR(IF($D874="","",VLOOKUP($D874,'Bütçe Kalemleri'!$B$5:$D$304,3,FALSE)),"— tanımsız kalem —")</f>
      </c>
      <c r="F874" s="11"/>
      <c r="G874" s="13"/>
      <c r="H874" s="17"/>
      <c r="I874" s="16">
        <f>IF($G874="",0,$G874*IF($H874="",0,$H874))</f>
      </c>
      <c r="J874" s="16">
        <f>IF($G874="","",$G874+$I874)</f>
      </c>
      <c r="K874" s="11"/>
    </row>
    <row r="875" spans="2:11" x14ac:dyDescent="0.25">
      <c r="B875" s="9"/>
      <c r="C875" s="8"/>
      <c r="D875" s="8"/>
      <c r="E875" s="14">
        <f>IFERROR(IF($D875="","",VLOOKUP($D875,'Bütçe Kalemleri'!$B$5:$D$304,3,FALSE)),"— tanımsız kalem —")</f>
      </c>
      <c r="F875" s="8"/>
      <c r="G875" s="10"/>
      <c r="H875" s="15"/>
      <c r="I875" s="16">
        <f>IF($G875="",0,$G875*IF($H875="",0,$H875))</f>
      </c>
      <c r="J875" s="16">
        <f>IF($G875="","",$G875+$I875)</f>
      </c>
      <c r="K875" s="8"/>
    </row>
    <row r="876" spans="2:11" x14ac:dyDescent="0.25">
      <c r="B876" s="12"/>
      <c r="C876" s="11"/>
      <c r="D876" s="11"/>
      <c r="E876" s="14">
        <f>IFERROR(IF($D876="","",VLOOKUP($D876,'Bütçe Kalemleri'!$B$5:$D$304,3,FALSE)),"— tanımsız kalem —")</f>
      </c>
      <c r="F876" s="11"/>
      <c r="G876" s="13"/>
      <c r="H876" s="17"/>
      <c r="I876" s="16">
        <f>IF($G876="",0,$G876*IF($H876="",0,$H876))</f>
      </c>
      <c r="J876" s="16">
        <f>IF($G876="","",$G876+$I876)</f>
      </c>
      <c r="K876" s="11"/>
    </row>
    <row r="877" spans="2:11" x14ac:dyDescent="0.25">
      <c r="B877" s="9"/>
      <c r="C877" s="8"/>
      <c r="D877" s="8"/>
      <c r="E877" s="14">
        <f>IFERROR(IF($D877="","",VLOOKUP($D877,'Bütçe Kalemleri'!$B$5:$D$304,3,FALSE)),"— tanımsız kalem —")</f>
      </c>
      <c r="F877" s="8"/>
      <c r="G877" s="10"/>
      <c r="H877" s="15"/>
      <c r="I877" s="16">
        <f>IF($G877="",0,$G877*IF($H877="",0,$H877))</f>
      </c>
      <c r="J877" s="16">
        <f>IF($G877="","",$G877+$I877)</f>
      </c>
      <c r="K877" s="8"/>
    </row>
    <row r="878" spans="2:11" x14ac:dyDescent="0.25">
      <c r="B878" s="12"/>
      <c r="C878" s="11"/>
      <c r="D878" s="11"/>
      <c r="E878" s="14">
        <f>IFERROR(IF($D878="","",VLOOKUP($D878,'Bütçe Kalemleri'!$B$5:$D$304,3,FALSE)),"— tanımsız kalem —")</f>
      </c>
      <c r="F878" s="11"/>
      <c r="G878" s="13"/>
      <c r="H878" s="17"/>
      <c r="I878" s="16">
        <f>IF($G878="",0,$G878*IF($H878="",0,$H878))</f>
      </c>
      <c r="J878" s="16">
        <f>IF($G878="","",$G878+$I878)</f>
      </c>
      <c r="K878" s="11"/>
    </row>
    <row r="879" spans="2:11" x14ac:dyDescent="0.25">
      <c r="B879" s="9"/>
      <c r="C879" s="8"/>
      <c r="D879" s="8"/>
      <c r="E879" s="14">
        <f>IFERROR(IF($D879="","",VLOOKUP($D879,'Bütçe Kalemleri'!$B$5:$D$304,3,FALSE)),"— tanımsız kalem —")</f>
      </c>
      <c r="F879" s="8"/>
      <c r="G879" s="10"/>
      <c r="H879" s="15"/>
      <c r="I879" s="16">
        <f>IF($G879="",0,$G879*IF($H879="",0,$H879))</f>
      </c>
      <c r="J879" s="16">
        <f>IF($G879="","",$G879+$I879)</f>
      </c>
      <c r="K879" s="8"/>
    </row>
    <row r="880" spans="2:11" x14ac:dyDescent="0.25">
      <c r="B880" s="12"/>
      <c r="C880" s="11"/>
      <c r="D880" s="11"/>
      <c r="E880" s="14">
        <f>IFERROR(IF($D880="","",VLOOKUP($D880,'Bütçe Kalemleri'!$B$5:$D$304,3,FALSE)),"— tanımsız kalem —")</f>
      </c>
      <c r="F880" s="11"/>
      <c r="G880" s="13"/>
      <c r="H880" s="17"/>
      <c r="I880" s="16">
        <f>IF($G880="",0,$G880*IF($H880="",0,$H880))</f>
      </c>
      <c r="J880" s="16">
        <f>IF($G880="","",$G880+$I880)</f>
      </c>
      <c r="K880" s="11"/>
    </row>
    <row r="881" spans="2:11" x14ac:dyDescent="0.25">
      <c r="B881" s="9"/>
      <c r="C881" s="8"/>
      <c r="D881" s="8"/>
      <c r="E881" s="14">
        <f>IFERROR(IF($D881="","",VLOOKUP($D881,'Bütçe Kalemleri'!$B$5:$D$304,3,FALSE)),"— tanımsız kalem —")</f>
      </c>
      <c r="F881" s="8"/>
      <c r="G881" s="10"/>
      <c r="H881" s="15"/>
      <c r="I881" s="16">
        <f>IF($G881="",0,$G881*IF($H881="",0,$H881))</f>
      </c>
      <c r="J881" s="16">
        <f>IF($G881="","",$G881+$I881)</f>
      </c>
      <c r="K881" s="8"/>
    </row>
    <row r="882" spans="2:11" x14ac:dyDescent="0.25">
      <c r="B882" s="12"/>
      <c r="C882" s="11"/>
      <c r="D882" s="11"/>
      <c r="E882" s="14">
        <f>IFERROR(IF($D882="","",VLOOKUP($D882,'Bütçe Kalemleri'!$B$5:$D$304,3,FALSE)),"— tanımsız kalem —")</f>
      </c>
      <c r="F882" s="11"/>
      <c r="G882" s="13"/>
      <c r="H882" s="17"/>
      <c r="I882" s="16">
        <f>IF($G882="",0,$G882*IF($H882="",0,$H882))</f>
      </c>
      <c r="J882" s="16">
        <f>IF($G882="","",$G882+$I882)</f>
      </c>
      <c r="K882" s="11"/>
    </row>
    <row r="883" spans="2:11" x14ac:dyDescent="0.25">
      <c r="B883" s="9"/>
      <c r="C883" s="8"/>
      <c r="D883" s="8"/>
      <c r="E883" s="14">
        <f>IFERROR(IF($D883="","",VLOOKUP($D883,'Bütçe Kalemleri'!$B$5:$D$304,3,FALSE)),"— tanımsız kalem —")</f>
      </c>
      <c r="F883" s="8"/>
      <c r="G883" s="10"/>
      <c r="H883" s="15"/>
      <c r="I883" s="16">
        <f>IF($G883="",0,$G883*IF($H883="",0,$H883))</f>
      </c>
      <c r="J883" s="16">
        <f>IF($G883="","",$G883+$I883)</f>
      </c>
      <c r="K883" s="8"/>
    </row>
    <row r="884" spans="2:11" x14ac:dyDescent="0.25">
      <c r="B884" s="12"/>
      <c r="C884" s="11"/>
      <c r="D884" s="11"/>
      <c r="E884" s="14">
        <f>IFERROR(IF($D884="","",VLOOKUP($D884,'Bütçe Kalemleri'!$B$5:$D$304,3,FALSE)),"— tanımsız kalem —")</f>
      </c>
      <c r="F884" s="11"/>
      <c r="G884" s="13"/>
      <c r="H884" s="17"/>
      <c r="I884" s="16">
        <f>IF($G884="",0,$G884*IF($H884="",0,$H884))</f>
      </c>
      <c r="J884" s="16">
        <f>IF($G884="","",$G884+$I884)</f>
      </c>
      <c r="K884" s="11"/>
    </row>
    <row r="885" spans="2:11" x14ac:dyDescent="0.25">
      <c r="B885" s="9"/>
      <c r="C885" s="8"/>
      <c r="D885" s="8"/>
      <c r="E885" s="14">
        <f>IFERROR(IF($D885="","",VLOOKUP($D885,'Bütçe Kalemleri'!$B$5:$D$304,3,FALSE)),"— tanımsız kalem —")</f>
      </c>
      <c r="F885" s="8"/>
      <c r="G885" s="10"/>
      <c r="H885" s="15"/>
      <c r="I885" s="16">
        <f>IF($G885="",0,$G885*IF($H885="",0,$H885))</f>
      </c>
      <c r="J885" s="16">
        <f>IF($G885="","",$G885+$I885)</f>
      </c>
      <c r="K885" s="8"/>
    </row>
    <row r="886" spans="2:11" x14ac:dyDescent="0.25">
      <c r="B886" s="12"/>
      <c r="C886" s="11"/>
      <c r="D886" s="11"/>
      <c r="E886" s="14">
        <f>IFERROR(IF($D886="","",VLOOKUP($D886,'Bütçe Kalemleri'!$B$5:$D$304,3,FALSE)),"— tanımsız kalem —")</f>
      </c>
      <c r="F886" s="11"/>
      <c r="G886" s="13"/>
      <c r="H886" s="17"/>
      <c r="I886" s="16">
        <f>IF($G886="",0,$G886*IF($H886="",0,$H886))</f>
      </c>
      <c r="J886" s="16">
        <f>IF($G886="","",$G886+$I886)</f>
      </c>
      <c r="K886" s="11"/>
    </row>
    <row r="887" spans="2:11" x14ac:dyDescent="0.25">
      <c r="B887" s="9"/>
      <c r="C887" s="8"/>
      <c r="D887" s="8"/>
      <c r="E887" s="14">
        <f>IFERROR(IF($D887="","",VLOOKUP($D887,'Bütçe Kalemleri'!$B$5:$D$304,3,FALSE)),"— tanımsız kalem —")</f>
      </c>
      <c r="F887" s="8"/>
      <c r="G887" s="10"/>
      <c r="H887" s="15"/>
      <c r="I887" s="16">
        <f>IF($G887="",0,$G887*IF($H887="",0,$H887))</f>
      </c>
      <c r="J887" s="16">
        <f>IF($G887="","",$G887+$I887)</f>
      </c>
      <c r="K887" s="8"/>
    </row>
    <row r="888" spans="2:11" x14ac:dyDescent="0.25">
      <c r="B888" s="12"/>
      <c r="C888" s="11"/>
      <c r="D888" s="11"/>
      <c r="E888" s="14">
        <f>IFERROR(IF($D888="","",VLOOKUP($D888,'Bütçe Kalemleri'!$B$5:$D$304,3,FALSE)),"— tanımsız kalem —")</f>
      </c>
      <c r="F888" s="11"/>
      <c r="G888" s="13"/>
      <c r="H888" s="17"/>
      <c r="I888" s="16">
        <f>IF($G888="",0,$G888*IF($H888="",0,$H888))</f>
      </c>
      <c r="J888" s="16">
        <f>IF($G888="","",$G888+$I888)</f>
      </c>
      <c r="K888" s="11"/>
    </row>
    <row r="889" spans="2:11" x14ac:dyDescent="0.25">
      <c r="B889" s="9"/>
      <c r="C889" s="8"/>
      <c r="D889" s="8"/>
      <c r="E889" s="14">
        <f>IFERROR(IF($D889="","",VLOOKUP($D889,'Bütçe Kalemleri'!$B$5:$D$304,3,FALSE)),"— tanımsız kalem —")</f>
      </c>
      <c r="F889" s="8"/>
      <c r="G889" s="10"/>
      <c r="H889" s="15"/>
      <c r="I889" s="16">
        <f>IF($G889="",0,$G889*IF($H889="",0,$H889))</f>
      </c>
      <c r="J889" s="16">
        <f>IF($G889="","",$G889+$I889)</f>
      </c>
      <c r="K889" s="8"/>
    </row>
    <row r="890" spans="2:11" x14ac:dyDescent="0.25">
      <c r="B890" s="12"/>
      <c r="C890" s="11"/>
      <c r="D890" s="11"/>
      <c r="E890" s="14">
        <f>IFERROR(IF($D890="","",VLOOKUP($D890,'Bütçe Kalemleri'!$B$5:$D$304,3,FALSE)),"— tanımsız kalem —")</f>
      </c>
      <c r="F890" s="11"/>
      <c r="G890" s="13"/>
      <c r="H890" s="17"/>
      <c r="I890" s="16">
        <f>IF($G890="",0,$G890*IF($H890="",0,$H890))</f>
      </c>
      <c r="J890" s="16">
        <f>IF($G890="","",$G890+$I890)</f>
      </c>
      <c r="K890" s="11"/>
    </row>
    <row r="891" spans="2:11" x14ac:dyDescent="0.25">
      <c r="B891" s="9"/>
      <c r="C891" s="8"/>
      <c r="D891" s="8"/>
      <c r="E891" s="14">
        <f>IFERROR(IF($D891="","",VLOOKUP($D891,'Bütçe Kalemleri'!$B$5:$D$304,3,FALSE)),"— tanımsız kalem —")</f>
      </c>
      <c r="F891" s="8"/>
      <c r="G891" s="10"/>
      <c r="H891" s="15"/>
      <c r="I891" s="16">
        <f>IF($G891="",0,$G891*IF($H891="",0,$H891))</f>
      </c>
      <c r="J891" s="16">
        <f>IF($G891="","",$G891+$I891)</f>
      </c>
      <c r="K891" s="8"/>
    </row>
    <row r="892" spans="2:11" x14ac:dyDescent="0.25">
      <c r="B892" s="12"/>
      <c r="C892" s="11"/>
      <c r="D892" s="11"/>
      <c r="E892" s="14">
        <f>IFERROR(IF($D892="","",VLOOKUP($D892,'Bütçe Kalemleri'!$B$5:$D$304,3,FALSE)),"— tanımsız kalem —")</f>
      </c>
      <c r="F892" s="11"/>
      <c r="G892" s="13"/>
      <c r="H892" s="17"/>
      <c r="I892" s="16">
        <f>IF($G892="",0,$G892*IF($H892="",0,$H892))</f>
      </c>
      <c r="J892" s="16">
        <f>IF($G892="","",$G892+$I892)</f>
      </c>
      <c r="K892" s="11"/>
    </row>
    <row r="893" spans="2:11" x14ac:dyDescent="0.25">
      <c r="B893" s="9"/>
      <c r="C893" s="8"/>
      <c r="D893" s="8"/>
      <c r="E893" s="14">
        <f>IFERROR(IF($D893="","",VLOOKUP($D893,'Bütçe Kalemleri'!$B$5:$D$304,3,FALSE)),"— tanımsız kalem —")</f>
      </c>
      <c r="F893" s="8"/>
      <c r="G893" s="10"/>
      <c r="H893" s="15"/>
      <c r="I893" s="16">
        <f>IF($G893="",0,$G893*IF($H893="",0,$H893))</f>
      </c>
      <c r="J893" s="16">
        <f>IF($G893="","",$G893+$I893)</f>
      </c>
      <c r="K893" s="8"/>
    </row>
    <row r="894" spans="2:11" x14ac:dyDescent="0.25">
      <c r="B894" s="12"/>
      <c r="C894" s="11"/>
      <c r="D894" s="11"/>
      <c r="E894" s="14">
        <f>IFERROR(IF($D894="","",VLOOKUP($D894,'Bütçe Kalemleri'!$B$5:$D$304,3,FALSE)),"— tanımsız kalem —")</f>
      </c>
      <c r="F894" s="11"/>
      <c r="G894" s="13"/>
      <c r="H894" s="17"/>
      <c r="I894" s="16">
        <f>IF($G894="",0,$G894*IF($H894="",0,$H894))</f>
      </c>
      <c r="J894" s="16">
        <f>IF($G894="","",$G894+$I894)</f>
      </c>
      <c r="K894" s="11"/>
    </row>
    <row r="895" spans="2:11" x14ac:dyDescent="0.25">
      <c r="B895" s="9"/>
      <c r="C895" s="8"/>
      <c r="D895" s="8"/>
      <c r="E895" s="14">
        <f>IFERROR(IF($D895="","",VLOOKUP($D895,'Bütçe Kalemleri'!$B$5:$D$304,3,FALSE)),"— tanımsız kalem —")</f>
      </c>
      <c r="F895" s="8"/>
      <c r="G895" s="10"/>
      <c r="H895" s="15"/>
      <c r="I895" s="16">
        <f>IF($G895="",0,$G895*IF($H895="",0,$H895))</f>
      </c>
      <c r="J895" s="16">
        <f>IF($G895="","",$G895+$I895)</f>
      </c>
      <c r="K895" s="8"/>
    </row>
    <row r="896" spans="2:11" x14ac:dyDescent="0.25">
      <c r="B896" s="12"/>
      <c r="C896" s="11"/>
      <c r="D896" s="11"/>
      <c r="E896" s="14">
        <f>IFERROR(IF($D896="","",VLOOKUP($D896,'Bütçe Kalemleri'!$B$5:$D$304,3,FALSE)),"— tanımsız kalem —")</f>
      </c>
      <c r="F896" s="11"/>
      <c r="G896" s="13"/>
      <c r="H896" s="17"/>
      <c r="I896" s="16">
        <f>IF($G896="",0,$G896*IF($H896="",0,$H896))</f>
      </c>
      <c r="J896" s="16">
        <f>IF($G896="","",$G896+$I896)</f>
      </c>
      <c r="K896" s="11"/>
    </row>
    <row r="897" spans="2:11" x14ac:dyDescent="0.25">
      <c r="B897" s="9"/>
      <c r="C897" s="8"/>
      <c r="D897" s="8"/>
      <c r="E897" s="14">
        <f>IFERROR(IF($D897="","",VLOOKUP($D897,'Bütçe Kalemleri'!$B$5:$D$304,3,FALSE)),"— tanımsız kalem —")</f>
      </c>
      <c r="F897" s="8"/>
      <c r="G897" s="10"/>
      <c r="H897" s="15"/>
      <c r="I897" s="16">
        <f>IF($G897="",0,$G897*IF($H897="",0,$H897))</f>
      </c>
      <c r="J897" s="16">
        <f>IF($G897="","",$G897+$I897)</f>
      </c>
      <c r="K897" s="8"/>
    </row>
    <row r="898" spans="2:11" x14ac:dyDescent="0.25">
      <c r="B898" s="12"/>
      <c r="C898" s="11"/>
      <c r="D898" s="11"/>
      <c r="E898" s="14">
        <f>IFERROR(IF($D898="","",VLOOKUP($D898,'Bütçe Kalemleri'!$B$5:$D$304,3,FALSE)),"— tanımsız kalem —")</f>
      </c>
      <c r="F898" s="11"/>
      <c r="G898" s="13"/>
      <c r="H898" s="17"/>
      <c r="I898" s="16">
        <f>IF($G898="",0,$G898*IF($H898="",0,$H898))</f>
      </c>
      <c r="J898" s="16">
        <f>IF($G898="","",$G898+$I898)</f>
      </c>
      <c r="K898" s="11"/>
    </row>
    <row r="899" spans="2:11" x14ac:dyDescent="0.25">
      <c r="B899" s="9"/>
      <c r="C899" s="8"/>
      <c r="D899" s="8"/>
      <c r="E899" s="14">
        <f>IFERROR(IF($D899="","",VLOOKUP($D899,'Bütçe Kalemleri'!$B$5:$D$304,3,FALSE)),"— tanımsız kalem —")</f>
      </c>
      <c r="F899" s="8"/>
      <c r="G899" s="10"/>
      <c r="H899" s="15"/>
      <c r="I899" s="16">
        <f>IF($G899="",0,$G899*IF($H899="",0,$H899))</f>
      </c>
      <c r="J899" s="16">
        <f>IF($G899="","",$G899+$I899)</f>
      </c>
      <c r="K899" s="8"/>
    </row>
    <row r="900" spans="2:11" x14ac:dyDescent="0.25">
      <c r="B900" s="12"/>
      <c r="C900" s="11"/>
      <c r="D900" s="11"/>
      <c r="E900" s="14">
        <f>IFERROR(IF($D900="","",VLOOKUP($D900,'Bütçe Kalemleri'!$B$5:$D$304,3,FALSE)),"— tanımsız kalem —")</f>
      </c>
      <c r="F900" s="11"/>
      <c r="G900" s="13"/>
      <c r="H900" s="17"/>
      <c r="I900" s="16">
        <f>IF($G900="",0,$G900*IF($H900="",0,$H900))</f>
      </c>
      <c r="J900" s="16">
        <f>IF($G900="","",$G900+$I900)</f>
      </c>
      <c r="K900" s="11"/>
    </row>
    <row r="901" spans="2:11" x14ac:dyDescent="0.25">
      <c r="B901" s="9"/>
      <c r="C901" s="8"/>
      <c r="D901" s="8"/>
      <c r="E901" s="14">
        <f>IFERROR(IF($D901="","",VLOOKUP($D901,'Bütçe Kalemleri'!$B$5:$D$304,3,FALSE)),"— tanımsız kalem —")</f>
      </c>
      <c r="F901" s="8"/>
      <c r="G901" s="10"/>
      <c r="H901" s="15"/>
      <c r="I901" s="16">
        <f>IF($G901="",0,$G901*IF($H901="",0,$H901))</f>
      </c>
      <c r="J901" s="16">
        <f>IF($G901="","",$G901+$I901)</f>
      </c>
      <c r="K901" s="8"/>
    </row>
    <row r="902" spans="2:11" x14ac:dyDescent="0.25">
      <c r="B902" s="12"/>
      <c r="C902" s="11"/>
      <c r="D902" s="11"/>
      <c r="E902" s="14">
        <f>IFERROR(IF($D902="","",VLOOKUP($D902,'Bütçe Kalemleri'!$B$5:$D$304,3,FALSE)),"— tanımsız kalem —")</f>
      </c>
      <c r="F902" s="11"/>
      <c r="G902" s="13"/>
      <c r="H902" s="17"/>
      <c r="I902" s="16">
        <f>IF($G902="",0,$G902*IF($H902="",0,$H902))</f>
      </c>
      <c r="J902" s="16">
        <f>IF($G902="","",$G902+$I902)</f>
      </c>
      <c r="K902" s="11"/>
    </row>
    <row r="903" spans="2:11" x14ac:dyDescent="0.25">
      <c r="B903" s="9"/>
      <c r="C903" s="8"/>
      <c r="D903" s="8"/>
      <c r="E903" s="14">
        <f>IFERROR(IF($D903="","",VLOOKUP($D903,'Bütçe Kalemleri'!$B$5:$D$304,3,FALSE)),"— tanımsız kalem —")</f>
      </c>
      <c r="F903" s="8"/>
      <c r="G903" s="10"/>
      <c r="H903" s="15"/>
      <c r="I903" s="16">
        <f>IF($G903="",0,$G903*IF($H903="",0,$H903))</f>
      </c>
      <c r="J903" s="16">
        <f>IF($G903="","",$G903+$I903)</f>
      </c>
      <c r="K903" s="8"/>
    </row>
    <row r="904" spans="2:11" x14ac:dyDescent="0.25">
      <c r="B904" s="12"/>
      <c r="C904" s="11"/>
      <c r="D904" s="11"/>
      <c r="E904" s="14">
        <f>IFERROR(IF($D904="","",VLOOKUP($D904,'Bütçe Kalemleri'!$B$5:$D$304,3,FALSE)),"— tanımsız kalem —")</f>
      </c>
      <c r="F904" s="11"/>
      <c r="G904" s="13"/>
      <c r="H904" s="17"/>
      <c r="I904" s="16">
        <f>IF($G904="",0,$G904*IF($H904="",0,$H904))</f>
      </c>
      <c r="J904" s="16">
        <f>IF($G904="","",$G904+$I904)</f>
      </c>
      <c r="K904" s="11"/>
    </row>
    <row r="905" spans="2:11" x14ac:dyDescent="0.25">
      <c r="B905" s="9"/>
      <c r="C905" s="8"/>
      <c r="D905" s="8"/>
      <c r="E905" s="14">
        <f>IFERROR(IF($D905="","",VLOOKUP($D905,'Bütçe Kalemleri'!$B$5:$D$304,3,FALSE)),"— tanımsız kalem —")</f>
      </c>
      <c r="F905" s="8"/>
      <c r="G905" s="10"/>
      <c r="H905" s="15"/>
      <c r="I905" s="16">
        <f>IF($G905="",0,$G905*IF($H905="",0,$H905))</f>
      </c>
      <c r="J905" s="16">
        <f>IF($G905="","",$G905+$I905)</f>
      </c>
      <c r="K905" s="8"/>
    </row>
    <row r="906" spans="2:11" x14ac:dyDescent="0.25">
      <c r="B906" s="12"/>
      <c r="C906" s="11"/>
      <c r="D906" s="11"/>
      <c r="E906" s="14">
        <f>IFERROR(IF($D906="","",VLOOKUP($D906,'Bütçe Kalemleri'!$B$5:$D$304,3,FALSE)),"— tanımsız kalem —")</f>
      </c>
      <c r="F906" s="11"/>
      <c r="G906" s="13"/>
      <c r="H906" s="17"/>
      <c r="I906" s="16">
        <f>IF($G906="",0,$G906*IF($H906="",0,$H906))</f>
      </c>
      <c r="J906" s="16">
        <f>IF($G906="","",$G906+$I906)</f>
      </c>
      <c r="K906" s="11"/>
    </row>
    <row r="907" spans="2:11" x14ac:dyDescent="0.25">
      <c r="B907" s="9"/>
      <c r="C907" s="8"/>
      <c r="D907" s="8"/>
      <c r="E907" s="14">
        <f>IFERROR(IF($D907="","",VLOOKUP($D907,'Bütçe Kalemleri'!$B$5:$D$304,3,FALSE)),"— tanımsız kalem —")</f>
      </c>
      <c r="F907" s="8"/>
      <c r="G907" s="10"/>
      <c r="H907" s="15"/>
      <c r="I907" s="16">
        <f>IF($G907="",0,$G907*IF($H907="",0,$H907))</f>
      </c>
      <c r="J907" s="16">
        <f>IF($G907="","",$G907+$I907)</f>
      </c>
      <c r="K907" s="8"/>
    </row>
    <row r="908" spans="2:11" x14ac:dyDescent="0.25">
      <c r="B908" s="12"/>
      <c r="C908" s="11"/>
      <c r="D908" s="11"/>
      <c r="E908" s="14">
        <f>IFERROR(IF($D908="","",VLOOKUP($D908,'Bütçe Kalemleri'!$B$5:$D$304,3,FALSE)),"— tanımsız kalem —")</f>
      </c>
      <c r="F908" s="11"/>
      <c r="G908" s="13"/>
      <c r="H908" s="17"/>
      <c r="I908" s="16">
        <f>IF($G908="",0,$G908*IF($H908="",0,$H908))</f>
      </c>
      <c r="J908" s="16">
        <f>IF($G908="","",$G908+$I908)</f>
      </c>
      <c r="K908" s="11"/>
    </row>
    <row r="909" spans="2:11" x14ac:dyDescent="0.25">
      <c r="B909" s="9"/>
      <c r="C909" s="8"/>
      <c r="D909" s="8"/>
      <c r="E909" s="14">
        <f>IFERROR(IF($D909="","",VLOOKUP($D909,'Bütçe Kalemleri'!$B$5:$D$304,3,FALSE)),"— tanımsız kalem —")</f>
      </c>
      <c r="F909" s="8"/>
      <c r="G909" s="10"/>
      <c r="H909" s="15"/>
      <c r="I909" s="16">
        <f>IF($G909="",0,$G909*IF($H909="",0,$H909))</f>
      </c>
      <c r="J909" s="16">
        <f>IF($G909="","",$G909+$I909)</f>
      </c>
      <c r="K909" s="8"/>
    </row>
    <row r="910" spans="2:11" x14ac:dyDescent="0.25">
      <c r="B910" s="12"/>
      <c r="C910" s="11"/>
      <c r="D910" s="11"/>
      <c r="E910" s="14">
        <f>IFERROR(IF($D910="","",VLOOKUP($D910,'Bütçe Kalemleri'!$B$5:$D$304,3,FALSE)),"— tanımsız kalem —")</f>
      </c>
      <c r="F910" s="11"/>
      <c r="G910" s="13"/>
      <c r="H910" s="17"/>
      <c r="I910" s="16">
        <f>IF($G910="",0,$G910*IF($H910="",0,$H910))</f>
      </c>
      <c r="J910" s="16">
        <f>IF($G910="","",$G910+$I910)</f>
      </c>
      <c r="K910" s="11"/>
    </row>
    <row r="911" spans="2:11" x14ac:dyDescent="0.25">
      <c r="B911" s="9"/>
      <c r="C911" s="8"/>
      <c r="D911" s="8"/>
      <c r="E911" s="14">
        <f>IFERROR(IF($D911="","",VLOOKUP($D911,'Bütçe Kalemleri'!$B$5:$D$304,3,FALSE)),"— tanımsız kalem —")</f>
      </c>
      <c r="F911" s="8"/>
      <c r="G911" s="10"/>
      <c r="H911" s="15"/>
      <c r="I911" s="16">
        <f>IF($G911="",0,$G911*IF($H911="",0,$H911))</f>
      </c>
      <c r="J911" s="16">
        <f>IF($G911="","",$G911+$I911)</f>
      </c>
      <c r="K911" s="8"/>
    </row>
    <row r="912" spans="2:11" x14ac:dyDescent="0.25">
      <c r="B912" s="12"/>
      <c r="C912" s="11"/>
      <c r="D912" s="11"/>
      <c r="E912" s="14">
        <f>IFERROR(IF($D912="","",VLOOKUP($D912,'Bütçe Kalemleri'!$B$5:$D$304,3,FALSE)),"— tanımsız kalem —")</f>
      </c>
      <c r="F912" s="11"/>
      <c r="G912" s="13"/>
      <c r="H912" s="17"/>
      <c r="I912" s="16">
        <f>IF($G912="",0,$G912*IF($H912="",0,$H912))</f>
      </c>
      <c r="J912" s="16">
        <f>IF($G912="","",$G912+$I912)</f>
      </c>
      <c r="K912" s="11"/>
    </row>
    <row r="913" spans="2:11" x14ac:dyDescent="0.25">
      <c r="B913" s="9"/>
      <c r="C913" s="8"/>
      <c r="D913" s="8"/>
      <c r="E913" s="14">
        <f>IFERROR(IF($D913="","",VLOOKUP($D913,'Bütçe Kalemleri'!$B$5:$D$304,3,FALSE)),"— tanımsız kalem —")</f>
      </c>
      <c r="F913" s="8"/>
      <c r="G913" s="10"/>
      <c r="H913" s="15"/>
      <c r="I913" s="16">
        <f>IF($G913="",0,$G913*IF($H913="",0,$H913))</f>
      </c>
      <c r="J913" s="16">
        <f>IF($G913="","",$G913+$I913)</f>
      </c>
      <c r="K913" s="8"/>
    </row>
    <row r="914" spans="2:11" x14ac:dyDescent="0.25">
      <c r="B914" s="12"/>
      <c r="C914" s="11"/>
      <c r="D914" s="11"/>
      <c r="E914" s="14">
        <f>IFERROR(IF($D914="","",VLOOKUP($D914,'Bütçe Kalemleri'!$B$5:$D$304,3,FALSE)),"— tanımsız kalem —")</f>
      </c>
      <c r="F914" s="11"/>
      <c r="G914" s="13"/>
      <c r="H914" s="17"/>
      <c r="I914" s="16">
        <f>IF($G914="",0,$G914*IF($H914="",0,$H914))</f>
      </c>
      <c r="J914" s="16">
        <f>IF($G914="","",$G914+$I914)</f>
      </c>
      <c r="K914" s="11"/>
    </row>
    <row r="915" spans="2:11" x14ac:dyDescent="0.25">
      <c r="B915" s="9"/>
      <c r="C915" s="8"/>
      <c r="D915" s="8"/>
      <c r="E915" s="14">
        <f>IFERROR(IF($D915="","",VLOOKUP($D915,'Bütçe Kalemleri'!$B$5:$D$304,3,FALSE)),"— tanımsız kalem —")</f>
      </c>
      <c r="F915" s="8"/>
      <c r="G915" s="10"/>
      <c r="H915" s="15"/>
      <c r="I915" s="16">
        <f>IF($G915="",0,$G915*IF($H915="",0,$H915))</f>
      </c>
      <c r="J915" s="16">
        <f>IF($G915="","",$G915+$I915)</f>
      </c>
      <c r="K915" s="8"/>
    </row>
    <row r="916" spans="2:11" x14ac:dyDescent="0.25">
      <c r="B916" s="12"/>
      <c r="C916" s="11"/>
      <c r="D916" s="11"/>
      <c r="E916" s="14">
        <f>IFERROR(IF($D916="","",VLOOKUP($D916,'Bütçe Kalemleri'!$B$5:$D$304,3,FALSE)),"— tanımsız kalem —")</f>
      </c>
      <c r="F916" s="11"/>
      <c r="G916" s="13"/>
      <c r="H916" s="17"/>
      <c r="I916" s="16">
        <f>IF($G916="",0,$G916*IF($H916="",0,$H916))</f>
      </c>
      <c r="J916" s="16">
        <f>IF($G916="","",$G916+$I916)</f>
      </c>
      <c r="K916" s="11"/>
    </row>
    <row r="917" spans="2:11" x14ac:dyDescent="0.25">
      <c r="B917" s="9"/>
      <c r="C917" s="8"/>
      <c r="D917" s="8"/>
      <c r="E917" s="14">
        <f>IFERROR(IF($D917="","",VLOOKUP($D917,'Bütçe Kalemleri'!$B$5:$D$304,3,FALSE)),"— tanımsız kalem —")</f>
      </c>
      <c r="F917" s="8"/>
      <c r="G917" s="10"/>
      <c r="H917" s="15"/>
      <c r="I917" s="16">
        <f>IF($G917="",0,$G917*IF($H917="",0,$H917))</f>
      </c>
      <c r="J917" s="16">
        <f>IF($G917="","",$G917+$I917)</f>
      </c>
      <c r="K917" s="8"/>
    </row>
    <row r="918" spans="2:11" x14ac:dyDescent="0.25">
      <c r="B918" s="12"/>
      <c r="C918" s="11"/>
      <c r="D918" s="11"/>
      <c r="E918" s="14">
        <f>IFERROR(IF($D918="","",VLOOKUP($D918,'Bütçe Kalemleri'!$B$5:$D$304,3,FALSE)),"— tanımsız kalem —")</f>
      </c>
      <c r="F918" s="11"/>
      <c r="G918" s="13"/>
      <c r="H918" s="17"/>
      <c r="I918" s="16">
        <f>IF($G918="",0,$G918*IF($H918="",0,$H918))</f>
      </c>
      <c r="J918" s="16">
        <f>IF($G918="","",$G918+$I918)</f>
      </c>
      <c r="K918" s="11"/>
    </row>
    <row r="919" spans="2:11" x14ac:dyDescent="0.25">
      <c r="B919" s="9"/>
      <c r="C919" s="8"/>
      <c r="D919" s="8"/>
      <c r="E919" s="14">
        <f>IFERROR(IF($D919="","",VLOOKUP($D919,'Bütçe Kalemleri'!$B$5:$D$304,3,FALSE)),"— tanımsız kalem —")</f>
      </c>
      <c r="F919" s="8"/>
      <c r="G919" s="10"/>
      <c r="H919" s="15"/>
      <c r="I919" s="16">
        <f>IF($G919="",0,$G919*IF($H919="",0,$H919))</f>
      </c>
      <c r="J919" s="16">
        <f>IF($G919="","",$G919+$I919)</f>
      </c>
      <c r="K919" s="8"/>
    </row>
    <row r="920" spans="2:11" x14ac:dyDescent="0.25">
      <c r="B920" s="12"/>
      <c r="C920" s="11"/>
      <c r="D920" s="11"/>
      <c r="E920" s="14">
        <f>IFERROR(IF($D920="","",VLOOKUP($D920,'Bütçe Kalemleri'!$B$5:$D$304,3,FALSE)),"— tanımsız kalem —")</f>
      </c>
      <c r="F920" s="11"/>
      <c r="G920" s="13"/>
      <c r="H920" s="17"/>
      <c r="I920" s="16">
        <f>IF($G920="",0,$G920*IF($H920="",0,$H920))</f>
      </c>
      <c r="J920" s="16">
        <f>IF($G920="","",$G920+$I920)</f>
      </c>
      <c r="K920" s="11"/>
    </row>
    <row r="921" spans="2:11" x14ac:dyDescent="0.25">
      <c r="B921" s="9"/>
      <c r="C921" s="8"/>
      <c r="D921" s="8"/>
      <c r="E921" s="14">
        <f>IFERROR(IF($D921="","",VLOOKUP($D921,'Bütçe Kalemleri'!$B$5:$D$304,3,FALSE)),"— tanımsız kalem —")</f>
      </c>
      <c r="F921" s="8"/>
      <c r="G921" s="10"/>
      <c r="H921" s="15"/>
      <c r="I921" s="16">
        <f>IF($G921="",0,$G921*IF($H921="",0,$H921))</f>
      </c>
      <c r="J921" s="16">
        <f>IF($G921="","",$G921+$I921)</f>
      </c>
      <c r="K921" s="8"/>
    </row>
    <row r="922" spans="2:11" x14ac:dyDescent="0.25">
      <c r="B922" s="12"/>
      <c r="C922" s="11"/>
      <c r="D922" s="11"/>
      <c r="E922" s="14">
        <f>IFERROR(IF($D922="","",VLOOKUP($D922,'Bütçe Kalemleri'!$B$5:$D$304,3,FALSE)),"— tanımsız kalem —")</f>
      </c>
      <c r="F922" s="11"/>
      <c r="G922" s="13"/>
      <c r="H922" s="17"/>
      <c r="I922" s="16">
        <f>IF($G922="",0,$G922*IF($H922="",0,$H922))</f>
      </c>
      <c r="J922" s="16">
        <f>IF($G922="","",$G922+$I922)</f>
      </c>
      <c r="K922" s="11"/>
    </row>
    <row r="923" spans="2:11" x14ac:dyDescent="0.25">
      <c r="B923" s="9"/>
      <c r="C923" s="8"/>
      <c r="D923" s="8"/>
      <c r="E923" s="14">
        <f>IFERROR(IF($D923="","",VLOOKUP($D923,'Bütçe Kalemleri'!$B$5:$D$304,3,FALSE)),"— tanımsız kalem —")</f>
      </c>
      <c r="F923" s="8"/>
      <c r="G923" s="10"/>
      <c r="H923" s="15"/>
      <c r="I923" s="16">
        <f>IF($G923="",0,$G923*IF($H923="",0,$H923))</f>
      </c>
      <c r="J923" s="16">
        <f>IF($G923="","",$G923+$I923)</f>
      </c>
      <c r="K923" s="8"/>
    </row>
    <row r="924" spans="2:11" x14ac:dyDescent="0.25">
      <c r="B924" s="12"/>
      <c r="C924" s="11"/>
      <c r="D924" s="11"/>
      <c r="E924" s="14">
        <f>IFERROR(IF($D924="","",VLOOKUP($D924,'Bütçe Kalemleri'!$B$5:$D$304,3,FALSE)),"— tanımsız kalem —")</f>
      </c>
      <c r="F924" s="11"/>
      <c r="G924" s="13"/>
      <c r="H924" s="17"/>
      <c r="I924" s="16">
        <f>IF($G924="",0,$G924*IF($H924="",0,$H924))</f>
      </c>
      <c r="J924" s="16">
        <f>IF($G924="","",$G924+$I924)</f>
      </c>
      <c r="K924" s="11"/>
    </row>
    <row r="925" spans="2:11" x14ac:dyDescent="0.25">
      <c r="B925" s="9"/>
      <c r="C925" s="8"/>
      <c r="D925" s="8"/>
      <c r="E925" s="14">
        <f>IFERROR(IF($D925="","",VLOOKUP($D925,'Bütçe Kalemleri'!$B$5:$D$304,3,FALSE)),"— tanımsız kalem —")</f>
      </c>
      <c r="F925" s="8"/>
      <c r="G925" s="10"/>
      <c r="H925" s="15"/>
      <c r="I925" s="16">
        <f>IF($G925="",0,$G925*IF($H925="",0,$H925))</f>
      </c>
      <c r="J925" s="16">
        <f>IF($G925="","",$G925+$I925)</f>
      </c>
      <c r="K925" s="8"/>
    </row>
    <row r="926" spans="2:11" x14ac:dyDescent="0.25">
      <c r="B926" s="12"/>
      <c r="C926" s="11"/>
      <c r="D926" s="11"/>
      <c r="E926" s="14">
        <f>IFERROR(IF($D926="","",VLOOKUP($D926,'Bütçe Kalemleri'!$B$5:$D$304,3,FALSE)),"— tanımsız kalem —")</f>
      </c>
      <c r="F926" s="11"/>
      <c r="G926" s="13"/>
      <c r="H926" s="17"/>
      <c r="I926" s="16">
        <f>IF($G926="",0,$G926*IF($H926="",0,$H926))</f>
      </c>
      <c r="J926" s="16">
        <f>IF($G926="","",$G926+$I926)</f>
      </c>
      <c r="K926" s="11"/>
    </row>
    <row r="927" spans="2:11" x14ac:dyDescent="0.25">
      <c r="B927" s="9"/>
      <c r="C927" s="8"/>
      <c r="D927" s="8"/>
      <c r="E927" s="14">
        <f>IFERROR(IF($D927="","",VLOOKUP($D927,'Bütçe Kalemleri'!$B$5:$D$304,3,FALSE)),"— tanımsız kalem —")</f>
      </c>
      <c r="F927" s="8"/>
      <c r="G927" s="10"/>
      <c r="H927" s="15"/>
      <c r="I927" s="16">
        <f>IF($G927="",0,$G927*IF($H927="",0,$H927))</f>
      </c>
      <c r="J927" s="16">
        <f>IF($G927="","",$G927+$I927)</f>
      </c>
      <c r="K927" s="8"/>
    </row>
    <row r="928" spans="2:11" x14ac:dyDescent="0.25">
      <c r="B928" s="12"/>
      <c r="C928" s="11"/>
      <c r="D928" s="11"/>
      <c r="E928" s="14">
        <f>IFERROR(IF($D928="","",VLOOKUP($D928,'Bütçe Kalemleri'!$B$5:$D$304,3,FALSE)),"— tanımsız kalem —")</f>
      </c>
      <c r="F928" s="11"/>
      <c r="G928" s="13"/>
      <c r="H928" s="17"/>
      <c r="I928" s="16">
        <f>IF($G928="",0,$G928*IF($H928="",0,$H928))</f>
      </c>
      <c r="J928" s="16">
        <f>IF($G928="","",$G928+$I928)</f>
      </c>
      <c r="K928" s="11"/>
    </row>
    <row r="929" spans="2:11" x14ac:dyDescent="0.25">
      <c r="B929" s="9"/>
      <c r="C929" s="8"/>
      <c r="D929" s="8"/>
      <c r="E929" s="14">
        <f>IFERROR(IF($D929="","",VLOOKUP($D929,'Bütçe Kalemleri'!$B$5:$D$304,3,FALSE)),"— tanımsız kalem —")</f>
      </c>
      <c r="F929" s="8"/>
      <c r="G929" s="10"/>
      <c r="H929" s="15"/>
      <c r="I929" s="16">
        <f>IF($G929="",0,$G929*IF($H929="",0,$H929))</f>
      </c>
      <c r="J929" s="16">
        <f>IF($G929="","",$G929+$I929)</f>
      </c>
      <c r="K929" s="8"/>
    </row>
    <row r="930" spans="2:11" x14ac:dyDescent="0.25">
      <c r="B930" s="12"/>
      <c r="C930" s="11"/>
      <c r="D930" s="11"/>
      <c r="E930" s="14">
        <f>IFERROR(IF($D930="","",VLOOKUP($D930,'Bütçe Kalemleri'!$B$5:$D$304,3,FALSE)),"— tanımsız kalem —")</f>
      </c>
      <c r="F930" s="11"/>
      <c r="G930" s="13"/>
      <c r="H930" s="17"/>
      <c r="I930" s="16">
        <f>IF($G930="",0,$G930*IF($H930="",0,$H930))</f>
      </c>
      <c r="J930" s="16">
        <f>IF($G930="","",$G930+$I930)</f>
      </c>
      <c r="K930" s="11"/>
    </row>
    <row r="931" spans="2:11" x14ac:dyDescent="0.25">
      <c r="B931" s="9"/>
      <c r="C931" s="8"/>
      <c r="D931" s="8"/>
      <c r="E931" s="14">
        <f>IFERROR(IF($D931="","",VLOOKUP($D931,'Bütçe Kalemleri'!$B$5:$D$304,3,FALSE)),"— tanımsız kalem —")</f>
      </c>
      <c r="F931" s="8"/>
      <c r="G931" s="10"/>
      <c r="H931" s="15"/>
      <c r="I931" s="16">
        <f>IF($G931="",0,$G931*IF($H931="",0,$H931))</f>
      </c>
      <c r="J931" s="16">
        <f>IF($G931="","",$G931+$I931)</f>
      </c>
      <c r="K931" s="8"/>
    </row>
    <row r="932" spans="2:11" x14ac:dyDescent="0.25">
      <c r="B932" s="12"/>
      <c r="C932" s="11"/>
      <c r="D932" s="11"/>
      <c r="E932" s="14">
        <f>IFERROR(IF($D932="","",VLOOKUP($D932,'Bütçe Kalemleri'!$B$5:$D$304,3,FALSE)),"— tanımsız kalem —")</f>
      </c>
      <c r="F932" s="11"/>
      <c r="G932" s="13"/>
      <c r="H932" s="17"/>
      <c r="I932" s="16">
        <f>IF($G932="",0,$G932*IF($H932="",0,$H932))</f>
      </c>
      <c r="J932" s="16">
        <f>IF($G932="","",$G932+$I932)</f>
      </c>
      <c r="K932" s="11"/>
    </row>
    <row r="933" spans="2:11" x14ac:dyDescent="0.25">
      <c r="B933" s="9"/>
      <c r="C933" s="8"/>
      <c r="D933" s="8"/>
      <c r="E933" s="14">
        <f>IFERROR(IF($D933="","",VLOOKUP($D933,'Bütçe Kalemleri'!$B$5:$D$304,3,FALSE)),"— tanımsız kalem —")</f>
      </c>
      <c r="F933" s="8"/>
      <c r="G933" s="10"/>
      <c r="H933" s="15"/>
      <c r="I933" s="16">
        <f>IF($G933="",0,$G933*IF($H933="",0,$H933))</f>
      </c>
      <c r="J933" s="16">
        <f>IF($G933="","",$G933+$I933)</f>
      </c>
      <c r="K933" s="8"/>
    </row>
    <row r="934" spans="2:11" x14ac:dyDescent="0.25">
      <c r="B934" s="12"/>
      <c r="C934" s="11"/>
      <c r="D934" s="11"/>
      <c r="E934" s="14">
        <f>IFERROR(IF($D934="","",VLOOKUP($D934,'Bütçe Kalemleri'!$B$5:$D$304,3,FALSE)),"— tanımsız kalem —")</f>
      </c>
      <c r="F934" s="11"/>
      <c r="G934" s="13"/>
      <c r="H934" s="17"/>
      <c r="I934" s="16">
        <f>IF($G934="",0,$G934*IF($H934="",0,$H934))</f>
      </c>
      <c r="J934" s="16">
        <f>IF($G934="","",$G934+$I934)</f>
      </c>
      <c r="K934" s="11"/>
    </row>
    <row r="935" spans="2:11" x14ac:dyDescent="0.25">
      <c r="B935" s="9"/>
      <c r="C935" s="8"/>
      <c r="D935" s="8"/>
      <c r="E935" s="14">
        <f>IFERROR(IF($D935="","",VLOOKUP($D935,'Bütçe Kalemleri'!$B$5:$D$304,3,FALSE)),"— tanımsız kalem —")</f>
      </c>
      <c r="F935" s="8"/>
      <c r="G935" s="10"/>
      <c r="H935" s="15"/>
      <c r="I935" s="16">
        <f>IF($G935="",0,$G935*IF($H935="",0,$H935))</f>
      </c>
      <c r="J935" s="16">
        <f>IF($G935="","",$G935+$I935)</f>
      </c>
      <c r="K935" s="8"/>
    </row>
    <row r="936" spans="2:11" x14ac:dyDescent="0.25">
      <c r="B936" s="12"/>
      <c r="C936" s="11"/>
      <c r="D936" s="11"/>
      <c r="E936" s="14">
        <f>IFERROR(IF($D936="","",VLOOKUP($D936,'Bütçe Kalemleri'!$B$5:$D$304,3,FALSE)),"— tanımsız kalem —")</f>
      </c>
      <c r="F936" s="11"/>
      <c r="G936" s="13"/>
      <c r="H936" s="17"/>
      <c r="I936" s="16">
        <f>IF($G936="",0,$G936*IF($H936="",0,$H936))</f>
      </c>
      <c r="J936" s="16">
        <f>IF($G936="","",$G936+$I936)</f>
      </c>
      <c r="K936" s="11"/>
    </row>
    <row r="937" spans="2:11" x14ac:dyDescent="0.25">
      <c r="B937" s="9"/>
      <c r="C937" s="8"/>
      <c r="D937" s="8"/>
      <c r="E937" s="14">
        <f>IFERROR(IF($D937="","",VLOOKUP($D937,'Bütçe Kalemleri'!$B$5:$D$304,3,FALSE)),"— tanımsız kalem —")</f>
      </c>
      <c r="F937" s="8"/>
      <c r="G937" s="10"/>
      <c r="H937" s="15"/>
      <c r="I937" s="16">
        <f>IF($G937="",0,$G937*IF($H937="",0,$H937))</f>
      </c>
      <c r="J937" s="16">
        <f>IF($G937="","",$G937+$I937)</f>
      </c>
      <c r="K937" s="8"/>
    </row>
    <row r="938" spans="2:11" x14ac:dyDescent="0.25">
      <c r="B938" s="12"/>
      <c r="C938" s="11"/>
      <c r="D938" s="11"/>
      <c r="E938" s="14">
        <f>IFERROR(IF($D938="","",VLOOKUP($D938,'Bütçe Kalemleri'!$B$5:$D$304,3,FALSE)),"— tanımsız kalem —")</f>
      </c>
      <c r="F938" s="11"/>
      <c r="G938" s="13"/>
      <c r="H938" s="17"/>
      <c r="I938" s="16">
        <f>IF($G938="",0,$G938*IF($H938="",0,$H938))</f>
      </c>
      <c r="J938" s="16">
        <f>IF($G938="","",$G938+$I938)</f>
      </c>
      <c r="K938" s="11"/>
    </row>
    <row r="939" spans="2:11" x14ac:dyDescent="0.25">
      <c r="B939" s="9"/>
      <c r="C939" s="8"/>
      <c r="D939" s="8"/>
      <c r="E939" s="14">
        <f>IFERROR(IF($D939="","",VLOOKUP($D939,'Bütçe Kalemleri'!$B$5:$D$304,3,FALSE)),"— tanımsız kalem —")</f>
      </c>
      <c r="F939" s="8"/>
      <c r="G939" s="10"/>
      <c r="H939" s="15"/>
      <c r="I939" s="16">
        <f>IF($G939="",0,$G939*IF($H939="",0,$H939))</f>
      </c>
      <c r="J939" s="16">
        <f>IF($G939="","",$G939+$I939)</f>
      </c>
      <c r="K939" s="8"/>
    </row>
    <row r="940" spans="2:11" x14ac:dyDescent="0.25">
      <c r="B940" s="12"/>
      <c r="C940" s="11"/>
      <c r="D940" s="11"/>
      <c r="E940" s="14">
        <f>IFERROR(IF($D940="","",VLOOKUP($D940,'Bütçe Kalemleri'!$B$5:$D$304,3,FALSE)),"— tanımsız kalem —")</f>
      </c>
      <c r="F940" s="11"/>
      <c r="G940" s="13"/>
      <c r="H940" s="17"/>
      <c r="I940" s="16">
        <f>IF($G940="",0,$G940*IF($H940="",0,$H940))</f>
      </c>
      <c r="J940" s="16">
        <f>IF($G940="","",$G940+$I940)</f>
      </c>
      <c r="K940" s="11"/>
    </row>
    <row r="941" spans="2:11" x14ac:dyDescent="0.25">
      <c r="B941" s="9"/>
      <c r="C941" s="8"/>
      <c r="D941" s="8"/>
      <c r="E941" s="14">
        <f>IFERROR(IF($D941="","",VLOOKUP($D941,'Bütçe Kalemleri'!$B$5:$D$304,3,FALSE)),"— tanımsız kalem —")</f>
      </c>
      <c r="F941" s="8"/>
      <c r="G941" s="10"/>
      <c r="H941" s="15"/>
      <c r="I941" s="16">
        <f>IF($G941="",0,$G941*IF($H941="",0,$H941))</f>
      </c>
      <c r="J941" s="16">
        <f>IF($G941="","",$G941+$I941)</f>
      </c>
      <c r="K941" s="8"/>
    </row>
    <row r="942" spans="2:11" x14ac:dyDescent="0.25">
      <c r="B942" s="12"/>
      <c r="C942" s="11"/>
      <c r="D942" s="11"/>
      <c r="E942" s="14">
        <f>IFERROR(IF($D942="","",VLOOKUP($D942,'Bütçe Kalemleri'!$B$5:$D$304,3,FALSE)),"— tanımsız kalem —")</f>
      </c>
      <c r="F942" s="11"/>
      <c r="G942" s="13"/>
      <c r="H942" s="17"/>
      <c r="I942" s="16">
        <f>IF($G942="",0,$G942*IF($H942="",0,$H942))</f>
      </c>
      <c r="J942" s="16">
        <f>IF($G942="","",$G942+$I942)</f>
      </c>
      <c r="K942" s="11"/>
    </row>
    <row r="943" spans="2:11" x14ac:dyDescent="0.25">
      <c r="B943" s="9"/>
      <c r="C943" s="8"/>
      <c r="D943" s="8"/>
      <c r="E943" s="14">
        <f>IFERROR(IF($D943="","",VLOOKUP($D943,'Bütçe Kalemleri'!$B$5:$D$304,3,FALSE)),"— tanımsız kalem —")</f>
      </c>
      <c r="F943" s="8"/>
      <c r="G943" s="10"/>
      <c r="H943" s="15"/>
      <c r="I943" s="16">
        <f>IF($G943="",0,$G943*IF($H943="",0,$H943))</f>
      </c>
      <c r="J943" s="16">
        <f>IF($G943="","",$G943+$I943)</f>
      </c>
      <c r="K943" s="8"/>
    </row>
    <row r="944" spans="2:11" x14ac:dyDescent="0.25">
      <c r="B944" s="12"/>
      <c r="C944" s="11"/>
      <c r="D944" s="11"/>
      <c r="E944" s="14">
        <f>IFERROR(IF($D944="","",VLOOKUP($D944,'Bütçe Kalemleri'!$B$5:$D$304,3,FALSE)),"— tanımsız kalem —")</f>
      </c>
      <c r="F944" s="11"/>
      <c r="G944" s="13"/>
      <c r="H944" s="17"/>
      <c r="I944" s="16">
        <f>IF($G944="",0,$G944*IF($H944="",0,$H944))</f>
      </c>
      <c r="J944" s="16">
        <f>IF($G944="","",$G944+$I944)</f>
      </c>
      <c r="K944" s="11"/>
    </row>
    <row r="945" spans="2:11" x14ac:dyDescent="0.25">
      <c r="B945" s="9"/>
      <c r="C945" s="8"/>
      <c r="D945" s="8"/>
      <c r="E945" s="14">
        <f>IFERROR(IF($D945="","",VLOOKUP($D945,'Bütçe Kalemleri'!$B$5:$D$304,3,FALSE)),"— tanımsız kalem —")</f>
      </c>
      <c r="F945" s="8"/>
      <c r="G945" s="10"/>
      <c r="H945" s="15"/>
      <c r="I945" s="16">
        <f>IF($G945="",0,$G945*IF($H945="",0,$H945))</f>
      </c>
      <c r="J945" s="16">
        <f>IF($G945="","",$G945+$I945)</f>
      </c>
      <c r="K945" s="8"/>
    </row>
    <row r="946" spans="2:11" x14ac:dyDescent="0.25">
      <c r="B946" s="12"/>
      <c r="C946" s="11"/>
      <c r="D946" s="11"/>
      <c r="E946" s="14">
        <f>IFERROR(IF($D946="","",VLOOKUP($D946,'Bütçe Kalemleri'!$B$5:$D$304,3,FALSE)),"— tanımsız kalem —")</f>
      </c>
      <c r="F946" s="11"/>
      <c r="G946" s="13"/>
      <c r="H946" s="17"/>
      <c r="I946" s="16">
        <f>IF($G946="",0,$G946*IF($H946="",0,$H946))</f>
      </c>
      <c r="J946" s="16">
        <f>IF($G946="","",$G946+$I946)</f>
      </c>
      <c r="K946" s="11"/>
    </row>
    <row r="947" spans="2:11" x14ac:dyDescent="0.25">
      <c r="B947" s="9"/>
      <c r="C947" s="8"/>
      <c r="D947" s="8"/>
      <c r="E947" s="14">
        <f>IFERROR(IF($D947="","",VLOOKUP($D947,'Bütçe Kalemleri'!$B$5:$D$304,3,FALSE)),"— tanımsız kalem —")</f>
      </c>
      <c r="F947" s="8"/>
      <c r="G947" s="10"/>
      <c r="H947" s="15"/>
      <c r="I947" s="16">
        <f>IF($G947="",0,$G947*IF($H947="",0,$H947))</f>
      </c>
      <c r="J947" s="16">
        <f>IF($G947="","",$G947+$I947)</f>
      </c>
      <c r="K947" s="8"/>
    </row>
    <row r="948" spans="2:11" x14ac:dyDescent="0.25">
      <c r="B948" s="12"/>
      <c r="C948" s="11"/>
      <c r="D948" s="11"/>
      <c r="E948" s="14">
        <f>IFERROR(IF($D948="","",VLOOKUP($D948,'Bütçe Kalemleri'!$B$5:$D$304,3,FALSE)),"— tanımsız kalem —")</f>
      </c>
      <c r="F948" s="11"/>
      <c r="G948" s="13"/>
      <c r="H948" s="17"/>
      <c r="I948" s="16">
        <f>IF($G948="",0,$G948*IF($H948="",0,$H948))</f>
      </c>
      <c r="J948" s="16">
        <f>IF($G948="","",$G948+$I948)</f>
      </c>
      <c r="K948" s="11"/>
    </row>
    <row r="949" spans="2:11" x14ac:dyDescent="0.25">
      <c r="B949" s="9"/>
      <c r="C949" s="8"/>
      <c r="D949" s="8"/>
      <c r="E949" s="14">
        <f>IFERROR(IF($D949="","",VLOOKUP($D949,'Bütçe Kalemleri'!$B$5:$D$304,3,FALSE)),"— tanımsız kalem —")</f>
      </c>
      <c r="F949" s="8"/>
      <c r="G949" s="10"/>
      <c r="H949" s="15"/>
      <c r="I949" s="16">
        <f>IF($G949="",0,$G949*IF($H949="",0,$H949))</f>
      </c>
      <c r="J949" s="16">
        <f>IF($G949="","",$G949+$I949)</f>
      </c>
      <c r="K949" s="8"/>
    </row>
    <row r="950" spans="2:11" x14ac:dyDescent="0.25">
      <c r="B950" s="12"/>
      <c r="C950" s="11"/>
      <c r="D950" s="11"/>
      <c r="E950" s="14">
        <f>IFERROR(IF($D950="","",VLOOKUP($D950,'Bütçe Kalemleri'!$B$5:$D$304,3,FALSE)),"— tanımsız kalem —")</f>
      </c>
      <c r="F950" s="11"/>
      <c r="G950" s="13"/>
      <c r="H950" s="17"/>
      <c r="I950" s="16">
        <f>IF($G950="",0,$G950*IF($H950="",0,$H950))</f>
      </c>
      <c r="J950" s="16">
        <f>IF($G950="","",$G950+$I950)</f>
      </c>
      <c r="K950" s="11"/>
    </row>
    <row r="951" spans="2:11" x14ac:dyDescent="0.25">
      <c r="B951" s="9"/>
      <c r="C951" s="8"/>
      <c r="D951" s="8"/>
      <c r="E951" s="14">
        <f>IFERROR(IF($D951="","",VLOOKUP($D951,'Bütçe Kalemleri'!$B$5:$D$304,3,FALSE)),"— tanımsız kalem —")</f>
      </c>
      <c r="F951" s="8"/>
      <c r="G951" s="10"/>
      <c r="H951" s="15"/>
      <c r="I951" s="16">
        <f>IF($G951="",0,$G951*IF($H951="",0,$H951))</f>
      </c>
      <c r="J951" s="16">
        <f>IF($G951="","",$G951+$I951)</f>
      </c>
      <c r="K951" s="8"/>
    </row>
    <row r="952" spans="2:11" x14ac:dyDescent="0.25">
      <c r="B952" s="12"/>
      <c r="C952" s="11"/>
      <c r="D952" s="11"/>
      <c r="E952" s="14">
        <f>IFERROR(IF($D952="","",VLOOKUP($D952,'Bütçe Kalemleri'!$B$5:$D$304,3,FALSE)),"— tanımsız kalem —")</f>
      </c>
      <c r="F952" s="11"/>
      <c r="G952" s="13"/>
      <c r="H952" s="17"/>
      <c r="I952" s="16">
        <f>IF($G952="",0,$G952*IF($H952="",0,$H952))</f>
      </c>
      <c r="J952" s="16">
        <f>IF($G952="","",$G952+$I952)</f>
      </c>
      <c r="K952" s="11"/>
    </row>
    <row r="953" spans="2:11" x14ac:dyDescent="0.25">
      <c r="B953" s="9"/>
      <c r="C953" s="8"/>
      <c r="D953" s="8"/>
      <c r="E953" s="14">
        <f>IFERROR(IF($D953="","",VLOOKUP($D953,'Bütçe Kalemleri'!$B$5:$D$304,3,FALSE)),"— tanımsız kalem —")</f>
      </c>
      <c r="F953" s="8"/>
      <c r="G953" s="10"/>
      <c r="H953" s="15"/>
      <c r="I953" s="16">
        <f>IF($G953="",0,$G953*IF($H953="",0,$H953))</f>
      </c>
      <c r="J953" s="16">
        <f>IF($G953="","",$G953+$I953)</f>
      </c>
      <c r="K953" s="8"/>
    </row>
    <row r="954" spans="2:11" x14ac:dyDescent="0.25">
      <c r="B954" s="12"/>
      <c r="C954" s="11"/>
      <c r="D954" s="11"/>
      <c r="E954" s="14">
        <f>IFERROR(IF($D954="","",VLOOKUP($D954,'Bütçe Kalemleri'!$B$5:$D$304,3,FALSE)),"— tanımsız kalem —")</f>
      </c>
      <c r="F954" s="11"/>
      <c r="G954" s="13"/>
      <c r="H954" s="17"/>
      <c r="I954" s="16">
        <f>IF($G954="",0,$G954*IF($H954="",0,$H954))</f>
      </c>
      <c r="J954" s="16">
        <f>IF($G954="","",$G954+$I954)</f>
      </c>
      <c r="K954" s="11"/>
    </row>
    <row r="955" spans="2:11" x14ac:dyDescent="0.25">
      <c r="B955" s="9"/>
      <c r="C955" s="8"/>
      <c r="D955" s="8"/>
      <c r="E955" s="14">
        <f>IFERROR(IF($D955="","",VLOOKUP($D955,'Bütçe Kalemleri'!$B$5:$D$304,3,FALSE)),"— tanımsız kalem —")</f>
      </c>
      <c r="F955" s="8"/>
      <c r="G955" s="10"/>
      <c r="H955" s="15"/>
      <c r="I955" s="16">
        <f>IF($G955="",0,$G955*IF($H955="",0,$H955))</f>
      </c>
      <c r="J955" s="16">
        <f>IF($G955="","",$G955+$I955)</f>
      </c>
      <c r="K955" s="8"/>
    </row>
    <row r="956" spans="2:11" x14ac:dyDescent="0.25">
      <c r="B956" s="12"/>
      <c r="C956" s="11"/>
      <c r="D956" s="11"/>
      <c r="E956" s="14">
        <f>IFERROR(IF($D956="","",VLOOKUP($D956,'Bütçe Kalemleri'!$B$5:$D$304,3,FALSE)),"— tanımsız kalem —")</f>
      </c>
      <c r="F956" s="11"/>
      <c r="G956" s="13"/>
      <c r="H956" s="17"/>
      <c r="I956" s="16">
        <f>IF($G956="",0,$G956*IF($H956="",0,$H956))</f>
      </c>
      <c r="J956" s="16">
        <f>IF($G956="","",$G956+$I956)</f>
      </c>
      <c r="K956" s="11"/>
    </row>
    <row r="957" spans="2:11" x14ac:dyDescent="0.25">
      <c r="B957" s="9"/>
      <c r="C957" s="8"/>
      <c r="D957" s="8"/>
      <c r="E957" s="14">
        <f>IFERROR(IF($D957="","",VLOOKUP($D957,'Bütçe Kalemleri'!$B$5:$D$304,3,FALSE)),"— tanımsız kalem —")</f>
      </c>
      <c r="F957" s="8"/>
      <c r="G957" s="10"/>
      <c r="H957" s="15"/>
      <c r="I957" s="16">
        <f>IF($G957="",0,$G957*IF($H957="",0,$H957))</f>
      </c>
      <c r="J957" s="16">
        <f>IF($G957="","",$G957+$I957)</f>
      </c>
      <c r="K957" s="8"/>
    </row>
    <row r="958" spans="2:11" x14ac:dyDescent="0.25">
      <c r="B958" s="12"/>
      <c r="C958" s="11"/>
      <c r="D958" s="11"/>
      <c r="E958" s="14">
        <f>IFERROR(IF($D958="","",VLOOKUP($D958,'Bütçe Kalemleri'!$B$5:$D$304,3,FALSE)),"— tanımsız kalem —")</f>
      </c>
      <c r="F958" s="11"/>
      <c r="G958" s="13"/>
      <c r="H958" s="17"/>
      <c r="I958" s="16">
        <f>IF($G958="",0,$G958*IF($H958="",0,$H958))</f>
      </c>
      <c r="J958" s="16">
        <f>IF($G958="","",$G958+$I958)</f>
      </c>
      <c r="K958" s="11"/>
    </row>
    <row r="959" spans="2:11" x14ac:dyDescent="0.25">
      <c r="B959" s="9"/>
      <c r="C959" s="8"/>
      <c r="D959" s="8"/>
      <c r="E959" s="14">
        <f>IFERROR(IF($D959="","",VLOOKUP($D959,'Bütçe Kalemleri'!$B$5:$D$304,3,FALSE)),"— tanımsız kalem —")</f>
      </c>
      <c r="F959" s="8"/>
      <c r="G959" s="10"/>
      <c r="H959" s="15"/>
      <c r="I959" s="16">
        <f>IF($G959="",0,$G959*IF($H959="",0,$H959))</f>
      </c>
      <c r="J959" s="16">
        <f>IF($G959="","",$G959+$I959)</f>
      </c>
      <c r="K959" s="8"/>
    </row>
    <row r="960" spans="2:11" x14ac:dyDescent="0.25">
      <c r="B960" s="12"/>
      <c r="C960" s="11"/>
      <c r="D960" s="11"/>
      <c r="E960" s="14">
        <f>IFERROR(IF($D960="","",VLOOKUP($D960,'Bütçe Kalemleri'!$B$5:$D$304,3,FALSE)),"— tanımsız kalem —")</f>
      </c>
      <c r="F960" s="11"/>
      <c r="G960" s="13"/>
      <c r="H960" s="17"/>
      <c r="I960" s="16">
        <f>IF($G960="",0,$G960*IF($H960="",0,$H960))</f>
      </c>
      <c r="J960" s="16">
        <f>IF($G960="","",$G960+$I960)</f>
      </c>
      <c r="K960" s="11"/>
    </row>
    <row r="961" spans="2:11" x14ac:dyDescent="0.25">
      <c r="B961" s="9"/>
      <c r="C961" s="8"/>
      <c r="D961" s="8"/>
      <c r="E961" s="14">
        <f>IFERROR(IF($D961="","",VLOOKUP($D961,'Bütçe Kalemleri'!$B$5:$D$304,3,FALSE)),"— tanımsız kalem —")</f>
      </c>
      <c r="F961" s="8"/>
      <c r="G961" s="10"/>
      <c r="H961" s="15"/>
      <c r="I961" s="16">
        <f>IF($G961="",0,$G961*IF($H961="",0,$H961))</f>
      </c>
      <c r="J961" s="16">
        <f>IF($G961="","",$G961+$I961)</f>
      </c>
      <c r="K961" s="8"/>
    </row>
    <row r="962" spans="2:11" x14ac:dyDescent="0.25">
      <c r="B962" s="12"/>
      <c r="C962" s="11"/>
      <c r="D962" s="11"/>
      <c r="E962" s="14">
        <f>IFERROR(IF($D962="","",VLOOKUP($D962,'Bütçe Kalemleri'!$B$5:$D$304,3,FALSE)),"— tanımsız kalem —")</f>
      </c>
      <c r="F962" s="11"/>
      <c r="G962" s="13"/>
      <c r="H962" s="17"/>
      <c r="I962" s="16">
        <f>IF($G962="",0,$G962*IF($H962="",0,$H962))</f>
      </c>
      <c r="J962" s="16">
        <f>IF($G962="","",$G962+$I962)</f>
      </c>
      <c r="K962" s="11"/>
    </row>
    <row r="963" spans="2:11" x14ac:dyDescent="0.25">
      <c r="B963" s="9"/>
      <c r="C963" s="8"/>
      <c r="D963" s="8"/>
      <c r="E963" s="14">
        <f>IFERROR(IF($D963="","",VLOOKUP($D963,'Bütçe Kalemleri'!$B$5:$D$304,3,FALSE)),"— tanımsız kalem —")</f>
      </c>
      <c r="F963" s="8"/>
      <c r="G963" s="10"/>
      <c r="H963" s="15"/>
      <c r="I963" s="16">
        <f>IF($G963="",0,$G963*IF($H963="",0,$H963))</f>
      </c>
      <c r="J963" s="16">
        <f>IF($G963="","",$G963+$I963)</f>
      </c>
      <c r="K963" s="8"/>
    </row>
    <row r="964" spans="2:11" x14ac:dyDescent="0.25">
      <c r="B964" s="12"/>
      <c r="C964" s="11"/>
      <c r="D964" s="11"/>
      <c r="E964" s="14">
        <f>IFERROR(IF($D964="","",VLOOKUP($D964,'Bütçe Kalemleri'!$B$5:$D$304,3,FALSE)),"— tanımsız kalem —")</f>
      </c>
      <c r="F964" s="11"/>
      <c r="G964" s="13"/>
      <c r="H964" s="17"/>
      <c r="I964" s="16">
        <f>IF($G964="",0,$G964*IF($H964="",0,$H964))</f>
      </c>
      <c r="J964" s="16">
        <f>IF($G964="","",$G964+$I964)</f>
      </c>
      <c r="K964" s="11"/>
    </row>
    <row r="965" spans="2:11" x14ac:dyDescent="0.25">
      <c r="B965" s="9"/>
      <c r="C965" s="8"/>
      <c r="D965" s="8"/>
      <c r="E965" s="14">
        <f>IFERROR(IF($D965="","",VLOOKUP($D965,'Bütçe Kalemleri'!$B$5:$D$304,3,FALSE)),"— tanımsız kalem —")</f>
      </c>
      <c r="F965" s="8"/>
      <c r="G965" s="10"/>
      <c r="H965" s="15"/>
      <c r="I965" s="16">
        <f>IF($G965="",0,$G965*IF($H965="",0,$H965))</f>
      </c>
      <c r="J965" s="16">
        <f>IF($G965="","",$G965+$I965)</f>
      </c>
      <c r="K965" s="8"/>
    </row>
    <row r="966" spans="2:11" x14ac:dyDescent="0.25">
      <c r="B966" s="12"/>
      <c r="C966" s="11"/>
      <c r="D966" s="11"/>
      <c r="E966" s="14">
        <f>IFERROR(IF($D966="","",VLOOKUP($D966,'Bütçe Kalemleri'!$B$5:$D$304,3,FALSE)),"— tanımsız kalem —")</f>
      </c>
      <c r="F966" s="11"/>
      <c r="G966" s="13"/>
      <c r="H966" s="17"/>
      <c r="I966" s="16">
        <f>IF($G966="",0,$G966*IF($H966="",0,$H966))</f>
      </c>
      <c r="J966" s="16">
        <f>IF($G966="","",$G966+$I966)</f>
      </c>
      <c r="K966" s="11"/>
    </row>
    <row r="967" spans="2:11" x14ac:dyDescent="0.25">
      <c r="B967" s="9"/>
      <c r="C967" s="8"/>
      <c r="D967" s="8"/>
      <c r="E967" s="14">
        <f>IFERROR(IF($D967="","",VLOOKUP($D967,'Bütçe Kalemleri'!$B$5:$D$304,3,FALSE)),"— tanımsız kalem —")</f>
      </c>
      <c r="F967" s="8"/>
      <c r="G967" s="10"/>
      <c r="H967" s="15"/>
      <c r="I967" s="16">
        <f>IF($G967="",0,$G967*IF($H967="",0,$H967))</f>
      </c>
      <c r="J967" s="16">
        <f>IF($G967="","",$G967+$I967)</f>
      </c>
      <c r="K967" s="8"/>
    </row>
    <row r="968" spans="2:11" x14ac:dyDescent="0.25">
      <c r="B968" s="12"/>
      <c r="C968" s="11"/>
      <c r="D968" s="11"/>
      <c r="E968" s="14">
        <f>IFERROR(IF($D968="","",VLOOKUP($D968,'Bütçe Kalemleri'!$B$5:$D$304,3,FALSE)),"— tanımsız kalem —")</f>
      </c>
      <c r="F968" s="11"/>
      <c r="G968" s="13"/>
      <c r="H968" s="17"/>
      <c r="I968" s="16">
        <f>IF($G968="",0,$G968*IF($H968="",0,$H968))</f>
      </c>
      <c r="J968" s="16">
        <f>IF($G968="","",$G968+$I968)</f>
      </c>
      <c r="K968" s="11"/>
    </row>
    <row r="969" spans="2:11" x14ac:dyDescent="0.25">
      <c r="B969" s="9"/>
      <c r="C969" s="8"/>
      <c r="D969" s="8"/>
      <c r="E969" s="14">
        <f>IFERROR(IF($D969="","",VLOOKUP($D969,'Bütçe Kalemleri'!$B$5:$D$304,3,FALSE)),"— tanımsız kalem —")</f>
      </c>
      <c r="F969" s="8"/>
      <c r="G969" s="10"/>
      <c r="H969" s="15"/>
      <c r="I969" s="16">
        <f>IF($G969="",0,$G969*IF($H969="",0,$H969))</f>
      </c>
      <c r="J969" s="16">
        <f>IF($G969="","",$G969+$I969)</f>
      </c>
      <c r="K969" s="8"/>
    </row>
    <row r="970" spans="2:11" x14ac:dyDescent="0.25">
      <c r="B970" s="12"/>
      <c r="C970" s="11"/>
      <c r="D970" s="11"/>
      <c r="E970" s="14">
        <f>IFERROR(IF($D970="","",VLOOKUP($D970,'Bütçe Kalemleri'!$B$5:$D$304,3,FALSE)),"— tanımsız kalem —")</f>
      </c>
      <c r="F970" s="11"/>
      <c r="G970" s="13"/>
      <c r="H970" s="17"/>
      <c r="I970" s="16">
        <f>IF($G970="",0,$G970*IF($H970="",0,$H970))</f>
      </c>
      <c r="J970" s="16">
        <f>IF($G970="","",$G970+$I970)</f>
      </c>
      <c r="K970" s="11"/>
    </row>
    <row r="971" spans="2:11" x14ac:dyDescent="0.25">
      <c r="B971" s="9"/>
      <c r="C971" s="8"/>
      <c r="D971" s="8"/>
      <c r="E971" s="14">
        <f>IFERROR(IF($D971="","",VLOOKUP($D971,'Bütçe Kalemleri'!$B$5:$D$304,3,FALSE)),"— tanımsız kalem —")</f>
      </c>
      <c r="F971" s="8"/>
      <c r="G971" s="10"/>
      <c r="H971" s="15"/>
      <c r="I971" s="16">
        <f>IF($G971="",0,$G971*IF($H971="",0,$H971))</f>
      </c>
      <c r="J971" s="16">
        <f>IF($G971="","",$G971+$I971)</f>
      </c>
      <c r="K971" s="8"/>
    </row>
    <row r="972" spans="2:11" x14ac:dyDescent="0.25">
      <c r="B972" s="12"/>
      <c r="C972" s="11"/>
      <c r="D972" s="11"/>
      <c r="E972" s="14">
        <f>IFERROR(IF($D972="","",VLOOKUP($D972,'Bütçe Kalemleri'!$B$5:$D$304,3,FALSE)),"— tanımsız kalem —")</f>
      </c>
      <c r="F972" s="11"/>
      <c r="G972" s="13"/>
      <c r="H972" s="17"/>
      <c r="I972" s="16">
        <f>IF($G972="",0,$G972*IF($H972="",0,$H972))</f>
      </c>
      <c r="J972" s="16">
        <f>IF($G972="","",$G972+$I972)</f>
      </c>
      <c r="K972" s="11"/>
    </row>
    <row r="973" spans="2:11" x14ac:dyDescent="0.25">
      <c r="B973" s="9"/>
      <c r="C973" s="8"/>
      <c r="D973" s="8"/>
      <c r="E973" s="14">
        <f>IFERROR(IF($D973="","",VLOOKUP($D973,'Bütçe Kalemleri'!$B$5:$D$304,3,FALSE)),"— tanımsız kalem —")</f>
      </c>
      <c r="F973" s="8"/>
      <c r="G973" s="10"/>
      <c r="H973" s="15"/>
      <c r="I973" s="16">
        <f>IF($G973="",0,$G973*IF($H973="",0,$H973))</f>
      </c>
      <c r="J973" s="16">
        <f>IF($G973="","",$G973+$I973)</f>
      </c>
      <c r="K973" s="8"/>
    </row>
    <row r="974" spans="2:11" x14ac:dyDescent="0.25">
      <c r="B974" s="12"/>
      <c r="C974" s="11"/>
      <c r="D974" s="11"/>
      <c r="E974" s="14">
        <f>IFERROR(IF($D974="","",VLOOKUP($D974,'Bütçe Kalemleri'!$B$5:$D$304,3,FALSE)),"— tanımsız kalem —")</f>
      </c>
      <c r="F974" s="11"/>
      <c r="G974" s="13"/>
      <c r="H974" s="17"/>
      <c r="I974" s="16">
        <f>IF($G974="",0,$G974*IF($H974="",0,$H974))</f>
      </c>
      <c r="J974" s="16">
        <f>IF($G974="","",$G974+$I974)</f>
      </c>
      <c r="K974" s="11"/>
    </row>
    <row r="975" spans="2:11" x14ac:dyDescent="0.25">
      <c r="B975" s="9"/>
      <c r="C975" s="8"/>
      <c r="D975" s="8"/>
      <c r="E975" s="14">
        <f>IFERROR(IF($D975="","",VLOOKUP($D975,'Bütçe Kalemleri'!$B$5:$D$304,3,FALSE)),"— tanımsız kalem —")</f>
      </c>
      <c r="F975" s="8"/>
      <c r="G975" s="10"/>
      <c r="H975" s="15"/>
      <c r="I975" s="16">
        <f>IF($G975="",0,$G975*IF($H975="",0,$H975))</f>
      </c>
      <c r="J975" s="16">
        <f>IF($G975="","",$G975+$I975)</f>
      </c>
      <c r="K975" s="8"/>
    </row>
    <row r="976" spans="2:11" x14ac:dyDescent="0.25">
      <c r="B976" s="12"/>
      <c r="C976" s="11"/>
      <c r="D976" s="11"/>
      <c r="E976" s="14">
        <f>IFERROR(IF($D976="","",VLOOKUP($D976,'Bütçe Kalemleri'!$B$5:$D$304,3,FALSE)),"— tanımsız kalem —")</f>
      </c>
      <c r="F976" s="11"/>
      <c r="G976" s="13"/>
      <c r="H976" s="17"/>
      <c r="I976" s="16">
        <f>IF($G976="",0,$G976*IF($H976="",0,$H976))</f>
      </c>
      <c r="J976" s="16">
        <f>IF($G976="","",$G976+$I976)</f>
      </c>
      <c r="K976" s="11"/>
    </row>
    <row r="977" spans="2:11" x14ac:dyDescent="0.25">
      <c r="B977" s="9"/>
      <c r="C977" s="8"/>
      <c r="D977" s="8"/>
      <c r="E977" s="14">
        <f>IFERROR(IF($D977="","",VLOOKUP($D977,'Bütçe Kalemleri'!$B$5:$D$304,3,FALSE)),"— tanımsız kalem —")</f>
      </c>
      <c r="F977" s="8"/>
      <c r="G977" s="10"/>
      <c r="H977" s="15"/>
      <c r="I977" s="16">
        <f>IF($G977="",0,$G977*IF($H977="",0,$H977))</f>
      </c>
      <c r="J977" s="16">
        <f>IF($G977="","",$G977+$I977)</f>
      </c>
      <c r="K977" s="8"/>
    </row>
    <row r="978" spans="2:11" x14ac:dyDescent="0.25">
      <c r="B978" s="12"/>
      <c r="C978" s="11"/>
      <c r="D978" s="11"/>
      <c r="E978" s="14">
        <f>IFERROR(IF($D978="","",VLOOKUP($D978,'Bütçe Kalemleri'!$B$5:$D$304,3,FALSE)),"— tanımsız kalem —")</f>
      </c>
      <c r="F978" s="11"/>
      <c r="G978" s="13"/>
      <c r="H978" s="17"/>
      <c r="I978" s="16">
        <f>IF($G978="",0,$G978*IF($H978="",0,$H978))</f>
      </c>
      <c r="J978" s="16">
        <f>IF($G978="","",$G978+$I978)</f>
      </c>
      <c r="K978" s="11"/>
    </row>
    <row r="979" spans="2:11" x14ac:dyDescent="0.25">
      <c r="B979" s="9"/>
      <c r="C979" s="8"/>
      <c r="D979" s="8"/>
      <c r="E979" s="14">
        <f>IFERROR(IF($D979="","",VLOOKUP($D979,'Bütçe Kalemleri'!$B$5:$D$304,3,FALSE)),"— tanımsız kalem —")</f>
      </c>
      <c r="F979" s="8"/>
      <c r="G979" s="10"/>
      <c r="H979" s="15"/>
      <c r="I979" s="16">
        <f>IF($G979="",0,$G979*IF($H979="",0,$H979))</f>
      </c>
      <c r="J979" s="16">
        <f>IF($G979="","",$G979+$I979)</f>
      </c>
      <c r="K979" s="8"/>
    </row>
    <row r="980" spans="2:11" x14ac:dyDescent="0.25">
      <c r="B980" s="12"/>
      <c r="C980" s="11"/>
      <c r="D980" s="11"/>
      <c r="E980" s="14">
        <f>IFERROR(IF($D980="","",VLOOKUP($D980,'Bütçe Kalemleri'!$B$5:$D$304,3,FALSE)),"— tanımsız kalem —")</f>
      </c>
      <c r="F980" s="11"/>
      <c r="G980" s="13"/>
      <c r="H980" s="17"/>
      <c r="I980" s="16">
        <f>IF($G980="",0,$G980*IF($H980="",0,$H980))</f>
      </c>
      <c r="J980" s="16">
        <f>IF($G980="","",$G980+$I980)</f>
      </c>
      <c r="K980" s="11"/>
    </row>
    <row r="981" spans="2:11" x14ac:dyDescent="0.25">
      <c r="B981" s="9"/>
      <c r="C981" s="8"/>
      <c r="D981" s="8"/>
      <c r="E981" s="14">
        <f>IFERROR(IF($D981="","",VLOOKUP($D981,'Bütçe Kalemleri'!$B$5:$D$304,3,FALSE)),"— tanımsız kalem —")</f>
      </c>
      <c r="F981" s="8"/>
      <c r="G981" s="10"/>
      <c r="H981" s="15"/>
      <c r="I981" s="16">
        <f>IF($G981="",0,$G981*IF($H981="",0,$H981))</f>
      </c>
      <c r="J981" s="16">
        <f>IF($G981="","",$G981+$I981)</f>
      </c>
      <c r="K981" s="8"/>
    </row>
    <row r="982" spans="2:11" x14ac:dyDescent="0.25">
      <c r="B982" s="12"/>
      <c r="C982" s="11"/>
      <c r="D982" s="11"/>
      <c r="E982" s="14">
        <f>IFERROR(IF($D982="","",VLOOKUP($D982,'Bütçe Kalemleri'!$B$5:$D$304,3,FALSE)),"— tanımsız kalem —")</f>
      </c>
      <c r="F982" s="11"/>
      <c r="G982" s="13"/>
      <c r="H982" s="17"/>
      <c r="I982" s="16">
        <f>IF($G982="",0,$G982*IF($H982="",0,$H982))</f>
      </c>
      <c r="J982" s="16">
        <f>IF($G982="","",$G982+$I982)</f>
      </c>
      <c r="K982" s="11"/>
    </row>
    <row r="983" spans="2:11" x14ac:dyDescent="0.25">
      <c r="B983" s="9"/>
      <c r="C983" s="8"/>
      <c r="D983" s="8"/>
      <c r="E983" s="14">
        <f>IFERROR(IF($D983="","",VLOOKUP($D983,'Bütçe Kalemleri'!$B$5:$D$304,3,FALSE)),"— tanımsız kalem —")</f>
      </c>
      <c r="F983" s="8"/>
      <c r="G983" s="10"/>
      <c r="H983" s="15"/>
      <c r="I983" s="16">
        <f>IF($G983="",0,$G983*IF($H983="",0,$H983))</f>
      </c>
      <c r="J983" s="16">
        <f>IF($G983="","",$G983+$I983)</f>
      </c>
      <c r="K983" s="8"/>
    </row>
    <row r="984" spans="2:11" x14ac:dyDescent="0.25">
      <c r="B984" s="12"/>
      <c r="C984" s="11"/>
      <c r="D984" s="11"/>
      <c r="E984" s="14">
        <f>IFERROR(IF($D984="","",VLOOKUP($D984,'Bütçe Kalemleri'!$B$5:$D$304,3,FALSE)),"— tanımsız kalem —")</f>
      </c>
      <c r="F984" s="11"/>
      <c r="G984" s="13"/>
      <c r="H984" s="17"/>
      <c r="I984" s="16">
        <f>IF($G984="",0,$G984*IF($H984="",0,$H984))</f>
      </c>
      <c r="J984" s="16">
        <f>IF($G984="","",$G984+$I984)</f>
      </c>
      <c r="K984" s="11"/>
    </row>
    <row r="985" spans="2:11" x14ac:dyDescent="0.25">
      <c r="B985" s="9"/>
      <c r="C985" s="8"/>
      <c r="D985" s="8"/>
      <c r="E985" s="14">
        <f>IFERROR(IF($D985="","",VLOOKUP($D985,'Bütçe Kalemleri'!$B$5:$D$304,3,FALSE)),"— tanımsız kalem —")</f>
      </c>
      <c r="F985" s="8"/>
      <c r="G985" s="10"/>
      <c r="H985" s="15"/>
      <c r="I985" s="16">
        <f>IF($G985="",0,$G985*IF($H985="",0,$H985))</f>
      </c>
      <c r="J985" s="16">
        <f>IF($G985="","",$G985+$I985)</f>
      </c>
      <c r="K985" s="8"/>
    </row>
    <row r="986" spans="2:11" x14ac:dyDescent="0.25">
      <c r="B986" s="12"/>
      <c r="C986" s="11"/>
      <c r="D986" s="11"/>
      <c r="E986" s="14">
        <f>IFERROR(IF($D986="","",VLOOKUP($D986,'Bütçe Kalemleri'!$B$5:$D$304,3,FALSE)),"— tanımsız kalem —")</f>
      </c>
      <c r="F986" s="11"/>
      <c r="G986" s="13"/>
      <c r="H986" s="17"/>
      <c r="I986" s="16">
        <f>IF($G986="",0,$G986*IF($H986="",0,$H986))</f>
      </c>
      <c r="J986" s="16">
        <f>IF($G986="","",$G986+$I986)</f>
      </c>
      <c r="K986" s="11"/>
    </row>
    <row r="987" spans="2:11" x14ac:dyDescent="0.25">
      <c r="B987" s="9"/>
      <c r="C987" s="8"/>
      <c r="D987" s="8"/>
      <c r="E987" s="14">
        <f>IFERROR(IF($D987="","",VLOOKUP($D987,'Bütçe Kalemleri'!$B$5:$D$304,3,FALSE)),"— tanımsız kalem —")</f>
      </c>
      <c r="F987" s="8"/>
      <c r="G987" s="10"/>
      <c r="H987" s="15"/>
      <c r="I987" s="16">
        <f>IF($G987="",0,$G987*IF($H987="",0,$H987))</f>
      </c>
      <c r="J987" s="16">
        <f>IF($G987="","",$G987+$I987)</f>
      </c>
      <c r="K987" s="8"/>
    </row>
    <row r="988" spans="2:11" x14ac:dyDescent="0.25">
      <c r="B988" s="12"/>
      <c r="C988" s="11"/>
      <c r="D988" s="11"/>
      <c r="E988" s="14">
        <f>IFERROR(IF($D988="","",VLOOKUP($D988,'Bütçe Kalemleri'!$B$5:$D$304,3,FALSE)),"— tanımsız kalem —")</f>
      </c>
      <c r="F988" s="11"/>
      <c r="G988" s="13"/>
      <c r="H988" s="17"/>
      <c r="I988" s="16">
        <f>IF($G988="",0,$G988*IF($H988="",0,$H988))</f>
      </c>
      <c r="J988" s="16">
        <f>IF($G988="","",$G988+$I988)</f>
      </c>
      <c r="K988" s="11"/>
    </row>
    <row r="989" spans="2:11" x14ac:dyDescent="0.25">
      <c r="B989" s="9"/>
      <c r="C989" s="8"/>
      <c r="D989" s="8"/>
      <c r="E989" s="14">
        <f>IFERROR(IF($D989="","",VLOOKUP($D989,'Bütçe Kalemleri'!$B$5:$D$304,3,FALSE)),"— tanımsız kalem —")</f>
      </c>
      <c r="F989" s="8"/>
      <c r="G989" s="10"/>
      <c r="H989" s="15"/>
      <c r="I989" s="16">
        <f>IF($G989="",0,$G989*IF($H989="",0,$H989))</f>
      </c>
      <c r="J989" s="16">
        <f>IF($G989="","",$G989+$I989)</f>
      </c>
      <c r="K989" s="8"/>
    </row>
    <row r="990" spans="2:11" x14ac:dyDescent="0.25">
      <c r="B990" s="12"/>
      <c r="C990" s="11"/>
      <c r="D990" s="11"/>
      <c r="E990" s="14">
        <f>IFERROR(IF($D990="","",VLOOKUP($D990,'Bütçe Kalemleri'!$B$5:$D$304,3,FALSE)),"— tanımsız kalem —")</f>
      </c>
      <c r="F990" s="11"/>
      <c r="G990" s="13"/>
      <c r="H990" s="17"/>
      <c r="I990" s="16">
        <f>IF($G990="",0,$G990*IF($H990="",0,$H990))</f>
      </c>
      <c r="J990" s="16">
        <f>IF($G990="","",$G990+$I990)</f>
      </c>
      <c r="K990" s="11"/>
    </row>
    <row r="991" spans="2:11" x14ac:dyDescent="0.25">
      <c r="B991" s="9"/>
      <c r="C991" s="8"/>
      <c r="D991" s="8"/>
      <c r="E991" s="14">
        <f>IFERROR(IF($D991="","",VLOOKUP($D991,'Bütçe Kalemleri'!$B$5:$D$304,3,FALSE)),"— tanımsız kalem —")</f>
      </c>
      <c r="F991" s="8"/>
      <c r="G991" s="10"/>
      <c r="H991" s="15"/>
      <c r="I991" s="16">
        <f>IF($G991="",0,$G991*IF($H991="",0,$H991))</f>
      </c>
      <c r="J991" s="16">
        <f>IF($G991="","",$G991+$I991)</f>
      </c>
      <c r="K991" s="8"/>
    </row>
    <row r="992" spans="2:11" x14ac:dyDescent="0.25">
      <c r="B992" s="12"/>
      <c r="C992" s="11"/>
      <c r="D992" s="11"/>
      <c r="E992" s="14">
        <f>IFERROR(IF($D992="","",VLOOKUP($D992,'Bütçe Kalemleri'!$B$5:$D$304,3,FALSE)),"— tanımsız kalem —")</f>
      </c>
      <c r="F992" s="11"/>
      <c r="G992" s="13"/>
      <c r="H992" s="17"/>
      <c r="I992" s="16">
        <f>IF($G992="",0,$G992*IF($H992="",0,$H992))</f>
      </c>
      <c r="J992" s="16">
        <f>IF($G992="","",$G992+$I992)</f>
      </c>
      <c r="K992" s="11"/>
    </row>
    <row r="993" spans="2:11" x14ac:dyDescent="0.25">
      <c r="B993" s="9"/>
      <c r="C993" s="8"/>
      <c r="D993" s="8"/>
      <c r="E993" s="14">
        <f>IFERROR(IF($D993="","",VLOOKUP($D993,'Bütçe Kalemleri'!$B$5:$D$304,3,FALSE)),"— tanımsız kalem —")</f>
      </c>
      <c r="F993" s="8"/>
      <c r="G993" s="10"/>
      <c r="H993" s="15"/>
      <c r="I993" s="16">
        <f>IF($G993="",0,$G993*IF($H993="",0,$H993))</f>
      </c>
      <c r="J993" s="16">
        <f>IF($G993="","",$G993+$I993)</f>
      </c>
      <c r="K993" s="8"/>
    </row>
    <row r="994" spans="2:11" x14ac:dyDescent="0.25">
      <c r="B994" s="12"/>
      <c r="C994" s="11"/>
      <c r="D994" s="11"/>
      <c r="E994" s="14">
        <f>IFERROR(IF($D994="","",VLOOKUP($D994,'Bütçe Kalemleri'!$B$5:$D$304,3,FALSE)),"— tanımsız kalem —")</f>
      </c>
      <c r="F994" s="11"/>
      <c r="G994" s="13"/>
      <c r="H994" s="17"/>
      <c r="I994" s="16">
        <f>IF($G994="",0,$G994*IF($H994="",0,$H994))</f>
      </c>
      <c r="J994" s="16">
        <f>IF($G994="","",$G994+$I994)</f>
      </c>
      <c r="K994" s="11"/>
    </row>
    <row r="995" spans="2:11" x14ac:dyDescent="0.25">
      <c r="B995" s="9"/>
      <c r="C995" s="8"/>
      <c r="D995" s="8"/>
      <c r="E995" s="14">
        <f>IFERROR(IF($D995="","",VLOOKUP($D995,'Bütçe Kalemleri'!$B$5:$D$304,3,FALSE)),"— tanımsız kalem —")</f>
      </c>
      <c r="F995" s="8"/>
      <c r="G995" s="10"/>
      <c r="H995" s="15"/>
      <c r="I995" s="16">
        <f>IF($G995="",0,$G995*IF($H995="",0,$H995))</f>
      </c>
      <c r="J995" s="16">
        <f>IF($G995="","",$G995+$I995)</f>
      </c>
      <c r="K995" s="8"/>
    </row>
    <row r="996" spans="2:11" x14ac:dyDescent="0.25">
      <c r="B996" s="12"/>
      <c r="C996" s="11"/>
      <c r="D996" s="11"/>
      <c r="E996" s="14">
        <f>IFERROR(IF($D996="","",VLOOKUP($D996,'Bütçe Kalemleri'!$B$5:$D$304,3,FALSE)),"— tanımsız kalem —")</f>
      </c>
      <c r="F996" s="11"/>
      <c r="G996" s="13"/>
      <c r="H996" s="17"/>
      <c r="I996" s="16">
        <f>IF($G996="",0,$G996*IF($H996="",0,$H996))</f>
      </c>
      <c r="J996" s="16">
        <f>IF($G996="","",$G996+$I996)</f>
      </c>
      <c r="K996" s="11"/>
    </row>
    <row r="997" spans="2:11" x14ac:dyDescent="0.25">
      <c r="B997" s="9"/>
      <c r="C997" s="8"/>
      <c r="D997" s="8"/>
      <c r="E997" s="14">
        <f>IFERROR(IF($D997="","",VLOOKUP($D997,'Bütçe Kalemleri'!$B$5:$D$304,3,FALSE)),"— tanımsız kalem —")</f>
      </c>
      <c r="F997" s="8"/>
      <c r="G997" s="10"/>
      <c r="H997" s="15"/>
      <c r="I997" s="16">
        <f>IF($G997="",0,$G997*IF($H997="",0,$H997))</f>
      </c>
      <c r="J997" s="16">
        <f>IF($G997="","",$G997+$I997)</f>
      </c>
      <c r="K997" s="8"/>
    </row>
    <row r="998" spans="2:11" x14ac:dyDescent="0.25">
      <c r="B998" s="12"/>
      <c r="C998" s="11"/>
      <c r="D998" s="11"/>
      <c r="E998" s="14">
        <f>IFERROR(IF($D998="","",VLOOKUP($D998,'Bütçe Kalemleri'!$B$5:$D$304,3,FALSE)),"— tanımsız kalem —")</f>
      </c>
      <c r="F998" s="11"/>
      <c r="G998" s="13"/>
      <c r="H998" s="17"/>
      <c r="I998" s="16">
        <f>IF($G998="",0,$G998*IF($H998="",0,$H998))</f>
      </c>
      <c r="J998" s="16">
        <f>IF($G998="","",$G998+$I998)</f>
      </c>
      <c r="K998" s="11"/>
    </row>
    <row r="999" spans="2:11" x14ac:dyDescent="0.25">
      <c r="B999" s="9"/>
      <c r="C999" s="8"/>
      <c r="D999" s="8"/>
      <c r="E999" s="14">
        <f>IFERROR(IF($D999="","",VLOOKUP($D999,'Bütçe Kalemleri'!$B$5:$D$304,3,FALSE)),"— tanımsız kalem —")</f>
      </c>
      <c r="F999" s="8"/>
      <c r="G999" s="10"/>
      <c r="H999" s="15"/>
      <c r="I999" s="16">
        <f>IF($G999="",0,$G999*IF($H999="",0,$H999))</f>
      </c>
      <c r="J999" s="16">
        <f>IF($G999="","",$G999+$I999)</f>
      </c>
      <c r="K999" s="8"/>
    </row>
    <row r="1000" spans="2:11" x14ac:dyDescent="0.25">
      <c r="B1000" s="12"/>
      <c r="C1000" s="11"/>
      <c r="D1000" s="11"/>
      <c r="E1000" s="14">
        <f>IFERROR(IF($D1000="","",VLOOKUP($D1000,'Bütçe Kalemleri'!$B$5:$D$304,3,FALSE)),"— tanımsız kalem —")</f>
      </c>
      <c r="F1000" s="11"/>
      <c r="G1000" s="13"/>
      <c r="H1000" s="17"/>
      <c r="I1000" s="16">
        <f>IF($G1000="",0,$G1000*IF($H1000="",0,$H1000))</f>
      </c>
      <c r="J1000" s="16">
        <f>IF($G1000="","",$G1000+$I1000)</f>
      </c>
      <c r="K1000" s="11"/>
    </row>
    <row r="1001" spans="2:11" x14ac:dyDescent="0.25">
      <c r="B1001" s="9"/>
      <c r="C1001" s="8"/>
      <c r="D1001" s="8"/>
      <c r="E1001" s="14">
        <f>IFERROR(IF($D1001="","",VLOOKUP($D1001,'Bütçe Kalemleri'!$B$5:$D$304,3,FALSE)),"— tanımsız kalem —")</f>
      </c>
      <c r="F1001" s="8"/>
      <c r="G1001" s="10"/>
      <c r="H1001" s="15"/>
      <c r="I1001" s="16">
        <f>IF($G1001="",0,$G1001*IF($H1001="",0,$H1001))</f>
      </c>
      <c r="J1001" s="16">
        <f>IF($G1001="","",$G1001+$I1001)</f>
      </c>
      <c r="K1001" s="8"/>
    </row>
    <row r="1002" spans="2:11" x14ac:dyDescent="0.25">
      <c r="B1002" s="12"/>
      <c r="C1002" s="11"/>
      <c r="D1002" s="11"/>
      <c r="E1002" s="14">
        <f>IFERROR(IF($D1002="","",VLOOKUP($D1002,'Bütçe Kalemleri'!$B$5:$D$304,3,FALSE)),"— tanımsız kalem —")</f>
      </c>
      <c r="F1002" s="11"/>
      <c r="G1002" s="13"/>
      <c r="H1002" s="17"/>
      <c r="I1002" s="16">
        <f>IF($G1002="",0,$G1002*IF($H1002="",0,$H1002))</f>
      </c>
      <c r="J1002" s="16">
        <f>IF($G1002="","",$G1002+$I1002)</f>
      </c>
      <c r="K1002" s="11"/>
    </row>
    <row r="1003" spans="2:11" x14ac:dyDescent="0.25">
      <c r="B1003" s="9"/>
      <c r="C1003" s="8"/>
      <c r="D1003" s="8"/>
      <c r="E1003" s="14">
        <f>IFERROR(IF($D1003="","",VLOOKUP($D1003,'Bütçe Kalemleri'!$B$5:$D$304,3,FALSE)),"— tanımsız kalem —")</f>
      </c>
      <c r="F1003" s="8"/>
      <c r="G1003" s="10"/>
      <c r="H1003" s="15"/>
      <c r="I1003" s="16">
        <f>IF($G1003="",0,$G1003*IF($H1003="",0,$H1003))</f>
      </c>
      <c r="J1003" s="16">
        <f>IF($G1003="","",$G1003+$I1003)</f>
      </c>
      <c r="K1003" s="8"/>
    </row>
    <row r="1004" spans="2:11" x14ac:dyDescent="0.25">
      <c r="B1004" s="12"/>
      <c r="C1004" s="11"/>
      <c r="D1004" s="11"/>
      <c r="E1004" s="14">
        <f>IFERROR(IF($D1004="","",VLOOKUP($D1004,'Bütçe Kalemleri'!$B$5:$D$304,3,FALSE)),"— tanımsız kalem —")</f>
      </c>
      <c r="F1004" s="11"/>
      <c r="G1004" s="13"/>
      <c r="H1004" s="17"/>
      <c r="I1004" s="16">
        <f>IF($G1004="",0,$G1004*IF($H1004="",0,$H1004))</f>
      </c>
      <c r="J1004" s="16">
        <f>IF($G1004="","",$G1004+$I1004)</f>
      </c>
      <c r="K1004" s="11"/>
    </row>
  </sheetData>
  <autoFilter ref="B4:K4"/>
  <mergeCells count="2">
    <mergeCell ref="A1:K1"/>
    <mergeCell ref="A2:K2"/>
  </mergeCells>
  <dataValidations count="2">
    <dataValidation type="list" allowBlank="1" sqref="C5:C1004">
      <formula1>=ProjeKodlari</formula1>
    </dataValidation>
    <dataValidation type="list" allowBlank="1" sqref="D5:D1004">
      <formula1>=ButceSatirlari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I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3" customWidth="1"/>
    <col min="3" max="3" width="14" customWidth="1"/>
    <col min="4" max="5" width="18" customWidth="1"/>
    <col min="6" max="7" width="16" customWidth="1"/>
    <col min="8" max="9" width="18" customWidth="1"/>
  </cols>
  <sheetData>
    <row r="1" ht="34" customHeight="1" spans="1:9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67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7" t="s">
        <v>20</v>
      </c>
      <c r="B4" s="7" t="s">
        <v>53</v>
      </c>
      <c r="C4" s="7" t="s">
        <v>21</v>
      </c>
      <c r="D4" s="7" t="s">
        <v>68</v>
      </c>
      <c r="E4" s="7" t="s">
        <v>69</v>
      </c>
      <c r="F4" s="7" t="s">
        <v>70</v>
      </c>
      <c r="G4" s="7" t="s">
        <v>71</v>
      </c>
      <c r="H4" s="7" t="s">
        <v>72</v>
      </c>
      <c r="I4" s="7" t="s">
        <v>73</v>
      </c>
    </row>
    <row r="5" spans="2:9" x14ac:dyDescent="0.25">
      <c r="B5" s="9">
        <v>46111.875</v>
      </c>
      <c r="C5" s="8" t="s">
        <v>28</v>
      </c>
      <c r="D5" s="8" t="s">
        <v>74</v>
      </c>
      <c r="E5" s="10">
        <v>3200000</v>
      </c>
      <c r="F5" s="18">
        <v>0.03</v>
      </c>
      <c r="G5" s="18">
        <v>0.05</v>
      </c>
      <c r="H5" s="10">
        <v>0</v>
      </c>
      <c r="I5" s="19">
        <f>IF($E5="","",$E5*(1-IF($F5="",0,$F5)-IF($G5="",0,$G5))-IF($H5="",0,$H5))</f>
      </c>
    </row>
    <row r="6" spans="2:9" x14ac:dyDescent="0.25">
      <c r="B6" s="12">
        <v>46202.875</v>
      </c>
      <c r="C6" s="11" t="s">
        <v>28</v>
      </c>
      <c r="D6" s="11" t="s">
        <v>75</v>
      </c>
      <c r="E6" s="13">
        <v>4100000</v>
      </c>
      <c r="F6" s="20">
        <v>0.03</v>
      </c>
      <c r="G6" s="20">
        <v>0.05</v>
      </c>
      <c r="H6" s="13">
        <v>0</v>
      </c>
      <c r="I6" s="19">
        <f>IF($E6="","",$E6*(1-IF($F6="",0,$F6)-IF($G6="",0,$G6))-IF($H6="",0,$H6))</f>
      </c>
    </row>
    <row r="7" spans="2:9" x14ac:dyDescent="0.25">
      <c r="B7" s="9"/>
      <c r="C7" s="8"/>
      <c r="D7" s="8"/>
      <c r="E7" s="10"/>
      <c r="F7" s="18"/>
      <c r="G7" s="18"/>
      <c r="H7" s="10"/>
      <c r="I7" s="19">
        <f>IF($E7="","",$E7*(1-IF($F7="",0,$F7)-IF($G7="",0,$G7))-IF($H7="",0,$H7))</f>
      </c>
    </row>
    <row r="8" spans="2:9" x14ac:dyDescent="0.25">
      <c r="B8" s="12"/>
      <c r="C8" s="11"/>
      <c r="D8" s="11"/>
      <c r="E8" s="13"/>
      <c r="F8" s="20"/>
      <c r="G8" s="20"/>
      <c r="H8" s="13"/>
      <c r="I8" s="19">
        <f>IF($E8="","",$E8*(1-IF($F8="",0,$F8)-IF($G8="",0,$G8))-IF($H8="",0,$H8))</f>
      </c>
    </row>
    <row r="9" spans="2:9" x14ac:dyDescent="0.25">
      <c r="B9" s="9"/>
      <c r="C9" s="8"/>
      <c r="D9" s="8"/>
      <c r="E9" s="10"/>
      <c r="F9" s="18"/>
      <c r="G9" s="18"/>
      <c r="H9" s="10"/>
      <c r="I9" s="19">
        <f>IF($E9="","",$E9*(1-IF($F9="",0,$F9)-IF($G9="",0,$G9))-IF($H9="",0,$H9))</f>
      </c>
    </row>
    <row r="10" spans="2:9" x14ac:dyDescent="0.25">
      <c r="B10" s="12"/>
      <c r="C10" s="11"/>
      <c r="D10" s="11"/>
      <c r="E10" s="13"/>
      <c r="F10" s="20"/>
      <c r="G10" s="20"/>
      <c r="H10" s="13"/>
      <c r="I10" s="19">
        <f>IF($E10="","",$E10*(1-IF($F10="",0,$F10)-IF($G10="",0,$G10))-IF($H10="",0,$H10))</f>
      </c>
    </row>
    <row r="11" spans="2:9" x14ac:dyDescent="0.25">
      <c r="B11" s="9"/>
      <c r="C11" s="8"/>
      <c r="D11" s="8"/>
      <c r="E11" s="10"/>
      <c r="F11" s="18"/>
      <c r="G11" s="18"/>
      <c r="H11" s="10"/>
      <c r="I11" s="19">
        <f>IF($E11="","",$E11*(1-IF($F11="",0,$F11)-IF($G11="",0,$G11))-IF($H11="",0,$H11))</f>
      </c>
    </row>
    <row r="12" spans="2:9" x14ac:dyDescent="0.25">
      <c r="B12" s="12"/>
      <c r="C12" s="11"/>
      <c r="D12" s="11"/>
      <c r="E12" s="13"/>
      <c r="F12" s="20"/>
      <c r="G12" s="20"/>
      <c r="H12" s="13"/>
      <c r="I12" s="19">
        <f>IF($E12="","",$E12*(1-IF($F12="",0,$F12)-IF($G12="",0,$G12))-IF($H12="",0,$H12))</f>
      </c>
    </row>
    <row r="13" spans="2:9" x14ac:dyDescent="0.25">
      <c r="B13" s="9"/>
      <c r="C13" s="8"/>
      <c r="D13" s="8"/>
      <c r="E13" s="10"/>
      <c r="F13" s="18"/>
      <c r="G13" s="18"/>
      <c r="H13" s="10"/>
      <c r="I13" s="19">
        <f>IF($E13="","",$E13*(1-IF($F13="",0,$F13)-IF($G13="",0,$G13))-IF($H13="",0,$H13))</f>
      </c>
    </row>
    <row r="14" spans="2:9" x14ac:dyDescent="0.25">
      <c r="B14" s="12"/>
      <c r="C14" s="11"/>
      <c r="D14" s="11"/>
      <c r="E14" s="13"/>
      <c r="F14" s="20"/>
      <c r="G14" s="20"/>
      <c r="H14" s="13"/>
      <c r="I14" s="19">
        <f>IF($E14="","",$E14*(1-IF($F14="",0,$F14)-IF($G14="",0,$G14))-IF($H14="",0,$H14))</f>
      </c>
    </row>
    <row r="15" spans="2:9" x14ac:dyDescent="0.25">
      <c r="B15" s="9"/>
      <c r="C15" s="8"/>
      <c r="D15" s="8"/>
      <c r="E15" s="10"/>
      <c r="F15" s="18"/>
      <c r="G15" s="18"/>
      <c r="H15" s="10"/>
      <c r="I15" s="19">
        <f>IF($E15="","",$E15*(1-IF($F15="",0,$F15)-IF($G15="",0,$G15))-IF($H15="",0,$H15))</f>
      </c>
    </row>
    <row r="16" spans="2:9" x14ac:dyDescent="0.25">
      <c r="B16" s="12"/>
      <c r="C16" s="11"/>
      <c r="D16" s="11"/>
      <c r="E16" s="13"/>
      <c r="F16" s="20"/>
      <c r="G16" s="20"/>
      <c r="H16" s="13"/>
      <c r="I16" s="19">
        <f>IF($E16="","",$E16*(1-IF($F16="",0,$F16)-IF($G16="",0,$G16))-IF($H16="",0,$H16))</f>
      </c>
    </row>
    <row r="17" spans="2:9" x14ac:dyDescent="0.25">
      <c r="B17" s="9"/>
      <c r="C17" s="8"/>
      <c r="D17" s="8"/>
      <c r="E17" s="10"/>
      <c r="F17" s="18"/>
      <c r="G17" s="18"/>
      <c r="H17" s="10"/>
      <c r="I17" s="19">
        <f>IF($E17="","",$E17*(1-IF($F17="",0,$F17)-IF($G17="",0,$G17))-IF($H17="",0,$H17))</f>
      </c>
    </row>
    <row r="18" spans="2:9" x14ac:dyDescent="0.25">
      <c r="B18" s="12"/>
      <c r="C18" s="11"/>
      <c r="D18" s="11"/>
      <c r="E18" s="13"/>
      <c r="F18" s="20"/>
      <c r="G18" s="20"/>
      <c r="H18" s="13"/>
      <c r="I18" s="19">
        <f>IF($E18="","",$E18*(1-IF($F18="",0,$F18)-IF($G18="",0,$G18))-IF($H18="",0,$H18))</f>
      </c>
    </row>
    <row r="19" spans="2:9" x14ac:dyDescent="0.25">
      <c r="B19" s="9"/>
      <c r="C19" s="8"/>
      <c r="D19" s="8"/>
      <c r="E19" s="10"/>
      <c r="F19" s="18"/>
      <c r="G19" s="18"/>
      <c r="H19" s="10"/>
      <c r="I19" s="19">
        <f>IF($E19="","",$E19*(1-IF($F19="",0,$F19)-IF($G19="",0,$G19))-IF($H19="",0,$H19))</f>
      </c>
    </row>
    <row r="20" spans="2:9" x14ac:dyDescent="0.25">
      <c r="B20" s="12"/>
      <c r="C20" s="11"/>
      <c r="D20" s="11"/>
      <c r="E20" s="13"/>
      <c r="F20" s="20"/>
      <c r="G20" s="20"/>
      <c r="H20" s="13"/>
      <c r="I20" s="19">
        <f>IF($E20="","",$E20*(1-IF($F20="",0,$F20)-IF($G20="",0,$G20))-IF($H20="",0,$H20))</f>
      </c>
    </row>
    <row r="21" spans="2:9" x14ac:dyDescent="0.25">
      <c r="B21" s="9"/>
      <c r="C21" s="8"/>
      <c r="D21" s="8"/>
      <c r="E21" s="10"/>
      <c r="F21" s="18"/>
      <c r="G21" s="18"/>
      <c r="H21" s="10"/>
      <c r="I21" s="19">
        <f>IF($E21="","",$E21*(1-IF($F21="",0,$F21)-IF($G21="",0,$G21))-IF($H21="",0,$H21))</f>
      </c>
    </row>
    <row r="22" spans="2:9" x14ac:dyDescent="0.25">
      <c r="B22" s="12"/>
      <c r="C22" s="11"/>
      <c r="D22" s="11"/>
      <c r="E22" s="13"/>
      <c r="F22" s="20"/>
      <c r="G22" s="20"/>
      <c r="H22" s="13"/>
      <c r="I22" s="19">
        <f>IF($E22="","",$E22*(1-IF($F22="",0,$F22)-IF($G22="",0,$G22))-IF($H22="",0,$H22))</f>
      </c>
    </row>
    <row r="23" spans="2:9" x14ac:dyDescent="0.25">
      <c r="B23" s="9"/>
      <c r="C23" s="8"/>
      <c r="D23" s="8"/>
      <c r="E23" s="10"/>
      <c r="F23" s="18"/>
      <c r="G23" s="18"/>
      <c r="H23" s="10"/>
      <c r="I23" s="19">
        <f>IF($E23="","",$E23*(1-IF($F23="",0,$F23)-IF($G23="",0,$G23))-IF($H23="",0,$H23))</f>
      </c>
    </row>
    <row r="24" spans="2:9" x14ac:dyDescent="0.25">
      <c r="B24" s="12"/>
      <c r="C24" s="11"/>
      <c r="D24" s="11"/>
      <c r="E24" s="13"/>
      <c r="F24" s="20"/>
      <c r="G24" s="20"/>
      <c r="H24" s="13"/>
      <c r="I24" s="19">
        <f>IF($E24="","",$E24*(1-IF($F24="",0,$F24)-IF($G24="",0,$G24))-IF($H24="",0,$H24))</f>
      </c>
    </row>
    <row r="25" spans="2:9" x14ac:dyDescent="0.25">
      <c r="B25" s="9"/>
      <c r="C25" s="8"/>
      <c r="D25" s="8"/>
      <c r="E25" s="10"/>
      <c r="F25" s="18"/>
      <c r="G25" s="18"/>
      <c r="H25" s="10"/>
      <c r="I25" s="19">
        <f>IF($E25="","",$E25*(1-IF($F25="",0,$F25)-IF($G25="",0,$G25))-IF($H25="",0,$H25))</f>
      </c>
    </row>
    <row r="26" spans="2:9" x14ac:dyDescent="0.25">
      <c r="B26" s="12"/>
      <c r="C26" s="11"/>
      <c r="D26" s="11"/>
      <c r="E26" s="13"/>
      <c r="F26" s="20"/>
      <c r="G26" s="20"/>
      <c r="H26" s="13"/>
      <c r="I26" s="19">
        <f>IF($E26="","",$E26*(1-IF($F26="",0,$F26)-IF($G26="",0,$G26))-IF($H26="",0,$H26))</f>
      </c>
    </row>
    <row r="27" spans="2:9" x14ac:dyDescent="0.25">
      <c r="B27" s="9"/>
      <c r="C27" s="8"/>
      <c r="D27" s="8"/>
      <c r="E27" s="10"/>
      <c r="F27" s="18"/>
      <c r="G27" s="18"/>
      <c r="H27" s="10"/>
      <c r="I27" s="19">
        <f>IF($E27="","",$E27*(1-IF($F27="",0,$F27)-IF($G27="",0,$G27))-IF($H27="",0,$H27))</f>
      </c>
    </row>
    <row r="28" spans="2:9" x14ac:dyDescent="0.25">
      <c r="B28" s="12"/>
      <c r="C28" s="11"/>
      <c r="D28" s="11"/>
      <c r="E28" s="13"/>
      <c r="F28" s="20"/>
      <c r="G28" s="20"/>
      <c r="H28" s="13"/>
      <c r="I28" s="19">
        <f>IF($E28="","",$E28*(1-IF($F28="",0,$F28)-IF($G28="",0,$G28))-IF($H28="",0,$H28))</f>
      </c>
    </row>
    <row r="29" spans="2:9" x14ac:dyDescent="0.25">
      <c r="B29" s="9"/>
      <c r="C29" s="8"/>
      <c r="D29" s="8"/>
      <c r="E29" s="10"/>
      <c r="F29" s="18"/>
      <c r="G29" s="18"/>
      <c r="H29" s="10"/>
      <c r="I29" s="19">
        <f>IF($E29="","",$E29*(1-IF($F29="",0,$F29)-IF($G29="",0,$G29))-IF($H29="",0,$H29))</f>
      </c>
    </row>
    <row r="30" spans="2:9" x14ac:dyDescent="0.25">
      <c r="B30" s="12"/>
      <c r="C30" s="11"/>
      <c r="D30" s="11"/>
      <c r="E30" s="13"/>
      <c r="F30" s="20"/>
      <c r="G30" s="20"/>
      <c r="H30" s="13"/>
      <c r="I30" s="19">
        <f>IF($E30="","",$E30*(1-IF($F30="",0,$F30)-IF($G30="",0,$G30))-IF($H30="",0,$H30))</f>
      </c>
    </row>
    <row r="31" spans="2:9" x14ac:dyDescent="0.25">
      <c r="B31" s="9"/>
      <c r="C31" s="8"/>
      <c r="D31" s="8"/>
      <c r="E31" s="10"/>
      <c r="F31" s="18"/>
      <c r="G31" s="18"/>
      <c r="H31" s="10"/>
      <c r="I31" s="19">
        <f>IF($E31="","",$E31*(1-IF($F31="",0,$F31)-IF($G31="",0,$G31))-IF($H31="",0,$H31))</f>
      </c>
    </row>
    <row r="32" spans="2:9" x14ac:dyDescent="0.25">
      <c r="B32" s="12"/>
      <c r="C32" s="11"/>
      <c r="D32" s="11"/>
      <c r="E32" s="13"/>
      <c r="F32" s="20"/>
      <c r="G32" s="20"/>
      <c r="H32" s="13"/>
      <c r="I32" s="19">
        <f>IF($E32="","",$E32*(1-IF($F32="",0,$F32)-IF($G32="",0,$G32))-IF($H32="",0,$H32))</f>
      </c>
    </row>
    <row r="33" spans="2:9" x14ac:dyDescent="0.25">
      <c r="B33" s="9"/>
      <c r="C33" s="8"/>
      <c r="D33" s="8"/>
      <c r="E33" s="10"/>
      <c r="F33" s="18"/>
      <c r="G33" s="18"/>
      <c r="H33" s="10"/>
      <c r="I33" s="19">
        <f>IF($E33="","",$E33*(1-IF($F33="",0,$F33)-IF($G33="",0,$G33))-IF($H33="",0,$H33))</f>
      </c>
    </row>
    <row r="34" spans="2:9" x14ac:dyDescent="0.25">
      <c r="B34" s="12"/>
      <c r="C34" s="11"/>
      <c r="D34" s="11"/>
      <c r="E34" s="13"/>
      <c r="F34" s="20"/>
      <c r="G34" s="20"/>
      <c r="H34" s="13"/>
      <c r="I34" s="19">
        <f>IF($E34="","",$E34*(1-IF($F34="",0,$F34)-IF($G34="",0,$G34))-IF($H34="",0,$H34))</f>
      </c>
    </row>
    <row r="35" spans="2:9" x14ac:dyDescent="0.25">
      <c r="B35" s="9"/>
      <c r="C35" s="8"/>
      <c r="D35" s="8"/>
      <c r="E35" s="10"/>
      <c r="F35" s="18"/>
      <c r="G35" s="18"/>
      <c r="H35" s="10"/>
      <c r="I35" s="19">
        <f>IF($E35="","",$E35*(1-IF($F35="",0,$F35)-IF($G35="",0,$G35))-IF($H35="",0,$H35))</f>
      </c>
    </row>
    <row r="36" spans="2:9" x14ac:dyDescent="0.25">
      <c r="B36" s="12"/>
      <c r="C36" s="11"/>
      <c r="D36" s="11"/>
      <c r="E36" s="13"/>
      <c r="F36" s="20"/>
      <c r="G36" s="20"/>
      <c r="H36" s="13"/>
      <c r="I36" s="19">
        <f>IF($E36="","",$E36*(1-IF($F36="",0,$F36)-IF($G36="",0,$G36))-IF($H36="",0,$H36))</f>
      </c>
    </row>
    <row r="37" spans="2:9" x14ac:dyDescent="0.25">
      <c r="B37" s="9"/>
      <c r="C37" s="8"/>
      <c r="D37" s="8"/>
      <c r="E37" s="10"/>
      <c r="F37" s="18"/>
      <c r="G37" s="18"/>
      <c r="H37" s="10"/>
      <c r="I37" s="19">
        <f>IF($E37="","",$E37*(1-IF($F37="",0,$F37)-IF($G37="",0,$G37))-IF($H37="",0,$H37))</f>
      </c>
    </row>
    <row r="38" spans="2:9" x14ac:dyDescent="0.25">
      <c r="B38" s="12"/>
      <c r="C38" s="11"/>
      <c r="D38" s="11"/>
      <c r="E38" s="13"/>
      <c r="F38" s="20"/>
      <c r="G38" s="20"/>
      <c r="H38" s="13"/>
      <c r="I38" s="19">
        <f>IF($E38="","",$E38*(1-IF($F38="",0,$F38)-IF($G38="",0,$G38))-IF($H38="",0,$H38))</f>
      </c>
    </row>
    <row r="39" spans="2:9" x14ac:dyDescent="0.25">
      <c r="B39" s="9"/>
      <c r="C39" s="8"/>
      <c r="D39" s="8"/>
      <c r="E39" s="10"/>
      <c r="F39" s="18"/>
      <c r="G39" s="18"/>
      <c r="H39" s="10"/>
      <c r="I39" s="19">
        <f>IF($E39="","",$E39*(1-IF($F39="",0,$F39)-IF($G39="",0,$G39))-IF($H39="",0,$H39))</f>
      </c>
    </row>
    <row r="40" spans="2:9" x14ac:dyDescent="0.25">
      <c r="B40" s="12"/>
      <c r="C40" s="11"/>
      <c r="D40" s="11"/>
      <c r="E40" s="13"/>
      <c r="F40" s="20"/>
      <c r="G40" s="20"/>
      <c r="H40" s="13"/>
      <c r="I40" s="19">
        <f>IF($E40="","",$E40*(1-IF($F40="",0,$F40)-IF($G40="",0,$G40))-IF($H40="",0,$H40))</f>
      </c>
    </row>
    <row r="41" spans="2:9" x14ac:dyDescent="0.25">
      <c r="B41" s="9"/>
      <c r="C41" s="8"/>
      <c r="D41" s="8"/>
      <c r="E41" s="10"/>
      <c r="F41" s="18"/>
      <c r="G41" s="18"/>
      <c r="H41" s="10"/>
      <c r="I41" s="19">
        <f>IF($E41="","",$E41*(1-IF($F41="",0,$F41)-IF($G41="",0,$G41))-IF($H41="",0,$H41))</f>
      </c>
    </row>
    <row r="42" spans="2:9" x14ac:dyDescent="0.25">
      <c r="B42" s="12"/>
      <c r="C42" s="11"/>
      <c r="D42" s="11"/>
      <c r="E42" s="13"/>
      <c r="F42" s="20"/>
      <c r="G42" s="20"/>
      <c r="H42" s="13"/>
      <c r="I42" s="19">
        <f>IF($E42="","",$E42*(1-IF($F42="",0,$F42)-IF($G42="",0,$G42))-IF($H42="",0,$H42))</f>
      </c>
    </row>
    <row r="43" spans="2:9" x14ac:dyDescent="0.25">
      <c r="B43" s="9"/>
      <c r="C43" s="8"/>
      <c r="D43" s="8"/>
      <c r="E43" s="10"/>
      <c r="F43" s="18"/>
      <c r="G43" s="18"/>
      <c r="H43" s="10"/>
      <c r="I43" s="19">
        <f>IF($E43="","",$E43*(1-IF($F43="",0,$F43)-IF($G43="",0,$G43))-IF($H43="",0,$H43))</f>
      </c>
    </row>
    <row r="44" spans="2:9" x14ac:dyDescent="0.25">
      <c r="B44" s="12"/>
      <c r="C44" s="11"/>
      <c r="D44" s="11"/>
      <c r="E44" s="13"/>
      <c r="F44" s="20"/>
      <c r="G44" s="20"/>
      <c r="H44" s="13"/>
      <c r="I44" s="19">
        <f>IF($E44="","",$E44*(1-IF($F44="",0,$F44)-IF($G44="",0,$G44))-IF($H44="",0,$H44))</f>
      </c>
    </row>
    <row r="45" spans="2:9" x14ac:dyDescent="0.25">
      <c r="B45" s="9"/>
      <c r="C45" s="8"/>
      <c r="D45" s="8"/>
      <c r="E45" s="10"/>
      <c r="F45" s="18"/>
      <c r="G45" s="18"/>
      <c r="H45" s="10"/>
      <c r="I45" s="19">
        <f>IF($E45="","",$E45*(1-IF($F45="",0,$F45)-IF($G45="",0,$G45))-IF($H45="",0,$H45))</f>
      </c>
    </row>
    <row r="46" spans="2:9" x14ac:dyDescent="0.25">
      <c r="B46" s="12"/>
      <c r="C46" s="11"/>
      <c r="D46" s="11"/>
      <c r="E46" s="13"/>
      <c r="F46" s="20"/>
      <c r="G46" s="20"/>
      <c r="H46" s="13"/>
      <c r="I46" s="19">
        <f>IF($E46="","",$E46*(1-IF($F46="",0,$F46)-IF($G46="",0,$G46))-IF($H46="",0,$H46))</f>
      </c>
    </row>
    <row r="47" spans="2:9" x14ac:dyDescent="0.25">
      <c r="B47" s="9"/>
      <c r="C47" s="8"/>
      <c r="D47" s="8"/>
      <c r="E47" s="10"/>
      <c r="F47" s="18"/>
      <c r="G47" s="18"/>
      <c r="H47" s="10"/>
      <c r="I47" s="19">
        <f>IF($E47="","",$E47*(1-IF($F47="",0,$F47)-IF($G47="",0,$G47))-IF($H47="",0,$H47))</f>
      </c>
    </row>
    <row r="48" spans="2:9" x14ac:dyDescent="0.25">
      <c r="B48" s="12"/>
      <c r="C48" s="11"/>
      <c r="D48" s="11"/>
      <c r="E48" s="13"/>
      <c r="F48" s="20"/>
      <c r="G48" s="20"/>
      <c r="H48" s="13"/>
      <c r="I48" s="19">
        <f>IF($E48="","",$E48*(1-IF($F48="",0,$F48)-IF($G48="",0,$G48))-IF($H48="",0,$H48))</f>
      </c>
    </row>
    <row r="49" spans="2:9" x14ac:dyDescent="0.25">
      <c r="B49" s="9"/>
      <c r="C49" s="8"/>
      <c r="D49" s="8"/>
      <c r="E49" s="10"/>
      <c r="F49" s="18"/>
      <c r="G49" s="18"/>
      <c r="H49" s="10"/>
      <c r="I49" s="19">
        <f>IF($E49="","",$E49*(1-IF($F49="",0,$F49)-IF($G49="",0,$G49))-IF($H49="",0,$H49))</f>
      </c>
    </row>
    <row r="50" spans="2:9" x14ac:dyDescent="0.25">
      <c r="B50" s="12"/>
      <c r="C50" s="11"/>
      <c r="D50" s="11"/>
      <c r="E50" s="13"/>
      <c r="F50" s="20"/>
      <c r="G50" s="20"/>
      <c r="H50" s="13"/>
      <c r="I50" s="19">
        <f>IF($E50="","",$E50*(1-IF($F50="",0,$F50)-IF($G50="",0,$G50))-IF($H50="",0,$H50))</f>
      </c>
    </row>
    <row r="51" spans="2:9" x14ac:dyDescent="0.25">
      <c r="B51" s="9"/>
      <c r="C51" s="8"/>
      <c r="D51" s="8"/>
      <c r="E51" s="10"/>
      <c r="F51" s="18"/>
      <c r="G51" s="18"/>
      <c r="H51" s="10"/>
      <c r="I51" s="19">
        <f>IF($E51="","",$E51*(1-IF($F51="",0,$F51)-IF($G51="",0,$G51))-IF($H51="",0,$H51))</f>
      </c>
    </row>
    <row r="52" spans="2:9" x14ac:dyDescent="0.25">
      <c r="B52" s="12"/>
      <c r="C52" s="11"/>
      <c r="D52" s="11"/>
      <c r="E52" s="13"/>
      <c r="F52" s="20"/>
      <c r="G52" s="20"/>
      <c r="H52" s="13"/>
      <c r="I52" s="19">
        <f>IF($E52="","",$E52*(1-IF($F52="",0,$F52)-IF($G52="",0,$G52))-IF($H52="",0,$H52))</f>
      </c>
    </row>
    <row r="53" spans="2:9" x14ac:dyDescent="0.25">
      <c r="B53" s="9"/>
      <c r="C53" s="8"/>
      <c r="D53" s="8"/>
      <c r="E53" s="10"/>
      <c r="F53" s="18"/>
      <c r="G53" s="18"/>
      <c r="H53" s="10"/>
      <c r="I53" s="19">
        <f>IF($E53="","",$E53*(1-IF($F53="",0,$F53)-IF($G53="",0,$G53))-IF($H53="",0,$H53))</f>
      </c>
    </row>
    <row r="54" spans="2:9" x14ac:dyDescent="0.25">
      <c r="B54" s="12"/>
      <c r="C54" s="11"/>
      <c r="D54" s="11"/>
      <c r="E54" s="13"/>
      <c r="F54" s="20"/>
      <c r="G54" s="20"/>
      <c r="H54" s="13"/>
      <c r="I54" s="19">
        <f>IF($E54="","",$E54*(1-IF($F54="",0,$F54)-IF($G54="",0,$G54))-IF($H54="",0,$H54))</f>
      </c>
    </row>
    <row r="55" spans="2:9" x14ac:dyDescent="0.25">
      <c r="B55" s="9"/>
      <c r="C55" s="8"/>
      <c r="D55" s="8"/>
      <c r="E55" s="10"/>
      <c r="F55" s="18"/>
      <c r="G55" s="18"/>
      <c r="H55" s="10"/>
      <c r="I55" s="19">
        <f>IF($E55="","",$E55*(1-IF($F55="",0,$F55)-IF($G55="",0,$G55))-IF($H55="",0,$H55))</f>
      </c>
    </row>
    <row r="56" spans="2:9" x14ac:dyDescent="0.25">
      <c r="B56" s="12"/>
      <c r="C56" s="11"/>
      <c r="D56" s="11"/>
      <c r="E56" s="13"/>
      <c r="F56" s="20"/>
      <c r="G56" s="20"/>
      <c r="H56" s="13"/>
      <c r="I56" s="19">
        <f>IF($E56="","",$E56*(1-IF($F56="",0,$F56)-IF($G56="",0,$G56))-IF($H56="",0,$H56))</f>
      </c>
    </row>
    <row r="57" spans="2:9" x14ac:dyDescent="0.25">
      <c r="B57" s="9"/>
      <c r="C57" s="8"/>
      <c r="D57" s="8"/>
      <c r="E57" s="10"/>
      <c r="F57" s="18"/>
      <c r="G57" s="18"/>
      <c r="H57" s="10"/>
      <c r="I57" s="19">
        <f>IF($E57="","",$E57*(1-IF($F57="",0,$F57)-IF($G57="",0,$G57))-IF($H57="",0,$H57))</f>
      </c>
    </row>
    <row r="58" spans="2:9" x14ac:dyDescent="0.25">
      <c r="B58" s="12"/>
      <c r="C58" s="11"/>
      <c r="D58" s="11"/>
      <c r="E58" s="13"/>
      <c r="F58" s="20"/>
      <c r="G58" s="20"/>
      <c r="H58" s="13"/>
      <c r="I58" s="19">
        <f>IF($E58="","",$E58*(1-IF($F58="",0,$F58)-IF($G58="",0,$G58))-IF($H58="",0,$H58))</f>
      </c>
    </row>
    <row r="59" spans="2:9" x14ac:dyDescent="0.25">
      <c r="B59" s="9"/>
      <c r="C59" s="8"/>
      <c r="D59" s="8"/>
      <c r="E59" s="10"/>
      <c r="F59" s="18"/>
      <c r="G59" s="18"/>
      <c r="H59" s="10"/>
      <c r="I59" s="19">
        <f>IF($E59="","",$E59*(1-IF($F59="",0,$F59)-IF($G59="",0,$G59))-IF($H59="",0,$H59))</f>
      </c>
    </row>
    <row r="60" spans="2:9" x14ac:dyDescent="0.25">
      <c r="B60" s="12"/>
      <c r="C60" s="11"/>
      <c r="D60" s="11"/>
      <c r="E60" s="13"/>
      <c r="F60" s="20"/>
      <c r="G60" s="20"/>
      <c r="H60" s="13"/>
      <c r="I60" s="19">
        <f>IF($E60="","",$E60*(1-IF($F60="",0,$F60)-IF($G60="",0,$G60))-IF($H60="",0,$H60))</f>
      </c>
    </row>
    <row r="61" spans="2:9" x14ac:dyDescent="0.25">
      <c r="B61" s="9"/>
      <c r="C61" s="8"/>
      <c r="D61" s="8"/>
      <c r="E61" s="10"/>
      <c r="F61" s="18"/>
      <c r="G61" s="18"/>
      <c r="H61" s="10"/>
      <c r="I61" s="19">
        <f>IF($E61="","",$E61*(1-IF($F61="",0,$F61)-IF($G61="",0,$G61))-IF($H61="",0,$H61))</f>
      </c>
    </row>
    <row r="62" spans="2:9" x14ac:dyDescent="0.25">
      <c r="B62" s="12"/>
      <c r="C62" s="11"/>
      <c r="D62" s="11"/>
      <c r="E62" s="13"/>
      <c r="F62" s="20"/>
      <c r="G62" s="20"/>
      <c r="H62" s="13"/>
      <c r="I62" s="19">
        <f>IF($E62="","",$E62*(1-IF($F62="",0,$F62)-IF($G62="",0,$G62))-IF($H62="",0,$H62))</f>
      </c>
    </row>
    <row r="63" spans="2:9" x14ac:dyDescent="0.25">
      <c r="B63" s="9"/>
      <c r="C63" s="8"/>
      <c r="D63" s="8"/>
      <c r="E63" s="10"/>
      <c r="F63" s="18"/>
      <c r="G63" s="18"/>
      <c r="H63" s="10"/>
      <c r="I63" s="19">
        <f>IF($E63="","",$E63*(1-IF($F63="",0,$F63)-IF($G63="",0,$G63))-IF($H63="",0,$H63))</f>
      </c>
    </row>
    <row r="64" spans="2:9" x14ac:dyDescent="0.25">
      <c r="B64" s="12"/>
      <c r="C64" s="11"/>
      <c r="D64" s="11"/>
      <c r="E64" s="13"/>
      <c r="F64" s="20"/>
      <c r="G64" s="20"/>
      <c r="H64" s="13"/>
      <c r="I64" s="19">
        <f>IF($E64="","",$E64*(1-IF($F64="",0,$F64)-IF($G64="",0,$G64))-IF($H64="",0,$H64))</f>
      </c>
    </row>
    <row r="65" spans="2:9" x14ac:dyDescent="0.25">
      <c r="B65" s="9"/>
      <c r="C65" s="8"/>
      <c r="D65" s="8"/>
      <c r="E65" s="10"/>
      <c r="F65" s="18"/>
      <c r="G65" s="18"/>
      <c r="H65" s="10"/>
      <c r="I65" s="19">
        <f>IF($E65="","",$E65*(1-IF($F65="",0,$F65)-IF($G65="",0,$G65))-IF($H65="",0,$H65))</f>
      </c>
    </row>
    <row r="66" spans="2:9" x14ac:dyDescent="0.25">
      <c r="B66" s="12"/>
      <c r="C66" s="11"/>
      <c r="D66" s="11"/>
      <c r="E66" s="13"/>
      <c r="F66" s="20"/>
      <c r="G66" s="20"/>
      <c r="H66" s="13"/>
      <c r="I66" s="19">
        <f>IF($E66="","",$E66*(1-IF($F66="",0,$F66)-IF($G66="",0,$G66))-IF($H66="",0,$H66))</f>
      </c>
    </row>
    <row r="67" spans="2:9" x14ac:dyDescent="0.25">
      <c r="B67" s="9"/>
      <c r="C67" s="8"/>
      <c r="D67" s="8"/>
      <c r="E67" s="10"/>
      <c r="F67" s="18"/>
      <c r="G67" s="18"/>
      <c r="H67" s="10"/>
      <c r="I67" s="19">
        <f>IF($E67="","",$E67*(1-IF($F67="",0,$F67)-IF($G67="",0,$G67))-IF($H67="",0,$H67))</f>
      </c>
    </row>
    <row r="68" spans="2:9" x14ac:dyDescent="0.25">
      <c r="B68" s="12"/>
      <c r="C68" s="11"/>
      <c r="D68" s="11"/>
      <c r="E68" s="13"/>
      <c r="F68" s="20"/>
      <c r="G68" s="20"/>
      <c r="H68" s="13"/>
      <c r="I68" s="19">
        <f>IF($E68="","",$E68*(1-IF($F68="",0,$F68)-IF($G68="",0,$G68))-IF($H68="",0,$H68))</f>
      </c>
    </row>
    <row r="69" spans="2:9" x14ac:dyDescent="0.25">
      <c r="B69" s="9"/>
      <c r="C69" s="8"/>
      <c r="D69" s="8"/>
      <c r="E69" s="10"/>
      <c r="F69" s="18"/>
      <c r="G69" s="18"/>
      <c r="H69" s="10"/>
      <c r="I69" s="19">
        <f>IF($E69="","",$E69*(1-IF($F69="",0,$F69)-IF($G69="",0,$G69))-IF($H69="",0,$H69))</f>
      </c>
    </row>
    <row r="70" spans="2:9" x14ac:dyDescent="0.25">
      <c r="B70" s="12"/>
      <c r="C70" s="11"/>
      <c r="D70" s="11"/>
      <c r="E70" s="13"/>
      <c r="F70" s="20"/>
      <c r="G70" s="20"/>
      <c r="H70" s="13"/>
      <c r="I70" s="19">
        <f>IF($E70="","",$E70*(1-IF($F70="",0,$F70)-IF($G70="",0,$G70))-IF($H70="",0,$H70))</f>
      </c>
    </row>
    <row r="71" spans="2:9" x14ac:dyDescent="0.25">
      <c r="B71" s="9"/>
      <c r="C71" s="8"/>
      <c r="D71" s="8"/>
      <c r="E71" s="10"/>
      <c r="F71" s="18"/>
      <c r="G71" s="18"/>
      <c r="H71" s="10"/>
      <c r="I71" s="19">
        <f>IF($E71="","",$E71*(1-IF($F71="",0,$F71)-IF($G71="",0,$G71))-IF($H71="",0,$H71))</f>
      </c>
    </row>
    <row r="72" spans="2:9" x14ac:dyDescent="0.25">
      <c r="B72" s="12"/>
      <c r="C72" s="11"/>
      <c r="D72" s="11"/>
      <c r="E72" s="13"/>
      <c r="F72" s="20"/>
      <c r="G72" s="20"/>
      <c r="H72" s="13"/>
      <c r="I72" s="19">
        <f>IF($E72="","",$E72*(1-IF($F72="",0,$F72)-IF($G72="",0,$G72))-IF($H72="",0,$H72))</f>
      </c>
    </row>
    <row r="73" spans="2:9" x14ac:dyDescent="0.25">
      <c r="B73" s="9"/>
      <c r="C73" s="8"/>
      <c r="D73" s="8"/>
      <c r="E73" s="10"/>
      <c r="F73" s="18"/>
      <c r="G73" s="18"/>
      <c r="H73" s="10"/>
      <c r="I73" s="19">
        <f>IF($E73="","",$E73*(1-IF($F73="",0,$F73)-IF($G73="",0,$G73))-IF($H73="",0,$H73))</f>
      </c>
    </row>
    <row r="74" spans="2:9" x14ac:dyDescent="0.25">
      <c r="B74" s="12"/>
      <c r="C74" s="11"/>
      <c r="D74" s="11"/>
      <c r="E74" s="13"/>
      <c r="F74" s="20"/>
      <c r="G74" s="20"/>
      <c r="H74" s="13"/>
      <c r="I74" s="19">
        <f>IF($E74="","",$E74*(1-IF($F74="",0,$F74)-IF($G74="",0,$G74))-IF($H74="",0,$H74))</f>
      </c>
    </row>
    <row r="75" spans="2:9" x14ac:dyDescent="0.25">
      <c r="B75" s="9"/>
      <c r="C75" s="8"/>
      <c r="D75" s="8"/>
      <c r="E75" s="10"/>
      <c r="F75" s="18"/>
      <c r="G75" s="18"/>
      <c r="H75" s="10"/>
      <c r="I75" s="19">
        <f>IF($E75="","",$E75*(1-IF($F75="",0,$F75)-IF($G75="",0,$G75))-IF($H75="",0,$H75))</f>
      </c>
    </row>
    <row r="76" spans="2:9" x14ac:dyDescent="0.25">
      <c r="B76" s="12"/>
      <c r="C76" s="11"/>
      <c r="D76" s="11"/>
      <c r="E76" s="13"/>
      <c r="F76" s="20"/>
      <c r="G76" s="20"/>
      <c r="H76" s="13"/>
      <c r="I76" s="19">
        <f>IF($E76="","",$E76*(1-IF($F76="",0,$F76)-IF($G76="",0,$G76))-IF($H76="",0,$H76))</f>
      </c>
    </row>
    <row r="77" spans="2:9" x14ac:dyDescent="0.25">
      <c r="B77" s="9"/>
      <c r="C77" s="8"/>
      <c r="D77" s="8"/>
      <c r="E77" s="10"/>
      <c r="F77" s="18"/>
      <c r="G77" s="18"/>
      <c r="H77" s="10"/>
      <c r="I77" s="19">
        <f>IF($E77="","",$E77*(1-IF($F77="",0,$F77)-IF($G77="",0,$G77))-IF($H77="",0,$H77))</f>
      </c>
    </row>
    <row r="78" spans="2:9" x14ac:dyDescent="0.25">
      <c r="B78" s="12"/>
      <c r="C78" s="11"/>
      <c r="D78" s="11"/>
      <c r="E78" s="13"/>
      <c r="F78" s="20"/>
      <c r="G78" s="20"/>
      <c r="H78" s="13"/>
      <c r="I78" s="19">
        <f>IF($E78="","",$E78*(1-IF($F78="",0,$F78)-IF($G78="",0,$G78))-IF($H78="",0,$H78))</f>
      </c>
    </row>
    <row r="79" spans="2:9" x14ac:dyDescent="0.25">
      <c r="B79" s="9"/>
      <c r="C79" s="8"/>
      <c r="D79" s="8"/>
      <c r="E79" s="10"/>
      <c r="F79" s="18"/>
      <c r="G79" s="18"/>
      <c r="H79" s="10"/>
      <c r="I79" s="19">
        <f>IF($E79="","",$E79*(1-IF($F79="",0,$F79)-IF($G79="",0,$G79))-IF($H79="",0,$H79))</f>
      </c>
    </row>
    <row r="80" spans="2:9" x14ac:dyDescent="0.25">
      <c r="B80" s="12"/>
      <c r="C80" s="11"/>
      <c r="D80" s="11"/>
      <c r="E80" s="13"/>
      <c r="F80" s="20"/>
      <c r="G80" s="20"/>
      <c r="H80" s="13"/>
      <c r="I80" s="19">
        <f>IF($E80="","",$E80*(1-IF($F80="",0,$F80)-IF($G80="",0,$G80))-IF($H80="",0,$H80))</f>
      </c>
    </row>
    <row r="81" spans="2:9" x14ac:dyDescent="0.25">
      <c r="B81" s="9"/>
      <c r="C81" s="8"/>
      <c r="D81" s="8"/>
      <c r="E81" s="10"/>
      <c r="F81" s="18"/>
      <c r="G81" s="18"/>
      <c r="H81" s="10"/>
      <c r="I81" s="19">
        <f>IF($E81="","",$E81*(1-IF($F81="",0,$F81)-IF($G81="",0,$G81))-IF($H81="",0,$H81))</f>
      </c>
    </row>
    <row r="82" spans="2:9" x14ac:dyDescent="0.25">
      <c r="B82" s="12"/>
      <c r="C82" s="11"/>
      <c r="D82" s="11"/>
      <c r="E82" s="13"/>
      <c r="F82" s="20"/>
      <c r="G82" s="20"/>
      <c r="H82" s="13"/>
      <c r="I82" s="19">
        <f>IF($E82="","",$E82*(1-IF($F82="",0,$F82)-IF($G82="",0,$G82))-IF($H82="",0,$H82))</f>
      </c>
    </row>
    <row r="83" spans="2:9" x14ac:dyDescent="0.25">
      <c r="B83" s="9"/>
      <c r="C83" s="8"/>
      <c r="D83" s="8"/>
      <c r="E83" s="10"/>
      <c r="F83" s="18"/>
      <c r="G83" s="18"/>
      <c r="H83" s="10"/>
      <c r="I83" s="19">
        <f>IF($E83="","",$E83*(1-IF($F83="",0,$F83)-IF($G83="",0,$G83))-IF($H83="",0,$H83))</f>
      </c>
    </row>
    <row r="84" spans="2:9" x14ac:dyDescent="0.25">
      <c r="B84" s="12"/>
      <c r="C84" s="11"/>
      <c r="D84" s="11"/>
      <c r="E84" s="13"/>
      <c r="F84" s="20"/>
      <c r="G84" s="20"/>
      <c r="H84" s="13"/>
      <c r="I84" s="19">
        <f>IF($E84="","",$E84*(1-IF($F84="",0,$F84)-IF($G84="",0,$G84))-IF($H84="",0,$H84))</f>
      </c>
    </row>
    <row r="85" spans="2:9" x14ac:dyDescent="0.25">
      <c r="B85" s="9"/>
      <c r="C85" s="8"/>
      <c r="D85" s="8"/>
      <c r="E85" s="10"/>
      <c r="F85" s="18"/>
      <c r="G85" s="18"/>
      <c r="H85" s="10"/>
      <c r="I85" s="19">
        <f>IF($E85="","",$E85*(1-IF($F85="",0,$F85)-IF($G85="",0,$G85))-IF($H85="",0,$H85))</f>
      </c>
    </row>
    <row r="86" spans="2:9" x14ac:dyDescent="0.25">
      <c r="B86" s="12"/>
      <c r="C86" s="11"/>
      <c r="D86" s="11"/>
      <c r="E86" s="13"/>
      <c r="F86" s="20"/>
      <c r="G86" s="20"/>
      <c r="H86" s="13"/>
      <c r="I86" s="19">
        <f>IF($E86="","",$E86*(1-IF($F86="",0,$F86)-IF($G86="",0,$G86))-IF($H86="",0,$H86))</f>
      </c>
    </row>
    <row r="87" spans="2:9" x14ac:dyDescent="0.25">
      <c r="B87" s="9"/>
      <c r="C87" s="8"/>
      <c r="D87" s="8"/>
      <c r="E87" s="10"/>
      <c r="F87" s="18"/>
      <c r="G87" s="18"/>
      <c r="H87" s="10"/>
      <c r="I87" s="19">
        <f>IF($E87="","",$E87*(1-IF($F87="",0,$F87)-IF($G87="",0,$G87))-IF($H87="",0,$H87))</f>
      </c>
    </row>
    <row r="88" spans="2:9" x14ac:dyDescent="0.25">
      <c r="B88" s="12"/>
      <c r="C88" s="11"/>
      <c r="D88" s="11"/>
      <c r="E88" s="13"/>
      <c r="F88" s="20"/>
      <c r="G88" s="20"/>
      <c r="H88" s="13"/>
      <c r="I88" s="19">
        <f>IF($E88="","",$E88*(1-IF($F88="",0,$F88)-IF($G88="",0,$G88))-IF($H88="",0,$H88))</f>
      </c>
    </row>
    <row r="89" spans="2:9" x14ac:dyDescent="0.25">
      <c r="B89" s="9"/>
      <c r="C89" s="8"/>
      <c r="D89" s="8"/>
      <c r="E89" s="10"/>
      <c r="F89" s="18"/>
      <c r="G89" s="18"/>
      <c r="H89" s="10"/>
      <c r="I89" s="19">
        <f>IF($E89="","",$E89*(1-IF($F89="",0,$F89)-IF($G89="",0,$G89))-IF($H89="",0,$H89))</f>
      </c>
    </row>
    <row r="90" spans="2:9" x14ac:dyDescent="0.25">
      <c r="B90" s="12"/>
      <c r="C90" s="11"/>
      <c r="D90" s="11"/>
      <c r="E90" s="13"/>
      <c r="F90" s="20"/>
      <c r="G90" s="20"/>
      <c r="H90" s="13"/>
      <c r="I90" s="19">
        <f>IF($E90="","",$E90*(1-IF($F90="",0,$F90)-IF($G90="",0,$G90))-IF($H90="",0,$H90))</f>
      </c>
    </row>
    <row r="91" spans="2:9" x14ac:dyDescent="0.25">
      <c r="B91" s="9"/>
      <c r="C91" s="8"/>
      <c r="D91" s="8"/>
      <c r="E91" s="10"/>
      <c r="F91" s="18"/>
      <c r="G91" s="18"/>
      <c r="H91" s="10"/>
      <c r="I91" s="19">
        <f>IF($E91="","",$E91*(1-IF($F91="",0,$F91)-IF($G91="",0,$G91))-IF($H91="",0,$H91))</f>
      </c>
    </row>
    <row r="92" spans="2:9" x14ac:dyDescent="0.25">
      <c r="B92" s="12"/>
      <c r="C92" s="11"/>
      <c r="D92" s="11"/>
      <c r="E92" s="13"/>
      <c r="F92" s="20"/>
      <c r="G92" s="20"/>
      <c r="H92" s="13"/>
      <c r="I92" s="19">
        <f>IF($E92="","",$E92*(1-IF($F92="",0,$F92)-IF($G92="",0,$G92))-IF($H92="",0,$H92))</f>
      </c>
    </row>
    <row r="93" spans="2:9" x14ac:dyDescent="0.25">
      <c r="B93" s="9"/>
      <c r="C93" s="8"/>
      <c r="D93" s="8"/>
      <c r="E93" s="10"/>
      <c r="F93" s="18"/>
      <c r="G93" s="18"/>
      <c r="H93" s="10"/>
      <c r="I93" s="19">
        <f>IF($E93="","",$E93*(1-IF($F93="",0,$F93)-IF($G93="",0,$G93))-IF($H93="",0,$H93))</f>
      </c>
    </row>
    <row r="94" spans="2:9" x14ac:dyDescent="0.25">
      <c r="B94" s="12"/>
      <c r="C94" s="11"/>
      <c r="D94" s="11"/>
      <c r="E94" s="13"/>
      <c r="F94" s="20"/>
      <c r="G94" s="20"/>
      <c r="H94" s="13"/>
      <c r="I94" s="19">
        <f>IF($E94="","",$E94*(1-IF($F94="",0,$F94)-IF($G94="",0,$G94))-IF($H94="",0,$H94))</f>
      </c>
    </row>
    <row r="95" spans="2:9" x14ac:dyDescent="0.25">
      <c r="B95" s="9"/>
      <c r="C95" s="8"/>
      <c r="D95" s="8"/>
      <c r="E95" s="10"/>
      <c r="F95" s="18"/>
      <c r="G95" s="18"/>
      <c r="H95" s="10"/>
      <c r="I95" s="19">
        <f>IF($E95="","",$E95*(1-IF($F95="",0,$F95)-IF($G95="",0,$G95))-IF($H95="",0,$H95))</f>
      </c>
    </row>
    <row r="96" spans="2:9" x14ac:dyDescent="0.25">
      <c r="B96" s="12"/>
      <c r="C96" s="11"/>
      <c r="D96" s="11"/>
      <c r="E96" s="13"/>
      <c r="F96" s="20"/>
      <c r="G96" s="20"/>
      <c r="H96" s="13"/>
      <c r="I96" s="19">
        <f>IF($E96="","",$E96*(1-IF($F96="",0,$F96)-IF($G96="",0,$G96))-IF($H96="",0,$H96))</f>
      </c>
    </row>
    <row r="97" spans="2:9" x14ac:dyDescent="0.25">
      <c r="B97" s="9"/>
      <c r="C97" s="8"/>
      <c r="D97" s="8"/>
      <c r="E97" s="10"/>
      <c r="F97" s="18"/>
      <c r="G97" s="18"/>
      <c r="H97" s="10"/>
      <c r="I97" s="19">
        <f>IF($E97="","",$E97*(1-IF($F97="",0,$F97)-IF($G97="",0,$G97))-IF($H97="",0,$H97))</f>
      </c>
    </row>
    <row r="98" spans="2:9" x14ac:dyDescent="0.25">
      <c r="B98" s="12"/>
      <c r="C98" s="11"/>
      <c r="D98" s="11"/>
      <c r="E98" s="13"/>
      <c r="F98" s="20"/>
      <c r="G98" s="20"/>
      <c r="H98" s="13"/>
      <c r="I98" s="19">
        <f>IF($E98="","",$E98*(1-IF($F98="",0,$F98)-IF($G98="",0,$G98))-IF($H98="",0,$H98))</f>
      </c>
    </row>
    <row r="99" spans="2:9" x14ac:dyDescent="0.25">
      <c r="B99" s="9"/>
      <c r="C99" s="8"/>
      <c r="D99" s="8"/>
      <c r="E99" s="10"/>
      <c r="F99" s="18"/>
      <c r="G99" s="18"/>
      <c r="H99" s="10"/>
      <c r="I99" s="19">
        <f>IF($E99="","",$E99*(1-IF($F99="",0,$F99)-IF($G99="",0,$G99))-IF($H99="",0,$H99))</f>
      </c>
    </row>
    <row r="100" spans="2:9" x14ac:dyDescent="0.25">
      <c r="B100" s="12"/>
      <c r="C100" s="11"/>
      <c r="D100" s="11"/>
      <c r="E100" s="13"/>
      <c r="F100" s="20"/>
      <c r="G100" s="20"/>
      <c r="H100" s="13"/>
      <c r="I100" s="19">
        <f>IF($E100="","",$E100*(1-IF($F100="",0,$F100)-IF($G100="",0,$G100))-IF($H100="",0,$H100))</f>
      </c>
    </row>
    <row r="101" spans="2:9" x14ac:dyDescent="0.25">
      <c r="B101" s="9"/>
      <c r="C101" s="8"/>
      <c r="D101" s="8"/>
      <c r="E101" s="10"/>
      <c r="F101" s="18"/>
      <c r="G101" s="18"/>
      <c r="H101" s="10"/>
      <c r="I101" s="19">
        <f>IF($E101="","",$E101*(1-IF($F101="",0,$F101)-IF($G101="",0,$G101))-IF($H101="",0,$H101))</f>
      </c>
    </row>
    <row r="102" spans="2:9" x14ac:dyDescent="0.25">
      <c r="B102" s="12"/>
      <c r="C102" s="11"/>
      <c r="D102" s="11"/>
      <c r="E102" s="13"/>
      <c r="F102" s="20"/>
      <c r="G102" s="20"/>
      <c r="H102" s="13"/>
      <c r="I102" s="19">
        <f>IF($E102="","",$E102*(1-IF($F102="",0,$F102)-IF($G102="",0,$G102))-IF($H102="",0,$H102))</f>
      </c>
    </row>
    <row r="103" spans="2:9" x14ac:dyDescent="0.25">
      <c r="B103" s="9"/>
      <c r="C103" s="8"/>
      <c r="D103" s="8"/>
      <c r="E103" s="10"/>
      <c r="F103" s="18"/>
      <c r="G103" s="18"/>
      <c r="H103" s="10"/>
      <c r="I103" s="19">
        <f>IF($E103="","",$E103*(1-IF($F103="",0,$F103)-IF($G103="",0,$G103))-IF($H103="",0,$H103))</f>
      </c>
    </row>
    <row r="104" spans="2:9" x14ac:dyDescent="0.25">
      <c r="B104" s="12"/>
      <c r="C104" s="11"/>
      <c r="D104" s="11"/>
      <c r="E104" s="13"/>
      <c r="F104" s="20"/>
      <c r="G104" s="20"/>
      <c r="H104" s="13"/>
      <c r="I104" s="19">
        <f>IF($E104="","",$E104*(1-IF($F104="",0,$F104)-IF($G104="",0,$G104))-IF($H104="",0,$H104))</f>
      </c>
    </row>
    <row r="105" spans="2:9" x14ac:dyDescent="0.25">
      <c r="B105" s="9"/>
      <c r="C105" s="8"/>
      <c r="D105" s="8"/>
      <c r="E105" s="10"/>
      <c r="F105" s="18"/>
      <c r="G105" s="18"/>
      <c r="H105" s="10"/>
      <c r="I105" s="19">
        <f>IF($E105="","",$E105*(1-IF($F105="",0,$F105)-IF($G105="",0,$G105))-IF($H105="",0,$H105))</f>
      </c>
    </row>
    <row r="106" spans="2:9" x14ac:dyDescent="0.25">
      <c r="B106" s="12"/>
      <c r="C106" s="11"/>
      <c r="D106" s="11"/>
      <c r="E106" s="13"/>
      <c r="F106" s="20"/>
      <c r="G106" s="20"/>
      <c r="H106" s="13"/>
      <c r="I106" s="19">
        <f>IF($E106="","",$E106*(1-IF($F106="",0,$F106)-IF($G106="",0,$G106))-IF($H106="",0,$H106))</f>
      </c>
    </row>
    <row r="107" spans="2:9" x14ac:dyDescent="0.25">
      <c r="B107" s="9"/>
      <c r="C107" s="8"/>
      <c r="D107" s="8"/>
      <c r="E107" s="10"/>
      <c r="F107" s="18"/>
      <c r="G107" s="18"/>
      <c r="H107" s="10"/>
      <c r="I107" s="19">
        <f>IF($E107="","",$E107*(1-IF($F107="",0,$F107)-IF($G107="",0,$G107))-IF($H107="",0,$H107))</f>
      </c>
    </row>
    <row r="108" spans="2:9" x14ac:dyDescent="0.25">
      <c r="B108" s="12"/>
      <c r="C108" s="11"/>
      <c r="D108" s="11"/>
      <c r="E108" s="13"/>
      <c r="F108" s="20"/>
      <c r="G108" s="20"/>
      <c r="H108" s="13"/>
      <c r="I108" s="19">
        <f>IF($E108="","",$E108*(1-IF($F108="",0,$F108)-IF($G108="",0,$G108))-IF($H108="",0,$H108))</f>
      </c>
    </row>
    <row r="109" spans="2:9" x14ac:dyDescent="0.25">
      <c r="B109" s="9"/>
      <c r="C109" s="8"/>
      <c r="D109" s="8"/>
      <c r="E109" s="10"/>
      <c r="F109" s="18"/>
      <c r="G109" s="18"/>
      <c r="H109" s="10"/>
      <c r="I109" s="19">
        <f>IF($E109="","",$E109*(1-IF($F109="",0,$F109)-IF($G109="",0,$G109))-IF($H109="",0,$H109))</f>
      </c>
    </row>
    <row r="110" spans="2:9" x14ac:dyDescent="0.25">
      <c r="B110" s="12"/>
      <c r="C110" s="11"/>
      <c r="D110" s="11"/>
      <c r="E110" s="13"/>
      <c r="F110" s="20"/>
      <c r="G110" s="20"/>
      <c r="H110" s="13"/>
      <c r="I110" s="19">
        <f>IF($E110="","",$E110*(1-IF($F110="",0,$F110)-IF($G110="",0,$G110))-IF($H110="",0,$H110))</f>
      </c>
    </row>
    <row r="111" spans="2:9" x14ac:dyDescent="0.25">
      <c r="B111" s="9"/>
      <c r="C111" s="8"/>
      <c r="D111" s="8"/>
      <c r="E111" s="10"/>
      <c r="F111" s="18"/>
      <c r="G111" s="18"/>
      <c r="H111" s="10"/>
      <c r="I111" s="19">
        <f>IF($E111="","",$E111*(1-IF($F111="",0,$F111)-IF($G111="",0,$G111))-IF($H111="",0,$H111))</f>
      </c>
    </row>
    <row r="112" spans="2:9" x14ac:dyDescent="0.25">
      <c r="B112" s="12"/>
      <c r="C112" s="11"/>
      <c r="D112" s="11"/>
      <c r="E112" s="13"/>
      <c r="F112" s="20"/>
      <c r="G112" s="20"/>
      <c r="H112" s="13"/>
      <c r="I112" s="19">
        <f>IF($E112="","",$E112*(1-IF($F112="",0,$F112)-IF($G112="",0,$G112))-IF($H112="",0,$H112))</f>
      </c>
    </row>
    <row r="113" spans="2:9" x14ac:dyDescent="0.25">
      <c r="B113" s="9"/>
      <c r="C113" s="8"/>
      <c r="D113" s="8"/>
      <c r="E113" s="10"/>
      <c r="F113" s="18"/>
      <c r="G113" s="18"/>
      <c r="H113" s="10"/>
      <c r="I113" s="19">
        <f>IF($E113="","",$E113*(1-IF($F113="",0,$F113)-IF($G113="",0,$G113))-IF($H113="",0,$H113))</f>
      </c>
    </row>
    <row r="114" spans="2:9" x14ac:dyDescent="0.25">
      <c r="B114" s="12"/>
      <c r="C114" s="11"/>
      <c r="D114" s="11"/>
      <c r="E114" s="13"/>
      <c r="F114" s="20"/>
      <c r="G114" s="20"/>
      <c r="H114" s="13"/>
      <c r="I114" s="19">
        <f>IF($E114="","",$E114*(1-IF($F114="",0,$F114)-IF($G114="",0,$G114))-IF($H114="",0,$H114))</f>
      </c>
    </row>
    <row r="115" spans="2:9" x14ac:dyDescent="0.25">
      <c r="B115" s="9"/>
      <c r="C115" s="8"/>
      <c r="D115" s="8"/>
      <c r="E115" s="10"/>
      <c r="F115" s="18"/>
      <c r="G115" s="18"/>
      <c r="H115" s="10"/>
      <c r="I115" s="19">
        <f>IF($E115="","",$E115*(1-IF($F115="",0,$F115)-IF($G115="",0,$G115))-IF($H115="",0,$H115))</f>
      </c>
    </row>
    <row r="116" spans="2:9" x14ac:dyDescent="0.25">
      <c r="B116" s="12"/>
      <c r="C116" s="11"/>
      <c r="D116" s="11"/>
      <c r="E116" s="13"/>
      <c r="F116" s="20"/>
      <c r="G116" s="20"/>
      <c r="H116" s="13"/>
      <c r="I116" s="19">
        <f>IF($E116="","",$E116*(1-IF($F116="",0,$F116)-IF($G116="",0,$G116))-IF($H116="",0,$H116))</f>
      </c>
    </row>
    <row r="117" spans="2:9" x14ac:dyDescent="0.25">
      <c r="B117" s="9"/>
      <c r="C117" s="8"/>
      <c r="D117" s="8"/>
      <c r="E117" s="10"/>
      <c r="F117" s="18"/>
      <c r="G117" s="18"/>
      <c r="H117" s="10"/>
      <c r="I117" s="19">
        <f>IF($E117="","",$E117*(1-IF($F117="",0,$F117)-IF($G117="",0,$G117))-IF($H117="",0,$H117))</f>
      </c>
    </row>
    <row r="118" spans="2:9" x14ac:dyDescent="0.25">
      <c r="B118" s="12"/>
      <c r="C118" s="11"/>
      <c r="D118" s="11"/>
      <c r="E118" s="13"/>
      <c r="F118" s="20"/>
      <c r="G118" s="20"/>
      <c r="H118" s="13"/>
      <c r="I118" s="19">
        <f>IF($E118="","",$E118*(1-IF($F118="",0,$F118)-IF($G118="",0,$G118))-IF($H118="",0,$H118))</f>
      </c>
    </row>
    <row r="119" spans="2:9" x14ac:dyDescent="0.25">
      <c r="B119" s="9"/>
      <c r="C119" s="8"/>
      <c r="D119" s="8"/>
      <c r="E119" s="10"/>
      <c r="F119" s="18"/>
      <c r="G119" s="18"/>
      <c r="H119" s="10"/>
      <c r="I119" s="19">
        <f>IF($E119="","",$E119*(1-IF($F119="",0,$F119)-IF($G119="",0,$G119))-IF($H119="",0,$H119))</f>
      </c>
    </row>
    <row r="120" spans="2:9" x14ac:dyDescent="0.25">
      <c r="B120" s="12"/>
      <c r="C120" s="11"/>
      <c r="D120" s="11"/>
      <c r="E120" s="13"/>
      <c r="F120" s="20"/>
      <c r="G120" s="20"/>
      <c r="H120" s="13"/>
      <c r="I120" s="19">
        <f>IF($E120="","",$E120*(1-IF($F120="",0,$F120)-IF($G120="",0,$G120))-IF($H120="",0,$H120))</f>
      </c>
    </row>
    <row r="121" spans="2:9" x14ac:dyDescent="0.25">
      <c r="B121" s="9"/>
      <c r="C121" s="8"/>
      <c r="D121" s="8"/>
      <c r="E121" s="10"/>
      <c r="F121" s="18"/>
      <c r="G121" s="18"/>
      <c r="H121" s="10"/>
      <c r="I121" s="19">
        <f>IF($E121="","",$E121*(1-IF($F121="",0,$F121)-IF($G121="",0,$G121))-IF($H121="",0,$H121))</f>
      </c>
    </row>
    <row r="122" spans="2:9" x14ac:dyDescent="0.25">
      <c r="B122" s="12"/>
      <c r="C122" s="11"/>
      <c r="D122" s="11"/>
      <c r="E122" s="13"/>
      <c r="F122" s="20"/>
      <c r="G122" s="20"/>
      <c r="H122" s="13"/>
      <c r="I122" s="19">
        <f>IF($E122="","",$E122*(1-IF($F122="",0,$F122)-IF($G122="",0,$G122))-IF($H122="",0,$H122))</f>
      </c>
    </row>
    <row r="123" spans="2:9" x14ac:dyDescent="0.25">
      <c r="B123" s="9"/>
      <c r="C123" s="8"/>
      <c r="D123" s="8"/>
      <c r="E123" s="10"/>
      <c r="F123" s="18"/>
      <c r="G123" s="18"/>
      <c r="H123" s="10"/>
      <c r="I123" s="19">
        <f>IF($E123="","",$E123*(1-IF($F123="",0,$F123)-IF($G123="",0,$G123))-IF($H123="",0,$H123))</f>
      </c>
    </row>
    <row r="124" spans="2:9" x14ac:dyDescent="0.25">
      <c r="B124" s="12"/>
      <c r="C124" s="11"/>
      <c r="D124" s="11"/>
      <c r="E124" s="13"/>
      <c r="F124" s="20"/>
      <c r="G124" s="20"/>
      <c r="H124" s="13"/>
      <c r="I124" s="19">
        <f>IF($E124="","",$E124*(1-IF($F124="",0,$F124)-IF($G124="",0,$G124))-IF($H124="",0,$H124))</f>
      </c>
    </row>
    <row r="125" spans="2:9" x14ac:dyDescent="0.25">
      <c r="B125" s="9"/>
      <c r="C125" s="8"/>
      <c r="D125" s="8"/>
      <c r="E125" s="10"/>
      <c r="F125" s="18"/>
      <c r="G125" s="18"/>
      <c r="H125" s="10"/>
      <c r="I125" s="19">
        <f>IF($E125="","",$E125*(1-IF($F125="",0,$F125)-IF($G125="",0,$G125))-IF($H125="",0,$H125))</f>
      </c>
    </row>
    <row r="126" spans="2:9" x14ac:dyDescent="0.25">
      <c r="B126" s="12"/>
      <c r="C126" s="11"/>
      <c r="D126" s="11"/>
      <c r="E126" s="13"/>
      <c r="F126" s="20"/>
      <c r="G126" s="20"/>
      <c r="H126" s="13"/>
      <c r="I126" s="19">
        <f>IF($E126="","",$E126*(1-IF($F126="",0,$F126)-IF($G126="",0,$G126))-IF($H126="",0,$H126))</f>
      </c>
    </row>
    <row r="127" spans="2:9" x14ac:dyDescent="0.25">
      <c r="B127" s="9"/>
      <c r="C127" s="8"/>
      <c r="D127" s="8"/>
      <c r="E127" s="10"/>
      <c r="F127" s="18"/>
      <c r="G127" s="18"/>
      <c r="H127" s="10"/>
      <c r="I127" s="19">
        <f>IF($E127="","",$E127*(1-IF($F127="",0,$F127)-IF($G127="",0,$G127))-IF($H127="",0,$H127))</f>
      </c>
    </row>
    <row r="128" spans="2:9" x14ac:dyDescent="0.25">
      <c r="B128" s="12"/>
      <c r="C128" s="11"/>
      <c r="D128" s="11"/>
      <c r="E128" s="13"/>
      <c r="F128" s="20"/>
      <c r="G128" s="20"/>
      <c r="H128" s="13"/>
      <c r="I128" s="19">
        <f>IF($E128="","",$E128*(1-IF($F128="",0,$F128)-IF($G128="",0,$G128))-IF($H128="",0,$H128))</f>
      </c>
    </row>
    <row r="129" spans="2:9" x14ac:dyDescent="0.25">
      <c r="B129" s="9"/>
      <c r="C129" s="8"/>
      <c r="D129" s="8"/>
      <c r="E129" s="10"/>
      <c r="F129" s="18"/>
      <c r="G129" s="18"/>
      <c r="H129" s="10"/>
      <c r="I129" s="19">
        <f>IF($E129="","",$E129*(1-IF($F129="",0,$F129)-IF($G129="",0,$G129))-IF($H129="",0,$H129))</f>
      </c>
    </row>
    <row r="130" spans="2:9" x14ac:dyDescent="0.25">
      <c r="B130" s="12"/>
      <c r="C130" s="11"/>
      <c r="D130" s="11"/>
      <c r="E130" s="13"/>
      <c r="F130" s="20"/>
      <c r="G130" s="20"/>
      <c r="H130" s="13"/>
      <c r="I130" s="19">
        <f>IF($E130="","",$E130*(1-IF($F130="",0,$F130)-IF($G130="",0,$G130))-IF($H130="",0,$H130))</f>
      </c>
    </row>
    <row r="131" spans="2:9" x14ac:dyDescent="0.25">
      <c r="B131" s="9"/>
      <c r="C131" s="8"/>
      <c r="D131" s="8"/>
      <c r="E131" s="10"/>
      <c r="F131" s="18"/>
      <c r="G131" s="18"/>
      <c r="H131" s="10"/>
      <c r="I131" s="19">
        <f>IF($E131="","",$E131*(1-IF($F131="",0,$F131)-IF($G131="",0,$G131))-IF($H131="",0,$H131))</f>
      </c>
    </row>
    <row r="132" spans="2:9" x14ac:dyDescent="0.25">
      <c r="B132" s="12"/>
      <c r="C132" s="11"/>
      <c r="D132" s="11"/>
      <c r="E132" s="13"/>
      <c r="F132" s="20"/>
      <c r="G132" s="20"/>
      <c r="H132" s="13"/>
      <c r="I132" s="19">
        <f>IF($E132="","",$E132*(1-IF($F132="",0,$F132)-IF($G132="",0,$G132))-IF($H132="",0,$H132))</f>
      </c>
    </row>
    <row r="133" spans="2:9" x14ac:dyDescent="0.25">
      <c r="B133" s="9"/>
      <c r="C133" s="8"/>
      <c r="D133" s="8"/>
      <c r="E133" s="10"/>
      <c r="F133" s="18"/>
      <c r="G133" s="18"/>
      <c r="H133" s="10"/>
      <c r="I133" s="19">
        <f>IF($E133="","",$E133*(1-IF($F133="",0,$F133)-IF($G133="",0,$G133))-IF($H133="",0,$H133))</f>
      </c>
    </row>
    <row r="134" spans="2:9" x14ac:dyDescent="0.25">
      <c r="B134" s="12"/>
      <c r="C134" s="11"/>
      <c r="D134" s="11"/>
      <c r="E134" s="13"/>
      <c r="F134" s="20"/>
      <c r="G134" s="20"/>
      <c r="H134" s="13"/>
      <c r="I134" s="19">
        <f>IF($E134="","",$E134*(1-IF($F134="",0,$F134)-IF($G134="",0,$G134))-IF($H134="",0,$H134))</f>
      </c>
    </row>
    <row r="135" spans="2:9" x14ac:dyDescent="0.25">
      <c r="B135" s="9"/>
      <c r="C135" s="8"/>
      <c r="D135" s="8"/>
      <c r="E135" s="10"/>
      <c r="F135" s="18"/>
      <c r="G135" s="18"/>
      <c r="H135" s="10"/>
      <c r="I135" s="19">
        <f>IF($E135="","",$E135*(1-IF($F135="",0,$F135)-IF($G135="",0,$G135))-IF($H135="",0,$H135))</f>
      </c>
    </row>
    <row r="136" spans="2:9" x14ac:dyDescent="0.25">
      <c r="B136" s="12"/>
      <c r="C136" s="11"/>
      <c r="D136" s="11"/>
      <c r="E136" s="13"/>
      <c r="F136" s="20"/>
      <c r="G136" s="20"/>
      <c r="H136" s="13"/>
      <c r="I136" s="19">
        <f>IF($E136="","",$E136*(1-IF($F136="",0,$F136)-IF($G136="",0,$G136))-IF($H136="",0,$H136))</f>
      </c>
    </row>
    <row r="137" spans="2:9" x14ac:dyDescent="0.25">
      <c r="B137" s="9"/>
      <c r="C137" s="8"/>
      <c r="D137" s="8"/>
      <c r="E137" s="10"/>
      <c r="F137" s="18"/>
      <c r="G137" s="18"/>
      <c r="H137" s="10"/>
      <c r="I137" s="19">
        <f>IF($E137="","",$E137*(1-IF($F137="",0,$F137)-IF($G137="",0,$G137))-IF($H137="",0,$H137))</f>
      </c>
    </row>
    <row r="138" spans="2:9" x14ac:dyDescent="0.25">
      <c r="B138" s="12"/>
      <c r="C138" s="11"/>
      <c r="D138" s="11"/>
      <c r="E138" s="13"/>
      <c r="F138" s="20"/>
      <c r="G138" s="20"/>
      <c r="H138" s="13"/>
      <c r="I138" s="19">
        <f>IF($E138="","",$E138*(1-IF($F138="",0,$F138)-IF($G138="",0,$G138))-IF($H138="",0,$H138))</f>
      </c>
    </row>
    <row r="139" spans="2:9" x14ac:dyDescent="0.25">
      <c r="B139" s="9"/>
      <c r="C139" s="8"/>
      <c r="D139" s="8"/>
      <c r="E139" s="10"/>
      <c r="F139" s="18"/>
      <c r="G139" s="18"/>
      <c r="H139" s="10"/>
      <c r="I139" s="19">
        <f>IF($E139="","",$E139*(1-IF($F139="",0,$F139)-IF($G139="",0,$G139))-IF($H139="",0,$H139))</f>
      </c>
    </row>
    <row r="140" spans="2:9" x14ac:dyDescent="0.25">
      <c r="B140" s="12"/>
      <c r="C140" s="11"/>
      <c r="D140" s="11"/>
      <c r="E140" s="13"/>
      <c r="F140" s="20"/>
      <c r="G140" s="20"/>
      <c r="H140" s="13"/>
      <c r="I140" s="19">
        <f>IF($E140="","",$E140*(1-IF($F140="",0,$F140)-IF($G140="",0,$G140))-IF($H140="",0,$H140))</f>
      </c>
    </row>
    <row r="141" spans="2:9" x14ac:dyDescent="0.25">
      <c r="B141" s="9"/>
      <c r="C141" s="8"/>
      <c r="D141" s="8"/>
      <c r="E141" s="10"/>
      <c r="F141" s="18"/>
      <c r="G141" s="18"/>
      <c r="H141" s="10"/>
      <c r="I141" s="19">
        <f>IF($E141="","",$E141*(1-IF($F141="",0,$F141)-IF($G141="",0,$G141))-IF($H141="",0,$H141))</f>
      </c>
    </row>
    <row r="142" spans="2:9" x14ac:dyDescent="0.25">
      <c r="B142" s="12"/>
      <c r="C142" s="11"/>
      <c r="D142" s="11"/>
      <c r="E142" s="13"/>
      <c r="F142" s="20"/>
      <c r="G142" s="20"/>
      <c r="H142" s="13"/>
      <c r="I142" s="19">
        <f>IF($E142="","",$E142*(1-IF($F142="",0,$F142)-IF($G142="",0,$G142))-IF($H142="",0,$H142))</f>
      </c>
    </row>
    <row r="143" spans="2:9" x14ac:dyDescent="0.25">
      <c r="B143" s="9"/>
      <c r="C143" s="8"/>
      <c r="D143" s="8"/>
      <c r="E143" s="10"/>
      <c r="F143" s="18"/>
      <c r="G143" s="18"/>
      <c r="H143" s="10"/>
      <c r="I143" s="19">
        <f>IF($E143="","",$E143*(1-IF($F143="",0,$F143)-IF($G143="",0,$G143))-IF($H143="",0,$H143))</f>
      </c>
    </row>
    <row r="144" spans="2:9" x14ac:dyDescent="0.25">
      <c r="B144" s="12"/>
      <c r="C144" s="11"/>
      <c r="D144" s="11"/>
      <c r="E144" s="13"/>
      <c r="F144" s="20"/>
      <c r="G144" s="20"/>
      <c r="H144" s="13"/>
      <c r="I144" s="19">
        <f>IF($E144="","",$E144*(1-IF($F144="",0,$F144)-IF($G144="",0,$G144))-IF($H144="",0,$H144))</f>
      </c>
    </row>
    <row r="145" spans="2:9" x14ac:dyDescent="0.25">
      <c r="B145" s="9"/>
      <c r="C145" s="8"/>
      <c r="D145" s="8"/>
      <c r="E145" s="10"/>
      <c r="F145" s="18"/>
      <c r="G145" s="18"/>
      <c r="H145" s="10"/>
      <c r="I145" s="19">
        <f>IF($E145="","",$E145*(1-IF($F145="",0,$F145)-IF($G145="",0,$G145))-IF($H145="",0,$H145))</f>
      </c>
    </row>
    <row r="146" spans="2:9" x14ac:dyDescent="0.25">
      <c r="B146" s="12"/>
      <c r="C146" s="11"/>
      <c r="D146" s="11"/>
      <c r="E146" s="13"/>
      <c r="F146" s="20"/>
      <c r="G146" s="20"/>
      <c r="H146" s="13"/>
      <c r="I146" s="19">
        <f>IF($E146="","",$E146*(1-IF($F146="",0,$F146)-IF($G146="",0,$G146))-IF($H146="",0,$H146))</f>
      </c>
    </row>
    <row r="147" spans="2:9" x14ac:dyDescent="0.25">
      <c r="B147" s="9"/>
      <c r="C147" s="8"/>
      <c r="D147" s="8"/>
      <c r="E147" s="10"/>
      <c r="F147" s="18"/>
      <c r="G147" s="18"/>
      <c r="H147" s="10"/>
      <c r="I147" s="19">
        <f>IF($E147="","",$E147*(1-IF($F147="",0,$F147)-IF($G147="",0,$G147))-IF($H147="",0,$H147))</f>
      </c>
    </row>
    <row r="148" spans="2:9" x14ac:dyDescent="0.25">
      <c r="B148" s="12"/>
      <c r="C148" s="11"/>
      <c r="D148" s="11"/>
      <c r="E148" s="13"/>
      <c r="F148" s="20"/>
      <c r="G148" s="20"/>
      <c r="H148" s="13"/>
      <c r="I148" s="19">
        <f>IF($E148="","",$E148*(1-IF($F148="",0,$F148)-IF($G148="",0,$G148))-IF($H148="",0,$H148))</f>
      </c>
    </row>
    <row r="149" spans="2:9" x14ac:dyDescent="0.25">
      <c r="B149" s="9"/>
      <c r="C149" s="8"/>
      <c r="D149" s="8"/>
      <c r="E149" s="10"/>
      <c r="F149" s="18"/>
      <c r="G149" s="18"/>
      <c r="H149" s="10"/>
      <c r="I149" s="19">
        <f>IF($E149="","",$E149*(1-IF($F149="",0,$F149)-IF($G149="",0,$G149))-IF($H149="",0,$H149))</f>
      </c>
    </row>
    <row r="150" spans="2:9" x14ac:dyDescent="0.25">
      <c r="B150" s="12"/>
      <c r="C150" s="11"/>
      <c r="D150" s="11"/>
      <c r="E150" s="13"/>
      <c r="F150" s="20"/>
      <c r="G150" s="20"/>
      <c r="H150" s="13"/>
      <c r="I150" s="19">
        <f>IF($E150="","",$E150*(1-IF($F150="",0,$F150)-IF($G150="",0,$G150))-IF($H150="",0,$H150))</f>
      </c>
    </row>
    <row r="151" spans="2:9" x14ac:dyDescent="0.25">
      <c r="B151" s="9"/>
      <c r="C151" s="8"/>
      <c r="D151" s="8"/>
      <c r="E151" s="10"/>
      <c r="F151" s="18"/>
      <c r="G151" s="18"/>
      <c r="H151" s="10"/>
      <c r="I151" s="19">
        <f>IF($E151="","",$E151*(1-IF($F151="",0,$F151)-IF($G151="",0,$G151))-IF($H151="",0,$H151))</f>
      </c>
    </row>
    <row r="152" spans="2:9" x14ac:dyDescent="0.25">
      <c r="B152" s="12"/>
      <c r="C152" s="11"/>
      <c r="D152" s="11"/>
      <c r="E152" s="13"/>
      <c r="F152" s="20"/>
      <c r="G152" s="20"/>
      <c r="H152" s="13"/>
      <c r="I152" s="19">
        <f>IF($E152="","",$E152*(1-IF($F152="",0,$F152)-IF($G152="",0,$G152))-IF($H152="",0,$H152))</f>
      </c>
    </row>
    <row r="153" spans="2:9" x14ac:dyDescent="0.25">
      <c r="B153" s="9"/>
      <c r="C153" s="8"/>
      <c r="D153" s="8"/>
      <c r="E153" s="10"/>
      <c r="F153" s="18"/>
      <c r="G153" s="18"/>
      <c r="H153" s="10"/>
      <c r="I153" s="19">
        <f>IF($E153="","",$E153*(1-IF($F153="",0,$F153)-IF($G153="",0,$G153))-IF($H153="",0,$H153))</f>
      </c>
    </row>
    <row r="154" spans="2:9" x14ac:dyDescent="0.25">
      <c r="B154" s="12"/>
      <c r="C154" s="11"/>
      <c r="D154" s="11"/>
      <c r="E154" s="13"/>
      <c r="F154" s="20"/>
      <c r="G154" s="20"/>
      <c r="H154" s="13"/>
      <c r="I154" s="19">
        <f>IF($E154="","",$E154*(1-IF($F154="",0,$F154)-IF($G154="",0,$G154))-IF($H154="",0,$H154))</f>
      </c>
    </row>
    <row r="155" spans="2:9" x14ac:dyDescent="0.25">
      <c r="B155" s="9"/>
      <c r="C155" s="8"/>
      <c r="D155" s="8"/>
      <c r="E155" s="10"/>
      <c r="F155" s="18"/>
      <c r="G155" s="18"/>
      <c r="H155" s="10"/>
      <c r="I155" s="19">
        <f>IF($E155="","",$E155*(1-IF($F155="",0,$F155)-IF($G155="",0,$G155))-IF($H155="",0,$H155))</f>
      </c>
    </row>
    <row r="156" spans="2:9" x14ac:dyDescent="0.25">
      <c r="B156" s="12"/>
      <c r="C156" s="11"/>
      <c r="D156" s="11"/>
      <c r="E156" s="13"/>
      <c r="F156" s="20"/>
      <c r="G156" s="20"/>
      <c r="H156" s="13"/>
      <c r="I156" s="19">
        <f>IF($E156="","",$E156*(1-IF($F156="",0,$F156)-IF($G156="",0,$G156))-IF($H156="",0,$H156))</f>
      </c>
    </row>
    <row r="157" spans="2:9" x14ac:dyDescent="0.25">
      <c r="B157" s="9"/>
      <c r="C157" s="8"/>
      <c r="D157" s="8"/>
      <c r="E157" s="10"/>
      <c r="F157" s="18"/>
      <c r="G157" s="18"/>
      <c r="H157" s="10"/>
      <c r="I157" s="19">
        <f>IF($E157="","",$E157*(1-IF($F157="",0,$F157)-IF($G157="",0,$G157))-IF($H157="",0,$H157))</f>
      </c>
    </row>
    <row r="158" spans="2:9" x14ac:dyDescent="0.25">
      <c r="B158" s="12"/>
      <c r="C158" s="11"/>
      <c r="D158" s="11"/>
      <c r="E158" s="13"/>
      <c r="F158" s="20"/>
      <c r="G158" s="20"/>
      <c r="H158" s="13"/>
      <c r="I158" s="19">
        <f>IF($E158="","",$E158*(1-IF($F158="",0,$F158)-IF($G158="",0,$G158))-IF($H158="",0,$H158))</f>
      </c>
    </row>
    <row r="159" spans="2:9" x14ac:dyDescent="0.25">
      <c r="B159" s="9"/>
      <c r="C159" s="8"/>
      <c r="D159" s="8"/>
      <c r="E159" s="10"/>
      <c r="F159" s="18"/>
      <c r="G159" s="18"/>
      <c r="H159" s="10"/>
      <c r="I159" s="19">
        <f>IF($E159="","",$E159*(1-IF($F159="",0,$F159)-IF($G159="",0,$G159))-IF($H159="",0,$H159))</f>
      </c>
    </row>
    <row r="160" spans="2:9" x14ac:dyDescent="0.25">
      <c r="B160" s="12"/>
      <c r="C160" s="11"/>
      <c r="D160" s="11"/>
      <c r="E160" s="13"/>
      <c r="F160" s="20"/>
      <c r="G160" s="20"/>
      <c r="H160" s="13"/>
      <c r="I160" s="19">
        <f>IF($E160="","",$E160*(1-IF($F160="",0,$F160)-IF($G160="",0,$G160))-IF($H160="",0,$H160))</f>
      </c>
    </row>
    <row r="161" spans="2:9" x14ac:dyDescent="0.25">
      <c r="B161" s="9"/>
      <c r="C161" s="8"/>
      <c r="D161" s="8"/>
      <c r="E161" s="10"/>
      <c r="F161" s="18"/>
      <c r="G161" s="18"/>
      <c r="H161" s="10"/>
      <c r="I161" s="19">
        <f>IF($E161="","",$E161*(1-IF($F161="",0,$F161)-IF($G161="",0,$G161))-IF($H161="",0,$H161))</f>
      </c>
    </row>
    <row r="162" spans="2:9" x14ac:dyDescent="0.25">
      <c r="B162" s="12"/>
      <c r="C162" s="11"/>
      <c r="D162" s="11"/>
      <c r="E162" s="13"/>
      <c r="F162" s="20"/>
      <c r="G162" s="20"/>
      <c r="H162" s="13"/>
      <c r="I162" s="19">
        <f>IF($E162="","",$E162*(1-IF($F162="",0,$F162)-IF($G162="",0,$G162))-IF($H162="",0,$H162))</f>
      </c>
    </row>
    <row r="163" spans="2:9" x14ac:dyDescent="0.25">
      <c r="B163" s="9"/>
      <c r="C163" s="8"/>
      <c r="D163" s="8"/>
      <c r="E163" s="10"/>
      <c r="F163" s="18"/>
      <c r="G163" s="18"/>
      <c r="H163" s="10"/>
      <c r="I163" s="19">
        <f>IF($E163="","",$E163*(1-IF($F163="",0,$F163)-IF($G163="",0,$G163))-IF($H163="",0,$H163))</f>
      </c>
    </row>
    <row r="164" spans="2:9" x14ac:dyDescent="0.25">
      <c r="B164" s="12"/>
      <c r="C164" s="11"/>
      <c r="D164" s="11"/>
      <c r="E164" s="13"/>
      <c r="F164" s="20"/>
      <c r="G164" s="20"/>
      <c r="H164" s="13"/>
      <c r="I164" s="19">
        <f>IF($E164="","",$E164*(1-IF($F164="",0,$F164)-IF($G164="",0,$G164))-IF($H164="",0,$H164))</f>
      </c>
    </row>
    <row r="165" spans="2:9" x14ac:dyDescent="0.25">
      <c r="B165" s="9"/>
      <c r="C165" s="8"/>
      <c r="D165" s="8"/>
      <c r="E165" s="10"/>
      <c r="F165" s="18"/>
      <c r="G165" s="18"/>
      <c r="H165" s="10"/>
      <c r="I165" s="19">
        <f>IF($E165="","",$E165*(1-IF($F165="",0,$F165)-IF($G165="",0,$G165))-IF($H165="",0,$H165))</f>
      </c>
    </row>
    <row r="166" spans="2:9" x14ac:dyDescent="0.25">
      <c r="B166" s="12"/>
      <c r="C166" s="11"/>
      <c r="D166" s="11"/>
      <c r="E166" s="13"/>
      <c r="F166" s="20"/>
      <c r="G166" s="20"/>
      <c r="H166" s="13"/>
      <c r="I166" s="19">
        <f>IF($E166="","",$E166*(1-IF($F166="",0,$F166)-IF($G166="",0,$G166))-IF($H166="",0,$H166))</f>
      </c>
    </row>
    <row r="167" spans="2:9" x14ac:dyDescent="0.25">
      <c r="B167" s="9"/>
      <c r="C167" s="8"/>
      <c r="D167" s="8"/>
      <c r="E167" s="10"/>
      <c r="F167" s="18"/>
      <c r="G167" s="18"/>
      <c r="H167" s="10"/>
      <c r="I167" s="19">
        <f>IF($E167="","",$E167*(1-IF($F167="",0,$F167)-IF($G167="",0,$G167))-IF($H167="",0,$H167))</f>
      </c>
    </row>
    <row r="168" spans="2:9" x14ac:dyDescent="0.25">
      <c r="B168" s="12"/>
      <c r="C168" s="11"/>
      <c r="D168" s="11"/>
      <c r="E168" s="13"/>
      <c r="F168" s="20"/>
      <c r="G168" s="20"/>
      <c r="H168" s="13"/>
      <c r="I168" s="19">
        <f>IF($E168="","",$E168*(1-IF($F168="",0,$F168)-IF($G168="",0,$G168))-IF($H168="",0,$H168))</f>
      </c>
    </row>
    <row r="169" spans="2:9" x14ac:dyDescent="0.25">
      <c r="B169" s="9"/>
      <c r="C169" s="8"/>
      <c r="D169" s="8"/>
      <c r="E169" s="10"/>
      <c r="F169" s="18"/>
      <c r="G169" s="18"/>
      <c r="H169" s="10"/>
      <c r="I169" s="19">
        <f>IF($E169="","",$E169*(1-IF($F169="",0,$F169)-IF($G169="",0,$G169))-IF($H169="",0,$H169))</f>
      </c>
    </row>
    <row r="170" spans="2:9" x14ac:dyDescent="0.25">
      <c r="B170" s="12"/>
      <c r="C170" s="11"/>
      <c r="D170" s="11"/>
      <c r="E170" s="13"/>
      <c r="F170" s="20"/>
      <c r="G170" s="20"/>
      <c r="H170" s="13"/>
      <c r="I170" s="19">
        <f>IF($E170="","",$E170*(1-IF($F170="",0,$F170)-IF($G170="",0,$G170))-IF($H170="",0,$H170))</f>
      </c>
    </row>
    <row r="171" spans="2:9" x14ac:dyDescent="0.25">
      <c r="B171" s="9"/>
      <c r="C171" s="8"/>
      <c r="D171" s="8"/>
      <c r="E171" s="10"/>
      <c r="F171" s="18"/>
      <c r="G171" s="18"/>
      <c r="H171" s="10"/>
      <c r="I171" s="19">
        <f>IF($E171="","",$E171*(1-IF($F171="",0,$F171)-IF($G171="",0,$G171))-IF($H171="",0,$H171))</f>
      </c>
    </row>
    <row r="172" spans="2:9" x14ac:dyDescent="0.25">
      <c r="B172" s="12"/>
      <c r="C172" s="11"/>
      <c r="D172" s="11"/>
      <c r="E172" s="13"/>
      <c r="F172" s="20"/>
      <c r="G172" s="20"/>
      <c r="H172" s="13"/>
      <c r="I172" s="19">
        <f>IF($E172="","",$E172*(1-IF($F172="",0,$F172)-IF($G172="",0,$G172))-IF($H172="",0,$H172))</f>
      </c>
    </row>
    <row r="173" spans="2:9" x14ac:dyDescent="0.25">
      <c r="B173" s="9"/>
      <c r="C173" s="8"/>
      <c r="D173" s="8"/>
      <c r="E173" s="10"/>
      <c r="F173" s="18"/>
      <c r="G173" s="18"/>
      <c r="H173" s="10"/>
      <c r="I173" s="19">
        <f>IF($E173="","",$E173*(1-IF($F173="",0,$F173)-IF($G173="",0,$G173))-IF($H173="",0,$H173))</f>
      </c>
    </row>
    <row r="174" spans="2:9" x14ac:dyDescent="0.25">
      <c r="B174" s="12"/>
      <c r="C174" s="11"/>
      <c r="D174" s="11"/>
      <c r="E174" s="13"/>
      <c r="F174" s="20"/>
      <c r="G174" s="20"/>
      <c r="H174" s="13"/>
      <c r="I174" s="19">
        <f>IF($E174="","",$E174*(1-IF($F174="",0,$F174)-IF($G174="",0,$G174))-IF($H174="",0,$H174))</f>
      </c>
    </row>
    <row r="175" spans="2:9" x14ac:dyDescent="0.25">
      <c r="B175" s="9"/>
      <c r="C175" s="8"/>
      <c r="D175" s="8"/>
      <c r="E175" s="10"/>
      <c r="F175" s="18"/>
      <c r="G175" s="18"/>
      <c r="H175" s="10"/>
      <c r="I175" s="19">
        <f>IF($E175="","",$E175*(1-IF($F175="",0,$F175)-IF($G175="",0,$G175))-IF($H175="",0,$H175))</f>
      </c>
    </row>
    <row r="176" spans="2:9" x14ac:dyDescent="0.25">
      <c r="B176" s="12"/>
      <c r="C176" s="11"/>
      <c r="D176" s="11"/>
      <c r="E176" s="13"/>
      <c r="F176" s="20"/>
      <c r="G176" s="20"/>
      <c r="H176" s="13"/>
      <c r="I176" s="19">
        <f>IF($E176="","",$E176*(1-IF($F176="",0,$F176)-IF($G176="",0,$G176))-IF($H176="",0,$H176))</f>
      </c>
    </row>
    <row r="177" spans="2:9" x14ac:dyDescent="0.25">
      <c r="B177" s="9"/>
      <c r="C177" s="8"/>
      <c r="D177" s="8"/>
      <c r="E177" s="10"/>
      <c r="F177" s="18"/>
      <c r="G177" s="18"/>
      <c r="H177" s="10"/>
      <c r="I177" s="19">
        <f>IF($E177="","",$E177*(1-IF($F177="",0,$F177)-IF($G177="",0,$G177))-IF($H177="",0,$H177))</f>
      </c>
    </row>
    <row r="178" spans="2:9" x14ac:dyDescent="0.25">
      <c r="B178" s="12"/>
      <c r="C178" s="11"/>
      <c r="D178" s="11"/>
      <c r="E178" s="13"/>
      <c r="F178" s="20"/>
      <c r="G178" s="20"/>
      <c r="H178" s="13"/>
      <c r="I178" s="19">
        <f>IF($E178="","",$E178*(1-IF($F178="",0,$F178)-IF($G178="",0,$G178))-IF($H178="",0,$H178))</f>
      </c>
    </row>
    <row r="179" spans="2:9" x14ac:dyDescent="0.25">
      <c r="B179" s="9"/>
      <c r="C179" s="8"/>
      <c r="D179" s="8"/>
      <c r="E179" s="10"/>
      <c r="F179" s="18"/>
      <c r="G179" s="18"/>
      <c r="H179" s="10"/>
      <c r="I179" s="19">
        <f>IF($E179="","",$E179*(1-IF($F179="",0,$F179)-IF($G179="",0,$G179))-IF($H179="",0,$H179))</f>
      </c>
    </row>
    <row r="180" spans="2:9" x14ac:dyDescent="0.25">
      <c r="B180" s="12"/>
      <c r="C180" s="11"/>
      <c r="D180" s="11"/>
      <c r="E180" s="13"/>
      <c r="F180" s="20"/>
      <c r="G180" s="20"/>
      <c r="H180" s="13"/>
      <c r="I180" s="19">
        <f>IF($E180="","",$E180*(1-IF($F180="",0,$F180)-IF($G180="",0,$G180))-IF($H180="",0,$H180))</f>
      </c>
    </row>
    <row r="181" spans="2:9" x14ac:dyDescent="0.25">
      <c r="B181" s="9"/>
      <c r="C181" s="8"/>
      <c r="D181" s="8"/>
      <c r="E181" s="10"/>
      <c r="F181" s="18"/>
      <c r="G181" s="18"/>
      <c r="H181" s="10"/>
      <c r="I181" s="19">
        <f>IF($E181="","",$E181*(1-IF($F181="",0,$F181)-IF($G181="",0,$G181))-IF($H181="",0,$H181))</f>
      </c>
    </row>
    <row r="182" spans="2:9" x14ac:dyDescent="0.25">
      <c r="B182" s="12"/>
      <c r="C182" s="11"/>
      <c r="D182" s="11"/>
      <c r="E182" s="13"/>
      <c r="F182" s="20"/>
      <c r="G182" s="20"/>
      <c r="H182" s="13"/>
      <c r="I182" s="19">
        <f>IF($E182="","",$E182*(1-IF($F182="",0,$F182)-IF($G182="",0,$G182))-IF($H182="",0,$H182))</f>
      </c>
    </row>
    <row r="183" spans="2:9" x14ac:dyDescent="0.25">
      <c r="B183" s="9"/>
      <c r="C183" s="8"/>
      <c r="D183" s="8"/>
      <c r="E183" s="10"/>
      <c r="F183" s="18"/>
      <c r="G183" s="18"/>
      <c r="H183" s="10"/>
      <c r="I183" s="19">
        <f>IF($E183="","",$E183*(1-IF($F183="",0,$F183)-IF($G183="",0,$G183))-IF($H183="",0,$H183))</f>
      </c>
    </row>
    <row r="184" spans="2:9" x14ac:dyDescent="0.25">
      <c r="B184" s="12"/>
      <c r="C184" s="11"/>
      <c r="D184" s="11"/>
      <c r="E184" s="13"/>
      <c r="F184" s="20"/>
      <c r="G184" s="20"/>
      <c r="H184" s="13"/>
      <c r="I184" s="19">
        <f>IF($E184="","",$E184*(1-IF($F184="",0,$F184)-IF($G184="",0,$G184))-IF($H184="",0,$H184))</f>
      </c>
    </row>
    <row r="185" spans="2:9" x14ac:dyDescent="0.25">
      <c r="B185" s="9"/>
      <c r="C185" s="8"/>
      <c r="D185" s="8"/>
      <c r="E185" s="10"/>
      <c r="F185" s="18"/>
      <c r="G185" s="18"/>
      <c r="H185" s="10"/>
      <c r="I185" s="19">
        <f>IF($E185="","",$E185*(1-IF($F185="",0,$F185)-IF($G185="",0,$G185))-IF($H185="",0,$H185))</f>
      </c>
    </row>
    <row r="186" spans="2:9" x14ac:dyDescent="0.25">
      <c r="B186" s="12"/>
      <c r="C186" s="11"/>
      <c r="D186" s="11"/>
      <c r="E186" s="13"/>
      <c r="F186" s="20"/>
      <c r="G186" s="20"/>
      <c r="H186" s="13"/>
      <c r="I186" s="19">
        <f>IF($E186="","",$E186*(1-IF($F186="",0,$F186)-IF($G186="",0,$G186))-IF($H186="",0,$H186))</f>
      </c>
    </row>
    <row r="187" spans="2:9" x14ac:dyDescent="0.25">
      <c r="B187" s="9"/>
      <c r="C187" s="8"/>
      <c r="D187" s="8"/>
      <c r="E187" s="10"/>
      <c r="F187" s="18"/>
      <c r="G187" s="18"/>
      <c r="H187" s="10"/>
      <c r="I187" s="19">
        <f>IF($E187="","",$E187*(1-IF($F187="",0,$F187)-IF($G187="",0,$G187))-IF($H187="",0,$H187))</f>
      </c>
    </row>
    <row r="188" spans="2:9" x14ac:dyDescent="0.25">
      <c r="B188" s="12"/>
      <c r="C188" s="11"/>
      <c r="D188" s="11"/>
      <c r="E188" s="13"/>
      <c r="F188" s="20"/>
      <c r="G188" s="20"/>
      <c r="H188" s="13"/>
      <c r="I188" s="19">
        <f>IF($E188="","",$E188*(1-IF($F188="",0,$F188)-IF($G188="",0,$G188))-IF($H188="",0,$H188))</f>
      </c>
    </row>
    <row r="189" spans="2:9" x14ac:dyDescent="0.25">
      <c r="B189" s="9"/>
      <c r="C189" s="8"/>
      <c r="D189" s="8"/>
      <c r="E189" s="10"/>
      <c r="F189" s="18"/>
      <c r="G189" s="18"/>
      <c r="H189" s="10"/>
      <c r="I189" s="19">
        <f>IF($E189="","",$E189*(1-IF($F189="",0,$F189)-IF($G189="",0,$G189))-IF($H189="",0,$H189))</f>
      </c>
    </row>
    <row r="190" spans="2:9" x14ac:dyDescent="0.25">
      <c r="B190" s="12"/>
      <c r="C190" s="11"/>
      <c r="D190" s="11"/>
      <c r="E190" s="13"/>
      <c r="F190" s="20"/>
      <c r="G190" s="20"/>
      <c r="H190" s="13"/>
      <c r="I190" s="19">
        <f>IF($E190="","",$E190*(1-IF($F190="",0,$F190)-IF($G190="",0,$G190))-IF($H190="",0,$H190))</f>
      </c>
    </row>
    <row r="191" spans="2:9" x14ac:dyDescent="0.25">
      <c r="B191" s="9"/>
      <c r="C191" s="8"/>
      <c r="D191" s="8"/>
      <c r="E191" s="10"/>
      <c r="F191" s="18"/>
      <c r="G191" s="18"/>
      <c r="H191" s="10"/>
      <c r="I191" s="19">
        <f>IF($E191="","",$E191*(1-IF($F191="",0,$F191)-IF($G191="",0,$G191))-IF($H191="",0,$H191))</f>
      </c>
    </row>
    <row r="192" spans="2:9" x14ac:dyDescent="0.25">
      <c r="B192" s="12"/>
      <c r="C192" s="11"/>
      <c r="D192" s="11"/>
      <c r="E192" s="13"/>
      <c r="F192" s="20"/>
      <c r="G192" s="20"/>
      <c r="H192" s="13"/>
      <c r="I192" s="19">
        <f>IF($E192="","",$E192*(1-IF($F192="",0,$F192)-IF($G192="",0,$G192))-IF($H192="",0,$H192))</f>
      </c>
    </row>
    <row r="193" spans="2:9" x14ac:dyDescent="0.25">
      <c r="B193" s="9"/>
      <c r="C193" s="8"/>
      <c r="D193" s="8"/>
      <c r="E193" s="10"/>
      <c r="F193" s="18"/>
      <c r="G193" s="18"/>
      <c r="H193" s="10"/>
      <c r="I193" s="19">
        <f>IF($E193="","",$E193*(1-IF($F193="",0,$F193)-IF($G193="",0,$G193))-IF($H193="",0,$H193))</f>
      </c>
    </row>
    <row r="194" spans="2:9" x14ac:dyDescent="0.25">
      <c r="B194" s="12"/>
      <c r="C194" s="11"/>
      <c r="D194" s="11"/>
      <c r="E194" s="13"/>
      <c r="F194" s="20"/>
      <c r="G194" s="20"/>
      <c r="H194" s="13"/>
      <c r="I194" s="19">
        <f>IF($E194="","",$E194*(1-IF($F194="",0,$F194)-IF($G194="",0,$G194))-IF($H194="",0,$H194))</f>
      </c>
    </row>
    <row r="195" spans="2:9" x14ac:dyDescent="0.25">
      <c r="B195" s="9"/>
      <c r="C195" s="8"/>
      <c r="D195" s="8"/>
      <c r="E195" s="10"/>
      <c r="F195" s="18"/>
      <c r="G195" s="18"/>
      <c r="H195" s="10"/>
      <c r="I195" s="19">
        <f>IF($E195="","",$E195*(1-IF($F195="",0,$F195)-IF($G195="",0,$G195))-IF($H195="",0,$H195))</f>
      </c>
    </row>
    <row r="196" spans="2:9" x14ac:dyDescent="0.25">
      <c r="B196" s="12"/>
      <c r="C196" s="11"/>
      <c r="D196" s="11"/>
      <c r="E196" s="13"/>
      <c r="F196" s="20"/>
      <c r="G196" s="20"/>
      <c r="H196" s="13"/>
      <c r="I196" s="19">
        <f>IF($E196="","",$E196*(1-IF($F196="",0,$F196)-IF($G196="",0,$G196))-IF($H196="",0,$H196))</f>
      </c>
    </row>
    <row r="197" spans="2:9" x14ac:dyDescent="0.25">
      <c r="B197" s="9"/>
      <c r="C197" s="8"/>
      <c r="D197" s="8"/>
      <c r="E197" s="10"/>
      <c r="F197" s="18"/>
      <c r="G197" s="18"/>
      <c r="H197" s="10"/>
      <c r="I197" s="19">
        <f>IF($E197="","",$E197*(1-IF($F197="",0,$F197)-IF($G197="",0,$G197))-IF($H197="",0,$H197))</f>
      </c>
    </row>
    <row r="198" spans="2:9" x14ac:dyDescent="0.25">
      <c r="B198" s="12"/>
      <c r="C198" s="11"/>
      <c r="D198" s="11"/>
      <c r="E198" s="13"/>
      <c r="F198" s="20"/>
      <c r="G198" s="20"/>
      <c r="H198" s="13"/>
      <c r="I198" s="19">
        <f>IF($E198="","",$E198*(1-IF($F198="",0,$F198)-IF($G198="",0,$G198))-IF($H198="",0,$H198))</f>
      </c>
    </row>
    <row r="199" spans="2:9" x14ac:dyDescent="0.25">
      <c r="B199" s="9"/>
      <c r="C199" s="8"/>
      <c r="D199" s="8"/>
      <c r="E199" s="10"/>
      <c r="F199" s="18"/>
      <c r="G199" s="18"/>
      <c r="H199" s="10"/>
      <c r="I199" s="19">
        <f>IF($E199="","",$E199*(1-IF($F199="",0,$F199)-IF($G199="",0,$G199))-IF($H199="",0,$H199))</f>
      </c>
    </row>
    <row r="200" spans="2:9" x14ac:dyDescent="0.25">
      <c r="B200" s="12"/>
      <c r="C200" s="11"/>
      <c r="D200" s="11"/>
      <c r="E200" s="13"/>
      <c r="F200" s="20"/>
      <c r="G200" s="20"/>
      <c r="H200" s="13"/>
      <c r="I200" s="19">
        <f>IF($E200="","",$E200*(1-IF($F200="",0,$F200)-IF($G200="",0,$G200))-IF($H200="",0,$H200))</f>
      </c>
    </row>
    <row r="201" spans="2:9" x14ac:dyDescent="0.25">
      <c r="B201" s="9"/>
      <c r="C201" s="8"/>
      <c r="D201" s="8"/>
      <c r="E201" s="10"/>
      <c r="F201" s="18"/>
      <c r="G201" s="18"/>
      <c r="H201" s="10"/>
      <c r="I201" s="19">
        <f>IF($E201="","",$E201*(1-IF($F201="",0,$F201)-IF($G201="",0,$G201))-IF($H201="",0,$H201))</f>
      </c>
    </row>
    <row r="202" spans="2:9" x14ac:dyDescent="0.25">
      <c r="B202" s="12"/>
      <c r="C202" s="11"/>
      <c r="D202" s="11"/>
      <c r="E202" s="13"/>
      <c r="F202" s="20"/>
      <c r="G202" s="20"/>
      <c r="H202" s="13"/>
      <c r="I202" s="19">
        <f>IF($E202="","",$E202*(1-IF($F202="",0,$F202)-IF($G202="",0,$G202))-IF($H202="",0,$H202))</f>
      </c>
    </row>
    <row r="203" spans="2:9" x14ac:dyDescent="0.25">
      <c r="B203" s="9"/>
      <c r="C203" s="8"/>
      <c r="D203" s="8"/>
      <c r="E203" s="10"/>
      <c r="F203" s="18"/>
      <c r="G203" s="18"/>
      <c r="H203" s="10"/>
      <c r="I203" s="19">
        <f>IF($E203="","",$E203*(1-IF($F203="",0,$F203)-IF($G203="",0,$G203))-IF($H203="",0,$H203))</f>
      </c>
    </row>
    <row r="204" spans="2:9" x14ac:dyDescent="0.25">
      <c r="B204" s="12"/>
      <c r="C204" s="11"/>
      <c r="D204" s="11"/>
      <c r="E204" s="13"/>
      <c r="F204" s="20"/>
      <c r="G204" s="20"/>
      <c r="H204" s="13"/>
      <c r="I204" s="19">
        <f>IF($E204="","",$E204*(1-IF($F204="",0,$F204)-IF($G204="",0,$G204))-IF($H204="",0,$H204))</f>
      </c>
    </row>
  </sheetData>
  <mergeCells count="2">
    <mergeCell ref="A1:I1"/>
    <mergeCell ref="A2:I2"/>
  </mergeCells>
  <dataValidations count="1">
    <dataValidation type="list" allowBlank="1" sqref="C5:C204">
      <formula1>=ProjeKodlari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1C1C"/>
  </sheetPr>
  <dimension ref="A1:I3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3" width="14" customWidth="1"/>
    <col min="4" max="4" width="30" customWidth="1"/>
    <col min="5" max="8" width="18" customWidth="1"/>
    <col min="9" max="9" width="16" customWidth="1"/>
  </cols>
  <sheetData>
    <row r="1" ht="34" customHeight="1" spans="1:9" x14ac:dyDescent="0.25">
      <c r="A1" s="1" t="s">
        <v>76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77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7" t="s">
        <v>20</v>
      </c>
      <c r="B4" s="7" t="s">
        <v>37</v>
      </c>
      <c r="C4" s="7" t="s">
        <v>78</v>
      </c>
      <c r="D4" s="7" t="s">
        <v>38</v>
      </c>
      <c r="E4" s="7" t="s">
        <v>39</v>
      </c>
      <c r="F4" s="7" t="s">
        <v>79</v>
      </c>
      <c r="G4" s="7" t="s">
        <v>80</v>
      </c>
      <c r="H4" s="7" t="s">
        <v>81</v>
      </c>
      <c r="I4" s="7" t="s">
        <v>82</v>
      </c>
    </row>
    <row r="5" spans="2:9" x14ac:dyDescent="0.25">
      <c r="B5" s="14">
        <f>IF('Bütçe Kalemleri'!B5="","",'Bütçe Kalemleri'!B5)</f>
      </c>
      <c r="C5" s="14">
        <f>IF('Bütçe Kalemleri'!C5="","",'Bütçe Kalemleri'!C5)</f>
      </c>
      <c r="D5" s="14">
        <f>IF('Bütçe Kalemleri'!D5="","",'Bütçe Kalemleri'!D5)</f>
      </c>
      <c r="E5" s="14">
        <f>IF('Bütçe Kalemleri'!E5="","",'Bütçe Kalemleri'!E5)</f>
      </c>
      <c r="F5" s="16">
        <f>IF($B5="",0,'Bütçe Kalemleri'!F5)</f>
      </c>
      <c r="G5" s="16">
        <f>IF($B5="",0,SUMIF('Maliyet Kayıtları'!$D$5:$D$1004,$B5,'Maliyet Kayıtları'!$G$5:$G$1004))</f>
      </c>
      <c r="H5" s="19">
        <f>IF($B5="","",$F5-$G5)</f>
      </c>
      <c r="I5" s="21">
        <f>IF(OR($B5="",$F5=0),"",$H5/$F5)</f>
      </c>
    </row>
    <row r="6" spans="2:9" x14ac:dyDescent="0.25">
      <c r="B6" s="14">
        <f>IF('Bütçe Kalemleri'!B6="","",'Bütçe Kalemleri'!B6)</f>
      </c>
      <c r="C6" s="14">
        <f>IF('Bütçe Kalemleri'!C6="","",'Bütçe Kalemleri'!C6)</f>
      </c>
      <c r="D6" s="14">
        <f>IF('Bütçe Kalemleri'!D6="","",'Bütçe Kalemleri'!D6)</f>
      </c>
      <c r="E6" s="14">
        <f>IF('Bütçe Kalemleri'!E6="","",'Bütçe Kalemleri'!E6)</f>
      </c>
      <c r="F6" s="16">
        <f>IF($B6="",0,'Bütçe Kalemleri'!F6)</f>
      </c>
      <c r="G6" s="16">
        <f>IF($B6="",0,SUMIF('Maliyet Kayıtları'!$D$5:$D$1004,$B6,'Maliyet Kayıtları'!$G$5:$G$1004))</f>
      </c>
      <c r="H6" s="19">
        <f>IF($B6="","",$F6-$G6)</f>
      </c>
      <c r="I6" s="21">
        <f>IF(OR($B6="",$F6=0),"",$H6/$F6)</f>
      </c>
    </row>
    <row r="7" spans="2:9" x14ac:dyDescent="0.25">
      <c r="B7" s="14">
        <f>IF('Bütçe Kalemleri'!B7="","",'Bütçe Kalemleri'!B7)</f>
      </c>
      <c r="C7" s="14">
        <f>IF('Bütçe Kalemleri'!C7="","",'Bütçe Kalemleri'!C7)</f>
      </c>
      <c r="D7" s="14">
        <f>IF('Bütçe Kalemleri'!D7="","",'Bütçe Kalemleri'!D7)</f>
      </c>
      <c r="E7" s="14">
        <f>IF('Bütçe Kalemleri'!E7="","",'Bütçe Kalemleri'!E7)</f>
      </c>
      <c r="F7" s="16">
        <f>IF($B7="",0,'Bütçe Kalemleri'!F7)</f>
      </c>
      <c r="G7" s="16">
        <f>IF($B7="",0,SUMIF('Maliyet Kayıtları'!$D$5:$D$1004,$B7,'Maliyet Kayıtları'!$G$5:$G$1004))</f>
      </c>
      <c r="H7" s="19">
        <f>IF($B7="","",$F7-$G7)</f>
      </c>
      <c r="I7" s="21">
        <f>IF(OR($B7="",$F7=0),"",$H7/$F7)</f>
      </c>
    </row>
    <row r="8" spans="2:9" x14ac:dyDescent="0.25">
      <c r="B8" s="14">
        <f>IF('Bütçe Kalemleri'!B8="","",'Bütçe Kalemleri'!B8)</f>
      </c>
      <c r="C8" s="14">
        <f>IF('Bütçe Kalemleri'!C8="","",'Bütçe Kalemleri'!C8)</f>
      </c>
      <c r="D8" s="14">
        <f>IF('Bütçe Kalemleri'!D8="","",'Bütçe Kalemleri'!D8)</f>
      </c>
      <c r="E8" s="14">
        <f>IF('Bütçe Kalemleri'!E8="","",'Bütçe Kalemleri'!E8)</f>
      </c>
      <c r="F8" s="16">
        <f>IF($B8="",0,'Bütçe Kalemleri'!F8)</f>
      </c>
      <c r="G8" s="16">
        <f>IF($B8="",0,SUMIF('Maliyet Kayıtları'!$D$5:$D$1004,$B8,'Maliyet Kayıtları'!$G$5:$G$1004))</f>
      </c>
      <c r="H8" s="19">
        <f>IF($B8="","",$F8-$G8)</f>
      </c>
      <c r="I8" s="21">
        <f>IF(OR($B8="",$F8=0),"",$H8/$F8)</f>
      </c>
    </row>
    <row r="9" spans="2:9" x14ac:dyDescent="0.25">
      <c r="B9" s="14">
        <f>IF('Bütçe Kalemleri'!B9="","",'Bütçe Kalemleri'!B9)</f>
      </c>
      <c r="C9" s="14">
        <f>IF('Bütçe Kalemleri'!C9="","",'Bütçe Kalemleri'!C9)</f>
      </c>
      <c r="D9" s="14">
        <f>IF('Bütçe Kalemleri'!D9="","",'Bütçe Kalemleri'!D9)</f>
      </c>
      <c r="E9" s="14">
        <f>IF('Bütçe Kalemleri'!E9="","",'Bütçe Kalemleri'!E9)</f>
      </c>
      <c r="F9" s="16">
        <f>IF($B9="",0,'Bütçe Kalemleri'!F9)</f>
      </c>
      <c r="G9" s="16">
        <f>IF($B9="",0,SUMIF('Maliyet Kayıtları'!$D$5:$D$1004,$B9,'Maliyet Kayıtları'!$G$5:$G$1004))</f>
      </c>
      <c r="H9" s="19">
        <f>IF($B9="","",$F9-$G9)</f>
      </c>
      <c r="I9" s="21">
        <f>IF(OR($B9="",$F9=0),"",$H9/$F9)</f>
      </c>
    </row>
    <row r="10" spans="2:9" x14ac:dyDescent="0.25">
      <c r="B10" s="14">
        <f>IF('Bütçe Kalemleri'!B10="","",'Bütçe Kalemleri'!B10)</f>
      </c>
      <c r="C10" s="14">
        <f>IF('Bütçe Kalemleri'!C10="","",'Bütçe Kalemleri'!C10)</f>
      </c>
      <c r="D10" s="14">
        <f>IF('Bütçe Kalemleri'!D10="","",'Bütçe Kalemleri'!D10)</f>
      </c>
      <c r="E10" s="14">
        <f>IF('Bütçe Kalemleri'!E10="","",'Bütçe Kalemleri'!E10)</f>
      </c>
      <c r="F10" s="16">
        <f>IF($B10="",0,'Bütçe Kalemleri'!F10)</f>
      </c>
      <c r="G10" s="16">
        <f>IF($B10="",0,SUMIF('Maliyet Kayıtları'!$D$5:$D$1004,$B10,'Maliyet Kayıtları'!$G$5:$G$1004))</f>
      </c>
      <c r="H10" s="19">
        <f>IF($B10="","",$F10-$G10)</f>
      </c>
      <c r="I10" s="21">
        <f>IF(OR($B10="",$F10=0),"",$H10/$F10)</f>
      </c>
    </row>
    <row r="11" spans="2:9" x14ac:dyDescent="0.25">
      <c r="B11" s="14">
        <f>IF('Bütçe Kalemleri'!B11="","",'Bütçe Kalemleri'!B11)</f>
      </c>
      <c r="C11" s="14">
        <f>IF('Bütçe Kalemleri'!C11="","",'Bütçe Kalemleri'!C11)</f>
      </c>
      <c r="D11" s="14">
        <f>IF('Bütçe Kalemleri'!D11="","",'Bütçe Kalemleri'!D11)</f>
      </c>
      <c r="E11" s="14">
        <f>IF('Bütçe Kalemleri'!E11="","",'Bütçe Kalemleri'!E11)</f>
      </c>
      <c r="F11" s="16">
        <f>IF($B11="",0,'Bütçe Kalemleri'!F11)</f>
      </c>
      <c r="G11" s="16">
        <f>IF($B11="",0,SUMIF('Maliyet Kayıtları'!$D$5:$D$1004,$B11,'Maliyet Kayıtları'!$G$5:$G$1004))</f>
      </c>
      <c r="H11" s="19">
        <f>IF($B11="","",$F11-$G11)</f>
      </c>
      <c r="I11" s="21">
        <f>IF(OR($B11="",$F11=0),"",$H11/$F11)</f>
      </c>
    </row>
    <row r="12" spans="2:9" x14ac:dyDescent="0.25">
      <c r="B12" s="14">
        <f>IF('Bütçe Kalemleri'!B12="","",'Bütçe Kalemleri'!B12)</f>
      </c>
      <c r="C12" s="14">
        <f>IF('Bütçe Kalemleri'!C12="","",'Bütçe Kalemleri'!C12)</f>
      </c>
      <c r="D12" s="14">
        <f>IF('Bütçe Kalemleri'!D12="","",'Bütçe Kalemleri'!D12)</f>
      </c>
      <c r="E12" s="14">
        <f>IF('Bütçe Kalemleri'!E12="","",'Bütçe Kalemleri'!E12)</f>
      </c>
      <c r="F12" s="16">
        <f>IF($B12="",0,'Bütçe Kalemleri'!F12)</f>
      </c>
      <c r="G12" s="16">
        <f>IF($B12="",0,SUMIF('Maliyet Kayıtları'!$D$5:$D$1004,$B12,'Maliyet Kayıtları'!$G$5:$G$1004))</f>
      </c>
      <c r="H12" s="19">
        <f>IF($B12="","",$F12-$G12)</f>
      </c>
      <c r="I12" s="21">
        <f>IF(OR($B12="",$F12=0),"",$H12/$F12)</f>
      </c>
    </row>
    <row r="13" spans="2:9" x14ac:dyDescent="0.25">
      <c r="B13" s="14">
        <f>IF('Bütçe Kalemleri'!B13="","",'Bütçe Kalemleri'!B13)</f>
      </c>
      <c r="C13" s="14">
        <f>IF('Bütçe Kalemleri'!C13="","",'Bütçe Kalemleri'!C13)</f>
      </c>
      <c r="D13" s="14">
        <f>IF('Bütçe Kalemleri'!D13="","",'Bütçe Kalemleri'!D13)</f>
      </c>
      <c r="E13" s="14">
        <f>IF('Bütçe Kalemleri'!E13="","",'Bütçe Kalemleri'!E13)</f>
      </c>
      <c r="F13" s="16">
        <f>IF($B13="",0,'Bütçe Kalemleri'!F13)</f>
      </c>
      <c r="G13" s="16">
        <f>IF($B13="",0,SUMIF('Maliyet Kayıtları'!$D$5:$D$1004,$B13,'Maliyet Kayıtları'!$G$5:$G$1004))</f>
      </c>
      <c r="H13" s="19">
        <f>IF($B13="","",$F13-$G13)</f>
      </c>
      <c r="I13" s="21">
        <f>IF(OR($B13="",$F13=0),"",$H13/$F13)</f>
      </c>
    </row>
    <row r="14" spans="2:9" x14ac:dyDescent="0.25">
      <c r="B14" s="14">
        <f>IF('Bütçe Kalemleri'!B14="","",'Bütçe Kalemleri'!B14)</f>
      </c>
      <c r="C14" s="14">
        <f>IF('Bütçe Kalemleri'!C14="","",'Bütçe Kalemleri'!C14)</f>
      </c>
      <c r="D14" s="14">
        <f>IF('Bütçe Kalemleri'!D14="","",'Bütçe Kalemleri'!D14)</f>
      </c>
      <c r="E14" s="14">
        <f>IF('Bütçe Kalemleri'!E14="","",'Bütçe Kalemleri'!E14)</f>
      </c>
      <c r="F14" s="16">
        <f>IF($B14="",0,'Bütçe Kalemleri'!F14)</f>
      </c>
      <c r="G14" s="16">
        <f>IF($B14="",0,SUMIF('Maliyet Kayıtları'!$D$5:$D$1004,$B14,'Maliyet Kayıtları'!$G$5:$G$1004))</f>
      </c>
      <c r="H14" s="19">
        <f>IF($B14="","",$F14-$G14)</f>
      </c>
      <c r="I14" s="21">
        <f>IF(OR($B14="",$F14=0),"",$H14/$F14)</f>
      </c>
    </row>
    <row r="15" spans="2:9" x14ac:dyDescent="0.25">
      <c r="B15" s="14">
        <f>IF('Bütçe Kalemleri'!B15="","",'Bütçe Kalemleri'!B15)</f>
      </c>
      <c r="C15" s="14">
        <f>IF('Bütçe Kalemleri'!C15="","",'Bütçe Kalemleri'!C15)</f>
      </c>
      <c r="D15" s="14">
        <f>IF('Bütçe Kalemleri'!D15="","",'Bütçe Kalemleri'!D15)</f>
      </c>
      <c r="E15" s="14">
        <f>IF('Bütçe Kalemleri'!E15="","",'Bütçe Kalemleri'!E15)</f>
      </c>
      <c r="F15" s="16">
        <f>IF($B15="",0,'Bütçe Kalemleri'!F15)</f>
      </c>
      <c r="G15" s="16">
        <f>IF($B15="",0,SUMIF('Maliyet Kayıtları'!$D$5:$D$1004,$B15,'Maliyet Kayıtları'!$G$5:$G$1004))</f>
      </c>
      <c r="H15" s="19">
        <f>IF($B15="","",$F15-$G15)</f>
      </c>
      <c r="I15" s="21">
        <f>IF(OR($B15="",$F15=0),"",$H15/$F15)</f>
      </c>
    </row>
    <row r="16" spans="2:9" x14ac:dyDescent="0.25">
      <c r="B16" s="14">
        <f>IF('Bütçe Kalemleri'!B16="","",'Bütçe Kalemleri'!B16)</f>
      </c>
      <c r="C16" s="14">
        <f>IF('Bütçe Kalemleri'!C16="","",'Bütçe Kalemleri'!C16)</f>
      </c>
      <c r="D16" s="14">
        <f>IF('Bütçe Kalemleri'!D16="","",'Bütçe Kalemleri'!D16)</f>
      </c>
      <c r="E16" s="14">
        <f>IF('Bütçe Kalemleri'!E16="","",'Bütçe Kalemleri'!E16)</f>
      </c>
      <c r="F16" s="16">
        <f>IF($B16="",0,'Bütçe Kalemleri'!F16)</f>
      </c>
      <c r="G16" s="16">
        <f>IF($B16="",0,SUMIF('Maliyet Kayıtları'!$D$5:$D$1004,$B16,'Maliyet Kayıtları'!$G$5:$G$1004))</f>
      </c>
      <c r="H16" s="19">
        <f>IF($B16="","",$F16-$G16)</f>
      </c>
      <c r="I16" s="21">
        <f>IF(OR($B16="",$F16=0),"",$H16/$F16)</f>
      </c>
    </row>
    <row r="17" spans="2:9" x14ac:dyDescent="0.25">
      <c r="B17" s="14">
        <f>IF('Bütçe Kalemleri'!B17="","",'Bütçe Kalemleri'!B17)</f>
      </c>
      <c r="C17" s="14">
        <f>IF('Bütçe Kalemleri'!C17="","",'Bütçe Kalemleri'!C17)</f>
      </c>
      <c r="D17" s="14">
        <f>IF('Bütçe Kalemleri'!D17="","",'Bütçe Kalemleri'!D17)</f>
      </c>
      <c r="E17" s="14">
        <f>IF('Bütçe Kalemleri'!E17="","",'Bütçe Kalemleri'!E17)</f>
      </c>
      <c r="F17" s="16">
        <f>IF($B17="",0,'Bütçe Kalemleri'!F17)</f>
      </c>
      <c r="G17" s="16">
        <f>IF($B17="",0,SUMIF('Maliyet Kayıtları'!$D$5:$D$1004,$B17,'Maliyet Kayıtları'!$G$5:$G$1004))</f>
      </c>
      <c r="H17" s="19">
        <f>IF($B17="","",$F17-$G17)</f>
      </c>
      <c r="I17" s="21">
        <f>IF(OR($B17="",$F17=0),"",$H17/$F17)</f>
      </c>
    </row>
    <row r="18" spans="2:9" x14ac:dyDescent="0.25">
      <c r="B18" s="14">
        <f>IF('Bütçe Kalemleri'!B18="","",'Bütçe Kalemleri'!B18)</f>
      </c>
      <c r="C18" s="14">
        <f>IF('Bütçe Kalemleri'!C18="","",'Bütçe Kalemleri'!C18)</f>
      </c>
      <c r="D18" s="14">
        <f>IF('Bütçe Kalemleri'!D18="","",'Bütçe Kalemleri'!D18)</f>
      </c>
      <c r="E18" s="14">
        <f>IF('Bütçe Kalemleri'!E18="","",'Bütçe Kalemleri'!E18)</f>
      </c>
      <c r="F18" s="16">
        <f>IF($B18="",0,'Bütçe Kalemleri'!F18)</f>
      </c>
      <c r="G18" s="16">
        <f>IF($B18="",0,SUMIF('Maliyet Kayıtları'!$D$5:$D$1004,$B18,'Maliyet Kayıtları'!$G$5:$G$1004))</f>
      </c>
      <c r="H18" s="19">
        <f>IF($B18="","",$F18-$G18)</f>
      </c>
      <c r="I18" s="21">
        <f>IF(OR($B18="",$F18=0),"",$H18/$F18)</f>
      </c>
    </row>
    <row r="19" spans="2:9" x14ac:dyDescent="0.25">
      <c r="B19" s="14">
        <f>IF('Bütçe Kalemleri'!B19="","",'Bütçe Kalemleri'!B19)</f>
      </c>
      <c r="C19" s="14">
        <f>IF('Bütçe Kalemleri'!C19="","",'Bütçe Kalemleri'!C19)</f>
      </c>
      <c r="D19" s="14">
        <f>IF('Bütçe Kalemleri'!D19="","",'Bütçe Kalemleri'!D19)</f>
      </c>
      <c r="E19" s="14">
        <f>IF('Bütçe Kalemleri'!E19="","",'Bütçe Kalemleri'!E19)</f>
      </c>
      <c r="F19" s="16">
        <f>IF($B19="",0,'Bütçe Kalemleri'!F19)</f>
      </c>
      <c r="G19" s="16">
        <f>IF($B19="",0,SUMIF('Maliyet Kayıtları'!$D$5:$D$1004,$B19,'Maliyet Kayıtları'!$G$5:$G$1004))</f>
      </c>
      <c r="H19" s="19">
        <f>IF($B19="","",$F19-$G19)</f>
      </c>
      <c r="I19" s="21">
        <f>IF(OR($B19="",$F19=0),"",$H19/$F19)</f>
      </c>
    </row>
    <row r="20" spans="2:9" x14ac:dyDescent="0.25">
      <c r="B20" s="14">
        <f>IF('Bütçe Kalemleri'!B20="","",'Bütçe Kalemleri'!B20)</f>
      </c>
      <c r="C20" s="14">
        <f>IF('Bütçe Kalemleri'!C20="","",'Bütçe Kalemleri'!C20)</f>
      </c>
      <c r="D20" s="14">
        <f>IF('Bütçe Kalemleri'!D20="","",'Bütçe Kalemleri'!D20)</f>
      </c>
      <c r="E20" s="14">
        <f>IF('Bütçe Kalemleri'!E20="","",'Bütçe Kalemleri'!E20)</f>
      </c>
      <c r="F20" s="16">
        <f>IF($B20="",0,'Bütçe Kalemleri'!F20)</f>
      </c>
      <c r="G20" s="16">
        <f>IF($B20="",0,SUMIF('Maliyet Kayıtları'!$D$5:$D$1004,$B20,'Maliyet Kayıtları'!$G$5:$G$1004))</f>
      </c>
      <c r="H20" s="19">
        <f>IF($B20="","",$F20-$G20)</f>
      </c>
      <c r="I20" s="21">
        <f>IF(OR($B20="",$F20=0),"",$H20/$F20)</f>
      </c>
    </row>
    <row r="21" spans="2:9" x14ac:dyDescent="0.25">
      <c r="B21" s="14">
        <f>IF('Bütçe Kalemleri'!B21="","",'Bütçe Kalemleri'!B21)</f>
      </c>
      <c r="C21" s="14">
        <f>IF('Bütçe Kalemleri'!C21="","",'Bütçe Kalemleri'!C21)</f>
      </c>
      <c r="D21" s="14">
        <f>IF('Bütçe Kalemleri'!D21="","",'Bütçe Kalemleri'!D21)</f>
      </c>
      <c r="E21" s="14">
        <f>IF('Bütçe Kalemleri'!E21="","",'Bütçe Kalemleri'!E21)</f>
      </c>
      <c r="F21" s="16">
        <f>IF($B21="",0,'Bütçe Kalemleri'!F21)</f>
      </c>
      <c r="G21" s="16">
        <f>IF($B21="",0,SUMIF('Maliyet Kayıtları'!$D$5:$D$1004,$B21,'Maliyet Kayıtları'!$G$5:$G$1004))</f>
      </c>
      <c r="H21" s="19">
        <f>IF($B21="","",$F21-$G21)</f>
      </c>
      <c r="I21" s="21">
        <f>IF(OR($B21="",$F21=0),"",$H21/$F21)</f>
      </c>
    </row>
    <row r="22" spans="2:9" x14ac:dyDescent="0.25">
      <c r="B22" s="14">
        <f>IF('Bütçe Kalemleri'!B22="","",'Bütçe Kalemleri'!B22)</f>
      </c>
      <c r="C22" s="14">
        <f>IF('Bütçe Kalemleri'!C22="","",'Bütçe Kalemleri'!C22)</f>
      </c>
      <c r="D22" s="14">
        <f>IF('Bütçe Kalemleri'!D22="","",'Bütçe Kalemleri'!D22)</f>
      </c>
      <c r="E22" s="14">
        <f>IF('Bütçe Kalemleri'!E22="","",'Bütçe Kalemleri'!E22)</f>
      </c>
      <c r="F22" s="16">
        <f>IF($B22="",0,'Bütçe Kalemleri'!F22)</f>
      </c>
      <c r="G22" s="16">
        <f>IF($B22="",0,SUMIF('Maliyet Kayıtları'!$D$5:$D$1004,$B22,'Maliyet Kayıtları'!$G$5:$G$1004))</f>
      </c>
      <c r="H22" s="19">
        <f>IF($B22="","",$F22-$G22)</f>
      </c>
      <c r="I22" s="21">
        <f>IF(OR($B22="",$F22=0),"",$H22/$F22)</f>
      </c>
    </row>
    <row r="23" spans="2:9" x14ac:dyDescent="0.25">
      <c r="B23" s="14">
        <f>IF('Bütçe Kalemleri'!B23="","",'Bütçe Kalemleri'!B23)</f>
      </c>
      <c r="C23" s="14">
        <f>IF('Bütçe Kalemleri'!C23="","",'Bütçe Kalemleri'!C23)</f>
      </c>
      <c r="D23" s="14">
        <f>IF('Bütçe Kalemleri'!D23="","",'Bütçe Kalemleri'!D23)</f>
      </c>
      <c r="E23" s="14">
        <f>IF('Bütçe Kalemleri'!E23="","",'Bütçe Kalemleri'!E23)</f>
      </c>
      <c r="F23" s="16">
        <f>IF($B23="",0,'Bütçe Kalemleri'!F23)</f>
      </c>
      <c r="G23" s="16">
        <f>IF($B23="",0,SUMIF('Maliyet Kayıtları'!$D$5:$D$1004,$B23,'Maliyet Kayıtları'!$G$5:$G$1004))</f>
      </c>
      <c r="H23" s="19">
        <f>IF($B23="","",$F23-$G23)</f>
      </c>
      <c r="I23" s="21">
        <f>IF(OR($B23="",$F23=0),"",$H23/$F23)</f>
      </c>
    </row>
    <row r="24" spans="2:9" x14ac:dyDescent="0.25">
      <c r="B24" s="14">
        <f>IF('Bütçe Kalemleri'!B24="","",'Bütçe Kalemleri'!B24)</f>
      </c>
      <c r="C24" s="14">
        <f>IF('Bütçe Kalemleri'!C24="","",'Bütçe Kalemleri'!C24)</f>
      </c>
      <c r="D24" s="14">
        <f>IF('Bütçe Kalemleri'!D24="","",'Bütçe Kalemleri'!D24)</f>
      </c>
      <c r="E24" s="14">
        <f>IF('Bütçe Kalemleri'!E24="","",'Bütçe Kalemleri'!E24)</f>
      </c>
      <c r="F24" s="16">
        <f>IF($B24="",0,'Bütçe Kalemleri'!F24)</f>
      </c>
      <c r="G24" s="16">
        <f>IF($B24="",0,SUMIF('Maliyet Kayıtları'!$D$5:$D$1004,$B24,'Maliyet Kayıtları'!$G$5:$G$1004))</f>
      </c>
      <c r="H24" s="19">
        <f>IF($B24="","",$F24-$G24)</f>
      </c>
      <c r="I24" s="21">
        <f>IF(OR($B24="",$F24=0),"",$H24/$F24)</f>
      </c>
    </row>
    <row r="25" spans="2:9" x14ac:dyDescent="0.25">
      <c r="B25" s="14">
        <f>IF('Bütçe Kalemleri'!B25="","",'Bütçe Kalemleri'!B25)</f>
      </c>
      <c r="C25" s="14">
        <f>IF('Bütçe Kalemleri'!C25="","",'Bütçe Kalemleri'!C25)</f>
      </c>
      <c r="D25" s="14">
        <f>IF('Bütçe Kalemleri'!D25="","",'Bütçe Kalemleri'!D25)</f>
      </c>
      <c r="E25" s="14">
        <f>IF('Bütçe Kalemleri'!E25="","",'Bütçe Kalemleri'!E25)</f>
      </c>
      <c r="F25" s="16">
        <f>IF($B25="",0,'Bütçe Kalemleri'!F25)</f>
      </c>
      <c r="G25" s="16">
        <f>IF($B25="",0,SUMIF('Maliyet Kayıtları'!$D$5:$D$1004,$B25,'Maliyet Kayıtları'!$G$5:$G$1004))</f>
      </c>
      <c r="H25" s="19">
        <f>IF($B25="","",$F25-$G25)</f>
      </c>
      <c r="I25" s="21">
        <f>IF(OR($B25="",$F25=0),"",$H25/$F25)</f>
      </c>
    </row>
    <row r="26" spans="2:9" x14ac:dyDescent="0.25">
      <c r="B26" s="14">
        <f>IF('Bütçe Kalemleri'!B26="","",'Bütçe Kalemleri'!B26)</f>
      </c>
      <c r="C26" s="14">
        <f>IF('Bütçe Kalemleri'!C26="","",'Bütçe Kalemleri'!C26)</f>
      </c>
      <c r="D26" s="14">
        <f>IF('Bütçe Kalemleri'!D26="","",'Bütçe Kalemleri'!D26)</f>
      </c>
      <c r="E26" s="14">
        <f>IF('Bütçe Kalemleri'!E26="","",'Bütçe Kalemleri'!E26)</f>
      </c>
      <c r="F26" s="16">
        <f>IF($B26="",0,'Bütçe Kalemleri'!F26)</f>
      </c>
      <c r="G26" s="16">
        <f>IF($B26="",0,SUMIF('Maliyet Kayıtları'!$D$5:$D$1004,$B26,'Maliyet Kayıtları'!$G$5:$G$1004))</f>
      </c>
      <c r="H26" s="19">
        <f>IF($B26="","",$F26-$G26)</f>
      </c>
      <c r="I26" s="21">
        <f>IF(OR($B26="",$F26=0),"",$H26/$F26)</f>
      </c>
    </row>
    <row r="27" spans="2:9" x14ac:dyDescent="0.25">
      <c r="B27" s="14">
        <f>IF('Bütçe Kalemleri'!B27="","",'Bütçe Kalemleri'!B27)</f>
      </c>
      <c r="C27" s="14">
        <f>IF('Bütçe Kalemleri'!C27="","",'Bütçe Kalemleri'!C27)</f>
      </c>
      <c r="D27" s="14">
        <f>IF('Bütçe Kalemleri'!D27="","",'Bütçe Kalemleri'!D27)</f>
      </c>
      <c r="E27" s="14">
        <f>IF('Bütçe Kalemleri'!E27="","",'Bütçe Kalemleri'!E27)</f>
      </c>
      <c r="F27" s="16">
        <f>IF($B27="",0,'Bütçe Kalemleri'!F27)</f>
      </c>
      <c r="G27" s="16">
        <f>IF($B27="",0,SUMIF('Maliyet Kayıtları'!$D$5:$D$1004,$B27,'Maliyet Kayıtları'!$G$5:$G$1004))</f>
      </c>
      <c r="H27" s="19">
        <f>IF($B27="","",$F27-$G27)</f>
      </c>
      <c r="I27" s="21">
        <f>IF(OR($B27="",$F27=0),"",$H27/$F27)</f>
      </c>
    </row>
    <row r="28" spans="2:9" x14ac:dyDescent="0.25">
      <c r="B28" s="14">
        <f>IF('Bütçe Kalemleri'!B28="","",'Bütçe Kalemleri'!B28)</f>
      </c>
      <c r="C28" s="14">
        <f>IF('Bütçe Kalemleri'!C28="","",'Bütçe Kalemleri'!C28)</f>
      </c>
      <c r="D28" s="14">
        <f>IF('Bütçe Kalemleri'!D28="","",'Bütçe Kalemleri'!D28)</f>
      </c>
      <c r="E28" s="14">
        <f>IF('Bütçe Kalemleri'!E28="","",'Bütçe Kalemleri'!E28)</f>
      </c>
      <c r="F28" s="16">
        <f>IF($B28="",0,'Bütçe Kalemleri'!F28)</f>
      </c>
      <c r="G28" s="16">
        <f>IF($B28="",0,SUMIF('Maliyet Kayıtları'!$D$5:$D$1004,$B28,'Maliyet Kayıtları'!$G$5:$G$1004))</f>
      </c>
      <c r="H28" s="19">
        <f>IF($B28="","",$F28-$G28)</f>
      </c>
      <c r="I28" s="21">
        <f>IF(OR($B28="",$F28=0),"",$H28/$F28)</f>
      </c>
    </row>
    <row r="29" spans="2:9" x14ac:dyDescent="0.25">
      <c r="B29" s="14">
        <f>IF('Bütçe Kalemleri'!B29="","",'Bütçe Kalemleri'!B29)</f>
      </c>
      <c r="C29" s="14">
        <f>IF('Bütçe Kalemleri'!C29="","",'Bütçe Kalemleri'!C29)</f>
      </c>
      <c r="D29" s="14">
        <f>IF('Bütçe Kalemleri'!D29="","",'Bütçe Kalemleri'!D29)</f>
      </c>
      <c r="E29" s="14">
        <f>IF('Bütçe Kalemleri'!E29="","",'Bütçe Kalemleri'!E29)</f>
      </c>
      <c r="F29" s="16">
        <f>IF($B29="",0,'Bütçe Kalemleri'!F29)</f>
      </c>
      <c r="G29" s="16">
        <f>IF($B29="",0,SUMIF('Maliyet Kayıtları'!$D$5:$D$1004,$B29,'Maliyet Kayıtları'!$G$5:$G$1004))</f>
      </c>
      <c r="H29" s="19">
        <f>IF($B29="","",$F29-$G29)</f>
      </c>
      <c r="I29" s="21">
        <f>IF(OR($B29="",$F29=0),"",$H29/$F29)</f>
      </c>
    </row>
    <row r="30" spans="2:9" x14ac:dyDescent="0.25">
      <c r="B30" s="14">
        <f>IF('Bütçe Kalemleri'!B30="","",'Bütçe Kalemleri'!B30)</f>
      </c>
      <c r="C30" s="14">
        <f>IF('Bütçe Kalemleri'!C30="","",'Bütçe Kalemleri'!C30)</f>
      </c>
      <c r="D30" s="14">
        <f>IF('Bütçe Kalemleri'!D30="","",'Bütçe Kalemleri'!D30)</f>
      </c>
      <c r="E30" s="14">
        <f>IF('Bütçe Kalemleri'!E30="","",'Bütçe Kalemleri'!E30)</f>
      </c>
      <c r="F30" s="16">
        <f>IF($B30="",0,'Bütçe Kalemleri'!F30)</f>
      </c>
      <c r="G30" s="16">
        <f>IF($B30="",0,SUMIF('Maliyet Kayıtları'!$D$5:$D$1004,$B30,'Maliyet Kayıtları'!$G$5:$G$1004))</f>
      </c>
      <c r="H30" s="19">
        <f>IF($B30="","",$F30-$G30)</f>
      </c>
      <c r="I30" s="21">
        <f>IF(OR($B30="",$F30=0),"",$H30/$F30)</f>
      </c>
    </row>
    <row r="31" spans="2:9" x14ac:dyDescent="0.25">
      <c r="B31" s="14">
        <f>IF('Bütçe Kalemleri'!B31="","",'Bütçe Kalemleri'!B31)</f>
      </c>
      <c r="C31" s="14">
        <f>IF('Bütçe Kalemleri'!C31="","",'Bütçe Kalemleri'!C31)</f>
      </c>
      <c r="D31" s="14">
        <f>IF('Bütçe Kalemleri'!D31="","",'Bütçe Kalemleri'!D31)</f>
      </c>
      <c r="E31" s="14">
        <f>IF('Bütçe Kalemleri'!E31="","",'Bütçe Kalemleri'!E31)</f>
      </c>
      <c r="F31" s="16">
        <f>IF($B31="",0,'Bütçe Kalemleri'!F31)</f>
      </c>
      <c r="G31" s="16">
        <f>IF($B31="",0,SUMIF('Maliyet Kayıtları'!$D$5:$D$1004,$B31,'Maliyet Kayıtları'!$G$5:$G$1004))</f>
      </c>
      <c r="H31" s="19">
        <f>IF($B31="","",$F31-$G31)</f>
      </c>
      <c r="I31" s="21">
        <f>IF(OR($B31="",$F31=0),"",$H31/$F31)</f>
      </c>
    </row>
    <row r="32" spans="2:9" x14ac:dyDescent="0.25">
      <c r="B32" s="14">
        <f>IF('Bütçe Kalemleri'!B32="","",'Bütçe Kalemleri'!B32)</f>
      </c>
      <c r="C32" s="14">
        <f>IF('Bütçe Kalemleri'!C32="","",'Bütçe Kalemleri'!C32)</f>
      </c>
      <c r="D32" s="14">
        <f>IF('Bütçe Kalemleri'!D32="","",'Bütçe Kalemleri'!D32)</f>
      </c>
      <c r="E32" s="14">
        <f>IF('Bütçe Kalemleri'!E32="","",'Bütçe Kalemleri'!E32)</f>
      </c>
      <c r="F32" s="16">
        <f>IF($B32="",0,'Bütçe Kalemleri'!F32)</f>
      </c>
      <c r="G32" s="16">
        <f>IF($B32="",0,SUMIF('Maliyet Kayıtları'!$D$5:$D$1004,$B32,'Maliyet Kayıtları'!$G$5:$G$1004))</f>
      </c>
      <c r="H32" s="19">
        <f>IF($B32="","",$F32-$G32)</f>
      </c>
      <c r="I32" s="21">
        <f>IF(OR($B32="",$F32=0),"",$H32/$F32)</f>
      </c>
    </row>
    <row r="33" spans="2:9" x14ac:dyDescent="0.25">
      <c r="B33" s="14">
        <f>IF('Bütçe Kalemleri'!B33="","",'Bütçe Kalemleri'!B33)</f>
      </c>
      <c r="C33" s="14">
        <f>IF('Bütçe Kalemleri'!C33="","",'Bütçe Kalemleri'!C33)</f>
      </c>
      <c r="D33" s="14">
        <f>IF('Bütçe Kalemleri'!D33="","",'Bütçe Kalemleri'!D33)</f>
      </c>
      <c r="E33" s="14">
        <f>IF('Bütçe Kalemleri'!E33="","",'Bütçe Kalemleri'!E33)</f>
      </c>
      <c r="F33" s="16">
        <f>IF($B33="",0,'Bütçe Kalemleri'!F33)</f>
      </c>
      <c r="G33" s="16">
        <f>IF($B33="",0,SUMIF('Maliyet Kayıtları'!$D$5:$D$1004,$B33,'Maliyet Kayıtları'!$G$5:$G$1004))</f>
      </c>
      <c r="H33" s="19">
        <f>IF($B33="","",$F33-$G33)</f>
      </c>
      <c r="I33" s="21">
        <f>IF(OR($B33="",$F33=0),"",$H33/$F33)</f>
      </c>
    </row>
    <row r="34" spans="2:9" x14ac:dyDescent="0.25">
      <c r="B34" s="14">
        <f>IF('Bütçe Kalemleri'!B34="","",'Bütçe Kalemleri'!B34)</f>
      </c>
      <c r="C34" s="14">
        <f>IF('Bütçe Kalemleri'!C34="","",'Bütçe Kalemleri'!C34)</f>
      </c>
      <c r="D34" s="14">
        <f>IF('Bütçe Kalemleri'!D34="","",'Bütçe Kalemleri'!D34)</f>
      </c>
      <c r="E34" s="14">
        <f>IF('Bütçe Kalemleri'!E34="","",'Bütçe Kalemleri'!E34)</f>
      </c>
      <c r="F34" s="16">
        <f>IF($B34="",0,'Bütçe Kalemleri'!F34)</f>
      </c>
      <c r="G34" s="16">
        <f>IF($B34="",0,SUMIF('Maliyet Kayıtları'!$D$5:$D$1004,$B34,'Maliyet Kayıtları'!$G$5:$G$1004))</f>
      </c>
      <c r="H34" s="19">
        <f>IF($B34="","",$F34-$G34)</f>
      </c>
      <c r="I34" s="21">
        <f>IF(OR($B34="",$F34=0),"",$H34/$F34)</f>
      </c>
    </row>
    <row r="35" spans="2:9" x14ac:dyDescent="0.25">
      <c r="B35" s="14">
        <f>IF('Bütçe Kalemleri'!B35="","",'Bütçe Kalemleri'!B35)</f>
      </c>
      <c r="C35" s="14">
        <f>IF('Bütçe Kalemleri'!C35="","",'Bütçe Kalemleri'!C35)</f>
      </c>
      <c r="D35" s="14">
        <f>IF('Bütçe Kalemleri'!D35="","",'Bütçe Kalemleri'!D35)</f>
      </c>
      <c r="E35" s="14">
        <f>IF('Bütçe Kalemleri'!E35="","",'Bütçe Kalemleri'!E35)</f>
      </c>
      <c r="F35" s="16">
        <f>IF($B35="",0,'Bütçe Kalemleri'!F35)</f>
      </c>
      <c r="G35" s="16">
        <f>IF($B35="",0,SUMIF('Maliyet Kayıtları'!$D$5:$D$1004,$B35,'Maliyet Kayıtları'!$G$5:$G$1004))</f>
      </c>
      <c r="H35" s="19">
        <f>IF($B35="","",$F35-$G35)</f>
      </c>
      <c r="I35" s="21">
        <f>IF(OR($B35="",$F35=0),"",$H35/$F35)</f>
      </c>
    </row>
    <row r="36" spans="2:9" x14ac:dyDescent="0.25">
      <c r="B36" s="14">
        <f>IF('Bütçe Kalemleri'!B36="","",'Bütçe Kalemleri'!B36)</f>
      </c>
      <c r="C36" s="14">
        <f>IF('Bütçe Kalemleri'!C36="","",'Bütçe Kalemleri'!C36)</f>
      </c>
      <c r="D36" s="14">
        <f>IF('Bütçe Kalemleri'!D36="","",'Bütçe Kalemleri'!D36)</f>
      </c>
      <c r="E36" s="14">
        <f>IF('Bütçe Kalemleri'!E36="","",'Bütçe Kalemleri'!E36)</f>
      </c>
      <c r="F36" s="16">
        <f>IF($B36="",0,'Bütçe Kalemleri'!F36)</f>
      </c>
      <c r="G36" s="16">
        <f>IF($B36="",0,SUMIF('Maliyet Kayıtları'!$D$5:$D$1004,$B36,'Maliyet Kayıtları'!$G$5:$G$1004))</f>
      </c>
      <c r="H36" s="19">
        <f>IF($B36="","",$F36-$G36)</f>
      </c>
      <c r="I36" s="21">
        <f>IF(OR($B36="",$F36=0),"",$H36/$F36)</f>
      </c>
    </row>
    <row r="37" spans="2:9" x14ac:dyDescent="0.25">
      <c r="B37" s="14">
        <f>IF('Bütçe Kalemleri'!B37="","",'Bütçe Kalemleri'!B37)</f>
      </c>
      <c r="C37" s="14">
        <f>IF('Bütçe Kalemleri'!C37="","",'Bütçe Kalemleri'!C37)</f>
      </c>
      <c r="D37" s="14">
        <f>IF('Bütçe Kalemleri'!D37="","",'Bütçe Kalemleri'!D37)</f>
      </c>
      <c r="E37" s="14">
        <f>IF('Bütçe Kalemleri'!E37="","",'Bütçe Kalemleri'!E37)</f>
      </c>
      <c r="F37" s="16">
        <f>IF($B37="",0,'Bütçe Kalemleri'!F37)</f>
      </c>
      <c r="G37" s="16">
        <f>IF($B37="",0,SUMIF('Maliyet Kayıtları'!$D$5:$D$1004,$B37,'Maliyet Kayıtları'!$G$5:$G$1004))</f>
      </c>
      <c r="H37" s="19">
        <f>IF($B37="","",$F37-$G37)</f>
      </c>
      <c r="I37" s="21">
        <f>IF(OR($B37="",$F37=0),"",$H37/$F37)</f>
      </c>
    </row>
    <row r="38" spans="2:9" x14ac:dyDescent="0.25">
      <c r="B38" s="14">
        <f>IF('Bütçe Kalemleri'!B38="","",'Bütçe Kalemleri'!B38)</f>
      </c>
      <c r="C38" s="14">
        <f>IF('Bütçe Kalemleri'!C38="","",'Bütçe Kalemleri'!C38)</f>
      </c>
      <c r="D38" s="14">
        <f>IF('Bütçe Kalemleri'!D38="","",'Bütçe Kalemleri'!D38)</f>
      </c>
      <c r="E38" s="14">
        <f>IF('Bütçe Kalemleri'!E38="","",'Bütçe Kalemleri'!E38)</f>
      </c>
      <c r="F38" s="16">
        <f>IF($B38="",0,'Bütçe Kalemleri'!F38)</f>
      </c>
      <c r="G38" s="16">
        <f>IF($B38="",0,SUMIF('Maliyet Kayıtları'!$D$5:$D$1004,$B38,'Maliyet Kayıtları'!$G$5:$G$1004))</f>
      </c>
      <c r="H38" s="19">
        <f>IF($B38="","",$F38-$G38)</f>
      </c>
      <c r="I38" s="21">
        <f>IF(OR($B38="",$F38=0),"",$H38/$F38)</f>
      </c>
    </row>
    <row r="39" spans="2:9" x14ac:dyDescent="0.25">
      <c r="B39" s="14">
        <f>IF('Bütçe Kalemleri'!B39="","",'Bütçe Kalemleri'!B39)</f>
      </c>
      <c r="C39" s="14">
        <f>IF('Bütçe Kalemleri'!C39="","",'Bütçe Kalemleri'!C39)</f>
      </c>
      <c r="D39" s="14">
        <f>IF('Bütçe Kalemleri'!D39="","",'Bütçe Kalemleri'!D39)</f>
      </c>
      <c r="E39" s="14">
        <f>IF('Bütçe Kalemleri'!E39="","",'Bütçe Kalemleri'!E39)</f>
      </c>
      <c r="F39" s="16">
        <f>IF($B39="",0,'Bütçe Kalemleri'!F39)</f>
      </c>
      <c r="G39" s="16">
        <f>IF($B39="",0,SUMIF('Maliyet Kayıtları'!$D$5:$D$1004,$B39,'Maliyet Kayıtları'!$G$5:$G$1004))</f>
      </c>
      <c r="H39" s="19">
        <f>IF($B39="","",$F39-$G39)</f>
      </c>
      <c r="I39" s="21">
        <f>IF(OR($B39="",$F39=0),"",$H39/$F39)</f>
      </c>
    </row>
    <row r="40" spans="2:9" x14ac:dyDescent="0.25">
      <c r="B40" s="14">
        <f>IF('Bütçe Kalemleri'!B40="","",'Bütçe Kalemleri'!B40)</f>
      </c>
      <c r="C40" s="14">
        <f>IF('Bütçe Kalemleri'!C40="","",'Bütçe Kalemleri'!C40)</f>
      </c>
      <c r="D40" s="14">
        <f>IF('Bütçe Kalemleri'!D40="","",'Bütçe Kalemleri'!D40)</f>
      </c>
      <c r="E40" s="14">
        <f>IF('Bütçe Kalemleri'!E40="","",'Bütçe Kalemleri'!E40)</f>
      </c>
      <c r="F40" s="16">
        <f>IF($B40="",0,'Bütçe Kalemleri'!F40)</f>
      </c>
      <c r="G40" s="16">
        <f>IF($B40="",0,SUMIF('Maliyet Kayıtları'!$D$5:$D$1004,$B40,'Maliyet Kayıtları'!$G$5:$G$1004))</f>
      </c>
      <c r="H40" s="19">
        <f>IF($B40="","",$F40-$G40)</f>
      </c>
      <c r="I40" s="21">
        <f>IF(OR($B40="",$F40=0),"",$H40/$F40)</f>
      </c>
    </row>
    <row r="41" spans="2:9" x14ac:dyDescent="0.25">
      <c r="B41" s="14">
        <f>IF('Bütçe Kalemleri'!B41="","",'Bütçe Kalemleri'!B41)</f>
      </c>
      <c r="C41" s="14">
        <f>IF('Bütçe Kalemleri'!C41="","",'Bütçe Kalemleri'!C41)</f>
      </c>
      <c r="D41" s="14">
        <f>IF('Bütçe Kalemleri'!D41="","",'Bütçe Kalemleri'!D41)</f>
      </c>
      <c r="E41" s="14">
        <f>IF('Bütçe Kalemleri'!E41="","",'Bütçe Kalemleri'!E41)</f>
      </c>
      <c r="F41" s="16">
        <f>IF($B41="",0,'Bütçe Kalemleri'!F41)</f>
      </c>
      <c r="G41" s="16">
        <f>IF($B41="",0,SUMIF('Maliyet Kayıtları'!$D$5:$D$1004,$B41,'Maliyet Kayıtları'!$G$5:$G$1004))</f>
      </c>
      <c r="H41" s="19">
        <f>IF($B41="","",$F41-$G41)</f>
      </c>
      <c r="I41" s="21">
        <f>IF(OR($B41="",$F41=0),"",$H41/$F41)</f>
      </c>
    </row>
    <row r="42" spans="2:9" x14ac:dyDescent="0.25">
      <c r="B42" s="14">
        <f>IF('Bütçe Kalemleri'!B42="","",'Bütçe Kalemleri'!B42)</f>
      </c>
      <c r="C42" s="14">
        <f>IF('Bütçe Kalemleri'!C42="","",'Bütçe Kalemleri'!C42)</f>
      </c>
      <c r="D42" s="14">
        <f>IF('Bütçe Kalemleri'!D42="","",'Bütçe Kalemleri'!D42)</f>
      </c>
      <c r="E42" s="14">
        <f>IF('Bütçe Kalemleri'!E42="","",'Bütçe Kalemleri'!E42)</f>
      </c>
      <c r="F42" s="16">
        <f>IF($B42="",0,'Bütçe Kalemleri'!F42)</f>
      </c>
      <c r="G42" s="16">
        <f>IF($B42="",0,SUMIF('Maliyet Kayıtları'!$D$5:$D$1004,$B42,'Maliyet Kayıtları'!$G$5:$G$1004))</f>
      </c>
      <c r="H42" s="19">
        <f>IF($B42="","",$F42-$G42)</f>
      </c>
      <c r="I42" s="21">
        <f>IF(OR($B42="",$F42=0),"",$H42/$F42)</f>
      </c>
    </row>
    <row r="43" spans="2:9" x14ac:dyDescent="0.25">
      <c r="B43" s="14">
        <f>IF('Bütçe Kalemleri'!B43="","",'Bütçe Kalemleri'!B43)</f>
      </c>
      <c r="C43" s="14">
        <f>IF('Bütçe Kalemleri'!C43="","",'Bütçe Kalemleri'!C43)</f>
      </c>
      <c r="D43" s="14">
        <f>IF('Bütçe Kalemleri'!D43="","",'Bütçe Kalemleri'!D43)</f>
      </c>
      <c r="E43" s="14">
        <f>IF('Bütçe Kalemleri'!E43="","",'Bütçe Kalemleri'!E43)</f>
      </c>
      <c r="F43" s="16">
        <f>IF($B43="",0,'Bütçe Kalemleri'!F43)</f>
      </c>
      <c r="G43" s="16">
        <f>IF($B43="",0,SUMIF('Maliyet Kayıtları'!$D$5:$D$1004,$B43,'Maliyet Kayıtları'!$G$5:$G$1004))</f>
      </c>
      <c r="H43" s="19">
        <f>IF($B43="","",$F43-$G43)</f>
      </c>
      <c r="I43" s="21">
        <f>IF(OR($B43="",$F43=0),"",$H43/$F43)</f>
      </c>
    </row>
    <row r="44" spans="2:9" x14ac:dyDescent="0.25">
      <c r="B44" s="14">
        <f>IF('Bütçe Kalemleri'!B44="","",'Bütçe Kalemleri'!B44)</f>
      </c>
      <c r="C44" s="14">
        <f>IF('Bütçe Kalemleri'!C44="","",'Bütçe Kalemleri'!C44)</f>
      </c>
      <c r="D44" s="14">
        <f>IF('Bütçe Kalemleri'!D44="","",'Bütçe Kalemleri'!D44)</f>
      </c>
      <c r="E44" s="14">
        <f>IF('Bütçe Kalemleri'!E44="","",'Bütçe Kalemleri'!E44)</f>
      </c>
      <c r="F44" s="16">
        <f>IF($B44="",0,'Bütçe Kalemleri'!F44)</f>
      </c>
      <c r="G44" s="16">
        <f>IF($B44="",0,SUMIF('Maliyet Kayıtları'!$D$5:$D$1004,$B44,'Maliyet Kayıtları'!$G$5:$G$1004))</f>
      </c>
      <c r="H44" s="19">
        <f>IF($B44="","",$F44-$G44)</f>
      </c>
      <c r="I44" s="21">
        <f>IF(OR($B44="",$F44=0),"",$H44/$F44)</f>
      </c>
    </row>
    <row r="45" spans="2:9" x14ac:dyDescent="0.25">
      <c r="B45" s="14">
        <f>IF('Bütçe Kalemleri'!B45="","",'Bütçe Kalemleri'!B45)</f>
      </c>
      <c r="C45" s="14">
        <f>IF('Bütçe Kalemleri'!C45="","",'Bütçe Kalemleri'!C45)</f>
      </c>
      <c r="D45" s="14">
        <f>IF('Bütçe Kalemleri'!D45="","",'Bütçe Kalemleri'!D45)</f>
      </c>
      <c r="E45" s="14">
        <f>IF('Bütçe Kalemleri'!E45="","",'Bütçe Kalemleri'!E45)</f>
      </c>
      <c r="F45" s="16">
        <f>IF($B45="",0,'Bütçe Kalemleri'!F45)</f>
      </c>
      <c r="G45" s="16">
        <f>IF($B45="",0,SUMIF('Maliyet Kayıtları'!$D$5:$D$1004,$B45,'Maliyet Kayıtları'!$G$5:$G$1004))</f>
      </c>
      <c r="H45" s="19">
        <f>IF($B45="","",$F45-$G45)</f>
      </c>
      <c r="I45" s="21">
        <f>IF(OR($B45="",$F45=0),"",$H45/$F45)</f>
      </c>
    </row>
    <row r="46" spans="2:9" x14ac:dyDescent="0.25">
      <c r="B46" s="14">
        <f>IF('Bütçe Kalemleri'!B46="","",'Bütçe Kalemleri'!B46)</f>
      </c>
      <c r="C46" s="14">
        <f>IF('Bütçe Kalemleri'!C46="","",'Bütçe Kalemleri'!C46)</f>
      </c>
      <c r="D46" s="14">
        <f>IF('Bütçe Kalemleri'!D46="","",'Bütçe Kalemleri'!D46)</f>
      </c>
      <c r="E46" s="14">
        <f>IF('Bütçe Kalemleri'!E46="","",'Bütçe Kalemleri'!E46)</f>
      </c>
      <c r="F46" s="16">
        <f>IF($B46="",0,'Bütçe Kalemleri'!F46)</f>
      </c>
      <c r="G46" s="16">
        <f>IF($B46="",0,SUMIF('Maliyet Kayıtları'!$D$5:$D$1004,$B46,'Maliyet Kayıtları'!$G$5:$G$1004))</f>
      </c>
      <c r="H46" s="19">
        <f>IF($B46="","",$F46-$G46)</f>
      </c>
      <c r="I46" s="21">
        <f>IF(OR($B46="",$F46=0),"",$H46/$F46)</f>
      </c>
    </row>
    <row r="47" spans="2:9" x14ac:dyDescent="0.25">
      <c r="B47" s="14">
        <f>IF('Bütçe Kalemleri'!B47="","",'Bütçe Kalemleri'!B47)</f>
      </c>
      <c r="C47" s="14">
        <f>IF('Bütçe Kalemleri'!C47="","",'Bütçe Kalemleri'!C47)</f>
      </c>
      <c r="D47" s="14">
        <f>IF('Bütçe Kalemleri'!D47="","",'Bütçe Kalemleri'!D47)</f>
      </c>
      <c r="E47" s="14">
        <f>IF('Bütçe Kalemleri'!E47="","",'Bütçe Kalemleri'!E47)</f>
      </c>
      <c r="F47" s="16">
        <f>IF($B47="",0,'Bütçe Kalemleri'!F47)</f>
      </c>
      <c r="G47" s="16">
        <f>IF($B47="",0,SUMIF('Maliyet Kayıtları'!$D$5:$D$1004,$B47,'Maliyet Kayıtları'!$G$5:$G$1004))</f>
      </c>
      <c r="H47" s="19">
        <f>IF($B47="","",$F47-$G47)</f>
      </c>
      <c r="I47" s="21">
        <f>IF(OR($B47="",$F47=0),"",$H47/$F47)</f>
      </c>
    </row>
    <row r="48" spans="2:9" x14ac:dyDescent="0.25">
      <c r="B48" s="14">
        <f>IF('Bütçe Kalemleri'!B48="","",'Bütçe Kalemleri'!B48)</f>
      </c>
      <c r="C48" s="14">
        <f>IF('Bütçe Kalemleri'!C48="","",'Bütçe Kalemleri'!C48)</f>
      </c>
      <c r="D48" s="14">
        <f>IF('Bütçe Kalemleri'!D48="","",'Bütçe Kalemleri'!D48)</f>
      </c>
      <c r="E48" s="14">
        <f>IF('Bütçe Kalemleri'!E48="","",'Bütçe Kalemleri'!E48)</f>
      </c>
      <c r="F48" s="16">
        <f>IF($B48="",0,'Bütçe Kalemleri'!F48)</f>
      </c>
      <c r="G48" s="16">
        <f>IF($B48="",0,SUMIF('Maliyet Kayıtları'!$D$5:$D$1004,$B48,'Maliyet Kayıtları'!$G$5:$G$1004))</f>
      </c>
      <c r="H48" s="19">
        <f>IF($B48="","",$F48-$G48)</f>
      </c>
      <c r="I48" s="21">
        <f>IF(OR($B48="",$F48=0),"",$H48/$F48)</f>
      </c>
    </row>
    <row r="49" spans="2:9" x14ac:dyDescent="0.25">
      <c r="B49" s="14">
        <f>IF('Bütçe Kalemleri'!B49="","",'Bütçe Kalemleri'!B49)</f>
      </c>
      <c r="C49" s="14">
        <f>IF('Bütçe Kalemleri'!C49="","",'Bütçe Kalemleri'!C49)</f>
      </c>
      <c r="D49" s="14">
        <f>IF('Bütçe Kalemleri'!D49="","",'Bütçe Kalemleri'!D49)</f>
      </c>
      <c r="E49" s="14">
        <f>IF('Bütçe Kalemleri'!E49="","",'Bütçe Kalemleri'!E49)</f>
      </c>
      <c r="F49" s="16">
        <f>IF($B49="",0,'Bütçe Kalemleri'!F49)</f>
      </c>
      <c r="G49" s="16">
        <f>IF($B49="",0,SUMIF('Maliyet Kayıtları'!$D$5:$D$1004,$B49,'Maliyet Kayıtları'!$G$5:$G$1004))</f>
      </c>
      <c r="H49" s="19">
        <f>IF($B49="","",$F49-$G49)</f>
      </c>
      <c r="I49" s="21">
        <f>IF(OR($B49="",$F49=0),"",$H49/$F49)</f>
      </c>
    </row>
    <row r="50" spans="2:9" x14ac:dyDescent="0.25">
      <c r="B50" s="14">
        <f>IF('Bütçe Kalemleri'!B50="","",'Bütçe Kalemleri'!B50)</f>
      </c>
      <c r="C50" s="14">
        <f>IF('Bütçe Kalemleri'!C50="","",'Bütçe Kalemleri'!C50)</f>
      </c>
      <c r="D50" s="14">
        <f>IF('Bütçe Kalemleri'!D50="","",'Bütçe Kalemleri'!D50)</f>
      </c>
      <c r="E50" s="14">
        <f>IF('Bütçe Kalemleri'!E50="","",'Bütçe Kalemleri'!E50)</f>
      </c>
      <c r="F50" s="16">
        <f>IF($B50="",0,'Bütçe Kalemleri'!F50)</f>
      </c>
      <c r="G50" s="16">
        <f>IF($B50="",0,SUMIF('Maliyet Kayıtları'!$D$5:$D$1004,$B50,'Maliyet Kayıtları'!$G$5:$G$1004))</f>
      </c>
      <c r="H50" s="19">
        <f>IF($B50="","",$F50-$G50)</f>
      </c>
      <c r="I50" s="21">
        <f>IF(OR($B50="",$F50=0),"",$H50/$F50)</f>
      </c>
    </row>
    <row r="51" spans="2:9" x14ac:dyDescent="0.25">
      <c r="B51" s="14">
        <f>IF('Bütçe Kalemleri'!B51="","",'Bütçe Kalemleri'!B51)</f>
      </c>
      <c r="C51" s="14">
        <f>IF('Bütçe Kalemleri'!C51="","",'Bütçe Kalemleri'!C51)</f>
      </c>
      <c r="D51" s="14">
        <f>IF('Bütçe Kalemleri'!D51="","",'Bütçe Kalemleri'!D51)</f>
      </c>
      <c r="E51" s="14">
        <f>IF('Bütçe Kalemleri'!E51="","",'Bütçe Kalemleri'!E51)</f>
      </c>
      <c r="F51" s="16">
        <f>IF($B51="",0,'Bütçe Kalemleri'!F51)</f>
      </c>
      <c r="G51" s="16">
        <f>IF($B51="",0,SUMIF('Maliyet Kayıtları'!$D$5:$D$1004,$B51,'Maliyet Kayıtları'!$G$5:$G$1004))</f>
      </c>
      <c r="H51" s="19">
        <f>IF($B51="","",$F51-$G51)</f>
      </c>
      <c r="I51" s="21">
        <f>IF(OR($B51="",$F51=0),"",$H51/$F51)</f>
      </c>
    </row>
    <row r="52" spans="2:9" x14ac:dyDescent="0.25">
      <c r="B52" s="14">
        <f>IF('Bütçe Kalemleri'!B52="","",'Bütçe Kalemleri'!B52)</f>
      </c>
      <c r="C52" s="14">
        <f>IF('Bütçe Kalemleri'!C52="","",'Bütçe Kalemleri'!C52)</f>
      </c>
      <c r="D52" s="14">
        <f>IF('Bütçe Kalemleri'!D52="","",'Bütçe Kalemleri'!D52)</f>
      </c>
      <c r="E52" s="14">
        <f>IF('Bütçe Kalemleri'!E52="","",'Bütçe Kalemleri'!E52)</f>
      </c>
      <c r="F52" s="16">
        <f>IF($B52="",0,'Bütçe Kalemleri'!F52)</f>
      </c>
      <c r="G52" s="16">
        <f>IF($B52="",0,SUMIF('Maliyet Kayıtları'!$D$5:$D$1004,$B52,'Maliyet Kayıtları'!$G$5:$G$1004))</f>
      </c>
      <c r="H52" s="19">
        <f>IF($B52="","",$F52-$G52)</f>
      </c>
      <c r="I52" s="21">
        <f>IF(OR($B52="",$F52=0),"",$H52/$F52)</f>
      </c>
    </row>
    <row r="53" spans="2:9" x14ac:dyDescent="0.25">
      <c r="B53" s="14">
        <f>IF('Bütçe Kalemleri'!B53="","",'Bütçe Kalemleri'!B53)</f>
      </c>
      <c r="C53" s="14">
        <f>IF('Bütçe Kalemleri'!C53="","",'Bütçe Kalemleri'!C53)</f>
      </c>
      <c r="D53" s="14">
        <f>IF('Bütçe Kalemleri'!D53="","",'Bütçe Kalemleri'!D53)</f>
      </c>
      <c r="E53" s="14">
        <f>IF('Bütçe Kalemleri'!E53="","",'Bütçe Kalemleri'!E53)</f>
      </c>
      <c r="F53" s="16">
        <f>IF($B53="",0,'Bütçe Kalemleri'!F53)</f>
      </c>
      <c r="G53" s="16">
        <f>IF($B53="",0,SUMIF('Maliyet Kayıtları'!$D$5:$D$1004,$B53,'Maliyet Kayıtları'!$G$5:$G$1004))</f>
      </c>
      <c r="H53" s="19">
        <f>IF($B53="","",$F53-$G53)</f>
      </c>
      <c r="I53" s="21">
        <f>IF(OR($B53="",$F53=0),"",$H53/$F53)</f>
      </c>
    </row>
    <row r="54" spans="2:9" x14ac:dyDescent="0.25">
      <c r="B54" s="14">
        <f>IF('Bütçe Kalemleri'!B54="","",'Bütçe Kalemleri'!B54)</f>
      </c>
      <c r="C54" s="14">
        <f>IF('Bütçe Kalemleri'!C54="","",'Bütçe Kalemleri'!C54)</f>
      </c>
      <c r="D54" s="14">
        <f>IF('Bütçe Kalemleri'!D54="","",'Bütçe Kalemleri'!D54)</f>
      </c>
      <c r="E54" s="14">
        <f>IF('Bütçe Kalemleri'!E54="","",'Bütçe Kalemleri'!E54)</f>
      </c>
      <c r="F54" s="16">
        <f>IF($B54="",0,'Bütçe Kalemleri'!F54)</f>
      </c>
      <c r="G54" s="16">
        <f>IF($B54="",0,SUMIF('Maliyet Kayıtları'!$D$5:$D$1004,$B54,'Maliyet Kayıtları'!$G$5:$G$1004))</f>
      </c>
      <c r="H54" s="19">
        <f>IF($B54="","",$F54-$G54)</f>
      </c>
      <c r="I54" s="21">
        <f>IF(OR($B54="",$F54=0),"",$H54/$F54)</f>
      </c>
    </row>
    <row r="55" spans="2:9" x14ac:dyDescent="0.25">
      <c r="B55" s="14">
        <f>IF('Bütçe Kalemleri'!B55="","",'Bütçe Kalemleri'!B55)</f>
      </c>
      <c r="C55" s="14">
        <f>IF('Bütçe Kalemleri'!C55="","",'Bütçe Kalemleri'!C55)</f>
      </c>
      <c r="D55" s="14">
        <f>IF('Bütçe Kalemleri'!D55="","",'Bütçe Kalemleri'!D55)</f>
      </c>
      <c r="E55" s="14">
        <f>IF('Bütçe Kalemleri'!E55="","",'Bütçe Kalemleri'!E55)</f>
      </c>
      <c r="F55" s="16">
        <f>IF($B55="",0,'Bütçe Kalemleri'!F55)</f>
      </c>
      <c r="G55" s="16">
        <f>IF($B55="",0,SUMIF('Maliyet Kayıtları'!$D$5:$D$1004,$B55,'Maliyet Kayıtları'!$G$5:$G$1004))</f>
      </c>
      <c r="H55" s="19">
        <f>IF($B55="","",$F55-$G55)</f>
      </c>
      <c r="I55" s="21">
        <f>IF(OR($B55="",$F55=0),"",$H55/$F55)</f>
      </c>
    </row>
    <row r="56" spans="2:9" x14ac:dyDescent="0.25">
      <c r="B56" s="14">
        <f>IF('Bütçe Kalemleri'!B56="","",'Bütçe Kalemleri'!B56)</f>
      </c>
      <c r="C56" s="14">
        <f>IF('Bütçe Kalemleri'!C56="","",'Bütçe Kalemleri'!C56)</f>
      </c>
      <c r="D56" s="14">
        <f>IF('Bütçe Kalemleri'!D56="","",'Bütçe Kalemleri'!D56)</f>
      </c>
      <c r="E56" s="14">
        <f>IF('Bütçe Kalemleri'!E56="","",'Bütçe Kalemleri'!E56)</f>
      </c>
      <c r="F56" s="16">
        <f>IF($B56="",0,'Bütçe Kalemleri'!F56)</f>
      </c>
      <c r="G56" s="16">
        <f>IF($B56="",0,SUMIF('Maliyet Kayıtları'!$D$5:$D$1004,$B56,'Maliyet Kayıtları'!$G$5:$G$1004))</f>
      </c>
      <c r="H56" s="19">
        <f>IF($B56="","",$F56-$G56)</f>
      </c>
      <c r="I56" s="21">
        <f>IF(OR($B56="",$F56=0),"",$H56/$F56)</f>
      </c>
    </row>
    <row r="57" spans="2:9" x14ac:dyDescent="0.25">
      <c r="B57" s="14">
        <f>IF('Bütçe Kalemleri'!B57="","",'Bütçe Kalemleri'!B57)</f>
      </c>
      <c r="C57" s="14">
        <f>IF('Bütçe Kalemleri'!C57="","",'Bütçe Kalemleri'!C57)</f>
      </c>
      <c r="D57" s="14">
        <f>IF('Bütçe Kalemleri'!D57="","",'Bütçe Kalemleri'!D57)</f>
      </c>
      <c r="E57" s="14">
        <f>IF('Bütçe Kalemleri'!E57="","",'Bütçe Kalemleri'!E57)</f>
      </c>
      <c r="F57" s="16">
        <f>IF($B57="",0,'Bütçe Kalemleri'!F57)</f>
      </c>
      <c r="G57" s="16">
        <f>IF($B57="",0,SUMIF('Maliyet Kayıtları'!$D$5:$D$1004,$B57,'Maliyet Kayıtları'!$G$5:$G$1004))</f>
      </c>
      <c r="H57" s="19">
        <f>IF($B57="","",$F57-$G57)</f>
      </c>
      <c r="I57" s="21">
        <f>IF(OR($B57="",$F57=0),"",$H57/$F57)</f>
      </c>
    </row>
    <row r="58" spans="2:9" x14ac:dyDescent="0.25">
      <c r="B58" s="14">
        <f>IF('Bütçe Kalemleri'!B58="","",'Bütçe Kalemleri'!B58)</f>
      </c>
      <c r="C58" s="14">
        <f>IF('Bütçe Kalemleri'!C58="","",'Bütçe Kalemleri'!C58)</f>
      </c>
      <c r="D58" s="14">
        <f>IF('Bütçe Kalemleri'!D58="","",'Bütçe Kalemleri'!D58)</f>
      </c>
      <c r="E58" s="14">
        <f>IF('Bütçe Kalemleri'!E58="","",'Bütçe Kalemleri'!E58)</f>
      </c>
      <c r="F58" s="16">
        <f>IF($B58="",0,'Bütçe Kalemleri'!F58)</f>
      </c>
      <c r="G58" s="16">
        <f>IF($B58="",0,SUMIF('Maliyet Kayıtları'!$D$5:$D$1004,$B58,'Maliyet Kayıtları'!$G$5:$G$1004))</f>
      </c>
      <c r="H58" s="19">
        <f>IF($B58="","",$F58-$G58)</f>
      </c>
      <c r="I58" s="21">
        <f>IF(OR($B58="",$F58=0),"",$H58/$F58)</f>
      </c>
    </row>
    <row r="59" spans="2:9" x14ac:dyDescent="0.25">
      <c r="B59" s="14">
        <f>IF('Bütçe Kalemleri'!B59="","",'Bütçe Kalemleri'!B59)</f>
      </c>
      <c r="C59" s="14">
        <f>IF('Bütçe Kalemleri'!C59="","",'Bütçe Kalemleri'!C59)</f>
      </c>
      <c r="D59" s="14">
        <f>IF('Bütçe Kalemleri'!D59="","",'Bütçe Kalemleri'!D59)</f>
      </c>
      <c r="E59" s="14">
        <f>IF('Bütçe Kalemleri'!E59="","",'Bütçe Kalemleri'!E59)</f>
      </c>
      <c r="F59" s="16">
        <f>IF($B59="",0,'Bütçe Kalemleri'!F59)</f>
      </c>
      <c r="G59" s="16">
        <f>IF($B59="",0,SUMIF('Maliyet Kayıtları'!$D$5:$D$1004,$B59,'Maliyet Kayıtları'!$G$5:$G$1004))</f>
      </c>
      <c r="H59" s="19">
        <f>IF($B59="","",$F59-$G59)</f>
      </c>
      <c r="I59" s="21">
        <f>IF(OR($B59="",$F59=0),"",$H59/$F59)</f>
      </c>
    </row>
    <row r="60" spans="2:9" x14ac:dyDescent="0.25">
      <c r="B60" s="14">
        <f>IF('Bütçe Kalemleri'!B60="","",'Bütçe Kalemleri'!B60)</f>
      </c>
      <c r="C60" s="14">
        <f>IF('Bütçe Kalemleri'!C60="","",'Bütçe Kalemleri'!C60)</f>
      </c>
      <c r="D60" s="14">
        <f>IF('Bütçe Kalemleri'!D60="","",'Bütçe Kalemleri'!D60)</f>
      </c>
      <c r="E60" s="14">
        <f>IF('Bütçe Kalemleri'!E60="","",'Bütçe Kalemleri'!E60)</f>
      </c>
      <c r="F60" s="16">
        <f>IF($B60="",0,'Bütçe Kalemleri'!F60)</f>
      </c>
      <c r="G60" s="16">
        <f>IF($B60="",0,SUMIF('Maliyet Kayıtları'!$D$5:$D$1004,$B60,'Maliyet Kayıtları'!$G$5:$G$1004))</f>
      </c>
      <c r="H60" s="19">
        <f>IF($B60="","",$F60-$G60)</f>
      </c>
      <c r="I60" s="21">
        <f>IF(OR($B60="",$F60=0),"",$H60/$F60)</f>
      </c>
    </row>
    <row r="61" spans="2:9" x14ac:dyDescent="0.25">
      <c r="B61" s="14">
        <f>IF('Bütçe Kalemleri'!B61="","",'Bütçe Kalemleri'!B61)</f>
      </c>
      <c r="C61" s="14">
        <f>IF('Bütçe Kalemleri'!C61="","",'Bütçe Kalemleri'!C61)</f>
      </c>
      <c r="D61" s="14">
        <f>IF('Bütçe Kalemleri'!D61="","",'Bütçe Kalemleri'!D61)</f>
      </c>
      <c r="E61" s="14">
        <f>IF('Bütçe Kalemleri'!E61="","",'Bütçe Kalemleri'!E61)</f>
      </c>
      <c r="F61" s="16">
        <f>IF($B61="",0,'Bütçe Kalemleri'!F61)</f>
      </c>
      <c r="G61" s="16">
        <f>IF($B61="",0,SUMIF('Maliyet Kayıtları'!$D$5:$D$1004,$B61,'Maliyet Kayıtları'!$G$5:$G$1004))</f>
      </c>
      <c r="H61" s="19">
        <f>IF($B61="","",$F61-$G61)</f>
      </c>
      <c r="I61" s="21">
        <f>IF(OR($B61="",$F61=0),"",$H61/$F61)</f>
      </c>
    </row>
    <row r="62" spans="2:9" x14ac:dyDescent="0.25">
      <c r="B62" s="14">
        <f>IF('Bütçe Kalemleri'!B62="","",'Bütçe Kalemleri'!B62)</f>
      </c>
      <c r="C62" s="14">
        <f>IF('Bütçe Kalemleri'!C62="","",'Bütçe Kalemleri'!C62)</f>
      </c>
      <c r="D62" s="14">
        <f>IF('Bütçe Kalemleri'!D62="","",'Bütçe Kalemleri'!D62)</f>
      </c>
      <c r="E62" s="14">
        <f>IF('Bütçe Kalemleri'!E62="","",'Bütçe Kalemleri'!E62)</f>
      </c>
      <c r="F62" s="16">
        <f>IF($B62="",0,'Bütçe Kalemleri'!F62)</f>
      </c>
      <c r="G62" s="16">
        <f>IF($B62="",0,SUMIF('Maliyet Kayıtları'!$D$5:$D$1004,$B62,'Maliyet Kayıtları'!$G$5:$G$1004))</f>
      </c>
      <c r="H62" s="19">
        <f>IF($B62="","",$F62-$G62)</f>
      </c>
      <c r="I62" s="21">
        <f>IF(OR($B62="",$F62=0),"",$H62/$F62)</f>
      </c>
    </row>
    <row r="63" spans="2:9" x14ac:dyDescent="0.25">
      <c r="B63" s="14">
        <f>IF('Bütçe Kalemleri'!B63="","",'Bütçe Kalemleri'!B63)</f>
      </c>
      <c r="C63" s="14">
        <f>IF('Bütçe Kalemleri'!C63="","",'Bütçe Kalemleri'!C63)</f>
      </c>
      <c r="D63" s="14">
        <f>IF('Bütçe Kalemleri'!D63="","",'Bütçe Kalemleri'!D63)</f>
      </c>
      <c r="E63" s="14">
        <f>IF('Bütçe Kalemleri'!E63="","",'Bütçe Kalemleri'!E63)</f>
      </c>
      <c r="F63" s="16">
        <f>IF($B63="",0,'Bütçe Kalemleri'!F63)</f>
      </c>
      <c r="G63" s="16">
        <f>IF($B63="",0,SUMIF('Maliyet Kayıtları'!$D$5:$D$1004,$B63,'Maliyet Kayıtları'!$G$5:$G$1004))</f>
      </c>
      <c r="H63" s="19">
        <f>IF($B63="","",$F63-$G63)</f>
      </c>
      <c r="I63" s="21">
        <f>IF(OR($B63="",$F63=0),"",$H63/$F63)</f>
      </c>
    </row>
    <row r="64" spans="2:9" x14ac:dyDescent="0.25">
      <c r="B64" s="14">
        <f>IF('Bütçe Kalemleri'!B64="","",'Bütçe Kalemleri'!B64)</f>
      </c>
      <c r="C64" s="14">
        <f>IF('Bütçe Kalemleri'!C64="","",'Bütçe Kalemleri'!C64)</f>
      </c>
      <c r="D64" s="14">
        <f>IF('Bütçe Kalemleri'!D64="","",'Bütçe Kalemleri'!D64)</f>
      </c>
      <c r="E64" s="14">
        <f>IF('Bütçe Kalemleri'!E64="","",'Bütçe Kalemleri'!E64)</f>
      </c>
      <c r="F64" s="16">
        <f>IF($B64="",0,'Bütçe Kalemleri'!F64)</f>
      </c>
      <c r="G64" s="16">
        <f>IF($B64="",0,SUMIF('Maliyet Kayıtları'!$D$5:$D$1004,$B64,'Maliyet Kayıtları'!$G$5:$G$1004))</f>
      </c>
      <c r="H64" s="19">
        <f>IF($B64="","",$F64-$G64)</f>
      </c>
      <c r="I64" s="21">
        <f>IF(OR($B64="",$F64=0),"",$H64/$F64)</f>
      </c>
    </row>
    <row r="65" spans="2:9" x14ac:dyDescent="0.25">
      <c r="B65" s="14">
        <f>IF('Bütçe Kalemleri'!B65="","",'Bütçe Kalemleri'!B65)</f>
      </c>
      <c r="C65" s="14">
        <f>IF('Bütçe Kalemleri'!C65="","",'Bütçe Kalemleri'!C65)</f>
      </c>
      <c r="D65" s="14">
        <f>IF('Bütçe Kalemleri'!D65="","",'Bütçe Kalemleri'!D65)</f>
      </c>
      <c r="E65" s="14">
        <f>IF('Bütçe Kalemleri'!E65="","",'Bütçe Kalemleri'!E65)</f>
      </c>
      <c r="F65" s="16">
        <f>IF($B65="",0,'Bütçe Kalemleri'!F65)</f>
      </c>
      <c r="G65" s="16">
        <f>IF($B65="",0,SUMIF('Maliyet Kayıtları'!$D$5:$D$1004,$B65,'Maliyet Kayıtları'!$G$5:$G$1004))</f>
      </c>
      <c r="H65" s="19">
        <f>IF($B65="","",$F65-$G65)</f>
      </c>
      <c r="I65" s="21">
        <f>IF(OR($B65="",$F65=0),"",$H65/$F65)</f>
      </c>
    </row>
    <row r="66" spans="2:9" x14ac:dyDescent="0.25">
      <c r="B66" s="14">
        <f>IF('Bütçe Kalemleri'!B66="","",'Bütçe Kalemleri'!B66)</f>
      </c>
      <c r="C66" s="14">
        <f>IF('Bütçe Kalemleri'!C66="","",'Bütçe Kalemleri'!C66)</f>
      </c>
      <c r="D66" s="14">
        <f>IF('Bütçe Kalemleri'!D66="","",'Bütçe Kalemleri'!D66)</f>
      </c>
      <c r="E66" s="14">
        <f>IF('Bütçe Kalemleri'!E66="","",'Bütçe Kalemleri'!E66)</f>
      </c>
      <c r="F66" s="16">
        <f>IF($B66="",0,'Bütçe Kalemleri'!F66)</f>
      </c>
      <c r="G66" s="16">
        <f>IF($B66="",0,SUMIF('Maliyet Kayıtları'!$D$5:$D$1004,$B66,'Maliyet Kayıtları'!$G$5:$G$1004))</f>
      </c>
      <c r="H66" s="19">
        <f>IF($B66="","",$F66-$G66)</f>
      </c>
      <c r="I66" s="21">
        <f>IF(OR($B66="",$F66=0),"",$H66/$F66)</f>
      </c>
    </row>
    <row r="67" spans="2:9" x14ac:dyDescent="0.25">
      <c r="B67" s="14">
        <f>IF('Bütçe Kalemleri'!B67="","",'Bütçe Kalemleri'!B67)</f>
      </c>
      <c r="C67" s="14">
        <f>IF('Bütçe Kalemleri'!C67="","",'Bütçe Kalemleri'!C67)</f>
      </c>
      <c r="D67" s="14">
        <f>IF('Bütçe Kalemleri'!D67="","",'Bütçe Kalemleri'!D67)</f>
      </c>
      <c r="E67" s="14">
        <f>IF('Bütçe Kalemleri'!E67="","",'Bütçe Kalemleri'!E67)</f>
      </c>
      <c r="F67" s="16">
        <f>IF($B67="",0,'Bütçe Kalemleri'!F67)</f>
      </c>
      <c r="G67" s="16">
        <f>IF($B67="",0,SUMIF('Maliyet Kayıtları'!$D$5:$D$1004,$B67,'Maliyet Kayıtları'!$G$5:$G$1004))</f>
      </c>
      <c r="H67" s="19">
        <f>IF($B67="","",$F67-$G67)</f>
      </c>
      <c r="I67" s="21">
        <f>IF(OR($B67="",$F67=0),"",$H67/$F67)</f>
      </c>
    </row>
    <row r="68" spans="2:9" x14ac:dyDescent="0.25">
      <c r="B68" s="14">
        <f>IF('Bütçe Kalemleri'!B68="","",'Bütçe Kalemleri'!B68)</f>
      </c>
      <c r="C68" s="14">
        <f>IF('Bütçe Kalemleri'!C68="","",'Bütçe Kalemleri'!C68)</f>
      </c>
      <c r="D68" s="14">
        <f>IF('Bütçe Kalemleri'!D68="","",'Bütçe Kalemleri'!D68)</f>
      </c>
      <c r="E68" s="14">
        <f>IF('Bütçe Kalemleri'!E68="","",'Bütçe Kalemleri'!E68)</f>
      </c>
      <c r="F68" s="16">
        <f>IF($B68="",0,'Bütçe Kalemleri'!F68)</f>
      </c>
      <c r="G68" s="16">
        <f>IF($B68="",0,SUMIF('Maliyet Kayıtları'!$D$5:$D$1004,$B68,'Maliyet Kayıtları'!$G$5:$G$1004))</f>
      </c>
      <c r="H68" s="19">
        <f>IF($B68="","",$F68-$G68)</f>
      </c>
      <c r="I68" s="21">
        <f>IF(OR($B68="",$F68=0),"",$H68/$F68)</f>
      </c>
    </row>
    <row r="69" spans="2:9" x14ac:dyDescent="0.25">
      <c r="B69" s="14">
        <f>IF('Bütçe Kalemleri'!B69="","",'Bütçe Kalemleri'!B69)</f>
      </c>
      <c r="C69" s="14">
        <f>IF('Bütçe Kalemleri'!C69="","",'Bütçe Kalemleri'!C69)</f>
      </c>
      <c r="D69" s="14">
        <f>IF('Bütçe Kalemleri'!D69="","",'Bütçe Kalemleri'!D69)</f>
      </c>
      <c r="E69" s="14">
        <f>IF('Bütçe Kalemleri'!E69="","",'Bütçe Kalemleri'!E69)</f>
      </c>
      <c r="F69" s="16">
        <f>IF($B69="",0,'Bütçe Kalemleri'!F69)</f>
      </c>
      <c r="G69" s="16">
        <f>IF($B69="",0,SUMIF('Maliyet Kayıtları'!$D$5:$D$1004,$B69,'Maliyet Kayıtları'!$G$5:$G$1004))</f>
      </c>
      <c r="H69" s="19">
        <f>IF($B69="","",$F69-$G69)</f>
      </c>
      <c r="I69" s="21">
        <f>IF(OR($B69="",$F69=0),"",$H69/$F69)</f>
      </c>
    </row>
    <row r="70" spans="2:9" x14ac:dyDescent="0.25">
      <c r="B70" s="14">
        <f>IF('Bütçe Kalemleri'!B70="","",'Bütçe Kalemleri'!B70)</f>
      </c>
      <c r="C70" s="14">
        <f>IF('Bütçe Kalemleri'!C70="","",'Bütçe Kalemleri'!C70)</f>
      </c>
      <c r="D70" s="14">
        <f>IF('Bütçe Kalemleri'!D70="","",'Bütçe Kalemleri'!D70)</f>
      </c>
      <c r="E70" s="14">
        <f>IF('Bütçe Kalemleri'!E70="","",'Bütçe Kalemleri'!E70)</f>
      </c>
      <c r="F70" s="16">
        <f>IF($B70="",0,'Bütçe Kalemleri'!F70)</f>
      </c>
      <c r="G70" s="16">
        <f>IF($B70="",0,SUMIF('Maliyet Kayıtları'!$D$5:$D$1004,$B70,'Maliyet Kayıtları'!$G$5:$G$1004))</f>
      </c>
      <c r="H70" s="19">
        <f>IF($B70="","",$F70-$G70)</f>
      </c>
      <c r="I70" s="21">
        <f>IF(OR($B70="",$F70=0),"",$H70/$F70)</f>
      </c>
    </row>
    <row r="71" spans="2:9" x14ac:dyDescent="0.25">
      <c r="B71" s="14">
        <f>IF('Bütçe Kalemleri'!B71="","",'Bütçe Kalemleri'!B71)</f>
      </c>
      <c r="C71" s="14">
        <f>IF('Bütçe Kalemleri'!C71="","",'Bütçe Kalemleri'!C71)</f>
      </c>
      <c r="D71" s="14">
        <f>IF('Bütçe Kalemleri'!D71="","",'Bütçe Kalemleri'!D71)</f>
      </c>
      <c r="E71" s="14">
        <f>IF('Bütçe Kalemleri'!E71="","",'Bütçe Kalemleri'!E71)</f>
      </c>
      <c r="F71" s="16">
        <f>IF($B71="",0,'Bütçe Kalemleri'!F71)</f>
      </c>
      <c r="G71" s="16">
        <f>IF($B71="",0,SUMIF('Maliyet Kayıtları'!$D$5:$D$1004,$B71,'Maliyet Kayıtları'!$G$5:$G$1004))</f>
      </c>
      <c r="H71" s="19">
        <f>IF($B71="","",$F71-$G71)</f>
      </c>
      <c r="I71" s="21">
        <f>IF(OR($B71="",$F71=0),"",$H71/$F71)</f>
      </c>
    </row>
    <row r="72" spans="2:9" x14ac:dyDescent="0.25">
      <c r="B72" s="14">
        <f>IF('Bütçe Kalemleri'!B72="","",'Bütçe Kalemleri'!B72)</f>
      </c>
      <c r="C72" s="14">
        <f>IF('Bütçe Kalemleri'!C72="","",'Bütçe Kalemleri'!C72)</f>
      </c>
      <c r="D72" s="14">
        <f>IF('Bütçe Kalemleri'!D72="","",'Bütçe Kalemleri'!D72)</f>
      </c>
      <c r="E72" s="14">
        <f>IF('Bütçe Kalemleri'!E72="","",'Bütçe Kalemleri'!E72)</f>
      </c>
      <c r="F72" s="16">
        <f>IF($B72="",0,'Bütçe Kalemleri'!F72)</f>
      </c>
      <c r="G72" s="16">
        <f>IF($B72="",0,SUMIF('Maliyet Kayıtları'!$D$5:$D$1004,$B72,'Maliyet Kayıtları'!$G$5:$G$1004))</f>
      </c>
      <c r="H72" s="19">
        <f>IF($B72="","",$F72-$G72)</f>
      </c>
      <c r="I72" s="21">
        <f>IF(OR($B72="",$F72=0),"",$H72/$F72)</f>
      </c>
    </row>
    <row r="73" spans="2:9" x14ac:dyDescent="0.25">
      <c r="B73" s="14">
        <f>IF('Bütçe Kalemleri'!B73="","",'Bütçe Kalemleri'!B73)</f>
      </c>
      <c r="C73" s="14">
        <f>IF('Bütçe Kalemleri'!C73="","",'Bütçe Kalemleri'!C73)</f>
      </c>
      <c r="D73" s="14">
        <f>IF('Bütçe Kalemleri'!D73="","",'Bütçe Kalemleri'!D73)</f>
      </c>
      <c r="E73" s="14">
        <f>IF('Bütçe Kalemleri'!E73="","",'Bütçe Kalemleri'!E73)</f>
      </c>
      <c r="F73" s="16">
        <f>IF($B73="",0,'Bütçe Kalemleri'!F73)</f>
      </c>
      <c r="G73" s="16">
        <f>IF($B73="",0,SUMIF('Maliyet Kayıtları'!$D$5:$D$1004,$B73,'Maliyet Kayıtları'!$G$5:$G$1004))</f>
      </c>
      <c r="H73" s="19">
        <f>IF($B73="","",$F73-$G73)</f>
      </c>
      <c r="I73" s="21">
        <f>IF(OR($B73="",$F73=0),"",$H73/$F73)</f>
      </c>
    </row>
    <row r="74" spans="2:9" x14ac:dyDescent="0.25">
      <c r="B74" s="14">
        <f>IF('Bütçe Kalemleri'!B74="","",'Bütçe Kalemleri'!B74)</f>
      </c>
      <c r="C74" s="14">
        <f>IF('Bütçe Kalemleri'!C74="","",'Bütçe Kalemleri'!C74)</f>
      </c>
      <c r="D74" s="14">
        <f>IF('Bütçe Kalemleri'!D74="","",'Bütçe Kalemleri'!D74)</f>
      </c>
      <c r="E74" s="14">
        <f>IF('Bütçe Kalemleri'!E74="","",'Bütçe Kalemleri'!E74)</f>
      </c>
      <c r="F74" s="16">
        <f>IF($B74="",0,'Bütçe Kalemleri'!F74)</f>
      </c>
      <c r="G74" s="16">
        <f>IF($B74="",0,SUMIF('Maliyet Kayıtları'!$D$5:$D$1004,$B74,'Maliyet Kayıtları'!$G$5:$G$1004))</f>
      </c>
      <c r="H74" s="19">
        <f>IF($B74="","",$F74-$G74)</f>
      </c>
      <c r="I74" s="21">
        <f>IF(OR($B74="",$F74=0),"",$H74/$F74)</f>
      </c>
    </row>
    <row r="75" spans="2:9" x14ac:dyDescent="0.25">
      <c r="B75" s="14">
        <f>IF('Bütçe Kalemleri'!B75="","",'Bütçe Kalemleri'!B75)</f>
      </c>
      <c r="C75" s="14">
        <f>IF('Bütçe Kalemleri'!C75="","",'Bütçe Kalemleri'!C75)</f>
      </c>
      <c r="D75" s="14">
        <f>IF('Bütçe Kalemleri'!D75="","",'Bütçe Kalemleri'!D75)</f>
      </c>
      <c r="E75" s="14">
        <f>IF('Bütçe Kalemleri'!E75="","",'Bütçe Kalemleri'!E75)</f>
      </c>
      <c r="F75" s="16">
        <f>IF($B75="",0,'Bütçe Kalemleri'!F75)</f>
      </c>
      <c r="G75" s="16">
        <f>IF($B75="",0,SUMIF('Maliyet Kayıtları'!$D$5:$D$1004,$B75,'Maliyet Kayıtları'!$G$5:$G$1004))</f>
      </c>
      <c r="H75" s="19">
        <f>IF($B75="","",$F75-$G75)</f>
      </c>
      <c r="I75" s="21">
        <f>IF(OR($B75="",$F75=0),"",$H75/$F75)</f>
      </c>
    </row>
    <row r="76" spans="2:9" x14ac:dyDescent="0.25">
      <c r="B76" s="14">
        <f>IF('Bütçe Kalemleri'!B76="","",'Bütçe Kalemleri'!B76)</f>
      </c>
      <c r="C76" s="14">
        <f>IF('Bütçe Kalemleri'!C76="","",'Bütçe Kalemleri'!C76)</f>
      </c>
      <c r="D76" s="14">
        <f>IF('Bütçe Kalemleri'!D76="","",'Bütçe Kalemleri'!D76)</f>
      </c>
      <c r="E76" s="14">
        <f>IF('Bütçe Kalemleri'!E76="","",'Bütçe Kalemleri'!E76)</f>
      </c>
      <c r="F76" s="16">
        <f>IF($B76="",0,'Bütçe Kalemleri'!F76)</f>
      </c>
      <c r="G76" s="16">
        <f>IF($B76="",0,SUMIF('Maliyet Kayıtları'!$D$5:$D$1004,$B76,'Maliyet Kayıtları'!$G$5:$G$1004))</f>
      </c>
      <c r="H76" s="19">
        <f>IF($B76="","",$F76-$G76)</f>
      </c>
      <c r="I76" s="21">
        <f>IF(OR($B76="",$F76=0),"",$H76/$F76)</f>
      </c>
    </row>
    <row r="77" spans="2:9" x14ac:dyDescent="0.25">
      <c r="B77" s="14">
        <f>IF('Bütçe Kalemleri'!B77="","",'Bütçe Kalemleri'!B77)</f>
      </c>
      <c r="C77" s="14">
        <f>IF('Bütçe Kalemleri'!C77="","",'Bütçe Kalemleri'!C77)</f>
      </c>
      <c r="D77" s="14">
        <f>IF('Bütçe Kalemleri'!D77="","",'Bütçe Kalemleri'!D77)</f>
      </c>
      <c r="E77" s="14">
        <f>IF('Bütçe Kalemleri'!E77="","",'Bütçe Kalemleri'!E77)</f>
      </c>
      <c r="F77" s="16">
        <f>IF($B77="",0,'Bütçe Kalemleri'!F77)</f>
      </c>
      <c r="G77" s="16">
        <f>IF($B77="",0,SUMIF('Maliyet Kayıtları'!$D$5:$D$1004,$B77,'Maliyet Kayıtları'!$G$5:$G$1004))</f>
      </c>
      <c r="H77" s="19">
        <f>IF($B77="","",$F77-$G77)</f>
      </c>
      <c r="I77" s="21">
        <f>IF(OR($B77="",$F77=0),"",$H77/$F77)</f>
      </c>
    </row>
    <row r="78" spans="2:9" x14ac:dyDescent="0.25">
      <c r="B78" s="14">
        <f>IF('Bütçe Kalemleri'!B78="","",'Bütçe Kalemleri'!B78)</f>
      </c>
      <c r="C78" s="14">
        <f>IF('Bütçe Kalemleri'!C78="","",'Bütçe Kalemleri'!C78)</f>
      </c>
      <c r="D78" s="14">
        <f>IF('Bütçe Kalemleri'!D78="","",'Bütçe Kalemleri'!D78)</f>
      </c>
      <c r="E78" s="14">
        <f>IF('Bütçe Kalemleri'!E78="","",'Bütçe Kalemleri'!E78)</f>
      </c>
      <c r="F78" s="16">
        <f>IF($B78="",0,'Bütçe Kalemleri'!F78)</f>
      </c>
      <c r="G78" s="16">
        <f>IF($B78="",0,SUMIF('Maliyet Kayıtları'!$D$5:$D$1004,$B78,'Maliyet Kayıtları'!$G$5:$G$1004))</f>
      </c>
      <c r="H78" s="19">
        <f>IF($B78="","",$F78-$G78)</f>
      </c>
      <c r="I78" s="21">
        <f>IF(OR($B78="",$F78=0),"",$H78/$F78)</f>
      </c>
    </row>
    <row r="79" spans="2:9" x14ac:dyDescent="0.25">
      <c r="B79" s="14">
        <f>IF('Bütçe Kalemleri'!B79="","",'Bütçe Kalemleri'!B79)</f>
      </c>
      <c r="C79" s="14">
        <f>IF('Bütçe Kalemleri'!C79="","",'Bütçe Kalemleri'!C79)</f>
      </c>
      <c r="D79" s="14">
        <f>IF('Bütçe Kalemleri'!D79="","",'Bütçe Kalemleri'!D79)</f>
      </c>
      <c r="E79" s="14">
        <f>IF('Bütçe Kalemleri'!E79="","",'Bütçe Kalemleri'!E79)</f>
      </c>
      <c r="F79" s="16">
        <f>IF($B79="",0,'Bütçe Kalemleri'!F79)</f>
      </c>
      <c r="G79" s="16">
        <f>IF($B79="",0,SUMIF('Maliyet Kayıtları'!$D$5:$D$1004,$B79,'Maliyet Kayıtları'!$G$5:$G$1004))</f>
      </c>
      <c r="H79" s="19">
        <f>IF($B79="","",$F79-$G79)</f>
      </c>
      <c r="I79" s="21">
        <f>IF(OR($B79="",$F79=0),"",$H79/$F79)</f>
      </c>
    </row>
    <row r="80" spans="2:9" x14ac:dyDescent="0.25">
      <c r="B80" s="14">
        <f>IF('Bütçe Kalemleri'!B80="","",'Bütçe Kalemleri'!B80)</f>
      </c>
      <c r="C80" s="14">
        <f>IF('Bütçe Kalemleri'!C80="","",'Bütçe Kalemleri'!C80)</f>
      </c>
      <c r="D80" s="14">
        <f>IF('Bütçe Kalemleri'!D80="","",'Bütçe Kalemleri'!D80)</f>
      </c>
      <c r="E80" s="14">
        <f>IF('Bütçe Kalemleri'!E80="","",'Bütçe Kalemleri'!E80)</f>
      </c>
      <c r="F80" s="16">
        <f>IF($B80="",0,'Bütçe Kalemleri'!F80)</f>
      </c>
      <c r="G80" s="16">
        <f>IF($B80="",0,SUMIF('Maliyet Kayıtları'!$D$5:$D$1004,$B80,'Maliyet Kayıtları'!$G$5:$G$1004))</f>
      </c>
      <c r="H80" s="19">
        <f>IF($B80="","",$F80-$G80)</f>
      </c>
      <c r="I80" s="21">
        <f>IF(OR($B80="",$F80=0),"",$H80/$F80)</f>
      </c>
    </row>
    <row r="81" spans="2:9" x14ac:dyDescent="0.25">
      <c r="B81" s="14">
        <f>IF('Bütçe Kalemleri'!B81="","",'Bütçe Kalemleri'!B81)</f>
      </c>
      <c r="C81" s="14">
        <f>IF('Bütçe Kalemleri'!C81="","",'Bütçe Kalemleri'!C81)</f>
      </c>
      <c r="D81" s="14">
        <f>IF('Bütçe Kalemleri'!D81="","",'Bütçe Kalemleri'!D81)</f>
      </c>
      <c r="E81" s="14">
        <f>IF('Bütçe Kalemleri'!E81="","",'Bütçe Kalemleri'!E81)</f>
      </c>
      <c r="F81" s="16">
        <f>IF($B81="",0,'Bütçe Kalemleri'!F81)</f>
      </c>
      <c r="G81" s="16">
        <f>IF($B81="",0,SUMIF('Maliyet Kayıtları'!$D$5:$D$1004,$B81,'Maliyet Kayıtları'!$G$5:$G$1004))</f>
      </c>
      <c r="H81" s="19">
        <f>IF($B81="","",$F81-$G81)</f>
      </c>
      <c r="I81" s="21">
        <f>IF(OR($B81="",$F81=0),"",$H81/$F81)</f>
      </c>
    </row>
    <row r="82" spans="2:9" x14ac:dyDescent="0.25">
      <c r="B82" s="14">
        <f>IF('Bütçe Kalemleri'!B82="","",'Bütçe Kalemleri'!B82)</f>
      </c>
      <c r="C82" s="14">
        <f>IF('Bütçe Kalemleri'!C82="","",'Bütçe Kalemleri'!C82)</f>
      </c>
      <c r="D82" s="14">
        <f>IF('Bütçe Kalemleri'!D82="","",'Bütçe Kalemleri'!D82)</f>
      </c>
      <c r="E82" s="14">
        <f>IF('Bütçe Kalemleri'!E82="","",'Bütçe Kalemleri'!E82)</f>
      </c>
      <c r="F82" s="16">
        <f>IF($B82="",0,'Bütçe Kalemleri'!F82)</f>
      </c>
      <c r="G82" s="16">
        <f>IF($B82="",0,SUMIF('Maliyet Kayıtları'!$D$5:$D$1004,$B82,'Maliyet Kayıtları'!$G$5:$G$1004))</f>
      </c>
      <c r="H82" s="19">
        <f>IF($B82="","",$F82-$G82)</f>
      </c>
      <c r="I82" s="21">
        <f>IF(OR($B82="",$F82=0),"",$H82/$F82)</f>
      </c>
    </row>
    <row r="83" spans="2:9" x14ac:dyDescent="0.25">
      <c r="B83" s="14">
        <f>IF('Bütçe Kalemleri'!B83="","",'Bütçe Kalemleri'!B83)</f>
      </c>
      <c r="C83" s="14">
        <f>IF('Bütçe Kalemleri'!C83="","",'Bütçe Kalemleri'!C83)</f>
      </c>
      <c r="D83" s="14">
        <f>IF('Bütçe Kalemleri'!D83="","",'Bütçe Kalemleri'!D83)</f>
      </c>
      <c r="E83" s="14">
        <f>IF('Bütçe Kalemleri'!E83="","",'Bütçe Kalemleri'!E83)</f>
      </c>
      <c r="F83" s="16">
        <f>IF($B83="",0,'Bütçe Kalemleri'!F83)</f>
      </c>
      <c r="G83" s="16">
        <f>IF($B83="",0,SUMIF('Maliyet Kayıtları'!$D$5:$D$1004,$B83,'Maliyet Kayıtları'!$G$5:$G$1004))</f>
      </c>
      <c r="H83" s="19">
        <f>IF($B83="","",$F83-$G83)</f>
      </c>
      <c r="I83" s="21">
        <f>IF(OR($B83="",$F83=0),"",$H83/$F83)</f>
      </c>
    </row>
    <row r="84" spans="2:9" x14ac:dyDescent="0.25">
      <c r="B84" s="14">
        <f>IF('Bütçe Kalemleri'!B84="","",'Bütçe Kalemleri'!B84)</f>
      </c>
      <c r="C84" s="14">
        <f>IF('Bütçe Kalemleri'!C84="","",'Bütçe Kalemleri'!C84)</f>
      </c>
      <c r="D84" s="14">
        <f>IF('Bütçe Kalemleri'!D84="","",'Bütçe Kalemleri'!D84)</f>
      </c>
      <c r="E84" s="14">
        <f>IF('Bütçe Kalemleri'!E84="","",'Bütçe Kalemleri'!E84)</f>
      </c>
      <c r="F84" s="16">
        <f>IF($B84="",0,'Bütçe Kalemleri'!F84)</f>
      </c>
      <c r="G84" s="16">
        <f>IF($B84="",0,SUMIF('Maliyet Kayıtları'!$D$5:$D$1004,$B84,'Maliyet Kayıtları'!$G$5:$G$1004))</f>
      </c>
      <c r="H84" s="19">
        <f>IF($B84="","",$F84-$G84)</f>
      </c>
      <c r="I84" s="21">
        <f>IF(OR($B84="",$F84=0),"",$H84/$F84)</f>
      </c>
    </row>
    <row r="85" spans="2:9" x14ac:dyDescent="0.25">
      <c r="B85" s="14">
        <f>IF('Bütçe Kalemleri'!B85="","",'Bütçe Kalemleri'!B85)</f>
      </c>
      <c r="C85" s="14">
        <f>IF('Bütçe Kalemleri'!C85="","",'Bütçe Kalemleri'!C85)</f>
      </c>
      <c r="D85" s="14">
        <f>IF('Bütçe Kalemleri'!D85="","",'Bütçe Kalemleri'!D85)</f>
      </c>
      <c r="E85" s="14">
        <f>IF('Bütçe Kalemleri'!E85="","",'Bütçe Kalemleri'!E85)</f>
      </c>
      <c r="F85" s="16">
        <f>IF($B85="",0,'Bütçe Kalemleri'!F85)</f>
      </c>
      <c r="G85" s="16">
        <f>IF($B85="",0,SUMIF('Maliyet Kayıtları'!$D$5:$D$1004,$B85,'Maliyet Kayıtları'!$G$5:$G$1004))</f>
      </c>
      <c r="H85" s="19">
        <f>IF($B85="","",$F85-$G85)</f>
      </c>
      <c r="I85" s="21">
        <f>IF(OR($B85="",$F85=0),"",$H85/$F85)</f>
      </c>
    </row>
    <row r="86" spans="2:9" x14ac:dyDescent="0.25">
      <c r="B86" s="14">
        <f>IF('Bütçe Kalemleri'!B86="","",'Bütçe Kalemleri'!B86)</f>
      </c>
      <c r="C86" s="14">
        <f>IF('Bütçe Kalemleri'!C86="","",'Bütçe Kalemleri'!C86)</f>
      </c>
      <c r="D86" s="14">
        <f>IF('Bütçe Kalemleri'!D86="","",'Bütçe Kalemleri'!D86)</f>
      </c>
      <c r="E86" s="14">
        <f>IF('Bütçe Kalemleri'!E86="","",'Bütçe Kalemleri'!E86)</f>
      </c>
      <c r="F86" s="16">
        <f>IF($B86="",0,'Bütçe Kalemleri'!F86)</f>
      </c>
      <c r="G86" s="16">
        <f>IF($B86="",0,SUMIF('Maliyet Kayıtları'!$D$5:$D$1004,$B86,'Maliyet Kayıtları'!$G$5:$G$1004))</f>
      </c>
      <c r="H86" s="19">
        <f>IF($B86="","",$F86-$G86)</f>
      </c>
      <c r="I86" s="21">
        <f>IF(OR($B86="",$F86=0),"",$H86/$F86)</f>
      </c>
    </row>
    <row r="87" spans="2:9" x14ac:dyDescent="0.25">
      <c r="B87" s="14">
        <f>IF('Bütçe Kalemleri'!B87="","",'Bütçe Kalemleri'!B87)</f>
      </c>
      <c r="C87" s="14">
        <f>IF('Bütçe Kalemleri'!C87="","",'Bütçe Kalemleri'!C87)</f>
      </c>
      <c r="D87" s="14">
        <f>IF('Bütçe Kalemleri'!D87="","",'Bütçe Kalemleri'!D87)</f>
      </c>
      <c r="E87" s="14">
        <f>IF('Bütçe Kalemleri'!E87="","",'Bütçe Kalemleri'!E87)</f>
      </c>
      <c r="F87" s="16">
        <f>IF($B87="",0,'Bütçe Kalemleri'!F87)</f>
      </c>
      <c r="G87" s="16">
        <f>IF($B87="",0,SUMIF('Maliyet Kayıtları'!$D$5:$D$1004,$B87,'Maliyet Kayıtları'!$G$5:$G$1004))</f>
      </c>
      <c r="H87" s="19">
        <f>IF($B87="","",$F87-$G87)</f>
      </c>
      <c r="I87" s="21">
        <f>IF(OR($B87="",$F87=0),"",$H87/$F87)</f>
      </c>
    </row>
    <row r="88" spans="2:9" x14ac:dyDescent="0.25">
      <c r="B88" s="14">
        <f>IF('Bütçe Kalemleri'!B88="","",'Bütçe Kalemleri'!B88)</f>
      </c>
      <c r="C88" s="14">
        <f>IF('Bütçe Kalemleri'!C88="","",'Bütçe Kalemleri'!C88)</f>
      </c>
      <c r="D88" s="14">
        <f>IF('Bütçe Kalemleri'!D88="","",'Bütçe Kalemleri'!D88)</f>
      </c>
      <c r="E88" s="14">
        <f>IF('Bütçe Kalemleri'!E88="","",'Bütçe Kalemleri'!E88)</f>
      </c>
      <c r="F88" s="16">
        <f>IF($B88="",0,'Bütçe Kalemleri'!F88)</f>
      </c>
      <c r="G88" s="16">
        <f>IF($B88="",0,SUMIF('Maliyet Kayıtları'!$D$5:$D$1004,$B88,'Maliyet Kayıtları'!$G$5:$G$1004))</f>
      </c>
      <c r="H88" s="19">
        <f>IF($B88="","",$F88-$G88)</f>
      </c>
      <c r="I88" s="21">
        <f>IF(OR($B88="",$F88=0),"",$H88/$F88)</f>
      </c>
    </row>
    <row r="89" spans="2:9" x14ac:dyDescent="0.25">
      <c r="B89" s="14">
        <f>IF('Bütçe Kalemleri'!B89="","",'Bütçe Kalemleri'!B89)</f>
      </c>
      <c r="C89" s="14">
        <f>IF('Bütçe Kalemleri'!C89="","",'Bütçe Kalemleri'!C89)</f>
      </c>
      <c r="D89" s="14">
        <f>IF('Bütçe Kalemleri'!D89="","",'Bütçe Kalemleri'!D89)</f>
      </c>
      <c r="E89" s="14">
        <f>IF('Bütçe Kalemleri'!E89="","",'Bütçe Kalemleri'!E89)</f>
      </c>
      <c r="F89" s="16">
        <f>IF($B89="",0,'Bütçe Kalemleri'!F89)</f>
      </c>
      <c r="G89" s="16">
        <f>IF($B89="",0,SUMIF('Maliyet Kayıtları'!$D$5:$D$1004,$B89,'Maliyet Kayıtları'!$G$5:$G$1004))</f>
      </c>
      <c r="H89" s="19">
        <f>IF($B89="","",$F89-$G89)</f>
      </c>
      <c r="I89" s="21">
        <f>IF(OR($B89="",$F89=0),"",$H89/$F89)</f>
      </c>
    </row>
    <row r="90" spans="2:9" x14ac:dyDescent="0.25">
      <c r="B90" s="14">
        <f>IF('Bütçe Kalemleri'!B90="","",'Bütçe Kalemleri'!B90)</f>
      </c>
      <c r="C90" s="14">
        <f>IF('Bütçe Kalemleri'!C90="","",'Bütçe Kalemleri'!C90)</f>
      </c>
      <c r="D90" s="14">
        <f>IF('Bütçe Kalemleri'!D90="","",'Bütçe Kalemleri'!D90)</f>
      </c>
      <c r="E90" s="14">
        <f>IF('Bütçe Kalemleri'!E90="","",'Bütçe Kalemleri'!E90)</f>
      </c>
      <c r="F90" s="16">
        <f>IF($B90="",0,'Bütçe Kalemleri'!F90)</f>
      </c>
      <c r="G90" s="16">
        <f>IF($B90="",0,SUMIF('Maliyet Kayıtları'!$D$5:$D$1004,$B90,'Maliyet Kayıtları'!$G$5:$G$1004))</f>
      </c>
      <c r="H90" s="19">
        <f>IF($B90="","",$F90-$G90)</f>
      </c>
      <c r="I90" s="21">
        <f>IF(OR($B90="",$F90=0),"",$H90/$F90)</f>
      </c>
    </row>
    <row r="91" spans="2:9" x14ac:dyDescent="0.25">
      <c r="B91" s="14">
        <f>IF('Bütçe Kalemleri'!B91="","",'Bütçe Kalemleri'!B91)</f>
      </c>
      <c r="C91" s="14">
        <f>IF('Bütçe Kalemleri'!C91="","",'Bütçe Kalemleri'!C91)</f>
      </c>
      <c r="D91" s="14">
        <f>IF('Bütçe Kalemleri'!D91="","",'Bütçe Kalemleri'!D91)</f>
      </c>
      <c r="E91" s="14">
        <f>IF('Bütçe Kalemleri'!E91="","",'Bütçe Kalemleri'!E91)</f>
      </c>
      <c r="F91" s="16">
        <f>IF($B91="",0,'Bütçe Kalemleri'!F91)</f>
      </c>
      <c r="G91" s="16">
        <f>IF($B91="",0,SUMIF('Maliyet Kayıtları'!$D$5:$D$1004,$B91,'Maliyet Kayıtları'!$G$5:$G$1004))</f>
      </c>
      <c r="H91" s="19">
        <f>IF($B91="","",$F91-$G91)</f>
      </c>
      <c r="I91" s="21">
        <f>IF(OR($B91="",$F91=0),"",$H91/$F91)</f>
      </c>
    </row>
    <row r="92" spans="2:9" x14ac:dyDescent="0.25">
      <c r="B92" s="14">
        <f>IF('Bütçe Kalemleri'!B92="","",'Bütçe Kalemleri'!B92)</f>
      </c>
      <c r="C92" s="14">
        <f>IF('Bütçe Kalemleri'!C92="","",'Bütçe Kalemleri'!C92)</f>
      </c>
      <c r="D92" s="14">
        <f>IF('Bütçe Kalemleri'!D92="","",'Bütçe Kalemleri'!D92)</f>
      </c>
      <c r="E92" s="14">
        <f>IF('Bütçe Kalemleri'!E92="","",'Bütçe Kalemleri'!E92)</f>
      </c>
      <c r="F92" s="16">
        <f>IF($B92="",0,'Bütçe Kalemleri'!F92)</f>
      </c>
      <c r="G92" s="16">
        <f>IF($B92="",0,SUMIF('Maliyet Kayıtları'!$D$5:$D$1004,$B92,'Maliyet Kayıtları'!$G$5:$G$1004))</f>
      </c>
      <c r="H92" s="19">
        <f>IF($B92="","",$F92-$G92)</f>
      </c>
      <c r="I92" s="21">
        <f>IF(OR($B92="",$F92=0),"",$H92/$F92)</f>
      </c>
    </row>
    <row r="93" spans="2:9" x14ac:dyDescent="0.25">
      <c r="B93" s="14">
        <f>IF('Bütçe Kalemleri'!B93="","",'Bütçe Kalemleri'!B93)</f>
      </c>
      <c r="C93" s="14">
        <f>IF('Bütçe Kalemleri'!C93="","",'Bütçe Kalemleri'!C93)</f>
      </c>
      <c r="D93" s="14">
        <f>IF('Bütçe Kalemleri'!D93="","",'Bütçe Kalemleri'!D93)</f>
      </c>
      <c r="E93" s="14">
        <f>IF('Bütçe Kalemleri'!E93="","",'Bütçe Kalemleri'!E93)</f>
      </c>
      <c r="F93" s="16">
        <f>IF($B93="",0,'Bütçe Kalemleri'!F93)</f>
      </c>
      <c r="G93" s="16">
        <f>IF($B93="",0,SUMIF('Maliyet Kayıtları'!$D$5:$D$1004,$B93,'Maliyet Kayıtları'!$G$5:$G$1004))</f>
      </c>
      <c r="H93" s="19">
        <f>IF($B93="","",$F93-$G93)</f>
      </c>
      <c r="I93" s="21">
        <f>IF(OR($B93="",$F93=0),"",$H93/$F93)</f>
      </c>
    </row>
    <row r="94" spans="2:9" x14ac:dyDescent="0.25">
      <c r="B94" s="14">
        <f>IF('Bütçe Kalemleri'!B94="","",'Bütçe Kalemleri'!B94)</f>
      </c>
      <c r="C94" s="14">
        <f>IF('Bütçe Kalemleri'!C94="","",'Bütçe Kalemleri'!C94)</f>
      </c>
      <c r="D94" s="14">
        <f>IF('Bütçe Kalemleri'!D94="","",'Bütçe Kalemleri'!D94)</f>
      </c>
      <c r="E94" s="14">
        <f>IF('Bütçe Kalemleri'!E94="","",'Bütçe Kalemleri'!E94)</f>
      </c>
      <c r="F94" s="16">
        <f>IF($B94="",0,'Bütçe Kalemleri'!F94)</f>
      </c>
      <c r="G94" s="16">
        <f>IF($B94="",0,SUMIF('Maliyet Kayıtları'!$D$5:$D$1004,$B94,'Maliyet Kayıtları'!$G$5:$G$1004))</f>
      </c>
      <c r="H94" s="19">
        <f>IF($B94="","",$F94-$G94)</f>
      </c>
      <c r="I94" s="21">
        <f>IF(OR($B94="",$F94=0),"",$H94/$F94)</f>
      </c>
    </row>
    <row r="95" spans="2:9" x14ac:dyDescent="0.25">
      <c r="B95" s="14">
        <f>IF('Bütçe Kalemleri'!B95="","",'Bütçe Kalemleri'!B95)</f>
      </c>
      <c r="C95" s="14">
        <f>IF('Bütçe Kalemleri'!C95="","",'Bütçe Kalemleri'!C95)</f>
      </c>
      <c r="D95" s="14">
        <f>IF('Bütçe Kalemleri'!D95="","",'Bütçe Kalemleri'!D95)</f>
      </c>
      <c r="E95" s="14">
        <f>IF('Bütçe Kalemleri'!E95="","",'Bütçe Kalemleri'!E95)</f>
      </c>
      <c r="F95" s="16">
        <f>IF($B95="",0,'Bütçe Kalemleri'!F95)</f>
      </c>
      <c r="G95" s="16">
        <f>IF($B95="",0,SUMIF('Maliyet Kayıtları'!$D$5:$D$1004,$B95,'Maliyet Kayıtları'!$G$5:$G$1004))</f>
      </c>
      <c r="H95" s="19">
        <f>IF($B95="","",$F95-$G95)</f>
      </c>
      <c r="I95" s="21">
        <f>IF(OR($B95="",$F95=0),"",$H95/$F95)</f>
      </c>
    </row>
    <row r="96" spans="2:9" x14ac:dyDescent="0.25">
      <c r="B96" s="14">
        <f>IF('Bütçe Kalemleri'!B96="","",'Bütçe Kalemleri'!B96)</f>
      </c>
      <c r="C96" s="14">
        <f>IF('Bütçe Kalemleri'!C96="","",'Bütçe Kalemleri'!C96)</f>
      </c>
      <c r="D96" s="14">
        <f>IF('Bütçe Kalemleri'!D96="","",'Bütçe Kalemleri'!D96)</f>
      </c>
      <c r="E96" s="14">
        <f>IF('Bütçe Kalemleri'!E96="","",'Bütçe Kalemleri'!E96)</f>
      </c>
      <c r="F96" s="16">
        <f>IF($B96="",0,'Bütçe Kalemleri'!F96)</f>
      </c>
      <c r="G96" s="16">
        <f>IF($B96="",0,SUMIF('Maliyet Kayıtları'!$D$5:$D$1004,$B96,'Maliyet Kayıtları'!$G$5:$G$1004))</f>
      </c>
      <c r="H96" s="19">
        <f>IF($B96="","",$F96-$G96)</f>
      </c>
      <c r="I96" s="21">
        <f>IF(OR($B96="",$F96=0),"",$H96/$F96)</f>
      </c>
    </row>
    <row r="97" spans="2:9" x14ac:dyDescent="0.25">
      <c r="B97" s="14">
        <f>IF('Bütçe Kalemleri'!B97="","",'Bütçe Kalemleri'!B97)</f>
      </c>
      <c r="C97" s="14">
        <f>IF('Bütçe Kalemleri'!C97="","",'Bütçe Kalemleri'!C97)</f>
      </c>
      <c r="D97" s="14">
        <f>IF('Bütçe Kalemleri'!D97="","",'Bütçe Kalemleri'!D97)</f>
      </c>
      <c r="E97" s="14">
        <f>IF('Bütçe Kalemleri'!E97="","",'Bütçe Kalemleri'!E97)</f>
      </c>
      <c r="F97" s="16">
        <f>IF($B97="",0,'Bütçe Kalemleri'!F97)</f>
      </c>
      <c r="G97" s="16">
        <f>IF($B97="",0,SUMIF('Maliyet Kayıtları'!$D$5:$D$1004,$B97,'Maliyet Kayıtları'!$G$5:$G$1004))</f>
      </c>
      <c r="H97" s="19">
        <f>IF($B97="","",$F97-$G97)</f>
      </c>
      <c r="I97" s="21">
        <f>IF(OR($B97="",$F97=0),"",$H97/$F97)</f>
      </c>
    </row>
    <row r="98" spans="2:9" x14ac:dyDescent="0.25">
      <c r="B98" s="14">
        <f>IF('Bütçe Kalemleri'!B98="","",'Bütçe Kalemleri'!B98)</f>
      </c>
      <c r="C98" s="14">
        <f>IF('Bütçe Kalemleri'!C98="","",'Bütçe Kalemleri'!C98)</f>
      </c>
      <c r="D98" s="14">
        <f>IF('Bütçe Kalemleri'!D98="","",'Bütçe Kalemleri'!D98)</f>
      </c>
      <c r="E98" s="14">
        <f>IF('Bütçe Kalemleri'!E98="","",'Bütçe Kalemleri'!E98)</f>
      </c>
      <c r="F98" s="16">
        <f>IF($B98="",0,'Bütçe Kalemleri'!F98)</f>
      </c>
      <c r="G98" s="16">
        <f>IF($B98="",0,SUMIF('Maliyet Kayıtları'!$D$5:$D$1004,$B98,'Maliyet Kayıtları'!$G$5:$G$1004))</f>
      </c>
      <c r="H98" s="19">
        <f>IF($B98="","",$F98-$G98)</f>
      </c>
      <c r="I98" s="21">
        <f>IF(OR($B98="",$F98=0),"",$H98/$F98)</f>
      </c>
    </row>
    <row r="99" spans="2:9" x14ac:dyDescent="0.25">
      <c r="B99" s="14">
        <f>IF('Bütçe Kalemleri'!B99="","",'Bütçe Kalemleri'!B99)</f>
      </c>
      <c r="C99" s="14">
        <f>IF('Bütçe Kalemleri'!C99="","",'Bütçe Kalemleri'!C99)</f>
      </c>
      <c r="D99" s="14">
        <f>IF('Bütçe Kalemleri'!D99="","",'Bütçe Kalemleri'!D99)</f>
      </c>
      <c r="E99" s="14">
        <f>IF('Bütçe Kalemleri'!E99="","",'Bütçe Kalemleri'!E99)</f>
      </c>
      <c r="F99" s="16">
        <f>IF($B99="",0,'Bütçe Kalemleri'!F99)</f>
      </c>
      <c r="G99" s="16">
        <f>IF($B99="",0,SUMIF('Maliyet Kayıtları'!$D$5:$D$1004,$B99,'Maliyet Kayıtları'!$G$5:$G$1004))</f>
      </c>
      <c r="H99" s="19">
        <f>IF($B99="","",$F99-$G99)</f>
      </c>
      <c r="I99" s="21">
        <f>IF(OR($B99="",$F99=0),"",$H99/$F99)</f>
      </c>
    </row>
    <row r="100" spans="2:9" x14ac:dyDescent="0.25">
      <c r="B100" s="14">
        <f>IF('Bütçe Kalemleri'!B100="","",'Bütçe Kalemleri'!B100)</f>
      </c>
      <c r="C100" s="14">
        <f>IF('Bütçe Kalemleri'!C100="","",'Bütçe Kalemleri'!C100)</f>
      </c>
      <c r="D100" s="14">
        <f>IF('Bütçe Kalemleri'!D100="","",'Bütçe Kalemleri'!D100)</f>
      </c>
      <c r="E100" s="14">
        <f>IF('Bütçe Kalemleri'!E100="","",'Bütçe Kalemleri'!E100)</f>
      </c>
      <c r="F100" s="16">
        <f>IF($B100="",0,'Bütçe Kalemleri'!F100)</f>
      </c>
      <c r="G100" s="16">
        <f>IF($B100="",0,SUMIF('Maliyet Kayıtları'!$D$5:$D$1004,$B100,'Maliyet Kayıtları'!$G$5:$G$1004))</f>
      </c>
      <c r="H100" s="19">
        <f>IF($B100="","",$F100-$G100)</f>
      </c>
      <c r="I100" s="21">
        <f>IF(OR($B100="",$F100=0),"",$H100/$F100)</f>
      </c>
    </row>
    <row r="101" spans="2:9" x14ac:dyDescent="0.25">
      <c r="B101" s="14">
        <f>IF('Bütçe Kalemleri'!B101="","",'Bütçe Kalemleri'!B101)</f>
      </c>
      <c r="C101" s="14">
        <f>IF('Bütçe Kalemleri'!C101="","",'Bütçe Kalemleri'!C101)</f>
      </c>
      <c r="D101" s="14">
        <f>IF('Bütçe Kalemleri'!D101="","",'Bütçe Kalemleri'!D101)</f>
      </c>
      <c r="E101" s="14">
        <f>IF('Bütçe Kalemleri'!E101="","",'Bütçe Kalemleri'!E101)</f>
      </c>
      <c r="F101" s="16">
        <f>IF($B101="",0,'Bütçe Kalemleri'!F101)</f>
      </c>
      <c r="G101" s="16">
        <f>IF($B101="",0,SUMIF('Maliyet Kayıtları'!$D$5:$D$1004,$B101,'Maliyet Kayıtları'!$G$5:$G$1004))</f>
      </c>
      <c r="H101" s="19">
        <f>IF($B101="","",$F101-$G101)</f>
      </c>
      <c r="I101" s="21">
        <f>IF(OR($B101="",$F101=0),"",$H101/$F101)</f>
      </c>
    </row>
    <row r="102" spans="2:9" x14ac:dyDescent="0.25">
      <c r="B102" s="14">
        <f>IF('Bütçe Kalemleri'!B102="","",'Bütçe Kalemleri'!B102)</f>
      </c>
      <c r="C102" s="14">
        <f>IF('Bütçe Kalemleri'!C102="","",'Bütçe Kalemleri'!C102)</f>
      </c>
      <c r="D102" s="14">
        <f>IF('Bütçe Kalemleri'!D102="","",'Bütçe Kalemleri'!D102)</f>
      </c>
      <c r="E102" s="14">
        <f>IF('Bütçe Kalemleri'!E102="","",'Bütçe Kalemleri'!E102)</f>
      </c>
      <c r="F102" s="16">
        <f>IF($B102="",0,'Bütçe Kalemleri'!F102)</f>
      </c>
      <c r="G102" s="16">
        <f>IF($B102="",0,SUMIF('Maliyet Kayıtları'!$D$5:$D$1004,$B102,'Maliyet Kayıtları'!$G$5:$G$1004))</f>
      </c>
      <c r="H102" s="19">
        <f>IF($B102="","",$F102-$G102)</f>
      </c>
      <c r="I102" s="21">
        <f>IF(OR($B102="",$F102=0),"",$H102/$F102)</f>
      </c>
    </row>
    <row r="103" spans="2:9" x14ac:dyDescent="0.25">
      <c r="B103" s="14">
        <f>IF('Bütçe Kalemleri'!B103="","",'Bütçe Kalemleri'!B103)</f>
      </c>
      <c r="C103" s="14">
        <f>IF('Bütçe Kalemleri'!C103="","",'Bütçe Kalemleri'!C103)</f>
      </c>
      <c r="D103" s="14">
        <f>IF('Bütçe Kalemleri'!D103="","",'Bütçe Kalemleri'!D103)</f>
      </c>
      <c r="E103" s="14">
        <f>IF('Bütçe Kalemleri'!E103="","",'Bütçe Kalemleri'!E103)</f>
      </c>
      <c r="F103" s="16">
        <f>IF($B103="",0,'Bütçe Kalemleri'!F103)</f>
      </c>
      <c r="G103" s="16">
        <f>IF($B103="",0,SUMIF('Maliyet Kayıtları'!$D$5:$D$1004,$B103,'Maliyet Kayıtları'!$G$5:$G$1004))</f>
      </c>
      <c r="H103" s="19">
        <f>IF($B103="","",$F103-$G103)</f>
      </c>
      <c r="I103" s="21">
        <f>IF(OR($B103="",$F103=0),"",$H103/$F103)</f>
      </c>
    </row>
    <row r="104" spans="2:9" x14ac:dyDescent="0.25">
      <c r="B104" s="14">
        <f>IF('Bütçe Kalemleri'!B104="","",'Bütçe Kalemleri'!B104)</f>
      </c>
      <c r="C104" s="14">
        <f>IF('Bütçe Kalemleri'!C104="","",'Bütçe Kalemleri'!C104)</f>
      </c>
      <c r="D104" s="14">
        <f>IF('Bütçe Kalemleri'!D104="","",'Bütçe Kalemleri'!D104)</f>
      </c>
      <c r="E104" s="14">
        <f>IF('Bütçe Kalemleri'!E104="","",'Bütçe Kalemleri'!E104)</f>
      </c>
      <c r="F104" s="16">
        <f>IF($B104="",0,'Bütçe Kalemleri'!F104)</f>
      </c>
      <c r="G104" s="16">
        <f>IF($B104="",0,SUMIF('Maliyet Kayıtları'!$D$5:$D$1004,$B104,'Maliyet Kayıtları'!$G$5:$G$1004))</f>
      </c>
      <c r="H104" s="19">
        <f>IF($B104="","",$F104-$G104)</f>
      </c>
      <c r="I104" s="21">
        <f>IF(OR($B104="",$F104=0),"",$H104/$F104)</f>
      </c>
    </row>
    <row r="105" spans="2:9" x14ac:dyDescent="0.25">
      <c r="B105" s="14">
        <f>IF('Bütçe Kalemleri'!B105="","",'Bütçe Kalemleri'!B105)</f>
      </c>
      <c r="C105" s="14">
        <f>IF('Bütçe Kalemleri'!C105="","",'Bütçe Kalemleri'!C105)</f>
      </c>
      <c r="D105" s="14">
        <f>IF('Bütçe Kalemleri'!D105="","",'Bütçe Kalemleri'!D105)</f>
      </c>
      <c r="E105" s="14">
        <f>IF('Bütçe Kalemleri'!E105="","",'Bütçe Kalemleri'!E105)</f>
      </c>
      <c r="F105" s="16">
        <f>IF($B105="",0,'Bütçe Kalemleri'!F105)</f>
      </c>
      <c r="G105" s="16">
        <f>IF($B105="",0,SUMIF('Maliyet Kayıtları'!$D$5:$D$1004,$B105,'Maliyet Kayıtları'!$G$5:$G$1004))</f>
      </c>
      <c r="H105" s="19">
        <f>IF($B105="","",$F105-$G105)</f>
      </c>
      <c r="I105" s="21">
        <f>IF(OR($B105="",$F105=0),"",$H105/$F105)</f>
      </c>
    </row>
    <row r="106" spans="2:9" x14ac:dyDescent="0.25">
      <c r="B106" s="14">
        <f>IF('Bütçe Kalemleri'!B106="","",'Bütçe Kalemleri'!B106)</f>
      </c>
      <c r="C106" s="14">
        <f>IF('Bütçe Kalemleri'!C106="","",'Bütçe Kalemleri'!C106)</f>
      </c>
      <c r="D106" s="14">
        <f>IF('Bütçe Kalemleri'!D106="","",'Bütçe Kalemleri'!D106)</f>
      </c>
      <c r="E106" s="14">
        <f>IF('Bütçe Kalemleri'!E106="","",'Bütçe Kalemleri'!E106)</f>
      </c>
      <c r="F106" s="16">
        <f>IF($B106="",0,'Bütçe Kalemleri'!F106)</f>
      </c>
      <c r="G106" s="16">
        <f>IF($B106="",0,SUMIF('Maliyet Kayıtları'!$D$5:$D$1004,$B106,'Maliyet Kayıtları'!$G$5:$G$1004))</f>
      </c>
      <c r="H106" s="19">
        <f>IF($B106="","",$F106-$G106)</f>
      </c>
      <c r="I106" s="21">
        <f>IF(OR($B106="",$F106=0),"",$H106/$F106)</f>
      </c>
    </row>
    <row r="107" spans="2:9" x14ac:dyDescent="0.25">
      <c r="B107" s="14">
        <f>IF('Bütçe Kalemleri'!B107="","",'Bütçe Kalemleri'!B107)</f>
      </c>
      <c r="C107" s="14">
        <f>IF('Bütçe Kalemleri'!C107="","",'Bütçe Kalemleri'!C107)</f>
      </c>
      <c r="D107" s="14">
        <f>IF('Bütçe Kalemleri'!D107="","",'Bütçe Kalemleri'!D107)</f>
      </c>
      <c r="E107" s="14">
        <f>IF('Bütçe Kalemleri'!E107="","",'Bütçe Kalemleri'!E107)</f>
      </c>
      <c r="F107" s="16">
        <f>IF($B107="",0,'Bütçe Kalemleri'!F107)</f>
      </c>
      <c r="G107" s="16">
        <f>IF($B107="",0,SUMIF('Maliyet Kayıtları'!$D$5:$D$1004,$B107,'Maliyet Kayıtları'!$G$5:$G$1004))</f>
      </c>
      <c r="H107" s="19">
        <f>IF($B107="","",$F107-$G107)</f>
      </c>
      <c r="I107" s="21">
        <f>IF(OR($B107="",$F107=0),"",$H107/$F107)</f>
      </c>
    </row>
    <row r="108" spans="2:9" x14ac:dyDescent="0.25">
      <c r="B108" s="14">
        <f>IF('Bütçe Kalemleri'!B108="","",'Bütçe Kalemleri'!B108)</f>
      </c>
      <c r="C108" s="14">
        <f>IF('Bütçe Kalemleri'!C108="","",'Bütçe Kalemleri'!C108)</f>
      </c>
      <c r="D108" s="14">
        <f>IF('Bütçe Kalemleri'!D108="","",'Bütçe Kalemleri'!D108)</f>
      </c>
      <c r="E108" s="14">
        <f>IF('Bütçe Kalemleri'!E108="","",'Bütçe Kalemleri'!E108)</f>
      </c>
      <c r="F108" s="16">
        <f>IF($B108="",0,'Bütçe Kalemleri'!F108)</f>
      </c>
      <c r="G108" s="16">
        <f>IF($B108="",0,SUMIF('Maliyet Kayıtları'!$D$5:$D$1004,$B108,'Maliyet Kayıtları'!$G$5:$G$1004))</f>
      </c>
      <c r="H108" s="19">
        <f>IF($B108="","",$F108-$G108)</f>
      </c>
      <c r="I108" s="21">
        <f>IF(OR($B108="",$F108=0),"",$H108/$F108)</f>
      </c>
    </row>
    <row r="109" spans="2:9" x14ac:dyDescent="0.25">
      <c r="B109" s="14">
        <f>IF('Bütçe Kalemleri'!B109="","",'Bütçe Kalemleri'!B109)</f>
      </c>
      <c r="C109" s="14">
        <f>IF('Bütçe Kalemleri'!C109="","",'Bütçe Kalemleri'!C109)</f>
      </c>
      <c r="D109" s="14">
        <f>IF('Bütçe Kalemleri'!D109="","",'Bütçe Kalemleri'!D109)</f>
      </c>
      <c r="E109" s="14">
        <f>IF('Bütçe Kalemleri'!E109="","",'Bütçe Kalemleri'!E109)</f>
      </c>
      <c r="F109" s="16">
        <f>IF($B109="",0,'Bütçe Kalemleri'!F109)</f>
      </c>
      <c r="G109" s="16">
        <f>IF($B109="",0,SUMIF('Maliyet Kayıtları'!$D$5:$D$1004,$B109,'Maliyet Kayıtları'!$G$5:$G$1004))</f>
      </c>
      <c r="H109" s="19">
        <f>IF($B109="","",$F109-$G109)</f>
      </c>
      <c r="I109" s="21">
        <f>IF(OR($B109="",$F109=0),"",$H109/$F109)</f>
      </c>
    </row>
    <row r="110" spans="2:9" x14ac:dyDescent="0.25">
      <c r="B110" s="14">
        <f>IF('Bütçe Kalemleri'!B110="","",'Bütçe Kalemleri'!B110)</f>
      </c>
      <c r="C110" s="14">
        <f>IF('Bütçe Kalemleri'!C110="","",'Bütçe Kalemleri'!C110)</f>
      </c>
      <c r="D110" s="14">
        <f>IF('Bütçe Kalemleri'!D110="","",'Bütçe Kalemleri'!D110)</f>
      </c>
      <c r="E110" s="14">
        <f>IF('Bütçe Kalemleri'!E110="","",'Bütçe Kalemleri'!E110)</f>
      </c>
      <c r="F110" s="16">
        <f>IF($B110="",0,'Bütçe Kalemleri'!F110)</f>
      </c>
      <c r="G110" s="16">
        <f>IF($B110="",0,SUMIF('Maliyet Kayıtları'!$D$5:$D$1004,$B110,'Maliyet Kayıtları'!$G$5:$G$1004))</f>
      </c>
      <c r="H110" s="19">
        <f>IF($B110="","",$F110-$G110)</f>
      </c>
      <c r="I110" s="21">
        <f>IF(OR($B110="",$F110=0),"",$H110/$F110)</f>
      </c>
    </row>
    <row r="111" spans="2:9" x14ac:dyDescent="0.25">
      <c r="B111" s="14">
        <f>IF('Bütçe Kalemleri'!B111="","",'Bütçe Kalemleri'!B111)</f>
      </c>
      <c r="C111" s="14">
        <f>IF('Bütçe Kalemleri'!C111="","",'Bütçe Kalemleri'!C111)</f>
      </c>
      <c r="D111" s="14">
        <f>IF('Bütçe Kalemleri'!D111="","",'Bütçe Kalemleri'!D111)</f>
      </c>
      <c r="E111" s="14">
        <f>IF('Bütçe Kalemleri'!E111="","",'Bütçe Kalemleri'!E111)</f>
      </c>
      <c r="F111" s="16">
        <f>IF($B111="",0,'Bütçe Kalemleri'!F111)</f>
      </c>
      <c r="G111" s="16">
        <f>IF($B111="",0,SUMIF('Maliyet Kayıtları'!$D$5:$D$1004,$B111,'Maliyet Kayıtları'!$G$5:$G$1004))</f>
      </c>
      <c r="H111" s="19">
        <f>IF($B111="","",$F111-$G111)</f>
      </c>
      <c r="I111" s="21">
        <f>IF(OR($B111="",$F111=0),"",$H111/$F111)</f>
      </c>
    </row>
    <row r="112" spans="2:9" x14ac:dyDescent="0.25">
      <c r="B112" s="14">
        <f>IF('Bütçe Kalemleri'!B112="","",'Bütçe Kalemleri'!B112)</f>
      </c>
      <c r="C112" s="14">
        <f>IF('Bütçe Kalemleri'!C112="","",'Bütçe Kalemleri'!C112)</f>
      </c>
      <c r="D112" s="14">
        <f>IF('Bütçe Kalemleri'!D112="","",'Bütçe Kalemleri'!D112)</f>
      </c>
      <c r="E112" s="14">
        <f>IF('Bütçe Kalemleri'!E112="","",'Bütçe Kalemleri'!E112)</f>
      </c>
      <c r="F112" s="16">
        <f>IF($B112="",0,'Bütçe Kalemleri'!F112)</f>
      </c>
      <c r="G112" s="16">
        <f>IF($B112="",0,SUMIF('Maliyet Kayıtları'!$D$5:$D$1004,$B112,'Maliyet Kayıtları'!$G$5:$G$1004))</f>
      </c>
      <c r="H112" s="19">
        <f>IF($B112="","",$F112-$G112)</f>
      </c>
      <c r="I112" s="21">
        <f>IF(OR($B112="",$F112=0),"",$H112/$F112)</f>
      </c>
    </row>
    <row r="113" spans="2:9" x14ac:dyDescent="0.25">
      <c r="B113" s="14">
        <f>IF('Bütçe Kalemleri'!B113="","",'Bütçe Kalemleri'!B113)</f>
      </c>
      <c r="C113" s="14">
        <f>IF('Bütçe Kalemleri'!C113="","",'Bütçe Kalemleri'!C113)</f>
      </c>
      <c r="D113" s="14">
        <f>IF('Bütçe Kalemleri'!D113="","",'Bütçe Kalemleri'!D113)</f>
      </c>
      <c r="E113" s="14">
        <f>IF('Bütçe Kalemleri'!E113="","",'Bütçe Kalemleri'!E113)</f>
      </c>
      <c r="F113" s="16">
        <f>IF($B113="",0,'Bütçe Kalemleri'!F113)</f>
      </c>
      <c r="G113" s="16">
        <f>IF($B113="",0,SUMIF('Maliyet Kayıtları'!$D$5:$D$1004,$B113,'Maliyet Kayıtları'!$G$5:$G$1004))</f>
      </c>
      <c r="H113" s="19">
        <f>IF($B113="","",$F113-$G113)</f>
      </c>
      <c r="I113" s="21">
        <f>IF(OR($B113="",$F113=0),"",$H113/$F113)</f>
      </c>
    </row>
    <row r="114" spans="2:9" x14ac:dyDescent="0.25">
      <c r="B114" s="14">
        <f>IF('Bütçe Kalemleri'!B114="","",'Bütçe Kalemleri'!B114)</f>
      </c>
      <c r="C114" s="14">
        <f>IF('Bütçe Kalemleri'!C114="","",'Bütçe Kalemleri'!C114)</f>
      </c>
      <c r="D114" s="14">
        <f>IF('Bütçe Kalemleri'!D114="","",'Bütçe Kalemleri'!D114)</f>
      </c>
      <c r="E114" s="14">
        <f>IF('Bütçe Kalemleri'!E114="","",'Bütçe Kalemleri'!E114)</f>
      </c>
      <c r="F114" s="16">
        <f>IF($B114="",0,'Bütçe Kalemleri'!F114)</f>
      </c>
      <c r="G114" s="16">
        <f>IF($B114="",0,SUMIF('Maliyet Kayıtları'!$D$5:$D$1004,$B114,'Maliyet Kayıtları'!$G$5:$G$1004))</f>
      </c>
      <c r="H114" s="19">
        <f>IF($B114="","",$F114-$G114)</f>
      </c>
      <c r="I114" s="21">
        <f>IF(OR($B114="",$F114=0),"",$H114/$F114)</f>
      </c>
    </row>
    <row r="115" spans="2:9" x14ac:dyDescent="0.25">
      <c r="B115" s="14">
        <f>IF('Bütçe Kalemleri'!B115="","",'Bütçe Kalemleri'!B115)</f>
      </c>
      <c r="C115" s="14">
        <f>IF('Bütçe Kalemleri'!C115="","",'Bütçe Kalemleri'!C115)</f>
      </c>
      <c r="D115" s="14">
        <f>IF('Bütçe Kalemleri'!D115="","",'Bütçe Kalemleri'!D115)</f>
      </c>
      <c r="E115" s="14">
        <f>IF('Bütçe Kalemleri'!E115="","",'Bütçe Kalemleri'!E115)</f>
      </c>
      <c r="F115" s="16">
        <f>IF($B115="",0,'Bütçe Kalemleri'!F115)</f>
      </c>
      <c r="G115" s="16">
        <f>IF($B115="",0,SUMIF('Maliyet Kayıtları'!$D$5:$D$1004,$B115,'Maliyet Kayıtları'!$G$5:$G$1004))</f>
      </c>
      <c r="H115" s="19">
        <f>IF($B115="","",$F115-$G115)</f>
      </c>
      <c r="I115" s="21">
        <f>IF(OR($B115="",$F115=0),"",$H115/$F115)</f>
      </c>
    </row>
    <row r="116" spans="2:9" x14ac:dyDescent="0.25">
      <c r="B116" s="14">
        <f>IF('Bütçe Kalemleri'!B116="","",'Bütçe Kalemleri'!B116)</f>
      </c>
      <c r="C116" s="14">
        <f>IF('Bütçe Kalemleri'!C116="","",'Bütçe Kalemleri'!C116)</f>
      </c>
      <c r="D116" s="14">
        <f>IF('Bütçe Kalemleri'!D116="","",'Bütçe Kalemleri'!D116)</f>
      </c>
      <c r="E116" s="14">
        <f>IF('Bütçe Kalemleri'!E116="","",'Bütçe Kalemleri'!E116)</f>
      </c>
      <c r="F116" s="16">
        <f>IF($B116="",0,'Bütçe Kalemleri'!F116)</f>
      </c>
      <c r="G116" s="16">
        <f>IF($B116="",0,SUMIF('Maliyet Kayıtları'!$D$5:$D$1004,$B116,'Maliyet Kayıtları'!$G$5:$G$1004))</f>
      </c>
      <c r="H116" s="19">
        <f>IF($B116="","",$F116-$G116)</f>
      </c>
      <c r="I116" s="21">
        <f>IF(OR($B116="",$F116=0),"",$H116/$F116)</f>
      </c>
    </row>
    <row r="117" spans="2:9" x14ac:dyDescent="0.25">
      <c r="B117" s="14">
        <f>IF('Bütçe Kalemleri'!B117="","",'Bütçe Kalemleri'!B117)</f>
      </c>
      <c r="C117" s="14">
        <f>IF('Bütçe Kalemleri'!C117="","",'Bütçe Kalemleri'!C117)</f>
      </c>
      <c r="D117" s="14">
        <f>IF('Bütçe Kalemleri'!D117="","",'Bütçe Kalemleri'!D117)</f>
      </c>
      <c r="E117" s="14">
        <f>IF('Bütçe Kalemleri'!E117="","",'Bütçe Kalemleri'!E117)</f>
      </c>
      <c r="F117" s="16">
        <f>IF($B117="",0,'Bütçe Kalemleri'!F117)</f>
      </c>
      <c r="G117" s="16">
        <f>IF($B117="",0,SUMIF('Maliyet Kayıtları'!$D$5:$D$1004,$B117,'Maliyet Kayıtları'!$G$5:$G$1004))</f>
      </c>
      <c r="H117" s="19">
        <f>IF($B117="","",$F117-$G117)</f>
      </c>
      <c r="I117" s="21">
        <f>IF(OR($B117="",$F117=0),"",$H117/$F117)</f>
      </c>
    </row>
    <row r="118" spans="2:9" x14ac:dyDescent="0.25">
      <c r="B118" s="14">
        <f>IF('Bütçe Kalemleri'!B118="","",'Bütçe Kalemleri'!B118)</f>
      </c>
      <c r="C118" s="14">
        <f>IF('Bütçe Kalemleri'!C118="","",'Bütçe Kalemleri'!C118)</f>
      </c>
      <c r="D118" s="14">
        <f>IF('Bütçe Kalemleri'!D118="","",'Bütçe Kalemleri'!D118)</f>
      </c>
      <c r="E118" s="14">
        <f>IF('Bütçe Kalemleri'!E118="","",'Bütçe Kalemleri'!E118)</f>
      </c>
      <c r="F118" s="16">
        <f>IF($B118="",0,'Bütçe Kalemleri'!F118)</f>
      </c>
      <c r="G118" s="16">
        <f>IF($B118="",0,SUMIF('Maliyet Kayıtları'!$D$5:$D$1004,$B118,'Maliyet Kayıtları'!$G$5:$G$1004))</f>
      </c>
      <c r="H118" s="19">
        <f>IF($B118="","",$F118-$G118)</f>
      </c>
      <c r="I118" s="21">
        <f>IF(OR($B118="",$F118=0),"",$H118/$F118)</f>
      </c>
    </row>
    <row r="119" spans="2:9" x14ac:dyDescent="0.25">
      <c r="B119" s="14">
        <f>IF('Bütçe Kalemleri'!B119="","",'Bütçe Kalemleri'!B119)</f>
      </c>
      <c r="C119" s="14">
        <f>IF('Bütçe Kalemleri'!C119="","",'Bütçe Kalemleri'!C119)</f>
      </c>
      <c r="D119" s="14">
        <f>IF('Bütçe Kalemleri'!D119="","",'Bütçe Kalemleri'!D119)</f>
      </c>
      <c r="E119" s="14">
        <f>IF('Bütçe Kalemleri'!E119="","",'Bütçe Kalemleri'!E119)</f>
      </c>
      <c r="F119" s="16">
        <f>IF($B119="",0,'Bütçe Kalemleri'!F119)</f>
      </c>
      <c r="G119" s="16">
        <f>IF($B119="",0,SUMIF('Maliyet Kayıtları'!$D$5:$D$1004,$B119,'Maliyet Kayıtları'!$G$5:$G$1004))</f>
      </c>
      <c r="H119" s="19">
        <f>IF($B119="","",$F119-$G119)</f>
      </c>
      <c r="I119" s="21">
        <f>IF(OR($B119="",$F119=0),"",$H119/$F119)</f>
      </c>
    </row>
    <row r="120" spans="2:9" x14ac:dyDescent="0.25">
      <c r="B120" s="14">
        <f>IF('Bütçe Kalemleri'!B120="","",'Bütçe Kalemleri'!B120)</f>
      </c>
      <c r="C120" s="14">
        <f>IF('Bütçe Kalemleri'!C120="","",'Bütçe Kalemleri'!C120)</f>
      </c>
      <c r="D120" s="14">
        <f>IF('Bütçe Kalemleri'!D120="","",'Bütçe Kalemleri'!D120)</f>
      </c>
      <c r="E120" s="14">
        <f>IF('Bütçe Kalemleri'!E120="","",'Bütçe Kalemleri'!E120)</f>
      </c>
      <c r="F120" s="16">
        <f>IF($B120="",0,'Bütçe Kalemleri'!F120)</f>
      </c>
      <c r="G120" s="16">
        <f>IF($B120="",0,SUMIF('Maliyet Kayıtları'!$D$5:$D$1004,$B120,'Maliyet Kayıtları'!$G$5:$G$1004))</f>
      </c>
      <c r="H120" s="19">
        <f>IF($B120="","",$F120-$G120)</f>
      </c>
      <c r="I120" s="21">
        <f>IF(OR($B120="",$F120=0),"",$H120/$F120)</f>
      </c>
    </row>
    <row r="121" spans="2:9" x14ac:dyDescent="0.25">
      <c r="B121" s="14">
        <f>IF('Bütçe Kalemleri'!B121="","",'Bütçe Kalemleri'!B121)</f>
      </c>
      <c r="C121" s="14">
        <f>IF('Bütçe Kalemleri'!C121="","",'Bütçe Kalemleri'!C121)</f>
      </c>
      <c r="D121" s="14">
        <f>IF('Bütçe Kalemleri'!D121="","",'Bütçe Kalemleri'!D121)</f>
      </c>
      <c r="E121" s="14">
        <f>IF('Bütçe Kalemleri'!E121="","",'Bütçe Kalemleri'!E121)</f>
      </c>
      <c r="F121" s="16">
        <f>IF($B121="",0,'Bütçe Kalemleri'!F121)</f>
      </c>
      <c r="G121" s="16">
        <f>IF($B121="",0,SUMIF('Maliyet Kayıtları'!$D$5:$D$1004,$B121,'Maliyet Kayıtları'!$G$5:$G$1004))</f>
      </c>
      <c r="H121" s="19">
        <f>IF($B121="","",$F121-$G121)</f>
      </c>
      <c r="I121" s="21">
        <f>IF(OR($B121="",$F121=0),"",$H121/$F121)</f>
      </c>
    </row>
    <row r="122" spans="2:9" x14ac:dyDescent="0.25">
      <c r="B122" s="14">
        <f>IF('Bütçe Kalemleri'!B122="","",'Bütçe Kalemleri'!B122)</f>
      </c>
      <c r="C122" s="14">
        <f>IF('Bütçe Kalemleri'!C122="","",'Bütçe Kalemleri'!C122)</f>
      </c>
      <c r="D122" s="14">
        <f>IF('Bütçe Kalemleri'!D122="","",'Bütçe Kalemleri'!D122)</f>
      </c>
      <c r="E122" s="14">
        <f>IF('Bütçe Kalemleri'!E122="","",'Bütçe Kalemleri'!E122)</f>
      </c>
      <c r="F122" s="16">
        <f>IF($B122="",0,'Bütçe Kalemleri'!F122)</f>
      </c>
      <c r="G122" s="16">
        <f>IF($B122="",0,SUMIF('Maliyet Kayıtları'!$D$5:$D$1004,$B122,'Maliyet Kayıtları'!$G$5:$G$1004))</f>
      </c>
      <c r="H122" s="19">
        <f>IF($B122="","",$F122-$G122)</f>
      </c>
      <c r="I122" s="21">
        <f>IF(OR($B122="",$F122=0),"",$H122/$F122)</f>
      </c>
    </row>
    <row r="123" spans="2:9" x14ac:dyDescent="0.25">
      <c r="B123" s="14">
        <f>IF('Bütçe Kalemleri'!B123="","",'Bütçe Kalemleri'!B123)</f>
      </c>
      <c r="C123" s="14">
        <f>IF('Bütçe Kalemleri'!C123="","",'Bütçe Kalemleri'!C123)</f>
      </c>
      <c r="D123" s="14">
        <f>IF('Bütçe Kalemleri'!D123="","",'Bütçe Kalemleri'!D123)</f>
      </c>
      <c r="E123" s="14">
        <f>IF('Bütçe Kalemleri'!E123="","",'Bütçe Kalemleri'!E123)</f>
      </c>
      <c r="F123" s="16">
        <f>IF($B123="",0,'Bütçe Kalemleri'!F123)</f>
      </c>
      <c r="G123" s="16">
        <f>IF($B123="",0,SUMIF('Maliyet Kayıtları'!$D$5:$D$1004,$B123,'Maliyet Kayıtları'!$G$5:$G$1004))</f>
      </c>
      <c r="H123" s="19">
        <f>IF($B123="","",$F123-$G123)</f>
      </c>
      <c r="I123" s="21">
        <f>IF(OR($B123="",$F123=0),"",$H123/$F123)</f>
      </c>
    </row>
    <row r="124" spans="2:9" x14ac:dyDescent="0.25">
      <c r="B124" s="14">
        <f>IF('Bütçe Kalemleri'!B124="","",'Bütçe Kalemleri'!B124)</f>
      </c>
      <c r="C124" s="14">
        <f>IF('Bütçe Kalemleri'!C124="","",'Bütçe Kalemleri'!C124)</f>
      </c>
      <c r="D124" s="14">
        <f>IF('Bütçe Kalemleri'!D124="","",'Bütçe Kalemleri'!D124)</f>
      </c>
      <c r="E124" s="14">
        <f>IF('Bütçe Kalemleri'!E124="","",'Bütçe Kalemleri'!E124)</f>
      </c>
      <c r="F124" s="16">
        <f>IF($B124="",0,'Bütçe Kalemleri'!F124)</f>
      </c>
      <c r="G124" s="16">
        <f>IF($B124="",0,SUMIF('Maliyet Kayıtları'!$D$5:$D$1004,$B124,'Maliyet Kayıtları'!$G$5:$G$1004))</f>
      </c>
      <c r="H124" s="19">
        <f>IF($B124="","",$F124-$G124)</f>
      </c>
      <c r="I124" s="21">
        <f>IF(OR($B124="",$F124=0),"",$H124/$F124)</f>
      </c>
    </row>
    <row r="125" spans="2:9" x14ac:dyDescent="0.25">
      <c r="B125" s="14">
        <f>IF('Bütçe Kalemleri'!B125="","",'Bütçe Kalemleri'!B125)</f>
      </c>
      <c r="C125" s="14">
        <f>IF('Bütçe Kalemleri'!C125="","",'Bütçe Kalemleri'!C125)</f>
      </c>
      <c r="D125" s="14">
        <f>IF('Bütçe Kalemleri'!D125="","",'Bütçe Kalemleri'!D125)</f>
      </c>
      <c r="E125" s="14">
        <f>IF('Bütçe Kalemleri'!E125="","",'Bütçe Kalemleri'!E125)</f>
      </c>
      <c r="F125" s="16">
        <f>IF($B125="",0,'Bütçe Kalemleri'!F125)</f>
      </c>
      <c r="G125" s="16">
        <f>IF($B125="",0,SUMIF('Maliyet Kayıtları'!$D$5:$D$1004,$B125,'Maliyet Kayıtları'!$G$5:$G$1004))</f>
      </c>
      <c r="H125" s="19">
        <f>IF($B125="","",$F125-$G125)</f>
      </c>
      <c r="I125" s="21">
        <f>IF(OR($B125="",$F125=0),"",$H125/$F125)</f>
      </c>
    </row>
    <row r="126" spans="2:9" x14ac:dyDescent="0.25">
      <c r="B126" s="14">
        <f>IF('Bütçe Kalemleri'!B126="","",'Bütçe Kalemleri'!B126)</f>
      </c>
      <c r="C126" s="14">
        <f>IF('Bütçe Kalemleri'!C126="","",'Bütçe Kalemleri'!C126)</f>
      </c>
      <c r="D126" s="14">
        <f>IF('Bütçe Kalemleri'!D126="","",'Bütçe Kalemleri'!D126)</f>
      </c>
      <c r="E126" s="14">
        <f>IF('Bütçe Kalemleri'!E126="","",'Bütçe Kalemleri'!E126)</f>
      </c>
      <c r="F126" s="16">
        <f>IF($B126="",0,'Bütçe Kalemleri'!F126)</f>
      </c>
      <c r="G126" s="16">
        <f>IF($B126="",0,SUMIF('Maliyet Kayıtları'!$D$5:$D$1004,$B126,'Maliyet Kayıtları'!$G$5:$G$1004))</f>
      </c>
      <c r="H126" s="19">
        <f>IF($B126="","",$F126-$G126)</f>
      </c>
      <c r="I126" s="21">
        <f>IF(OR($B126="",$F126=0),"",$H126/$F126)</f>
      </c>
    </row>
    <row r="127" spans="2:9" x14ac:dyDescent="0.25">
      <c r="B127" s="14">
        <f>IF('Bütçe Kalemleri'!B127="","",'Bütçe Kalemleri'!B127)</f>
      </c>
      <c r="C127" s="14">
        <f>IF('Bütçe Kalemleri'!C127="","",'Bütçe Kalemleri'!C127)</f>
      </c>
      <c r="D127" s="14">
        <f>IF('Bütçe Kalemleri'!D127="","",'Bütçe Kalemleri'!D127)</f>
      </c>
      <c r="E127" s="14">
        <f>IF('Bütçe Kalemleri'!E127="","",'Bütçe Kalemleri'!E127)</f>
      </c>
      <c r="F127" s="16">
        <f>IF($B127="",0,'Bütçe Kalemleri'!F127)</f>
      </c>
      <c r="G127" s="16">
        <f>IF($B127="",0,SUMIF('Maliyet Kayıtları'!$D$5:$D$1004,$B127,'Maliyet Kayıtları'!$G$5:$G$1004))</f>
      </c>
      <c r="H127" s="19">
        <f>IF($B127="","",$F127-$G127)</f>
      </c>
      <c r="I127" s="21">
        <f>IF(OR($B127="",$F127=0),"",$H127/$F127)</f>
      </c>
    </row>
    <row r="128" spans="2:9" x14ac:dyDescent="0.25">
      <c r="B128" s="14">
        <f>IF('Bütçe Kalemleri'!B128="","",'Bütçe Kalemleri'!B128)</f>
      </c>
      <c r="C128" s="14">
        <f>IF('Bütçe Kalemleri'!C128="","",'Bütçe Kalemleri'!C128)</f>
      </c>
      <c r="D128" s="14">
        <f>IF('Bütçe Kalemleri'!D128="","",'Bütçe Kalemleri'!D128)</f>
      </c>
      <c r="E128" s="14">
        <f>IF('Bütçe Kalemleri'!E128="","",'Bütçe Kalemleri'!E128)</f>
      </c>
      <c r="F128" s="16">
        <f>IF($B128="",0,'Bütçe Kalemleri'!F128)</f>
      </c>
      <c r="G128" s="16">
        <f>IF($B128="",0,SUMIF('Maliyet Kayıtları'!$D$5:$D$1004,$B128,'Maliyet Kayıtları'!$G$5:$G$1004))</f>
      </c>
      <c r="H128" s="19">
        <f>IF($B128="","",$F128-$G128)</f>
      </c>
      <c r="I128" s="21">
        <f>IF(OR($B128="",$F128=0),"",$H128/$F128)</f>
      </c>
    </row>
    <row r="129" spans="2:9" x14ac:dyDescent="0.25">
      <c r="B129" s="14">
        <f>IF('Bütçe Kalemleri'!B129="","",'Bütçe Kalemleri'!B129)</f>
      </c>
      <c r="C129" s="14">
        <f>IF('Bütçe Kalemleri'!C129="","",'Bütçe Kalemleri'!C129)</f>
      </c>
      <c r="D129" s="14">
        <f>IF('Bütçe Kalemleri'!D129="","",'Bütçe Kalemleri'!D129)</f>
      </c>
      <c r="E129" s="14">
        <f>IF('Bütçe Kalemleri'!E129="","",'Bütçe Kalemleri'!E129)</f>
      </c>
      <c r="F129" s="16">
        <f>IF($B129="",0,'Bütçe Kalemleri'!F129)</f>
      </c>
      <c r="G129" s="16">
        <f>IF($B129="",0,SUMIF('Maliyet Kayıtları'!$D$5:$D$1004,$B129,'Maliyet Kayıtları'!$G$5:$G$1004))</f>
      </c>
      <c r="H129" s="19">
        <f>IF($B129="","",$F129-$G129)</f>
      </c>
      <c r="I129" s="21">
        <f>IF(OR($B129="",$F129=0),"",$H129/$F129)</f>
      </c>
    </row>
    <row r="130" spans="2:9" x14ac:dyDescent="0.25">
      <c r="B130" s="14">
        <f>IF('Bütçe Kalemleri'!B130="","",'Bütçe Kalemleri'!B130)</f>
      </c>
      <c r="C130" s="14">
        <f>IF('Bütçe Kalemleri'!C130="","",'Bütçe Kalemleri'!C130)</f>
      </c>
      <c r="D130" s="14">
        <f>IF('Bütçe Kalemleri'!D130="","",'Bütçe Kalemleri'!D130)</f>
      </c>
      <c r="E130" s="14">
        <f>IF('Bütçe Kalemleri'!E130="","",'Bütçe Kalemleri'!E130)</f>
      </c>
      <c r="F130" s="16">
        <f>IF($B130="",0,'Bütçe Kalemleri'!F130)</f>
      </c>
      <c r="G130" s="16">
        <f>IF($B130="",0,SUMIF('Maliyet Kayıtları'!$D$5:$D$1004,$B130,'Maliyet Kayıtları'!$G$5:$G$1004))</f>
      </c>
      <c r="H130" s="19">
        <f>IF($B130="","",$F130-$G130)</f>
      </c>
      <c r="I130" s="21">
        <f>IF(OR($B130="",$F130=0),"",$H130/$F130)</f>
      </c>
    </row>
    <row r="131" spans="2:9" x14ac:dyDescent="0.25">
      <c r="B131" s="14">
        <f>IF('Bütçe Kalemleri'!B131="","",'Bütçe Kalemleri'!B131)</f>
      </c>
      <c r="C131" s="14">
        <f>IF('Bütçe Kalemleri'!C131="","",'Bütçe Kalemleri'!C131)</f>
      </c>
      <c r="D131" s="14">
        <f>IF('Bütçe Kalemleri'!D131="","",'Bütçe Kalemleri'!D131)</f>
      </c>
      <c r="E131" s="14">
        <f>IF('Bütçe Kalemleri'!E131="","",'Bütçe Kalemleri'!E131)</f>
      </c>
      <c r="F131" s="16">
        <f>IF($B131="",0,'Bütçe Kalemleri'!F131)</f>
      </c>
      <c r="G131" s="16">
        <f>IF($B131="",0,SUMIF('Maliyet Kayıtları'!$D$5:$D$1004,$B131,'Maliyet Kayıtları'!$G$5:$G$1004))</f>
      </c>
      <c r="H131" s="19">
        <f>IF($B131="","",$F131-$G131)</f>
      </c>
      <c r="I131" s="21">
        <f>IF(OR($B131="",$F131=0),"",$H131/$F131)</f>
      </c>
    </row>
    <row r="132" spans="2:9" x14ac:dyDescent="0.25">
      <c r="B132" s="14">
        <f>IF('Bütçe Kalemleri'!B132="","",'Bütçe Kalemleri'!B132)</f>
      </c>
      <c r="C132" s="14">
        <f>IF('Bütçe Kalemleri'!C132="","",'Bütçe Kalemleri'!C132)</f>
      </c>
      <c r="D132" s="14">
        <f>IF('Bütçe Kalemleri'!D132="","",'Bütçe Kalemleri'!D132)</f>
      </c>
      <c r="E132" s="14">
        <f>IF('Bütçe Kalemleri'!E132="","",'Bütçe Kalemleri'!E132)</f>
      </c>
      <c r="F132" s="16">
        <f>IF($B132="",0,'Bütçe Kalemleri'!F132)</f>
      </c>
      <c r="G132" s="16">
        <f>IF($B132="",0,SUMIF('Maliyet Kayıtları'!$D$5:$D$1004,$B132,'Maliyet Kayıtları'!$G$5:$G$1004))</f>
      </c>
      <c r="H132" s="19">
        <f>IF($B132="","",$F132-$G132)</f>
      </c>
      <c r="I132" s="21">
        <f>IF(OR($B132="",$F132=0),"",$H132/$F132)</f>
      </c>
    </row>
    <row r="133" spans="2:9" x14ac:dyDescent="0.25">
      <c r="B133" s="14">
        <f>IF('Bütçe Kalemleri'!B133="","",'Bütçe Kalemleri'!B133)</f>
      </c>
      <c r="C133" s="14">
        <f>IF('Bütçe Kalemleri'!C133="","",'Bütçe Kalemleri'!C133)</f>
      </c>
      <c r="D133" s="14">
        <f>IF('Bütçe Kalemleri'!D133="","",'Bütçe Kalemleri'!D133)</f>
      </c>
      <c r="E133" s="14">
        <f>IF('Bütçe Kalemleri'!E133="","",'Bütçe Kalemleri'!E133)</f>
      </c>
      <c r="F133" s="16">
        <f>IF($B133="",0,'Bütçe Kalemleri'!F133)</f>
      </c>
      <c r="G133" s="16">
        <f>IF($B133="",0,SUMIF('Maliyet Kayıtları'!$D$5:$D$1004,$B133,'Maliyet Kayıtları'!$G$5:$G$1004))</f>
      </c>
      <c r="H133" s="19">
        <f>IF($B133="","",$F133-$G133)</f>
      </c>
      <c r="I133" s="21">
        <f>IF(OR($B133="",$F133=0),"",$H133/$F133)</f>
      </c>
    </row>
    <row r="134" spans="2:9" x14ac:dyDescent="0.25">
      <c r="B134" s="14">
        <f>IF('Bütçe Kalemleri'!B134="","",'Bütçe Kalemleri'!B134)</f>
      </c>
      <c r="C134" s="14">
        <f>IF('Bütçe Kalemleri'!C134="","",'Bütçe Kalemleri'!C134)</f>
      </c>
      <c r="D134" s="14">
        <f>IF('Bütçe Kalemleri'!D134="","",'Bütçe Kalemleri'!D134)</f>
      </c>
      <c r="E134" s="14">
        <f>IF('Bütçe Kalemleri'!E134="","",'Bütçe Kalemleri'!E134)</f>
      </c>
      <c r="F134" s="16">
        <f>IF($B134="",0,'Bütçe Kalemleri'!F134)</f>
      </c>
      <c r="G134" s="16">
        <f>IF($B134="",0,SUMIF('Maliyet Kayıtları'!$D$5:$D$1004,$B134,'Maliyet Kayıtları'!$G$5:$G$1004))</f>
      </c>
      <c r="H134" s="19">
        <f>IF($B134="","",$F134-$G134)</f>
      </c>
      <c r="I134" s="21">
        <f>IF(OR($B134="",$F134=0),"",$H134/$F134)</f>
      </c>
    </row>
    <row r="135" spans="2:9" x14ac:dyDescent="0.25">
      <c r="B135" s="14">
        <f>IF('Bütçe Kalemleri'!B135="","",'Bütçe Kalemleri'!B135)</f>
      </c>
      <c r="C135" s="14">
        <f>IF('Bütçe Kalemleri'!C135="","",'Bütçe Kalemleri'!C135)</f>
      </c>
      <c r="D135" s="14">
        <f>IF('Bütçe Kalemleri'!D135="","",'Bütçe Kalemleri'!D135)</f>
      </c>
      <c r="E135" s="14">
        <f>IF('Bütçe Kalemleri'!E135="","",'Bütçe Kalemleri'!E135)</f>
      </c>
      <c r="F135" s="16">
        <f>IF($B135="",0,'Bütçe Kalemleri'!F135)</f>
      </c>
      <c r="G135" s="16">
        <f>IF($B135="",0,SUMIF('Maliyet Kayıtları'!$D$5:$D$1004,$B135,'Maliyet Kayıtları'!$G$5:$G$1004))</f>
      </c>
      <c r="H135" s="19">
        <f>IF($B135="","",$F135-$G135)</f>
      </c>
      <c r="I135" s="21">
        <f>IF(OR($B135="",$F135=0),"",$H135/$F135)</f>
      </c>
    </row>
    <row r="136" spans="2:9" x14ac:dyDescent="0.25">
      <c r="B136" s="14">
        <f>IF('Bütçe Kalemleri'!B136="","",'Bütçe Kalemleri'!B136)</f>
      </c>
      <c r="C136" s="14">
        <f>IF('Bütçe Kalemleri'!C136="","",'Bütçe Kalemleri'!C136)</f>
      </c>
      <c r="D136" s="14">
        <f>IF('Bütçe Kalemleri'!D136="","",'Bütçe Kalemleri'!D136)</f>
      </c>
      <c r="E136" s="14">
        <f>IF('Bütçe Kalemleri'!E136="","",'Bütçe Kalemleri'!E136)</f>
      </c>
      <c r="F136" s="16">
        <f>IF($B136="",0,'Bütçe Kalemleri'!F136)</f>
      </c>
      <c r="G136" s="16">
        <f>IF($B136="",0,SUMIF('Maliyet Kayıtları'!$D$5:$D$1004,$B136,'Maliyet Kayıtları'!$G$5:$G$1004))</f>
      </c>
      <c r="H136" s="19">
        <f>IF($B136="","",$F136-$G136)</f>
      </c>
      <c r="I136" s="21">
        <f>IF(OR($B136="",$F136=0),"",$H136/$F136)</f>
      </c>
    </row>
    <row r="137" spans="2:9" x14ac:dyDescent="0.25">
      <c r="B137" s="14">
        <f>IF('Bütçe Kalemleri'!B137="","",'Bütçe Kalemleri'!B137)</f>
      </c>
      <c r="C137" s="14">
        <f>IF('Bütçe Kalemleri'!C137="","",'Bütçe Kalemleri'!C137)</f>
      </c>
      <c r="D137" s="14">
        <f>IF('Bütçe Kalemleri'!D137="","",'Bütçe Kalemleri'!D137)</f>
      </c>
      <c r="E137" s="14">
        <f>IF('Bütçe Kalemleri'!E137="","",'Bütçe Kalemleri'!E137)</f>
      </c>
      <c r="F137" s="16">
        <f>IF($B137="",0,'Bütçe Kalemleri'!F137)</f>
      </c>
      <c r="G137" s="16">
        <f>IF($B137="",0,SUMIF('Maliyet Kayıtları'!$D$5:$D$1004,$B137,'Maliyet Kayıtları'!$G$5:$G$1004))</f>
      </c>
      <c r="H137" s="19">
        <f>IF($B137="","",$F137-$G137)</f>
      </c>
      <c r="I137" s="21">
        <f>IF(OR($B137="",$F137=0),"",$H137/$F137)</f>
      </c>
    </row>
    <row r="138" spans="2:9" x14ac:dyDescent="0.25">
      <c r="B138" s="14">
        <f>IF('Bütçe Kalemleri'!B138="","",'Bütçe Kalemleri'!B138)</f>
      </c>
      <c r="C138" s="14">
        <f>IF('Bütçe Kalemleri'!C138="","",'Bütçe Kalemleri'!C138)</f>
      </c>
      <c r="D138" s="14">
        <f>IF('Bütçe Kalemleri'!D138="","",'Bütçe Kalemleri'!D138)</f>
      </c>
      <c r="E138" s="14">
        <f>IF('Bütçe Kalemleri'!E138="","",'Bütçe Kalemleri'!E138)</f>
      </c>
      <c r="F138" s="16">
        <f>IF($B138="",0,'Bütçe Kalemleri'!F138)</f>
      </c>
      <c r="G138" s="16">
        <f>IF($B138="",0,SUMIF('Maliyet Kayıtları'!$D$5:$D$1004,$B138,'Maliyet Kayıtları'!$G$5:$G$1004))</f>
      </c>
      <c r="H138" s="19">
        <f>IF($B138="","",$F138-$G138)</f>
      </c>
      <c r="I138" s="21">
        <f>IF(OR($B138="",$F138=0),"",$H138/$F138)</f>
      </c>
    </row>
    <row r="139" spans="2:9" x14ac:dyDescent="0.25">
      <c r="B139" s="14">
        <f>IF('Bütçe Kalemleri'!B139="","",'Bütçe Kalemleri'!B139)</f>
      </c>
      <c r="C139" s="14">
        <f>IF('Bütçe Kalemleri'!C139="","",'Bütçe Kalemleri'!C139)</f>
      </c>
      <c r="D139" s="14">
        <f>IF('Bütçe Kalemleri'!D139="","",'Bütçe Kalemleri'!D139)</f>
      </c>
      <c r="E139" s="14">
        <f>IF('Bütçe Kalemleri'!E139="","",'Bütçe Kalemleri'!E139)</f>
      </c>
      <c r="F139" s="16">
        <f>IF($B139="",0,'Bütçe Kalemleri'!F139)</f>
      </c>
      <c r="G139" s="16">
        <f>IF($B139="",0,SUMIF('Maliyet Kayıtları'!$D$5:$D$1004,$B139,'Maliyet Kayıtları'!$G$5:$G$1004))</f>
      </c>
      <c r="H139" s="19">
        <f>IF($B139="","",$F139-$G139)</f>
      </c>
      <c r="I139" s="21">
        <f>IF(OR($B139="",$F139=0),"",$H139/$F139)</f>
      </c>
    </row>
    <row r="140" spans="2:9" x14ac:dyDescent="0.25">
      <c r="B140" s="14">
        <f>IF('Bütçe Kalemleri'!B140="","",'Bütçe Kalemleri'!B140)</f>
      </c>
      <c r="C140" s="14">
        <f>IF('Bütçe Kalemleri'!C140="","",'Bütçe Kalemleri'!C140)</f>
      </c>
      <c r="D140" s="14">
        <f>IF('Bütçe Kalemleri'!D140="","",'Bütçe Kalemleri'!D140)</f>
      </c>
      <c r="E140" s="14">
        <f>IF('Bütçe Kalemleri'!E140="","",'Bütçe Kalemleri'!E140)</f>
      </c>
      <c r="F140" s="16">
        <f>IF($B140="",0,'Bütçe Kalemleri'!F140)</f>
      </c>
      <c r="G140" s="16">
        <f>IF($B140="",0,SUMIF('Maliyet Kayıtları'!$D$5:$D$1004,$B140,'Maliyet Kayıtları'!$G$5:$G$1004))</f>
      </c>
      <c r="H140" s="19">
        <f>IF($B140="","",$F140-$G140)</f>
      </c>
      <c r="I140" s="21">
        <f>IF(OR($B140="",$F140=0),"",$H140/$F140)</f>
      </c>
    </row>
    <row r="141" spans="2:9" x14ac:dyDescent="0.25">
      <c r="B141" s="14">
        <f>IF('Bütçe Kalemleri'!B141="","",'Bütçe Kalemleri'!B141)</f>
      </c>
      <c r="C141" s="14">
        <f>IF('Bütçe Kalemleri'!C141="","",'Bütçe Kalemleri'!C141)</f>
      </c>
      <c r="D141" s="14">
        <f>IF('Bütçe Kalemleri'!D141="","",'Bütçe Kalemleri'!D141)</f>
      </c>
      <c r="E141" s="14">
        <f>IF('Bütçe Kalemleri'!E141="","",'Bütçe Kalemleri'!E141)</f>
      </c>
      <c r="F141" s="16">
        <f>IF($B141="",0,'Bütçe Kalemleri'!F141)</f>
      </c>
      <c r="G141" s="16">
        <f>IF($B141="",0,SUMIF('Maliyet Kayıtları'!$D$5:$D$1004,$B141,'Maliyet Kayıtları'!$G$5:$G$1004))</f>
      </c>
      <c r="H141" s="19">
        <f>IF($B141="","",$F141-$G141)</f>
      </c>
      <c r="I141" s="21">
        <f>IF(OR($B141="",$F141=0),"",$H141/$F141)</f>
      </c>
    </row>
    <row r="142" spans="2:9" x14ac:dyDescent="0.25">
      <c r="B142" s="14">
        <f>IF('Bütçe Kalemleri'!B142="","",'Bütçe Kalemleri'!B142)</f>
      </c>
      <c r="C142" s="14">
        <f>IF('Bütçe Kalemleri'!C142="","",'Bütçe Kalemleri'!C142)</f>
      </c>
      <c r="D142" s="14">
        <f>IF('Bütçe Kalemleri'!D142="","",'Bütçe Kalemleri'!D142)</f>
      </c>
      <c r="E142" s="14">
        <f>IF('Bütçe Kalemleri'!E142="","",'Bütçe Kalemleri'!E142)</f>
      </c>
      <c r="F142" s="16">
        <f>IF($B142="",0,'Bütçe Kalemleri'!F142)</f>
      </c>
      <c r="G142" s="16">
        <f>IF($B142="",0,SUMIF('Maliyet Kayıtları'!$D$5:$D$1004,$B142,'Maliyet Kayıtları'!$G$5:$G$1004))</f>
      </c>
      <c r="H142" s="19">
        <f>IF($B142="","",$F142-$G142)</f>
      </c>
      <c r="I142" s="21">
        <f>IF(OR($B142="",$F142=0),"",$H142/$F142)</f>
      </c>
    </row>
    <row r="143" spans="2:9" x14ac:dyDescent="0.25">
      <c r="B143" s="14">
        <f>IF('Bütçe Kalemleri'!B143="","",'Bütçe Kalemleri'!B143)</f>
      </c>
      <c r="C143" s="14">
        <f>IF('Bütçe Kalemleri'!C143="","",'Bütçe Kalemleri'!C143)</f>
      </c>
      <c r="D143" s="14">
        <f>IF('Bütçe Kalemleri'!D143="","",'Bütçe Kalemleri'!D143)</f>
      </c>
      <c r="E143" s="14">
        <f>IF('Bütçe Kalemleri'!E143="","",'Bütçe Kalemleri'!E143)</f>
      </c>
      <c r="F143" s="16">
        <f>IF($B143="",0,'Bütçe Kalemleri'!F143)</f>
      </c>
      <c r="G143" s="16">
        <f>IF($B143="",0,SUMIF('Maliyet Kayıtları'!$D$5:$D$1004,$B143,'Maliyet Kayıtları'!$G$5:$G$1004))</f>
      </c>
      <c r="H143" s="19">
        <f>IF($B143="","",$F143-$G143)</f>
      </c>
      <c r="I143" s="21">
        <f>IF(OR($B143="",$F143=0),"",$H143/$F143)</f>
      </c>
    </row>
    <row r="144" spans="2:9" x14ac:dyDescent="0.25">
      <c r="B144" s="14">
        <f>IF('Bütçe Kalemleri'!B144="","",'Bütçe Kalemleri'!B144)</f>
      </c>
      <c r="C144" s="14">
        <f>IF('Bütçe Kalemleri'!C144="","",'Bütçe Kalemleri'!C144)</f>
      </c>
      <c r="D144" s="14">
        <f>IF('Bütçe Kalemleri'!D144="","",'Bütçe Kalemleri'!D144)</f>
      </c>
      <c r="E144" s="14">
        <f>IF('Bütçe Kalemleri'!E144="","",'Bütçe Kalemleri'!E144)</f>
      </c>
      <c r="F144" s="16">
        <f>IF($B144="",0,'Bütçe Kalemleri'!F144)</f>
      </c>
      <c r="G144" s="16">
        <f>IF($B144="",0,SUMIF('Maliyet Kayıtları'!$D$5:$D$1004,$B144,'Maliyet Kayıtları'!$G$5:$G$1004))</f>
      </c>
      <c r="H144" s="19">
        <f>IF($B144="","",$F144-$G144)</f>
      </c>
      <c r="I144" s="21">
        <f>IF(OR($B144="",$F144=0),"",$H144/$F144)</f>
      </c>
    </row>
    <row r="145" spans="2:9" x14ac:dyDescent="0.25">
      <c r="B145" s="14">
        <f>IF('Bütçe Kalemleri'!B145="","",'Bütçe Kalemleri'!B145)</f>
      </c>
      <c r="C145" s="14">
        <f>IF('Bütçe Kalemleri'!C145="","",'Bütçe Kalemleri'!C145)</f>
      </c>
      <c r="D145" s="14">
        <f>IF('Bütçe Kalemleri'!D145="","",'Bütçe Kalemleri'!D145)</f>
      </c>
      <c r="E145" s="14">
        <f>IF('Bütçe Kalemleri'!E145="","",'Bütçe Kalemleri'!E145)</f>
      </c>
      <c r="F145" s="16">
        <f>IF($B145="",0,'Bütçe Kalemleri'!F145)</f>
      </c>
      <c r="G145" s="16">
        <f>IF($B145="",0,SUMIF('Maliyet Kayıtları'!$D$5:$D$1004,$B145,'Maliyet Kayıtları'!$G$5:$G$1004))</f>
      </c>
      <c r="H145" s="19">
        <f>IF($B145="","",$F145-$G145)</f>
      </c>
      <c r="I145" s="21">
        <f>IF(OR($B145="",$F145=0),"",$H145/$F145)</f>
      </c>
    </row>
    <row r="146" spans="2:9" x14ac:dyDescent="0.25">
      <c r="B146" s="14">
        <f>IF('Bütçe Kalemleri'!B146="","",'Bütçe Kalemleri'!B146)</f>
      </c>
      <c r="C146" s="14">
        <f>IF('Bütçe Kalemleri'!C146="","",'Bütçe Kalemleri'!C146)</f>
      </c>
      <c r="D146" s="14">
        <f>IF('Bütçe Kalemleri'!D146="","",'Bütçe Kalemleri'!D146)</f>
      </c>
      <c r="E146" s="14">
        <f>IF('Bütçe Kalemleri'!E146="","",'Bütçe Kalemleri'!E146)</f>
      </c>
      <c r="F146" s="16">
        <f>IF($B146="",0,'Bütçe Kalemleri'!F146)</f>
      </c>
      <c r="G146" s="16">
        <f>IF($B146="",0,SUMIF('Maliyet Kayıtları'!$D$5:$D$1004,$B146,'Maliyet Kayıtları'!$G$5:$G$1004))</f>
      </c>
      <c r="H146" s="19">
        <f>IF($B146="","",$F146-$G146)</f>
      </c>
      <c r="I146" s="21">
        <f>IF(OR($B146="",$F146=0),"",$H146/$F146)</f>
      </c>
    </row>
    <row r="147" spans="2:9" x14ac:dyDescent="0.25">
      <c r="B147" s="14">
        <f>IF('Bütçe Kalemleri'!B147="","",'Bütçe Kalemleri'!B147)</f>
      </c>
      <c r="C147" s="14">
        <f>IF('Bütçe Kalemleri'!C147="","",'Bütçe Kalemleri'!C147)</f>
      </c>
      <c r="D147" s="14">
        <f>IF('Bütçe Kalemleri'!D147="","",'Bütçe Kalemleri'!D147)</f>
      </c>
      <c r="E147" s="14">
        <f>IF('Bütçe Kalemleri'!E147="","",'Bütçe Kalemleri'!E147)</f>
      </c>
      <c r="F147" s="16">
        <f>IF($B147="",0,'Bütçe Kalemleri'!F147)</f>
      </c>
      <c r="G147" s="16">
        <f>IF($B147="",0,SUMIF('Maliyet Kayıtları'!$D$5:$D$1004,$B147,'Maliyet Kayıtları'!$G$5:$G$1004))</f>
      </c>
      <c r="H147" s="19">
        <f>IF($B147="","",$F147-$G147)</f>
      </c>
      <c r="I147" s="21">
        <f>IF(OR($B147="",$F147=0),"",$H147/$F147)</f>
      </c>
    </row>
    <row r="148" spans="2:9" x14ac:dyDescent="0.25">
      <c r="B148" s="14">
        <f>IF('Bütçe Kalemleri'!B148="","",'Bütçe Kalemleri'!B148)</f>
      </c>
      <c r="C148" s="14">
        <f>IF('Bütçe Kalemleri'!C148="","",'Bütçe Kalemleri'!C148)</f>
      </c>
      <c r="D148" s="14">
        <f>IF('Bütçe Kalemleri'!D148="","",'Bütçe Kalemleri'!D148)</f>
      </c>
      <c r="E148" s="14">
        <f>IF('Bütçe Kalemleri'!E148="","",'Bütçe Kalemleri'!E148)</f>
      </c>
      <c r="F148" s="16">
        <f>IF($B148="",0,'Bütçe Kalemleri'!F148)</f>
      </c>
      <c r="G148" s="16">
        <f>IF($B148="",0,SUMIF('Maliyet Kayıtları'!$D$5:$D$1004,$B148,'Maliyet Kayıtları'!$G$5:$G$1004))</f>
      </c>
      <c r="H148" s="19">
        <f>IF($B148="","",$F148-$G148)</f>
      </c>
      <c r="I148" s="21">
        <f>IF(OR($B148="",$F148=0),"",$H148/$F148)</f>
      </c>
    </row>
    <row r="149" spans="2:9" x14ac:dyDescent="0.25">
      <c r="B149" s="14">
        <f>IF('Bütçe Kalemleri'!B149="","",'Bütçe Kalemleri'!B149)</f>
      </c>
      <c r="C149" s="14">
        <f>IF('Bütçe Kalemleri'!C149="","",'Bütçe Kalemleri'!C149)</f>
      </c>
      <c r="D149" s="14">
        <f>IF('Bütçe Kalemleri'!D149="","",'Bütçe Kalemleri'!D149)</f>
      </c>
      <c r="E149" s="14">
        <f>IF('Bütçe Kalemleri'!E149="","",'Bütçe Kalemleri'!E149)</f>
      </c>
      <c r="F149" s="16">
        <f>IF($B149="",0,'Bütçe Kalemleri'!F149)</f>
      </c>
      <c r="G149" s="16">
        <f>IF($B149="",0,SUMIF('Maliyet Kayıtları'!$D$5:$D$1004,$B149,'Maliyet Kayıtları'!$G$5:$G$1004))</f>
      </c>
      <c r="H149" s="19">
        <f>IF($B149="","",$F149-$G149)</f>
      </c>
      <c r="I149" s="21">
        <f>IF(OR($B149="",$F149=0),"",$H149/$F149)</f>
      </c>
    </row>
    <row r="150" spans="2:9" x14ac:dyDescent="0.25">
      <c r="B150" s="14">
        <f>IF('Bütçe Kalemleri'!B150="","",'Bütçe Kalemleri'!B150)</f>
      </c>
      <c r="C150" s="14">
        <f>IF('Bütçe Kalemleri'!C150="","",'Bütçe Kalemleri'!C150)</f>
      </c>
      <c r="D150" s="14">
        <f>IF('Bütçe Kalemleri'!D150="","",'Bütçe Kalemleri'!D150)</f>
      </c>
      <c r="E150" s="14">
        <f>IF('Bütçe Kalemleri'!E150="","",'Bütçe Kalemleri'!E150)</f>
      </c>
      <c r="F150" s="16">
        <f>IF($B150="",0,'Bütçe Kalemleri'!F150)</f>
      </c>
      <c r="G150" s="16">
        <f>IF($B150="",0,SUMIF('Maliyet Kayıtları'!$D$5:$D$1004,$B150,'Maliyet Kayıtları'!$G$5:$G$1004))</f>
      </c>
      <c r="H150" s="19">
        <f>IF($B150="","",$F150-$G150)</f>
      </c>
      <c r="I150" s="21">
        <f>IF(OR($B150="",$F150=0),"",$H150/$F150)</f>
      </c>
    </row>
    <row r="151" spans="2:9" x14ac:dyDescent="0.25">
      <c r="B151" s="14">
        <f>IF('Bütçe Kalemleri'!B151="","",'Bütçe Kalemleri'!B151)</f>
      </c>
      <c r="C151" s="14">
        <f>IF('Bütçe Kalemleri'!C151="","",'Bütçe Kalemleri'!C151)</f>
      </c>
      <c r="D151" s="14">
        <f>IF('Bütçe Kalemleri'!D151="","",'Bütçe Kalemleri'!D151)</f>
      </c>
      <c r="E151" s="14">
        <f>IF('Bütçe Kalemleri'!E151="","",'Bütçe Kalemleri'!E151)</f>
      </c>
      <c r="F151" s="16">
        <f>IF($B151="",0,'Bütçe Kalemleri'!F151)</f>
      </c>
      <c r="G151" s="16">
        <f>IF($B151="",0,SUMIF('Maliyet Kayıtları'!$D$5:$D$1004,$B151,'Maliyet Kayıtları'!$G$5:$G$1004))</f>
      </c>
      <c r="H151" s="19">
        <f>IF($B151="","",$F151-$G151)</f>
      </c>
      <c r="I151" s="21">
        <f>IF(OR($B151="",$F151=0),"",$H151/$F151)</f>
      </c>
    </row>
    <row r="152" spans="2:9" x14ac:dyDescent="0.25">
      <c r="B152" s="14">
        <f>IF('Bütçe Kalemleri'!B152="","",'Bütçe Kalemleri'!B152)</f>
      </c>
      <c r="C152" s="14">
        <f>IF('Bütçe Kalemleri'!C152="","",'Bütçe Kalemleri'!C152)</f>
      </c>
      <c r="D152" s="14">
        <f>IF('Bütçe Kalemleri'!D152="","",'Bütçe Kalemleri'!D152)</f>
      </c>
      <c r="E152" s="14">
        <f>IF('Bütçe Kalemleri'!E152="","",'Bütçe Kalemleri'!E152)</f>
      </c>
      <c r="F152" s="16">
        <f>IF($B152="",0,'Bütçe Kalemleri'!F152)</f>
      </c>
      <c r="G152" s="16">
        <f>IF($B152="",0,SUMIF('Maliyet Kayıtları'!$D$5:$D$1004,$B152,'Maliyet Kayıtları'!$G$5:$G$1004))</f>
      </c>
      <c r="H152" s="19">
        <f>IF($B152="","",$F152-$G152)</f>
      </c>
      <c r="I152" s="21">
        <f>IF(OR($B152="",$F152=0),"",$H152/$F152)</f>
      </c>
    </row>
    <row r="153" spans="2:9" x14ac:dyDescent="0.25">
      <c r="B153" s="14">
        <f>IF('Bütçe Kalemleri'!B153="","",'Bütçe Kalemleri'!B153)</f>
      </c>
      <c r="C153" s="14">
        <f>IF('Bütçe Kalemleri'!C153="","",'Bütçe Kalemleri'!C153)</f>
      </c>
      <c r="D153" s="14">
        <f>IF('Bütçe Kalemleri'!D153="","",'Bütçe Kalemleri'!D153)</f>
      </c>
      <c r="E153" s="14">
        <f>IF('Bütçe Kalemleri'!E153="","",'Bütçe Kalemleri'!E153)</f>
      </c>
      <c r="F153" s="16">
        <f>IF($B153="",0,'Bütçe Kalemleri'!F153)</f>
      </c>
      <c r="G153" s="16">
        <f>IF($B153="",0,SUMIF('Maliyet Kayıtları'!$D$5:$D$1004,$B153,'Maliyet Kayıtları'!$G$5:$G$1004))</f>
      </c>
      <c r="H153" s="19">
        <f>IF($B153="","",$F153-$G153)</f>
      </c>
      <c r="I153" s="21">
        <f>IF(OR($B153="",$F153=0),"",$H153/$F153)</f>
      </c>
    </row>
    <row r="154" spans="2:9" x14ac:dyDescent="0.25">
      <c r="B154" s="14">
        <f>IF('Bütçe Kalemleri'!B154="","",'Bütçe Kalemleri'!B154)</f>
      </c>
      <c r="C154" s="14">
        <f>IF('Bütçe Kalemleri'!C154="","",'Bütçe Kalemleri'!C154)</f>
      </c>
      <c r="D154" s="14">
        <f>IF('Bütçe Kalemleri'!D154="","",'Bütçe Kalemleri'!D154)</f>
      </c>
      <c r="E154" s="14">
        <f>IF('Bütçe Kalemleri'!E154="","",'Bütçe Kalemleri'!E154)</f>
      </c>
      <c r="F154" s="16">
        <f>IF($B154="",0,'Bütçe Kalemleri'!F154)</f>
      </c>
      <c r="G154" s="16">
        <f>IF($B154="",0,SUMIF('Maliyet Kayıtları'!$D$5:$D$1004,$B154,'Maliyet Kayıtları'!$G$5:$G$1004))</f>
      </c>
      <c r="H154" s="19">
        <f>IF($B154="","",$F154-$G154)</f>
      </c>
      <c r="I154" s="21">
        <f>IF(OR($B154="",$F154=0),"",$H154/$F154)</f>
      </c>
    </row>
    <row r="155" spans="2:9" x14ac:dyDescent="0.25">
      <c r="B155" s="14">
        <f>IF('Bütçe Kalemleri'!B155="","",'Bütçe Kalemleri'!B155)</f>
      </c>
      <c r="C155" s="14">
        <f>IF('Bütçe Kalemleri'!C155="","",'Bütçe Kalemleri'!C155)</f>
      </c>
      <c r="D155" s="14">
        <f>IF('Bütçe Kalemleri'!D155="","",'Bütçe Kalemleri'!D155)</f>
      </c>
      <c r="E155" s="14">
        <f>IF('Bütçe Kalemleri'!E155="","",'Bütçe Kalemleri'!E155)</f>
      </c>
      <c r="F155" s="16">
        <f>IF($B155="",0,'Bütçe Kalemleri'!F155)</f>
      </c>
      <c r="G155" s="16">
        <f>IF($B155="",0,SUMIF('Maliyet Kayıtları'!$D$5:$D$1004,$B155,'Maliyet Kayıtları'!$G$5:$G$1004))</f>
      </c>
      <c r="H155" s="19">
        <f>IF($B155="","",$F155-$G155)</f>
      </c>
      <c r="I155" s="21">
        <f>IF(OR($B155="",$F155=0),"",$H155/$F155)</f>
      </c>
    </row>
    <row r="156" spans="2:9" x14ac:dyDescent="0.25">
      <c r="B156" s="14">
        <f>IF('Bütçe Kalemleri'!B156="","",'Bütçe Kalemleri'!B156)</f>
      </c>
      <c r="C156" s="14">
        <f>IF('Bütçe Kalemleri'!C156="","",'Bütçe Kalemleri'!C156)</f>
      </c>
      <c r="D156" s="14">
        <f>IF('Bütçe Kalemleri'!D156="","",'Bütçe Kalemleri'!D156)</f>
      </c>
      <c r="E156" s="14">
        <f>IF('Bütçe Kalemleri'!E156="","",'Bütçe Kalemleri'!E156)</f>
      </c>
      <c r="F156" s="16">
        <f>IF($B156="",0,'Bütçe Kalemleri'!F156)</f>
      </c>
      <c r="G156" s="16">
        <f>IF($B156="",0,SUMIF('Maliyet Kayıtları'!$D$5:$D$1004,$B156,'Maliyet Kayıtları'!$G$5:$G$1004))</f>
      </c>
      <c r="H156" s="19">
        <f>IF($B156="","",$F156-$G156)</f>
      </c>
      <c r="I156" s="21">
        <f>IF(OR($B156="",$F156=0),"",$H156/$F156)</f>
      </c>
    </row>
    <row r="157" spans="2:9" x14ac:dyDescent="0.25">
      <c r="B157" s="14">
        <f>IF('Bütçe Kalemleri'!B157="","",'Bütçe Kalemleri'!B157)</f>
      </c>
      <c r="C157" s="14">
        <f>IF('Bütçe Kalemleri'!C157="","",'Bütçe Kalemleri'!C157)</f>
      </c>
      <c r="D157" s="14">
        <f>IF('Bütçe Kalemleri'!D157="","",'Bütçe Kalemleri'!D157)</f>
      </c>
      <c r="E157" s="14">
        <f>IF('Bütçe Kalemleri'!E157="","",'Bütçe Kalemleri'!E157)</f>
      </c>
      <c r="F157" s="16">
        <f>IF($B157="",0,'Bütçe Kalemleri'!F157)</f>
      </c>
      <c r="G157" s="16">
        <f>IF($B157="",0,SUMIF('Maliyet Kayıtları'!$D$5:$D$1004,$B157,'Maliyet Kayıtları'!$G$5:$G$1004))</f>
      </c>
      <c r="H157" s="19">
        <f>IF($B157="","",$F157-$G157)</f>
      </c>
      <c r="I157" s="21">
        <f>IF(OR($B157="",$F157=0),"",$H157/$F157)</f>
      </c>
    </row>
    <row r="158" spans="2:9" x14ac:dyDescent="0.25">
      <c r="B158" s="14">
        <f>IF('Bütçe Kalemleri'!B158="","",'Bütçe Kalemleri'!B158)</f>
      </c>
      <c r="C158" s="14">
        <f>IF('Bütçe Kalemleri'!C158="","",'Bütçe Kalemleri'!C158)</f>
      </c>
      <c r="D158" s="14">
        <f>IF('Bütçe Kalemleri'!D158="","",'Bütçe Kalemleri'!D158)</f>
      </c>
      <c r="E158" s="14">
        <f>IF('Bütçe Kalemleri'!E158="","",'Bütçe Kalemleri'!E158)</f>
      </c>
      <c r="F158" s="16">
        <f>IF($B158="",0,'Bütçe Kalemleri'!F158)</f>
      </c>
      <c r="G158" s="16">
        <f>IF($B158="",0,SUMIF('Maliyet Kayıtları'!$D$5:$D$1004,$B158,'Maliyet Kayıtları'!$G$5:$G$1004))</f>
      </c>
      <c r="H158" s="19">
        <f>IF($B158="","",$F158-$G158)</f>
      </c>
      <c r="I158" s="21">
        <f>IF(OR($B158="",$F158=0),"",$H158/$F158)</f>
      </c>
    </row>
    <row r="159" spans="2:9" x14ac:dyDescent="0.25">
      <c r="B159" s="14">
        <f>IF('Bütçe Kalemleri'!B159="","",'Bütçe Kalemleri'!B159)</f>
      </c>
      <c r="C159" s="14">
        <f>IF('Bütçe Kalemleri'!C159="","",'Bütçe Kalemleri'!C159)</f>
      </c>
      <c r="D159" s="14">
        <f>IF('Bütçe Kalemleri'!D159="","",'Bütçe Kalemleri'!D159)</f>
      </c>
      <c r="E159" s="14">
        <f>IF('Bütçe Kalemleri'!E159="","",'Bütçe Kalemleri'!E159)</f>
      </c>
      <c r="F159" s="16">
        <f>IF($B159="",0,'Bütçe Kalemleri'!F159)</f>
      </c>
      <c r="G159" s="16">
        <f>IF($B159="",0,SUMIF('Maliyet Kayıtları'!$D$5:$D$1004,$B159,'Maliyet Kayıtları'!$G$5:$G$1004))</f>
      </c>
      <c r="H159" s="19">
        <f>IF($B159="","",$F159-$G159)</f>
      </c>
      <c r="I159" s="21">
        <f>IF(OR($B159="",$F159=0),"",$H159/$F159)</f>
      </c>
    </row>
    <row r="160" spans="2:9" x14ac:dyDescent="0.25">
      <c r="B160" s="14">
        <f>IF('Bütçe Kalemleri'!B160="","",'Bütçe Kalemleri'!B160)</f>
      </c>
      <c r="C160" s="14">
        <f>IF('Bütçe Kalemleri'!C160="","",'Bütçe Kalemleri'!C160)</f>
      </c>
      <c r="D160" s="14">
        <f>IF('Bütçe Kalemleri'!D160="","",'Bütçe Kalemleri'!D160)</f>
      </c>
      <c r="E160" s="14">
        <f>IF('Bütçe Kalemleri'!E160="","",'Bütçe Kalemleri'!E160)</f>
      </c>
      <c r="F160" s="16">
        <f>IF($B160="",0,'Bütçe Kalemleri'!F160)</f>
      </c>
      <c r="G160" s="16">
        <f>IF($B160="",0,SUMIF('Maliyet Kayıtları'!$D$5:$D$1004,$B160,'Maliyet Kayıtları'!$G$5:$G$1004))</f>
      </c>
      <c r="H160" s="19">
        <f>IF($B160="","",$F160-$G160)</f>
      </c>
      <c r="I160" s="21">
        <f>IF(OR($B160="",$F160=0),"",$H160/$F160)</f>
      </c>
    </row>
    <row r="161" spans="2:9" x14ac:dyDescent="0.25">
      <c r="B161" s="14">
        <f>IF('Bütçe Kalemleri'!B161="","",'Bütçe Kalemleri'!B161)</f>
      </c>
      <c r="C161" s="14">
        <f>IF('Bütçe Kalemleri'!C161="","",'Bütçe Kalemleri'!C161)</f>
      </c>
      <c r="D161" s="14">
        <f>IF('Bütçe Kalemleri'!D161="","",'Bütçe Kalemleri'!D161)</f>
      </c>
      <c r="E161" s="14">
        <f>IF('Bütçe Kalemleri'!E161="","",'Bütçe Kalemleri'!E161)</f>
      </c>
      <c r="F161" s="16">
        <f>IF($B161="",0,'Bütçe Kalemleri'!F161)</f>
      </c>
      <c r="G161" s="16">
        <f>IF($B161="",0,SUMIF('Maliyet Kayıtları'!$D$5:$D$1004,$B161,'Maliyet Kayıtları'!$G$5:$G$1004))</f>
      </c>
      <c r="H161" s="19">
        <f>IF($B161="","",$F161-$G161)</f>
      </c>
      <c r="I161" s="21">
        <f>IF(OR($B161="",$F161=0),"",$H161/$F161)</f>
      </c>
    </row>
    <row r="162" spans="2:9" x14ac:dyDescent="0.25">
      <c r="B162" s="14">
        <f>IF('Bütçe Kalemleri'!B162="","",'Bütçe Kalemleri'!B162)</f>
      </c>
      <c r="C162" s="14">
        <f>IF('Bütçe Kalemleri'!C162="","",'Bütçe Kalemleri'!C162)</f>
      </c>
      <c r="D162" s="14">
        <f>IF('Bütçe Kalemleri'!D162="","",'Bütçe Kalemleri'!D162)</f>
      </c>
      <c r="E162" s="14">
        <f>IF('Bütçe Kalemleri'!E162="","",'Bütçe Kalemleri'!E162)</f>
      </c>
      <c r="F162" s="16">
        <f>IF($B162="",0,'Bütçe Kalemleri'!F162)</f>
      </c>
      <c r="G162" s="16">
        <f>IF($B162="",0,SUMIF('Maliyet Kayıtları'!$D$5:$D$1004,$B162,'Maliyet Kayıtları'!$G$5:$G$1004))</f>
      </c>
      <c r="H162" s="19">
        <f>IF($B162="","",$F162-$G162)</f>
      </c>
      <c r="I162" s="21">
        <f>IF(OR($B162="",$F162=0),"",$H162/$F162)</f>
      </c>
    </row>
    <row r="163" spans="2:9" x14ac:dyDescent="0.25">
      <c r="B163" s="14">
        <f>IF('Bütçe Kalemleri'!B163="","",'Bütçe Kalemleri'!B163)</f>
      </c>
      <c r="C163" s="14">
        <f>IF('Bütçe Kalemleri'!C163="","",'Bütçe Kalemleri'!C163)</f>
      </c>
      <c r="D163" s="14">
        <f>IF('Bütçe Kalemleri'!D163="","",'Bütçe Kalemleri'!D163)</f>
      </c>
      <c r="E163" s="14">
        <f>IF('Bütçe Kalemleri'!E163="","",'Bütçe Kalemleri'!E163)</f>
      </c>
      <c r="F163" s="16">
        <f>IF($B163="",0,'Bütçe Kalemleri'!F163)</f>
      </c>
      <c r="G163" s="16">
        <f>IF($B163="",0,SUMIF('Maliyet Kayıtları'!$D$5:$D$1004,$B163,'Maliyet Kayıtları'!$G$5:$G$1004))</f>
      </c>
      <c r="H163" s="19">
        <f>IF($B163="","",$F163-$G163)</f>
      </c>
      <c r="I163" s="21">
        <f>IF(OR($B163="",$F163=0),"",$H163/$F163)</f>
      </c>
    </row>
    <row r="164" spans="2:9" x14ac:dyDescent="0.25">
      <c r="B164" s="14">
        <f>IF('Bütçe Kalemleri'!B164="","",'Bütçe Kalemleri'!B164)</f>
      </c>
      <c r="C164" s="14">
        <f>IF('Bütçe Kalemleri'!C164="","",'Bütçe Kalemleri'!C164)</f>
      </c>
      <c r="D164" s="14">
        <f>IF('Bütçe Kalemleri'!D164="","",'Bütçe Kalemleri'!D164)</f>
      </c>
      <c r="E164" s="14">
        <f>IF('Bütçe Kalemleri'!E164="","",'Bütçe Kalemleri'!E164)</f>
      </c>
      <c r="F164" s="16">
        <f>IF($B164="",0,'Bütçe Kalemleri'!F164)</f>
      </c>
      <c r="G164" s="16">
        <f>IF($B164="",0,SUMIF('Maliyet Kayıtları'!$D$5:$D$1004,$B164,'Maliyet Kayıtları'!$G$5:$G$1004))</f>
      </c>
      <c r="H164" s="19">
        <f>IF($B164="","",$F164-$G164)</f>
      </c>
      <c r="I164" s="21">
        <f>IF(OR($B164="",$F164=0),"",$H164/$F164)</f>
      </c>
    </row>
    <row r="165" spans="2:9" x14ac:dyDescent="0.25">
      <c r="B165" s="14">
        <f>IF('Bütçe Kalemleri'!B165="","",'Bütçe Kalemleri'!B165)</f>
      </c>
      <c r="C165" s="14">
        <f>IF('Bütçe Kalemleri'!C165="","",'Bütçe Kalemleri'!C165)</f>
      </c>
      <c r="D165" s="14">
        <f>IF('Bütçe Kalemleri'!D165="","",'Bütçe Kalemleri'!D165)</f>
      </c>
      <c r="E165" s="14">
        <f>IF('Bütçe Kalemleri'!E165="","",'Bütçe Kalemleri'!E165)</f>
      </c>
      <c r="F165" s="16">
        <f>IF($B165="",0,'Bütçe Kalemleri'!F165)</f>
      </c>
      <c r="G165" s="16">
        <f>IF($B165="",0,SUMIF('Maliyet Kayıtları'!$D$5:$D$1004,$B165,'Maliyet Kayıtları'!$G$5:$G$1004))</f>
      </c>
      <c r="H165" s="19">
        <f>IF($B165="","",$F165-$G165)</f>
      </c>
      <c r="I165" s="21">
        <f>IF(OR($B165="",$F165=0),"",$H165/$F165)</f>
      </c>
    </row>
    <row r="166" spans="2:9" x14ac:dyDescent="0.25">
      <c r="B166" s="14">
        <f>IF('Bütçe Kalemleri'!B166="","",'Bütçe Kalemleri'!B166)</f>
      </c>
      <c r="C166" s="14">
        <f>IF('Bütçe Kalemleri'!C166="","",'Bütçe Kalemleri'!C166)</f>
      </c>
      <c r="D166" s="14">
        <f>IF('Bütçe Kalemleri'!D166="","",'Bütçe Kalemleri'!D166)</f>
      </c>
      <c r="E166" s="14">
        <f>IF('Bütçe Kalemleri'!E166="","",'Bütçe Kalemleri'!E166)</f>
      </c>
      <c r="F166" s="16">
        <f>IF($B166="",0,'Bütçe Kalemleri'!F166)</f>
      </c>
      <c r="G166" s="16">
        <f>IF($B166="",0,SUMIF('Maliyet Kayıtları'!$D$5:$D$1004,$B166,'Maliyet Kayıtları'!$G$5:$G$1004))</f>
      </c>
      <c r="H166" s="19">
        <f>IF($B166="","",$F166-$G166)</f>
      </c>
      <c r="I166" s="21">
        <f>IF(OR($B166="",$F166=0),"",$H166/$F166)</f>
      </c>
    </row>
    <row r="167" spans="2:9" x14ac:dyDescent="0.25">
      <c r="B167" s="14">
        <f>IF('Bütçe Kalemleri'!B167="","",'Bütçe Kalemleri'!B167)</f>
      </c>
      <c r="C167" s="14">
        <f>IF('Bütçe Kalemleri'!C167="","",'Bütçe Kalemleri'!C167)</f>
      </c>
      <c r="D167" s="14">
        <f>IF('Bütçe Kalemleri'!D167="","",'Bütçe Kalemleri'!D167)</f>
      </c>
      <c r="E167" s="14">
        <f>IF('Bütçe Kalemleri'!E167="","",'Bütçe Kalemleri'!E167)</f>
      </c>
      <c r="F167" s="16">
        <f>IF($B167="",0,'Bütçe Kalemleri'!F167)</f>
      </c>
      <c r="G167" s="16">
        <f>IF($B167="",0,SUMIF('Maliyet Kayıtları'!$D$5:$D$1004,$B167,'Maliyet Kayıtları'!$G$5:$G$1004))</f>
      </c>
      <c r="H167" s="19">
        <f>IF($B167="","",$F167-$G167)</f>
      </c>
      <c r="I167" s="21">
        <f>IF(OR($B167="",$F167=0),"",$H167/$F167)</f>
      </c>
    </row>
    <row r="168" spans="2:9" x14ac:dyDescent="0.25">
      <c r="B168" s="14">
        <f>IF('Bütçe Kalemleri'!B168="","",'Bütçe Kalemleri'!B168)</f>
      </c>
      <c r="C168" s="14">
        <f>IF('Bütçe Kalemleri'!C168="","",'Bütçe Kalemleri'!C168)</f>
      </c>
      <c r="D168" s="14">
        <f>IF('Bütçe Kalemleri'!D168="","",'Bütçe Kalemleri'!D168)</f>
      </c>
      <c r="E168" s="14">
        <f>IF('Bütçe Kalemleri'!E168="","",'Bütçe Kalemleri'!E168)</f>
      </c>
      <c r="F168" s="16">
        <f>IF($B168="",0,'Bütçe Kalemleri'!F168)</f>
      </c>
      <c r="G168" s="16">
        <f>IF($B168="",0,SUMIF('Maliyet Kayıtları'!$D$5:$D$1004,$B168,'Maliyet Kayıtları'!$G$5:$G$1004))</f>
      </c>
      <c r="H168" s="19">
        <f>IF($B168="","",$F168-$G168)</f>
      </c>
      <c r="I168" s="21">
        <f>IF(OR($B168="",$F168=0),"",$H168/$F168)</f>
      </c>
    </row>
    <row r="169" spans="2:9" x14ac:dyDescent="0.25">
      <c r="B169" s="14">
        <f>IF('Bütçe Kalemleri'!B169="","",'Bütçe Kalemleri'!B169)</f>
      </c>
      <c r="C169" s="14">
        <f>IF('Bütçe Kalemleri'!C169="","",'Bütçe Kalemleri'!C169)</f>
      </c>
      <c r="D169" s="14">
        <f>IF('Bütçe Kalemleri'!D169="","",'Bütçe Kalemleri'!D169)</f>
      </c>
      <c r="E169" s="14">
        <f>IF('Bütçe Kalemleri'!E169="","",'Bütçe Kalemleri'!E169)</f>
      </c>
      <c r="F169" s="16">
        <f>IF($B169="",0,'Bütçe Kalemleri'!F169)</f>
      </c>
      <c r="G169" s="16">
        <f>IF($B169="",0,SUMIF('Maliyet Kayıtları'!$D$5:$D$1004,$B169,'Maliyet Kayıtları'!$G$5:$G$1004))</f>
      </c>
      <c r="H169" s="19">
        <f>IF($B169="","",$F169-$G169)</f>
      </c>
      <c r="I169" s="21">
        <f>IF(OR($B169="",$F169=0),"",$H169/$F169)</f>
      </c>
    </row>
    <row r="170" spans="2:9" x14ac:dyDescent="0.25">
      <c r="B170" s="14">
        <f>IF('Bütçe Kalemleri'!B170="","",'Bütçe Kalemleri'!B170)</f>
      </c>
      <c r="C170" s="14">
        <f>IF('Bütçe Kalemleri'!C170="","",'Bütçe Kalemleri'!C170)</f>
      </c>
      <c r="D170" s="14">
        <f>IF('Bütçe Kalemleri'!D170="","",'Bütçe Kalemleri'!D170)</f>
      </c>
      <c r="E170" s="14">
        <f>IF('Bütçe Kalemleri'!E170="","",'Bütçe Kalemleri'!E170)</f>
      </c>
      <c r="F170" s="16">
        <f>IF($B170="",0,'Bütçe Kalemleri'!F170)</f>
      </c>
      <c r="G170" s="16">
        <f>IF($B170="",0,SUMIF('Maliyet Kayıtları'!$D$5:$D$1004,$B170,'Maliyet Kayıtları'!$G$5:$G$1004))</f>
      </c>
      <c r="H170" s="19">
        <f>IF($B170="","",$F170-$G170)</f>
      </c>
      <c r="I170" s="21">
        <f>IF(OR($B170="",$F170=0),"",$H170/$F170)</f>
      </c>
    </row>
    <row r="171" spans="2:9" x14ac:dyDescent="0.25">
      <c r="B171" s="14">
        <f>IF('Bütçe Kalemleri'!B171="","",'Bütçe Kalemleri'!B171)</f>
      </c>
      <c r="C171" s="14">
        <f>IF('Bütçe Kalemleri'!C171="","",'Bütçe Kalemleri'!C171)</f>
      </c>
      <c r="D171" s="14">
        <f>IF('Bütçe Kalemleri'!D171="","",'Bütçe Kalemleri'!D171)</f>
      </c>
      <c r="E171" s="14">
        <f>IF('Bütçe Kalemleri'!E171="","",'Bütçe Kalemleri'!E171)</f>
      </c>
      <c r="F171" s="16">
        <f>IF($B171="",0,'Bütçe Kalemleri'!F171)</f>
      </c>
      <c r="G171" s="16">
        <f>IF($B171="",0,SUMIF('Maliyet Kayıtları'!$D$5:$D$1004,$B171,'Maliyet Kayıtları'!$G$5:$G$1004))</f>
      </c>
      <c r="H171" s="19">
        <f>IF($B171="","",$F171-$G171)</f>
      </c>
      <c r="I171" s="21">
        <f>IF(OR($B171="",$F171=0),"",$H171/$F171)</f>
      </c>
    </row>
    <row r="172" spans="2:9" x14ac:dyDescent="0.25">
      <c r="B172" s="14">
        <f>IF('Bütçe Kalemleri'!B172="","",'Bütçe Kalemleri'!B172)</f>
      </c>
      <c r="C172" s="14">
        <f>IF('Bütçe Kalemleri'!C172="","",'Bütçe Kalemleri'!C172)</f>
      </c>
      <c r="D172" s="14">
        <f>IF('Bütçe Kalemleri'!D172="","",'Bütçe Kalemleri'!D172)</f>
      </c>
      <c r="E172" s="14">
        <f>IF('Bütçe Kalemleri'!E172="","",'Bütçe Kalemleri'!E172)</f>
      </c>
      <c r="F172" s="16">
        <f>IF($B172="",0,'Bütçe Kalemleri'!F172)</f>
      </c>
      <c r="G172" s="16">
        <f>IF($B172="",0,SUMIF('Maliyet Kayıtları'!$D$5:$D$1004,$B172,'Maliyet Kayıtları'!$G$5:$G$1004))</f>
      </c>
      <c r="H172" s="19">
        <f>IF($B172="","",$F172-$G172)</f>
      </c>
      <c r="I172" s="21">
        <f>IF(OR($B172="",$F172=0),"",$H172/$F172)</f>
      </c>
    </row>
    <row r="173" spans="2:9" x14ac:dyDescent="0.25">
      <c r="B173" s="14">
        <f>IF('Bütçe Kalemleri'!B173="","",'Bütçe Kalemleri'!B173)</f>
      </c>
      <c r="C173" s="14">
        <f>IF('Bütçe Kalemleri'!C173="","",'Bütçe Kalemleri'!C173)</f>
      </c>
      <c r="D173" s="14">
        <f>IF('Bütçe Kalemleri'!D173="","",'Bütçe Kalemleri'!D173)</f>
      </c>
      <c r="E173" s="14">
        <f>IF('Bütçe Kalemleri'!E173="","",'Bütçe Kalemleri'!E173)</f>
      </c>
      <c r="F173" s="16">
        <f>IF($B173="",0,'Bütçe Kalemleri'!F173)</f>
      </c>
      <c r="G173" s="16">
        <f>IF($B173="",0,SUMIF('Maliyet Kayıtları'!$D$5:$D$1004,$B173,'Maliyet Kayıtları'!$G$5:$G$1004))</f>
      </c>
      <c r="H173" s="19">
        <f>IF($B173="","",$F173-$G173)</f>
      </c>
      <c r="I173" s="21">
        <f>IF(OR($B173="",$F173=0),"",$H173/$F173)</f>
      </c>
    </row>
    <row r="174" spans="2:9" x14ac:dyDescent="0.25">
      <c r="B174" s="14">
        <f>IF('Bütçe Kalemleri'!B174="","",'Bütçe Kalemleri'!B174)</f>
      </c>
      <c r="C174" s="14">
        <f>IF('Bütçe Kalemleri'!C174="","",'Bütçe Kalemleri'!C174)</f>
      </c>
      <c r="D174" s="14">
        <f>IF('Bütçe Kalemleri'!D174="","",'Bütçe Kalemleri'!D174)</f>
      </c>
      <c r="E174" s="14">
        <f>IF('Bütçe Kalemleri'!E174="","",'Bütçe Kalemleri'!E174)</f>
      </c>
      <c r="F174" s="16">
        <f>IF($B174="",0,'Bütçe Kalemleri'!F174)</f>
      </c>
      <c r="G174" s="16">
        <f>IF($B174="",0,SUMIF('Maliyet Kayıtları'!$D$5:$D$1004,$B174,'Maliyet Kayıtları'!$G$5:$G$1004))</f>
      </c>
      <c r="H174" s="19">
        <f>IF($B174="","",$F174-$G174)</f>
      </c>
      <c r="I174" s="21">
        <f>IF(OR($B174="",$F174=0),"",$H174/$F174)</f>
      </c>
    </row>
    <row r="175" spans="2:9" x14ac:dyDescent="0.25">
      <c r="B175" s="14">
        <f>IF('Bütçe Kalemleri'!B175="","",'Bütçe Kalemleri'!B175)</f>
      </c>
      <c r="C175" s="14">
        <f>IF('Bütçe Kalemleri'!C175="","",'Bütçe Kalemleri'!C175)</f>
      </c>
      <c r="D175" s="14">
        <f>IF('Bütçe Kalemleri'!D175="","",'Bütçe Kalemleri'!D175)</f>
      </c>
      <c r="E175" s="14">
        <f>IF('Bütçe Kalemleri'!E175="","",'Bütçe Kalemleri'!E175)</f>
      </c>
      <c r="F175" s="16">
        <f>IF($B175="",0,'Bütçe Kalemleri'!F175)</f>
      </c>
      <c r="G175" s="16">
        <f>IF($B175="",0,SUMIF('Maliyet Kayıtları'!$D$5:$D$1004,$B175,'Maliyet Kayıtları'!$G$5:$G$1004))</f>
      </c>
      <c r="H175" s="19">
        <f>IF($B175="","",$F175-$G175)</f>
      </c>
      <c r="I175" s="21">
        <f>IF(OR($B175="",$F175=0),"",$H175/$F175)</f>
      </c>
    </row>
    <row r="176" spans="2:9" x14ac:dyDescent="0.25">
      <c r="B176" s="14">
        <f>IF('Bütçe Kalemleri'!B176="","",'Bütçe Kalemleri'!B176)</f>
      </c>
      <c r="C176" s="14">
        <f>IF('Bütçe Kalemleri'!C176="","",'Bütçe Kalemleri'!C176)</f>
      </c>
      <c r="D176" s="14">
        <f>IF('Bütçe Kalemleri'!D176="","",'Bütçe Kalemleri'!D176)</f>
      </c>
      <c r="E176" s="14">
        <f>IF('Bütçe Kalemleri'!E176="","",'Bütçe Kalemleri'!E176)</f>
      </c>
      <c r="F176" s="16">
        <f>IF($B176="",0,'Bütçe Kalemleri'!F176)</f>
      </c>
      <c r="G176" s="16">
        <f>IF($B176="",0,SUMIF('Maliyet Kayıtları'!$D$5:$D$1004,$B176,'Maliyet Kayıtları'!$G$5:$G$1004))</f>
      </c>
      <c r="H176" s="19">
        <f>IF($B176="","",$F176-$G176)</f>
      </c>
      <c r="I176" s="21">
        <f>IF(OR($B176="",$F176=0),"",$H176/$F176)</f>
      </c>
    </row>
    <row r="177" spans="2:9" x14ac:dyDescent="0.25">
      <c r="B177" s="14">
        <f>IF('Bütçe Kalemleri'!B177="","",'Bütçe Kalemleri'!B177)</f>
      </c>
      <c r="C177" s="14">
        <f>IF('Bütçe Kalemleri'!C177="","",'Bütçe Kalemleri'!C177)</f>
      </c>
      <c r="D177" s="14">
        <f>IF('Bütçe Kalemleri'!D177="","",'Bütçe Kalemleri'!D177)</f>
      </c>
      <c r="E177" s="14">
        <f>IF('Bütçe Kalemleri'!E177="","",'Bütçe Kalemleri'!E177)</f>
      </c>
      <c r="F177" s="16">
        <f>IF($B177="",0,'Bütçe Kalemleri'!F177)</f>
      </c>
      <c r="G177" s="16">
        <f>IF($B177="",0,SUMIF('Maliyet Kayıtları'!$D$5:$D$1004,$B177,'Maliyet Kayıtları'!$G$5:$G$1004))</f>
      </c>
      <c r="H177" s="19">
        <f>IF($B177="","",$F177-$G177)</f>
      </c>
      <c r="I177" s="21">
        <f>IF(OR($B177="",$F177=0),"",$H177/$F177)</f>
      </c>
    </row>
    <row r="178" spans="2:9" x14ac:dyDescent="0.25">
      <c r="B178" s="14">
        <f>IF('Bütçe Kalemleri'!B178="","",'Bütçe Kalemleri'!B178)</f>
      </c>
      <c r="C178" s="14">
        <f>IF('Bütçe Kalemleri'!C178="","",'Bütçe Kalemleri'!C178)</f>
      </c>
      <c r="D178" s="14">
        <f>IF('Bütçe Kalemleri'!D178="","",'Bütçe Kalemleri'!D178)</f>
      </c>
      <c r="E178" s="14">
        <f>IF('Bütçe Kalemleri'!E178="","",'Bütçe Kalemleri'!E178)</f>
      </c>
      <c r="F178" s="16">
        <f>IF($B178="",0,'Bütçe Kalemleri'!F178)</f>
      </c>
      <c r="G178" s="16">
        <f>IF($B178="",0,SUMIF('Maliyet Kayıtları'!$D$5:$D$1004,$B178,'Maliyet Kayıtları'!$G$5:$G$1004))</f>
      </c>
      <c r="H178" s="19">
        <f>IF($B178="","",$F178-$G178)</f>
      </c>
      <c r="I178" s="21">
        <f>IF(OR($B178="",$F178=0),"",$H178/$F178)</f>
      </c>
    </row>
    <row r="179" spans="2:9" x14ac:dyDescent="0.25">
      <c r="B179" s="14">
        <f>IF('Bütçe Kalemleri'!B179="","",'Bütçe Kalemleri'!B179)</f>
      </c>
      <c r="C179" s="14">
        <f>IF('Bütçe Kalemleri'!C179="","",'Bütçe Kalemleri'!C179)</f>
      </c>
      <c r="D179" s="14">
        <f>IF('Bütçe Kalemleri'!D179="","",'Bütçe Kalemleri'!D179)</f>
      </c>
      <c r="E179" s="14">
        <f>IF('Bütçe Kalemleri'!E179="","",'Bütçe Kalemleri'!E179)</f>
      </c>
      <c r="F179" s="16">
        <f>IF($B179="",0,'Bütçe Kalemleri'!F179)</f>
      </c>
      <c r="G179" s="16">
        <f>IF($B179="",0,SUMIF('Maliyet Kayıtları'!$D$5:$D$1004,$B179,'Maliyet Kayıtları'!$G$5:$G$1004))</f>
      </c>
      <c r="H179" s="19">
        <f>IF($B179="","",$F179-$G179)</f>
      </c>
      <c r="I179" s="21">
        <f>IF(OR($B179="",$F179=0),"",$H179/$F179)</f>
      </c>
    </row>
    <row r="180" spans="2:9" x14ac:dyDescent="0.25">
      <c r="B180" s="14">
        <f>IF('Bütçe Kalemleri'!B180="","",'Bütçe Kalemleri'!B180)</f>
      </c>
      <c r="C180" s="14">
        <f>IF('Bütçe Kalemleri'!C180="","",'Bütçe Kalemleri'!C180)</f>
      </c>
      <c r="D180" s="14">
        <f>IF('Bütçe Kalemleri'!D180="","",'Bütçe Kalemleri'!D180)</f>
      </c>
      <c r="E180" s="14">
        <f>IF('Bütçe Kalemleri'!E180="","",'Bütçe Kalemleri'!E180)</f>
      </c>
      <c r="F180" s="16">
        <f>IF($B180="",0,'Bütçe Kalemleri'!F180)</f>
      </c>
      <c r="G180" s="16">
        <f>IF($B180="",0,SUMIF('Maliyet Kayıtları'!$D$5:$D$1004,$B180,'Maliyet Kayıtları'!$G$5:$G$1004))</f>
      </c>
      <c r="H180" s="19">
        <f>IF($B180="","",$F180-$G180)</f>
      </c>
      <c r="I180" s="21">
        <f>IF(OR($B180="",$F180=0),"",$H180/$F180)</f>
      </c>
    </row>
    <row r="181" spans="2:9" x14ac:dyDescent="0.25">
      <c r="B181" s="14">
        <f>IF('Bütçe Kalemleri'!B181="","",'Bütçe Kalemleri'!B181)</f>
      </c>
      <c r="C181" s="14">
        <f>IF('Bütçe Kalemleri'!C181="","",'Bütçe Kalemleri'!C181)</f>
      </c>
      <c r="D181" s="14">
        <f>IF('Bütçe Kalemleri'!D181="","",'Bütçe Kalemleri'!D181)</f>
      </c>
      <c r="E181" s="14">
        <f>IF('Bütçe Kalemleri'!E181="","",'Bütçe Kalemleri'!E181)</f>
      </c>
      <c r="F181" s="16">
        <f>IF($B181="",0,'Bütçe Kalemleri'!F181)</f>
      </c>
      <c r="G181" s="16">
        <f>IF($B181="",0,SUMIF('Maliyet Kayıtları'!$D$5:$D$1004,$B181,'Maliyet Kayıtları'!$G$5:$G$1004))</f>
      </c>
      <c r="H181" s="19">
        <f>IF($B181="","",$F181-$G181)</f>
      </c>
      <c r="I181" s="21">
        <f>IF(OR($B181="",$F181=0),"",$H181/$F181)</f>
      </c>
    </row>
    <row r="182" spans="2:9" x14ac:dyDescent="0.25">
      <c r="B182" s="14">
        <f>IF('Bütçe Kalemleri'!B182="","",'Bütçe Kalemleri'!B182)</f>
      </c>
      <c r="C182" s="14">
        <f>IF('Bütçe Kalemleri'!C182="","",'Bütçe Kalemleri'!C182)</f>
      </c>
      <c r="D182" s="14">
        <f>IF('Bütçe Kalemleri'!D182="","",'Bütçe Kalemleri'!D182)</f>
      </c>
      <c r="E182" s="14">
        <f>IF('Bütçe Kalemleri'!E182="","",'Bütçe Kalemleri'!E182)</f>
      </c>
      <c r="F182" s="16">
        <f>IF($B182="",0,'Bütçe Kalemleri'!F182)</f>
      </c>
      <c r="G182" s="16">
        <f>IF($B182="",0,SUMIF('Maliyet Kayıtları'!$D$5:$D$1004,$B182,'Maliyet Kayıtları'!$G$5:$G$1004))</f>
      </c>
      <c r="H182" s="19">
        <f>IF($B182="","",$F182-$G182)</f>
      </c>
      <c r="I182" s="21">
        <f>IF(OR($B182="",$F182=0),"",$H182/$F182)</f>
      </c>
    </row>
    <row r="183" spans="2:9" x14ac:dyDescent="0.25">
      <c r="B183" s="14">
        <f>IF('Bütçe Kalemleri'!B183="","",'Bütçe Kalemleri'!B183)</f>
      </c>
      <c r="C183" s="14">
        <f>IF('Bütçe Kalemleri'!C183="","",'Bütçe Kalemleri'!C183)</f>
      </c>
      <c r="D183" s="14">
        <f>IF('Bütçe Kalemleri'!D183="","",'Bütçe Kalemleri'!D183)</f>
      </c>
      <c r="E183" s="14">
        <f>IF('Bütçe Kalemleri'!E183="","",'Bütçe Kalemleri'!E183)</f>
      </c>
      <c r="F183" s="16">
        <f>IF($B183="",0,'Bütçe Kalemleri'!F183)</f>
      </c>
      <c r="G183" s="16">
        <f>IF($B183="",0,SUMIF('Maliyet Kayıtları'!$D$5:$D$1004,$B183,'Maliyet Kayıtları'!$G$5:$G$1004))</f>
      </c>
      <c r="H183" s="19">
        <f>IF($B183="","",$F183-$G183)</f>
      </c>
      <c r="I183" s="21">
        <f>IF(OR($B183="",$F183=0),"",$H183/$F183)</f>
      </c>
    </row>
    <row r="184" spans="2:9" x14ac:dyDescent="0.25">
      <c r="B184" s="14">
        <f>IF('Bütçe Kalemleri'!B184="","",'Bütçe Kalemleri'!B184)</f>
      </c>
      <c r="C184" s="14">
        <f>IF('Bütçe Kalemleri'!C184="","",'Bütçe Kalemleri'!C184)</f>
      </c>
      <c r="D184" s="14">
        <f>IF('Bütçe Kalemleri'!D184="","",'Bütçe Kalemleri'!D184)</f>
      </c>
      <c r="E184" s="14">
        <f>IF('Bütçe Kalemleri'!E184="","",'Bütçe Kalemleri'!E184)</f>
      </c>
      <c r="F184" s="16">
        <f>IF($B184="",0,'Bütçe Kalemleri'!F184)</f>
      </c>
      <c r="G184" s="16">
        <f>IF($B184="",0,SUMIF('Maliyet Kayıtları'!$D$5:$D$1004,$B184,'Maliyet Kayıtları'!$G$5:$G$1004))</f>
      </c>
      <c r="H184" s="19">
        <f>IF($B184="","",$F184-$G184)</f>
      </c>
      <c r="I184" s="21">
        <f>IF(OR($B184="",$F184=0),"",$H184/$F184)</f>
      </c>
    </row>
    <row r="185" spans="2:9" x14ac:dyDescent="0.25">
      <c r="B185" s="14">
        <f>IF('Bütçe Kalemleri'!B185="","",'Bütçe Kalemleri'!B185)</f>
      </c>
      <c r="C185" s="14">
        <f>IF('Bütçe Kalemleri'!C185="","",'Bütçe Kalemleri'!C185)</f>
      </c>
      <c r="D185" s="14">
        <f>IF('Bütçe Kalemleri'!D185="","",'Bütçe Kalemleri'!D185)</f>
      </c>
      <c r="E185" s="14">
        <f>IF('Bütçe Kalemleri'!E185="","",'Bütçe Kalemleri'!E185)</f>
      </c>
      <c r="F185" s="16">
        <f>IF($B185="",0,'Bütçe Kalemleri'!F185)</f>
      </c>
      <c r="G185" s="16">
        <f>IF($B185="",0,SUMIF('Maliyet Kayıtları'!$D$5:$D$1004,$B185,'Maliyet Kayıtları'!$G$5:$G$1004))</f>
      </c>
      <c r="H185" s="19">
        <f>IF($B185="","",$F185-$G185)</f>
      </c>
      <c r="I185" s="21">
        <f>IF(OR($B185="",$F185=0),"",$H185/$F185)</f>
      </c>
    </row>
    <row r="186" spans="2:9" x14ac:dyDescent="0.25">
      <c r="B186" s="14">
        <f>IF('Bütçe Kalemleri'!B186="","",'Bütçe Kalemleri'!B186)</f>
      </c>
      <c r="C186" s="14">
        <f>IF('Bütçe Kalemleri'!C186="","",'Bütçe Kalemleri'!C186)</f>
      </c>
      <c r="D186" s="14">
        <f>IF('Bütçe Kalemleri'!D186="","",'Bütçe Kalemleri'!D186)</f>
      </c>
      <c r="E186" s="14">
        <f>IF('Bütçe Kalemleri'!E186="","",'Bütçe Kalemleri'!E186)</f>
      </c>
      <c r="F186" s="16">
        <f>IF($B186="",0,'Bütçe Kalemleri'!F186)</f>
      </c>
      <c r="G186" s="16">
        <f>IF($B186="",0,SUMIF('Maliyet Kayıtları'!$D$5:$D$1004,$B186,'Maliyet Kayıtları'!$G$5:$G$1004))</f>
      </c>
      <c r="H186" s="19">
        <f>IF($B186="","",$F186-$G186)</f>
      </c>
      <c r="I186" s="21">
        <f>IF(OR($B186="",$F186=0),"",$H186/$F186)</f>
      </c>
    </row>
    <row r="187" spans="2:9" x14ac:dyDescent="0.25">
      <c r="B187" s="14">
        <f>IF('Bütçe Kalemleri'!B187="","",'Bütçe Kalemleri'!B187)</f>
      </c>
      <c r="C187" s="14">
        <f>IF('Bütçe Kalemleri'!C187="","",'Bütçe Kalemleri'!C187)</f>
      </c>
      <c r="D187" s="14">
        <f>IF('Bütçe Kalemleri'!D187="","",'Bütçe Kalemleri'!D187)</f>
      </c>
      <c r="E187" s="14">
        <f>IF('Bütçe Kalemleri'!E187="","",'Bütçe Kalemleri'!E187)</f>
      </c>
      <c r="F187" s="16">
        <f>IF($B187="",0,'Bütçe Kalemleri'!F187)</f>
      </c>
      <c r="G187" s="16">
        <f>IF($B187="",0,SUMIF('Maliyet Kayıtları'!$D$5:$D$1004,$B187,'Maliyet Kayıtları'!$G$5:$G$1004))</f>
      </c>
      <c r="H187" s="19">
        <f>IF($B187="","",$F187-$G187)</f>
      </c>
      <c r="I187" s="21">
        <f>IF(OR($B187="",$F187=0),"",$H187/$F187)</f>
      </c>
    </row>
    <row r="188" spans="2:9" x14ac:dyDescent="0.25">
      <c r="B188" s="14">
        <f>IF('Bütçe Kalemleri'!B188="","",'Bütçe Kalemleri'!B188)</f>
      </c>
      <c r="C188" s="14">
        <f>IF('Bütçe Kalemleri'!C188="","",'Bütçe Kalemleri'!C188)</f>
      </c>
      <c r="D188" s="14">
        <f>IF('Bütçe Kalemleri'!D188="","",'Bütçe Kalemleri'!D188)</f>
      </c>
      <c r="E188" s="14">
        <f>IF('Bütçe Kalemleri'!E188="","",'Bütçe Kalemleri'!E188)</f>
      </c>
      <c r="F188" s="16">
        <f>IF($B188="",0,'Bütçe Kalemleri'!F188)</f>
      </c>
      <c r="G188" s="16">
        <f>IF($B188="",0,SUMIF('Maliyet Kayıtları'!$D$5:$D$1004,$B188,'Maliyet Kayıtları'!$G$5:$G$1004))</f>
      </c>
      <c r="H188" s="19">
        <f>IF($B188="","",$F188-$G188)</f>
      </c>
      <c r="I188" s="21">
        <f>IF(OR($B188="",$F188=0),"",$H188/$F188)</f>
      </c>
    </row>
    <row r="189" spans="2:9" x14ac:dyDescent="0.25">
      <c r="B189" s="14">
        <f>IF('Bütçe Kalemleri'!B189="","",'Bütçe Kalemleri'!B189)</f>
      </c>
      <c r="C189" s="14">
        <f>IF('Bütçe Kalemleri'!C189="","",'Bütçe Kalemleri'!C189)</f>
      </c>
      <c r="D189" s="14">
        <f>IF('Bütçe Kalemleri'!D189="","",'Bütçe Kalemleri'!D189)</f>
      </c>
      <c r="E189" s="14">
        <f>IF('Bütçe Kalemleri'!E189="","",'Bütçe Kalemleri'!E189)</f>
      </c>
      <c r="F189" s="16">
        <f>IF($B189="",0,'Bütçe Kalemleri'!F189)</f>
      </c>
      <c r="G189" s="16">
        <f>IF($B189="",0,SUMIF('Maliyet Kayıtları'!$D$5:$D$1004,$B189,'Maliyet Kayıtları'!$G$5:$G$1004))</f>
      </c>
      <c r="H189" s="19">
        <f>IF($B189="","",$F189-$G189)</f>
      </c>
      <c r="I189" s="21">
        <f>IF(OR($B189="",$F189=0),"",$H189/$F189)</f>
      </c>
    </row>
    <row r="190" spans="2:9" x14ac:dyDescent="0.25">
      <c r="B190" s="14">
        <f>IF('Bütçe Kalemleri'!B190="","",'Bütçe Kalemleri'!B190)</f>
      </c>
      <c r="C190" s="14">
        <f>IF('Bütçe Kalemleri'!C190="","",'Bütçe Kalemleri'!C190)</f>
      </c>
      <c r="D190" s="14">
        <f>IF('Bütçe Kalemleri'!D190="","",'Bütçe Kalemleri'!D190)</f>
      </c>
      <c r="E190" s="14">
        <f>IF('Bütçe Kalemleri'!E190="","",'Bütçe Kalemleri'!E190)</f>
      </c>
      <c r="F190" s="16">
        <f>IF($B190="",0,'Bütçe Kalemleri'!F190)</f>
      </c>
      <c r="G190" s="16">
        <f>IF($B190="",0,SUMIF('Maliyet Kayıtları'!$D$5:$D$1004,$B190,'Maliyet Kayıtları'!$G$5:$G$1004))</f>
      </c>
      <c r="H190" s="19">
        <f>IF($B190="","",$F190-$G190)</f>
      </c>
      <c r="I190" s="21">
        <f>IF(OR($B190="",$F190=0),"",$H190/$F190)</f>
      </c>
    </row>
    <row r="191" spans="2:9" x14ac:dyDescent="0.25">
      <c r="B191" s="14">
        <f>IF('Bütçe Kalemleri'!B191="","",'Bütçe Kalemleri'!B191)</f>
      </c>
      <c r="C191" s="14">
        <f>IF('Bütçe Kalemleri'!C191="","",'Bütçe Kalemleri'!C191)</f>
      </c>
      <c r="D191" s="14">
        <f>IF('Bütçe Kalemleri'!D191="","",'Bütçe Kalemleri'!D191)</f>
      </c>
      <c r="E191" s="14">
        <f>IF('Bütçe Kalemleri'!E191="","",'Bütçe Kalemleri'!E191)</f>
      </c>
      <c r="F191" s="16">
        <f>IF($B191="",0,'Bütçe Kalemleri'!F191)</f>
      </c>
      <c r="G191" s="16">
        <f>IF($B191="",0,SUMIF('Maliyet Kayıtları'!$D$5:$D$1004,$B191,'Maliyet Kayıtları'!$G$5:$G$1004))</f>
      </c>
      <c r="H191" s="19">
        <f>IF($B191="","",$F191-$G191)</f>
      </c>
      <c r="I191" s="21">
        <f>IF(OR($B191="",$F191=0),"",$H191/$F191)</f>
      </c>
    </row>
    <row r="192" spans="2:9" x14ac:dyDescent="0.25">
      <c r="B192" s="14">
        <f>IF('Bütçe Kalemleri'!B192="","",'Bütçe Kalemleri'!B192)</f>
      </c>
      <c r="C192" s="14">
        <f>IF('Bütçe Kalemleri'!C192="","",'Bütçe Kalemleri'!C192)</f>
      </c>
      <c r="D192" s="14">
        <f>IF('Bütçe Kalemleri'!D192="","",'Bütçe Kalemleri'!D192)</f>
      </c>
      <c r="E192" s="14">
        <f>IF('Bütçe Kalemleri'!E192="","",'Bütçe Kalemleri'!E192)</f>
      </c>
      <c r="F192" s="16">
        <f>IF($B192="",0,'Bütçe Kalemleri'!F192)</f>
      </c>
      <c r="G192" s="16">
        <f>IF($B192="",0,SUMIF('Maliyet Kayıtları'!$D$5:$D$1004,$B192,'Maliyet Kayıtları'!$G$5:$G$1004))</f>
      </c>
      <c r="H192" s="19">
        <f>IF($B192="","",$F192-$G192)</f>
      </c>
      <c r="I192" s="21">
        <f>IF(OR($B192="",$F192=0),"",$H192/$F192)</f>
      </c>
    </row>
    <row r="193" spans="2:9" x14ac:dyDescent="0.25">
      <c r="B193" s="14">
        <f>IF('Bütçe Kalemleri'!B193="","",'Bütçe Kalemleri'!B193)</f>
      </c>
      <c r="C193" s="14">
        <f>IF('Bütçe Kalemleri'!C193="","",'Bütçe Kalemleri'!C193)</f>
      </c>
      <c r="D193" s="14">
        <f>IF('Bütçe Kalemleri'!D193="","",'Bütçe Kalemleri'!D193)</f>
      </c>
      <c r="E193" s="14">
        <f>IF('Bütçe Kalemleri'!E193="","",'Bütçe Kalemleri'!E193)</f>
      </c>
      <c r="F193" s="16">
        <f>IF($B193="",0,'Bütçe Kalemleri'!F193)</f>
      </c>
      <c r="G193" s="16">
        <f>IF($B193="",0,SUMIF('Maliyet Kayıtları'!$D$5:$D$1004,$B193,'Maliyet Kayıtları'!$G$5:$G$1004))</f>
      </c>
      <c r="H193" s="19">
        <f>IF($B193="","",$F193-$G193)</f>
      </c>
      <c r="I193" s="21">
        <f>IF(OR($B193="",$F193=0),"",$H193/$F193)</f>
      </c>
    </row>
    <row r="194" spans="2:9" x14ac:dyDescent="0.25">
      <c r="B194" s="14">
        <f>IF('Bütçe Kalemleri'!B194="","",'Bütçe Kalemleri'!B194)</f>
      </c>
      <c r="C194" s="14">
        <f>IF('Bütçe Kalemleri'!C194="","",'Bütçe Kalemleri'!C194)</f>
      </c>
      <c r="D194" s="14">
        <f>IF('Bütçe Kalemleri'!D194="","",'Bütçe Kalemleri'!D194)</f>
      </c>
      <c r="E194" s="14">
        <f>IF('Bütçe Kalemleri'!E194="","",'Bütçe Kalemleri'!E194)</f>
      </c>
      <c r="F194" s="16">
        <f>IF($B194="",0,'Bütçe Kalemleri'!F194)</f>
      </c>
      <c r="G194" s="16">
        <f>IF($B194="",0,SUMIF('Maliyet Kayıtları'!$D$5:$D$1004,$B194,'Maliyet Kayıtları'!$G$5:$G$1004))</f>
      </c>
      <c r="H194" s="19">
        <f>IF($B194="","",$F194-$G194)</f>
      </c>
      <c r="I194" s="21">
        <f>IF(OR($B194="",$F194=0),"",$H194/$F194)</f>
      </c>
    </row>
    <row r="195" spans="2:9" x14ac:dyDescent="0.25">
      <c r="B195" s="14">
        <f>IF('Bütçe Kalemleri'!B195="","",'Bütçe Kalemleri'!B195)</f>
      </c>
      <c r="C195" s="14">
        <f>IF('Bütçe Kalemleri'!C195="","",'Bütçe Kalemleri'!C195)</f>
      </c>
      <c r="D195" s="14">
        <f>IF('Bütçe Kalemleri'!D195="","",'Bütçe Kalemleri'!D195)</f>
      </c>
      <c r="E195" s="14">
        <f>IF('Bütçe Kalemleri'!E195="","",'Bütçe Kalemleri'!E195)</f>
      </c>
      <c r="F195" s="16">
        <f>IF($B195="",0,'Bütçe Kalemleri'!F195)</f>
      </c>
      <c r="G195" s="16">
        <f>IF($B195="",0,SUMIF('Maliyet Kayıtları'!$D$5:$D$1004,$B195,'Maliyet Kayıtları'!$G$5:$G$1004))</f>
      </c>
      <c r="H195" s="19">
        <f>IF($B195="","",$F195-$G195)</f>
      </c>
      <c r="I195" s="21">
        <f>IF(OR($B195="",$F195=0),"",$H195/$F195)</f>
      </c>
    </row>
    <row r="196" spans="2:9" x14ac:dyDescent="0.25">
      <c r="B196" s="14">
        <f>IF('Bütçe Kalemleri'!B196="","",'Bütçe Kalemleri'!B196)</f>
      </c>
      <c r="C196" s="14">
        <f>IF('Bütçe Kalemleri'!C196="","",'Bütçe Kalemleri'!C196)</f>
      </c>
      <c r="D196" s="14">
        <f>IF('Bütçe Kalemleri'!D196="","",'Bütçe Kalemleri'!D196)</f>
      </c>
      <c r="E196" s="14">
        <f>IF('Bütçe Kalemleri'!E196="","",'Bütçe Kalemleri'!E196)</f>
      </c>
      <c r="F196" s="16">
        <f>IF($B196="",0,'Bütçe Kalemleri'!F196)</f>
      </c>
      <c r="G196" s="16">
        <f>IF($B196="",0,SUMIF('Maliyet Kayıtları'!$D$5:$D$1004,$B196,'Maliyet Kayıtları'!$G$5:$G$1004))</f>
      </c>
      <c r="H196" s="19">
        <f>IF($B196="","",$F196-$G196)</f>
      </c>
      <c r="I196" s="21">
        <f>IF(OR($B196="",$F196=0),"",$H196/$F196)</f>
      </c>
    </row>
    <row r="197" spans="2:9" x14ac:dyDescent="0.25">
      <c r="B197" s="14">
        <f>IF('Bütçe Kalemleri'!B197="","",'Bütçe Kalemleri'!B197)</f>
      </c>
      <c r="C197" s="14">
        <f>IF('Bütçe Kalemleri'!C197="","",'Bütçe Kalemleri'!C197)</f>
      </c>
      <c r="D197" s="14">
        <f>IF('Bütçe Kalemleri'!D197="","",'Bütçe Kalemleri'!D197)</f>
      </c>
      <c r="E197" s="14">
        <f>IF('Bütçe Kalemleri'!E197="","",'Bütçe Kalemleri'!E197)</f>
      </c>
      <c r="F197" s="16">
        <f>IF($B197="",0,'Bütçe Kalemleri'!F197)</f>
      </c>
      <c r="G197" s="16">
        <f>IF($B197="",0,SUMIF('Maliyet Kayıtları'!$D$5:$D$1004,$B197,'Maliyet Kayıtları'!$G$5:$G$1004))</f>
      </c>
      <c r="H197" s="19">
        <f>IF($B197="","",$F197-$G197)</f>
      </c>
      <c r="I197" s="21">
        <f>IF(OR($B197="",$F197=0),"",$H197/$F197)</f>
      </c>
    </row>
    <row r="198" spans="2:9" x14ac:dyDescent="0.25">
      <c r="B198" s="14">
        <f>IF('Bütçe Kalemleri'!B198="","",'Bütçe Kalemleri'!B198)</f>
      </c>
      <c r="C198" s="14">
        <f>IF('Bütçe Kalemleri'!C198="","",'Bütçe Kalemleri'!C198)</f>
      </c>
      <c r="D198" s="14">
        <f>IF('Bütçe Kalemleri'!D198="","",'Bütçe Kalemleri'!D198)</f>
      </c>
      <c r="E198" s="14">
        <f>IF('Bütçe Kalemleri'!E198="","",'Bütçe Kalemleri'!E198)</f>
      </c>
      <c r="F198" s="16">
        <f>IF($B198="",0,'Bütçe Kalemleri'!F198)</f>
      </c>
      <c r="G198" s="16">
        <f>IF($B198="",0,SUMIF('Maliyet Kayıtları'!$D$5:$D$1004,$B198,'Maliyet Kayıtları'!$G$5:$G$1004))</f>
      </c>
      <c r="H198" s="19">
        <f>IF($B198="","",$F198-$G198)</f>
      </c>
      <c r="I198" s="21">
        <f>IF(OR($B198="",$F198=0),"",$H198/$F198)</f>
      </c>
    </row>
    <row r="199" spans="2:9" x14ac:dyDescent="0.25">
      <c r="B199" s="14">
        <f>IF('Bütçe Kalemleri'!B199="","",'Bütçe Kalemleri'!B199)</f>
      </c>
      <c r="C199" s="14">
        <f>IF('Bütçe Kalemleri'!C199="","",'Bütçe Kalemleri'!C199)</f>
      </c>
      <c r="D199" s="14">
        <f>IF('Bütçe Kalemleri'!D199="","",'Bütçe Kalemleri'!D199)</f>
      </c>
      <c r="E199" s="14">
        <f>IF('Bütçe Kalemleri'!E199="","",'Bütçe Kalemleri'!E199)</f>
      </c>
      <c r="F199" s="16">
        <f>IF($B199="",0,'Bütçe Kalemleri'!F199)</f>
      </c>
      <c r="G199" s="16">
        <f>IF($B199="",0,SUMIF('Maliyet Kayıtları'!$D$5:$D$1004,$B199,'Maliyet Kayıtları'!$G$5:$G$1004))</f>
      </c>
      <c r="H199" s="19">
        <f>IF($B199="","",$F199-$G199)</f>
      </c>
      <c r="I199" s="21">
        <f>IF(OR($B199="",$F199=0),"",$H199/$F199)</f>
      </c>
    </row>
    <row r="200" spans="2:9" x14ac:dyDescent="0.25">
      <c r="B200" s="14">
        <f>IF('Bütçe Kalemleri'!B200="","",'Bütçe Kalemleri'!B200)</f>
      </c>
      <c r="C200" s="14">
        <f>IF('Bütçe Kalemleri'!C200="","",'Bütçe Kalemleri'!C200)</f>
      </c>
      <c r="D200" s="14">
        <f>IF('Bütçe Kalemleri'!D200="","",'Bütçe Kalemleri'!D200)</f>
      </c>
      <c r="E200" s="14">
        <f>IF('Bütçe Kalemleri'!E200="","",'Bütçe Kalemleri'!E200)</f>
      </c>
      <c r="F200" s="16">
        <f>IF($B200="",0,'Bütçe Kalemleri'!F200)</f>
      </c>
      <c r="G200" s="16">
        <f>IF($B200="",0,SUMIF('Maliyet Kayıtları'!$D$5:$D$1004,$B200,'Maliyet Kayıtları'!$G$5:$G$1004))</f>
      </c>
      <c r="H200" s="19">
        <f>IF($B200="","",$F200-$G200)</f>
      </c>
      <c r="I200" s="21">
        <f>IF(OR($B200="",$F200=0),"",$H200/$F200)</f>
      </c>
    </row>
    <row r="201" spans="2:9" x14ac:dyDescent="0.25">
      <c r="B201" s="14">
        <f>IF('Bütçe Kalemleri'!B201="","",'Bütçe Kalemleri'!B201)</f>
      </c>
      <c r="C201" s="14">
        <f>IF('Bütçe Kalemleri'!C201="","",'Bütçe Kalemleri'!C201)</f>
      </c>
      <c r="D201" s="14">
        <f>IF('Bütçe Kalemleri'!D201="","",'Bütçe Kalemleri'!D201)</f>
      </c>
      <c r="E201" s="14">
        <f>IF('Bütçe Kalemleri'!E201="","",'Bütçe Kalemleri'!E201)</f>
      </c>
      <c r="F201" s="16">
        <f>IF($B201="",0,'Bütçe Kalemleri'!F201)</f>
      </c>
      <c r="G201" s="16">
        <f>IF($B201="",0,SUMIF('Maliyet Kayıtları'!$D$5:$D$1004,$B201,'Maliyet Kayıtları'!$G$5:$G$1004))</f>
      </c>
      <c r="H201" s="19">
        <f>IF($B201="","",$F201-$G201)</f>
      </c>
      <c r="I201" s="21">
        <f>IF(OR($B201="",$F201=0),"",$H201/$F201)</f>
      </c>
    </row>
    <row r="202" spans="2:9" x14ac:dyDescent="0.25">
      <c r="B202" s="14">
        <f>IF('Bütçe Kalemleri'!B202="","",'Bütçe Kalemleri'!B202)</f>
      </c>
      <c r="C202" s="14">
        <f>IF('Bütçe Kalemleri'!C202="","",'Bütçe Kalemleri'!C202)</f>
      </c>
      <c r="D202" s="14">
        <f>IF('Bütçe Kalemleri'!D202="","",'Bütçe Kalemleri'!D202)</f>
      </c>
      <c r="E202" s="14">
        <f>IF('Bütçe Kalemleri'!E202="","",'Bütçe Kalemleri'!E202)</f>
      </c>
      <c r="F202" s="16">
        <f>IF($B202="",0,'Bütçe Kalemleri'!F202)</f>
      </c>
      <c r="G202" s="16">
        <f>IF($B202="",0,SUMIF('Maliyet Kayıtları'!$D$5:$D$1004,$B202,'Maliyet Kayıtları'!$G$5:$G$1004))</f>
      </c>
      <c r="H202" s="19">
        <f>IF($B202="","",$F202-$G202)</f>
      </c>
      <c r="I202" s="21">
        <f>IF(OR($B202="",$F202=0),"",$H202/$F202)</f>
      </c>
    </row>
    <row r="203" spans="2:9" x14ac:dyDescent="0.25">
      <c r="B203" s="14">
        <f>IF('Bütçe Kalemleri'!B203="","",'Bütçe Kalemleri'!B203)</f>
      </c>
      <c r="C203" s="14">
        <f>IF('Bütçe Kalemleri'!C203="","",'Bütçe Kalemleri'!C203)</f>
      </c>
      <c r="D203" s="14">
        <f>IF('Bütçe Kalemleri'!D203="","",'Bütçe Kalemleri'!D203)</f>
      </c>
      <c r="E203" s="14">
        <f>IF('Bütçe Kalemleri'!E203="","",'Bütçe Kalemleri'!E203)</f>
      </c>
      <c r="F203" s="16">
        <f>IF($B203="",0,'Bütçe Kalemleri'!F203)</f>
      </c>
      <c r="G203" s="16">
        <f>IF($B203="",0,SUMIF('Maliyet Kayıtları'!$D$5:$D$1004,$B203,'Maliyet Kayıtları'!$G$5:$G$1004))</f>
      </c>
      <c r="H203" s="19">
        <f>IF($B203="","",$F203-$G203)</f>
      </c>
      <c r="I203" s="21">
        <f>IF(OR($B203="",$F203=0),"",$H203/$F203)</f>
      </c>
    </row>
    <row r="204" spans="2:9" x14ac:dyDescent="0.25">
      <c r="B204" s="14">
        <f>IF('Bütçe Kalemleri'!B204="","",'Bütçe Kalemleri'!B204)</f>
      </c>
      <c r="C204" s="14">
        <f>IF('Bütçe Kalemleri'!C204="","",'Bütçe Kalemleri'!C204)</f>
      </c>
      <c r="D204" s="14">
        <f>IF('Bütçe Kalemleri'!D204="","",'Bütçe Kalemleri'!D204)</f>
      </c>
      <c r="E204" s="14">
        <f>IF('Bütçe Kalemleri'!E204="","",'Bütçe Kalemleri'!E204)</f>
      </c>
      <c r="F204" s="16">
        <f>IF($B204="",0,'Bütçe Kalemleri'!F204)</f>
      </c>
      <c r="G204" s="16">
        <f>IF($B204="",0,SUMIF('Maliyet Kayıtları'!$D$5:$D$1004,$B204,'Maliyet Kayıtları'!$G$5:$G$1004))</f>
      </c>
      <c r="H204" s="19">
        <f>IF($B204="","",$F204-$G204)</f>
      </c>
      <c r="I204" s="21">
        <f>IF(OR($B204="",$F204=0),"",$H204/$F204)</f>
      </c>
    </row>
    <row r="205" spans="2:9" x14ac:dyDescent="0.25">
      <c r="B205" s="14">
        <f>IF('Bütçe Kalemleri'!B205="","",'Bütçe Kalemleri'!B205)</f>
      </c>
      <c r="C205" s="14">
        <f>IF('Bütçe Kalemleri'!C205="","",'Bütçe Kalemleri'!C205)</f>
      </c>
      <c r="D205" s="14">
        <f>IF('Bütçe Kalemleri'!D205="","",'Bütçe Kalemleri'!D205)</f>
      </c>
      <c r="E205" s="14">
        <f>IF('Bütçe Kalemleri'!E205="","",'Bütçe Kalemleri'!E205)</f>
      </c>
      <c r="F205" s="16">
        <f>IF($B205="",0,'Bütçe Kalemleri'!F205)</f>
      </c>
      <c r="G205" s="16">
        <f>IF($B205="",0,SUMIF('Maliyet Kayıtları'!$D$5:$D$1004,$B205,'Maliyet Kayıtları'!$G$5:$G$1004))</f>
      </c>
      <c r="H205" s="19">
        <f>IF($B205="","",$F205-$G205)</f>
      </c>
      <c r="I205" s="21">
        <f>IF(OR($B205="",$F205=0),"",$H205/$F205)</f>
      </c>
    </row>
    <row r="206" spans="2:9" x14ac:dyDescent="0.25">
      <c r="B206" s="14">
        <f>IF('Bütçe Kalemleri'!B206="","",'Bütçe Kalemleri'!B206)</f>
      </c>
      <c r="C206" s="14">
        <f>IF('Bütçe Kalemleri'!C206="","",'Bütçe Kalemleri'!C206)</f>
      </c>
      <c r="D206" s="14">
        <f>IF('Bütçe Kalemleri'!D206="","",'Bütçe Kalemleri'!D206)</f>
      </c>
      <c r="E206" s="14">
        <f>IF('Bütçe Kalemleri'!E206="","",'Bütçe Kalemleri'!E206)</f>
      </c>
      <c r="F206" s="16">
        <f>IF($B206="",0,'Bütçe Kalemleri'!F206)</f>
      </c>
      <c r="G206" s="16">
        <f>IF($B206="",0,SUMIF('Maliyet Kayıtları'!$D$5:$D$1004,$B206,'Maliyet Kayıtları'!$G$5:$G$1004))</f>
      </c>
      <c r="H206" s="19">
        <f>IF($B206="","",$F206-$G206)</f>
      </c>
      <c r="I206" s="21">
        <f>IF(OR($B206="",$F206=0),"",$H206/$F206)</f>
      </c>
    </row>
    <row r="207" spans="2:9" x14ac:dyDescent="0.25">
      <c r="B207" s="14">
        <f>IF('Bütçe Kalemleri'!B207="","",'Bütçe Kalemleri'!B207)</f>
      </c>
      <c r="C207" s="14">
        <f>IF('Bütçe Kalemleri'!C207="","",'Bütçe Kalemleri'!C207)</f>
      </c>
      <c r="D207" s="14">
        <f>IF('Bütçe Kalemleri'!D207="","",'Bütçe Kalemleri'!D207)</f>
      </c>
      <c r="E207" s="14">
        <f>IF('Bütçe Kalemleri'!E207="","",'Bütçe Kalemleri'!E207)</f>
      </c>
      <c r="F207" s="16">
        <f>IF($B207="",0,'Bütçe Kalemleri'!F207)</f>
      </c>
      <c r="G207" s="16">
        <f>IF($B207="",0,SUMIF('Maliyet Kayıtları'!$D$5:$D$1004,$B207,'Maliyet Kayıtları'!$G$5:$G$1004))</f>
      </c>
      <c r="H207" s="19">
        <f>IF($B207="","",$F207-$G207)</f>
      </c>
      <c r="I207" s="21">
        <f>IF(OR($B207="",$F207=0),"",$H207/$F207)</f>
      </c>
    </row>
    <row r="208" spans="2:9" x14ac:dyDescent="0.25">
      <c r="B208" s="14">
        <f>IF('Bütçe Kalemleri'!B208="","",'Bütçe Kalemleri'!B208)</f>
      </c>
      <c r="C208" s="14">
        <f>IF('Bütçe Kalemleri'!C208="","",'Bütçe Kalemleri'!C208)</f>
      </c>
      <c r="D208" s="14">
        <f>IF('Bütçe Kalemleri'!D208="","",'Bütçe Kalemleri'!D208)</f>
      </c>
      <c r="E208" s="14">
        <f>IF('Bütçe Kalemleri'!E208="","",'Bütçe Kalemleri'!E208)</f>
      </c>
      <c r="F208" s="16">
        <f>IF($B208="",0,'Bütçe Kalemleri'!F208)</f>
      </c>
      <c r="G208" s="16">
        <f>IF($B208="",0,SUMIF('Maliyet Kayıtları'!$D$5:$D$1004,$B208,'Maliyet Kayıtları'!$G$5:$G$1004))</f>
      </c>
      <c r="H208" s="19">
        <f>IF($B208="","",$F208-$G208)</f>
      </c>
      <c r="I208" s="21">
        <f>IF(OR($B208="",$F208=0),"",$H208/$F208)</f>
      </c>
    </row>
    <row r="209" spans="2:9" x14ac:dyDescent="0.25">
      <c r="B209" s="14">
        <f>IF('Bütçe Kalemleri'!B209="","",'Bütçe Kalemleri'!B209)</f>
      </c>
      <c r="C209" s="14">
        <f>IF('Bütçe Kalemleri'!C209="","",'Bütçe Kalemleri'!C209)</f>
      </c>
      <c r="D209" s="14">
        <f>IF('Bütçe Kalemleri'!D209="","",'Bütçe Kalemleri'!D209)</f>
      </c>
      <c r="E209" s="14">
        <f>IF('Bütçe Kalemleri'!E209="","",'Bütçe Kalemleri'!E209)</f>
      </c>
      <c r="F209" s="16">
        <f>IF($B209="",0,'Bütçe Kalemleri'!F209)</f>
      </c>
      <c r="G209" s="16">
        <f>IF($B209="",0,SUMIF('Maliyet Kayıtları'!$D$5:$D$1004,$B209,'Maliyet Kayıtları'!$G$5:$G$1004))</f>
      </c>
      <c r="H209" s="19">
        <f>IF($B209="","",$F209-$G209)</f>
      </c>
      <c r="I209" s="21">
        <f>IF(OR($B209="",$F209=0),"",$H209/$F209)</f>
      </c>
    </row>
    <row r="210" spans="2:9" x14ac:dyDescent="0.25">
      <c r="B210" s="14">
        <f>IF('Bütçe Kalemleri'!B210="","",'Bütçe Kalemleri'!B210)</f>
      </c>
      <c r="C210" s="14">
        <f>IF('Bütçe Kalemleri'!C210="","",'Bütçe Kalemleri'!C210)</f>
      </c>
      <c r="D210" s="14">
        <f>IF('Bütçe Kalemleri'!D210="","",'Bütçe Kalemleri'!D210)</f>
      </c>
      <c r="E210" s="14">
        <f>IF('Bütçe Kalemleri'!E210="","",'Bütçe Kalemleri'!E210)</f>
      </c>
      <c r="F210" s="16">
        <f>IF($B210="",0,'Bütçe Kalemleri'!F210)</f>
      </c>
      <c r="G210" s="16">
        <f>IF($B210="",0,SUMIF('Maliyet Kayıtları'!$D$5:$D$1004,$B210,'Maliyet Kayıtları'!$G$5:$G$1004))</f>
      </c>
      <c r="H210" s="19">
        <f>IF($B210="","",$F210-$G210)</f>
      </c>
      <c r="I210" s="21">
        <f>IF(OR($B210="",$F210=0),"",$H210/$F210)</f>
      </c>
    </row>
    <row r="211" spans="2:9" x14ac:dyDescent="0.25">
      <c r="B211" s="14">
        <f>IF('Bütçe Kalemleri'!B211="","",'Bütçe Kalemleri'!B211)</f>
      </c>
      <c r="C211" s="14">
        <f>IF('Bütçe Kalemleri'!C211="","",'Bütçe Kalemleri'!C211)</f>
      </c>
      <c r="D211" s="14">
        <f>IF('Bütçe Kalemleri'!D211="","",'Bütçe Kalemleri'!D211)</f>
      </c>
      <c r="E211" s="14">
        <f>IF('Bütçe Kalemleri'!E211="","",'Bütçe Kalemleri'!E211)</f>
      </c>
      <c r="F211" s="16">
        <f>IF($B211="",0,'Bütçe Kalemleri'!F211)</f>
      </c>
      <c r="G211" s="16">
        <f>IF($B211="",0,SUMIF('Maliyet Kayıtları'!$D$5:$D$1004,$B211,'Maliyet Kayıtları'!$G$5:$G$1004))</f>
      </c>
      <c r="H211" s="19">
        <f>IF($B211="","",$F211-$G211)</f>
      </c>
      <c r="I211" s="21">
        <f>IF(OR($B211="",$F211=0),"",$H211/$F211)</f>
      </c>
    </row>
    <row r="212" spans="2:9" x14ac:dyDescent="0.25">
      <c r="B212" s="14">
        <f>IF('Bütçe Kalemleri'!B212="","",'Bütçe Kalemleri'!B212)</f>
      </c>
      <c r="C212" s="14">
        <f>IF('Bütçe Kalemleri'!C212="","",'Bütçe Kalemleri'!C212)</f>
      </c>
      <c r="D212" s="14">
        <f>IF('Bütçe Kalemleri'!D212="","",'Bütçe Kalemleri'!D212)</f>
      </c>
      <c r="E212" s="14">
        <f>IF('Bütçe Kalemleri'!E212="","",'Bütçe Kalemleri'!E212)</f>
      </c>
      <c r="F212" s="16">
        <f>IF($B212="",0,'Bütçe Kalemleri'!F212)</f>
      </c>
      <c r="G212" s="16">
        <f>IF($B212="",0,SUMIF('Maliyet Kayıtları'!$D$5:$D$1004,$B212,'Maliyet Kayıtları'!$G$5:$G$1004))</f>
      </c>
      <c r="H212" s="19">
        <f>IF($B212="","",$F212-$G212)</f>
      </c>
      <c r="I212" s="21">
        <f>IF(OR($B212="",$F212=0),"",$H212/$F212)</f>
      </c>
    </row>
    <row r="213" spans="2:9" x14ac:dyDescent="0.25">
      <c r="B213" s="14">
        <f>IF('Bütçe Kalemleri'!B213="","",'Bütçe Kalemleri'!B213)</f>
      </c>
      <c r="C213" s="14">
        <f>IF('Bütçe Kalemleri'!C213="","",'Bütçe Kalemleri'!C213)</f>
      </c>
      <c r="D213" s="14">
        <f>IF('Bütçe Kalemleri'!D213="","",'Bütçe Kalemleri'!D213)</f>
      </c>
      <c r="E213" s="14">
        <f>IF('Bütçe Kalemleri'!E213="","",'Bütçe Kalemleri'!E213)</f>
      </c>
      <c r="F213" s="16">
        <f>IF($B213="",0,'Bütçe Kalemleri'!F213)</f>
      </c>
      <c r="G213" s="16">
        <f>IF($B213="",0,SUMIF('Maliyet Kayıtları'!$D$5:$D$1004,$B213,'Maliyet Kayıtları'!$G$5:$G$1004))</f>
      </c>
      <c r="H213" s="19">
        <f>IF($B213="","",$F213-$G213)</f>
      </c>
      <c r="I213" s="21">
        <f>IF(OR($B213="",$F213=0),"",$H213/$F213)</f>
      </c>
    </row>
    <row r="214" spans="2:9" x14ac:dyDescent="0.25">
      <c r="B214" s="14">
        <f>IF('Bütçe Kalemleri'!B214="","",'Bütçe Kalemleri'!B214)</f>
      </c>
      <c r="C214" s="14">
        <f>IF('Bütçe Kalemleri'!C214="","",'Bütçe Kalemleri'!C214)</f>
      </c>
      <c r="D214" s="14">
        <f>IF('Bütçe Kalemleri'!D214="","",'Bütçe Kalemleri'!D214)</f>
      </c>
      <c r="E214" s="14">
        <f>IF('Bütçe Kalemleri'!E214="","",'Bütçe Kalemleri'!E214)</f>
      </c>
      <c r="F214" s="16">
        <f>IF($B214="",0,'Bütçe Kalemleri'!F214)</f>
      </c>
      <c r="G214" s="16">
        <f>IF($B214="",0,SUMIF('Maliyet Kayıtları'!$D$5:$D$1004,$B214,'Maliyet Kayıtları'!$G$5:$G$1004))</f>
      </c>
      <c r="H214" s="19">
        <f>IF($B214="","",$F214-$G214)</f>
      </c>
      <c r="I214" s="21">
        <f>IF(OR($B214="",$F214=0),"",$H214/$F214)</f>
      </c>
    </row>
    <row r="215" spans="2:9" x14ac:dyDescent="0.25">
      <c r="B215" s="14">
        <f>IF('Bütçe Kalemleri'!B215="","",'Bütçe Kalemleri'!B215)</f>
      </c>
      <c r="C215" s="14">
        <f>IF('Bütçe Kalemleri'!C215="","",'Bütçe Kalemleri'!C215)</f>
      </c>
      <c r="D215" s="14">
        <f>IF('Bütçe Kalemleri'!D215="","",'Bütçe Kalemleri'!D215)</f>
      </c>
      <c r="E215" s="14">
        <f>IF('Bütçe Kalemleri'!E215="","",'Bütçe Kalemleri'!E215)</f>
      </c>
      <c r="F215" s="16">
        <f>IF($B215="",0,'Bütçe Kalemleri'!F215)</f>
      </c>
      <c r="G215" s="16">
        <f>IF($B215="",0,SUMIF('Maliyet Kayıtları'!$D$5:$D$1004,$B215,'Maliyet Kayıtları'!$G$5:$G$1004))</f>
      </c>
      <c r="H215" s="19">
        <f>IF($B215="","",$F215-$G215)</f>
      </c>
      <c r="I215" s="21">
        <f>IF(OR($B215="",$F215=0),"",$H215/$F215)</f>
      </c>
    </row>
    <row r="216" spans="2:9" x14ac:dyDescent="0.25">
      <c r="B216" s="14">
        <f>IF('Bütçe Kalemleri'!B216="","",'Bütçe Kalemleri'!B216)</f>
      </c>
      <c r="C216" s="14">
        <f>IF('Bütçe Kalemleri'!C216="","",'Bütçe Kalemleri'!C216)</f>
      </c>
      <c r="D216" s="14">
        <f>IF('Bütçe Kalemleri'!D216="","",'Bütçe Kalemleri'!D216)</f>
      </c>
      <c r="E216" s="14">
        <f>IF('Bütçe Kalemleri'!E216="","",'Bütçe Kalemleri'!E216)</f>
      </c>
      <c r="F216" s="16">
        <f>IF($B216="",0,'Bütçe Kalemleri'!F216)</f>
      </c>
      <c r="G216" s="16">
        <f>IF($B216="",0,SUMIF('Maliyet Kayıtları'!$D$5:$D$1004,$B216,'Maliyet Kayıtları'!$G$5:$G$1004))</f>
      </c>
      <c r="H216" s="19">
        <f>IF($B216="","",$F216-$G216)</f>
      </c>
      <c r="I216" s="21">
        <f>IF(OR($B216="",$F216=0),"",$H216/$F216)</f>
      </c>
    </row>
    <row r="217" spans="2:9" x14ac:dyDescent="0.25">
      <c r="B217" s="14">
        <f>IF('Bütçe Kalemleri'!B217="","",'Bütçe Kalemleri'!B217)</f>
      </c>
      <c r="C217" s="14">
        <f>IF('Bütçe Kalemleri'!C217="","",'Bütçe Kalemleri'!C217)</f>
      </c>
      <c r="D217" s="14">
        <f>IF('Bütçe Kalemleri'!D217="","",'Bütçe Kalemleri'!D217)</f>
      </c>
      <c r="E217" s="14">
        <f>IF('Bütçe Kalemleri'!E217="","",'Bütçe Kalemleri'!E217)</f>
      </c>
      <c r="F217" s="16">
        <f>IF($B217="",0,'Bütçe Kalemleri'!F217)</f>
      </c>
      <c r="G217" s="16">
        <f>IF($B217="",0,SUMIF('Maliyet Kayıtları'!$D$5:$D$1004,$B217,'Maliyet Kayıtları'!$G$5:$G$1004))</f>
      </c>
      <c r="H217" s="19">
        <f>IF($B217="","",$F217-$G217)</f>
      </c>
      <c r="I217" s="21">
        <f>IF(OR($B217="",$F217=0),"",$H217/$F217)</f>
      </c>
    </row>
    <row r="218" spans="2:9" x14ac:dyDescent="0.25">
      <c r="B218" s="14">
        <f>IF('Bütçe Kalemleri'!B218="","",'Bütçe Kalemleri'!B218)</f>
      </c>
      <c r="C218" s="14">
        <f>IF('Bütçe Kalemleri'!C218="","",'Bütçe Kalemleri'!C218)</f>
      </c>
      <c r="D218" s="14">
        <f>IF('Bütçe Kalemleri'!D218="","",'Bütçe Kalemleri'!D218)</f>
      </c>
      <c r="E218" s="14">
        <f>IF('Bütçe Kalemleri'!E218="","",'Bütçe Kalemleri'!E218)</f>
      </c>
      <c r="F218" s="16">
        <f>IF($B218="",0,'Bütçe Kalemleri'!F218)</f>
      </c>
      <c r="G218" s="16">
        <f>IF($B218="",0,SUMIF('Maliyet Kayıtları'!$D$5:$D$1004,$B218,'Maliyet Kayıtları'!$G$5:$G$1004))</f>
      </c>
      <c r="H218" s="19">
        <f>IF($B218="","",$F218-$G218)</f>
      </c>
      <c r="I218" s="21">
        <f>IF(OR($B218="",$F218=0),"",$H218/$F218)</f>
      </c>
    </row>
    <row r="219" spans="2:9" x14ac:dyDescent="0.25">
      <c r="B219" s="14">
        <f>IF('Bütçe Kalemleri'!B219="","",'Bütçe Kalemleri'!B219)</f>
      </c>
      <c r="C219" s="14">
        <f>IF('Bütçe Kalemleri'!C219="","",'Bütçe Kalemleri'!C219)</f>
      </c>
      <c r="D219" s="14">
        <f>IF('Bütçe Kalemleri'!D219="","",'Bütçe Kalemleri'!D219)</f>
      </c>
      <c r="E219" s="14">
        <f>IF('Bütçe Kalemleri'!E219="","",'Bütçe Kalemleri'!E219)</f>
      </c>
      <c r="F219" s="16">
        <f>IF($B219="",0,'Bütçe Kalemleri'!F219)</f>
      </c>
      <c r="G219" s="16">
        <f>IF($B219="",0,SUMIF('Maliyet Kayıtları'!$D$5:$D$1004,$B219,'Maliyet Kayıtları'!$G$5:$G$1004))</f>
      </c>
      <c r="H219" s="19">
        <f>IF($B219="","",$F219-$G219)</f>
      </c>
      <c r="I219" s="21">
        <f>IF(OR($B219="",$F219=0),"",$H219/$F219)</f>
      </c>
    </row>
    <row r="220" spans="2:9" x14ac:dyDescent="0.25">
      <c r="B220" s="14">
        <f>IF('Bütçe Kalemleri'!B220="","",'Bütçe Kalemleri'!B220)</f>
      </c>
      <c r="C220" s="14">
        <f>IF('Bütçe Kalemleri'!C220="","",'Bütçe Kalemleri'!C220)</f>
      </c>
      <c r="D220" s="14">
        <f>IF('Bütçe Kalemleri'!D220="","",'Bütçe Kalemleri'!D220)</f>
      </c>
      <c r="E220" s="14">
        <f>IF('Bütçe Kalemleri'!E220="","",'Bütçe Kalemleri'!E220)</f>
      </c>
      <c r="F220" s="16">
        <f>IF($B220="",0,'Bütçe Kalemleri'!F220)</f>
      </c>
      <c r="G220" s="16">
        <f>IF($B220="",0,SUMIF('Maliyet Kayıtları'!$D$5:$D$1004,$B220,'Maliyet Kayıtları'!$G$5:$G$1004))</f>
      </c>
      <c r="H220" s="19">
        <f>IF($B220="","",$F220-$G220)</f>
      </c>
      <c r="I220" s="21">
        <f>IF(OR($B220="",$F220=0),"",$H220/$F220)</f>
      </c>
    </row>
    <row r="221" spans="2:9" x14ac:dyDescent="0.25">
      <c r="B221" s="14">
        <f>IF('Bütçe Kalemleri'!B221="","",'Bütçe Kalemleri'!B221)</f>
      </c>
      <c r="C221" s="14">
        <f>IF('Bütçe Kalemleri'!C221="","",'Bütçe Kalemleri'!C221)</f>
      </c>
      <c r="D221" s="14">
        <f>IF('Bütçe Kalemleri'!D221="","",'Bütçe Kalemleri'!D221)</f>
      </c>
      <c r="E221" s="14">
        <f>IF('Bütçe Kalemleri'!E221="","",'Bütçe Kalemleri'!E221)</f>
      </c>
      <c r="F221" s="16">
        <f>IF($B221="",0,'Bütçe Kalemleri'!F221)</f>
      </c>
      <c r="G221" s="16">
        <f>IF($B221="",0,SUMIF('Maliyet Kayıtları'!$D$5:$D$1004,$B221,'Maliyet Kayıtları'!$G$5:$G$1004))</f>
      </c>
      <c r="H221" s="19">
        <f>IF($B221="","",$F221-$G221)</f>
      </c>
      <c r="I221" s="21">
        <f>IF(OR($B221="",$F221=0),"",$H221/$F221)</f>
      </c>
    </row>
    <row r="222" spans="2:9" x14ac:dyDescent="0.25">
      <c r="B222" s="14">
        <f>IF('Bütçe Kalemleri'!B222="","",'Bütçe Kalemleri'!B222)</f>
      </c>
      <c r="C222" s="14">
        <f>IF('Bütçe Kalemleri'!C222="","",'Bütçe Kalemleri'!C222)</f>
      </c>
      <c r="D222" s="14">
        <f>IF('Bütçe Kalemleri'!D222="","",'Bütçe Kalemleri'!D222)</f>
      </c>
      <c r="E222" s="14">
        <f>IF('Bütçe Kalemleri'!E222="","",'Bütçe Kalemleri'!E222)</f>
      </c>
      <c r="F222" s="16">
        <f>IF($B222="",0,'Bütçe Kalemleri'!F222)</f>
      </c>
      <c r="G222" s="16">
        <f>IF($B222="",0,SUMIF('Maliyet Kayıtları'!$D$5:$D$1004,$B222,'Maliyet Kayıtları'!$G$5:$G$1004))</f>
      </c>
      <c r="H222" s="19">
        <f>IF($B222="","",$F222-$G222)</f>
      </c>
      <c r="I222" s="21">
        <f>IF(OR($B222="",$F222=0),"",$H222/$F222)</f>
      </c>
    </row>
    <row r="223" spans="2:9" x14ac:dyDescent="0.25">
      <c r="B223" s="14">
        <f>IF('Bütçe Kalemleri'!B223="","",'Bütçe Kalemleri'!B223)</f>
      </c>
      <c r="C223" s="14">
        <f>IF('Bütçe Kalemleri'!C223="","",'Bütçe Kalemleri'!C223)</f>
      </c>
      <c r="D223" s="14">
        <f>IF('Bütçe Kalemleri'!D223="","",'Bütçe Kalemleri'!D223)</f>
      </c>
      <c r="E223" s="14">
        <f>IF('Bütçe Kalemleri'!E223="","",'Bütçe Kalemleri'!E223)</f>
      </c>
      <c r="F223" s="16">
        <f>IF($B223="",0,'Bütçe Kalemleri'!F223)</f>
      </c>
      <c r="G223" s="16">
        <f>IF($B223="",0,SUMIF('Maliyet Kayıtları'!$D$5:$D$1004,$B223,'Maliyet Kayıtları'!$G$5:$G$1004))</f>
      </c>
      <c r="H223" s="19">
        <f>IF($B223="","",$F223-$G223)</f>
      </c>
      <c r="I223" s="21">
        <f>IF(OR($B223="",$F223=0),"",$H223/$F223)</f>
      </c>
    </row>
    <row r="224" spans="2:9" x14ac:dyDescent="0.25">
      <c r="B224" s="14">
        <f>IF('Bütçe Kalemleri'!B224="","",'Bütçe Kalemleri'!B224)</f>
      </c>
      <c r="C224" s="14">
        <f>IF('Bütçe Kalemleri'!C224="","",'Bütçe Kalemleri'!C224)</f>
      </c>
      <c r="D224" s="14">
        <f>IF('Bütçe Kalemleri'!D224="","",'Bütçe Kalemleri'!D224)</f>
      </c>
      <c r="E224" s="14">
        <f>IF('Bütçe Kalemleri'!E224="","",'Bütçe Kalemleri'!E224)</f>
      </c>
      <c r="F224" s="16">
        <f>IF($B224="",0,'Bütçe Kalemleri'!F224)</f>
      </c>
      <c r="G224" s="16">
        <f>IF($B224="",0,SUMIF('Maliyet Kayıtları'!$D$5:$D$1004,$B224,'Maliyet Kayıtları'!$G$5:$G$1004))</f>
      </c>
      <c r="H224" s="19">
        <f>IF($B224="","",$F224-$G224)</f>
      </c>
      <c r="I224" s="21">
        <f>IF(OR($B224="",$F224=0),"",$H224/$F224)</f>
      </c>
    </row>
    <row r="225" spans="2:9" x14ac:dyDescent="0.25">
      <c r="B225" s="14">
        <f>IF('Bütçe Kalemleri'!B225="","",'Bütçe Kalemleri'!B225)</f>
      </c>
      <c r="C225" s="14">
        <f>IF('Bütçe Kalemleri'!C225="","",'Bütçe Kalemleri'!C225)</f>
      </c>
      <c r="D225" s="14">
        <f>IF('Bütçe Kalemleri'!D225="","",'Bütçe Kalemleri'!D225)</f>
      </c>
      <c r="E225" s="14">
        <f>IF('Bütçe Kalemleri'!E225="","",'Bütçe Kalemleri'!E225)</f>
      </c>
      <c r="F225" s="16">
        <f>IF($B225="",0,'Bütçe Kalemleri'!F225)</f>
      </c>
      <c r="G225" s="16">
        <f>IF($B225="",0,SUMIF('Maliyet Kayıtları'!$D$5:$D$1004,$B225,'Maliyet Kayıtları'!$G$5:$G$1004))</f>
      </c>
      <c r="H225" s="19">
        <f>IF($B225="","",$F225-$G225)</f>
      </c>
      <c r="I225" s="21">
        <f>IF(OR($B225="",$F225=0),"",$H225/$F225)</f>
      </c>
    </row>
    <row r="226" spans="2:9" x14ac:dyDescent="0.25">
      <c r="B226" s="14">
        <f>IF('Bütçe Kalemleri'!B226="","",'Bütçe Kalemleri'!B226)</f>
      </c>
      <c r="C226" s="14">
        <f>IF('Bütçe Kalemleri'!C226="","",'Bütçe Kalemleri'!C226)</f>
      </c>
      <c r="D226" s="14">
        <f>IF('Bütçe Kalemleri'!D226="","",'Bütçe Kalemleri'!D226)</f>
      </c>
      <c r="E226" s="14">
        <f>IF('Bütçe Kalemleri'!E226="","",'Bütçe Kalemleri'!E226)</f>
      </c>
      <c r="F226" s="16">
        <f>IF($B226="",0,'Bütçe Kalemleri'!F226)</f>
      </c>
      <c r="G226" s="16">
        <f>IF($B226="",0,SUMIF('Maliyet Kayıtları'!$D$5:$D$1004,$B226,'Maliyet Kayıtları'!$G$5:$G$1004))</f>
      </c>
      <c r="H226" s="19">
        <f>IF($B226="","",$F226-$G226)</f>
      </c>
      <c r="I226" s="21">
        <f>IF(OR($B226="",$F226=0),"",$H226/$F226)</f>
      </c>
    </row>
    <row r="227" spans="2:9" x14ac:dyDescent="0.25">
      <c r="B227" s="14">
        <f>IF('Bütçe Kalemleri'!B227="","",'Bütçe Kalemleri'!B227)</f>
      </c>
      <c r="C227" s="14">
        <f>IF('Bütçe Kalemleri'!C227="","",'Bütçe Kalemleri'!C227)</f>
      </c>
      <c r="D227" s="14">
        <f>IF('Bütçe Kalemleri'!D227="","",'Bütçe Kalemleri'!D227)</f>
      </c>
      <c r="E227" s="14">
        <f>IF('Bütçe Kalemleri'!E227="","",'Bütçe Kalemleri'!E227)</f>
      </c>
      <c r="F227" s="16">
        <f>IF($B227="",0,'Bütçe Kalemleri'!F227)</f>
      </c>
      <c r="G227" s="16">
        <f>IF($B227="",0,SUMIF('Maliyet Kayıtları'!$D$5:$D$1004,$B227,'Maliyet Kayıtları'!$G$5:$G$1004))</f>
      </c>
      <c r="H227" s="19">
        <f>IF($B227="","",$F227-$G227)</f>
      </c>
      <c r="I227" s="21">
        <f>IF(OR($B227="",$F227=0),"",$H227/$F227)</f>
      </c>
    </row>
    <row r="228" spans="2:9" x14ac:dyDescent="0.25">
      <c r="B228" s="14">
        <f>IF('Bütçe Kalemleri'!B228="","",'Bütçe Kalemleri'!B228)</f>
      </c>
      <c r="C228" s="14">
        <f>IF('Bütçe Kalemleri'!C228="","",'Bütçe Kalemleri'!C228)</f>
      </c>
      <c r="D228" s="14">
        <f>IF('Bütçe Kalemleri'!D228="","",'Bütçe Kalemleri'!D228)</f>
      </c>
      <c r="E228" s="14">
        <f>IF('Bütçe Kalemleri'!E228="","",'Bütçe Kalemleri'!E228)</f>
      </c>
      <c r="F228" s="16">
        <f>IF($B228="",0,'Bütçe Kalemleri'!F228)</f>
      </c>
      <c r="G228" s="16">
        <f>IF($B228="",0,SUMIF('Maliyet Kayıtları'!$D$5:$D$1004,$B228,'Maliyet Kayıtları'!$G$5:$G$1004))</f>
      </c>
      <c r="H228" s="19">
        <f>IF($B228="","",$F228-$G228)</f>
      </c>
      <c r="I228" s="21">
        <f>IF(OR($B228="",$F228=0),"",$H228/$F228)</f>
      </c>
    </row>
    <row r="229" spans="2:9" x14ac:dyDescent="0.25">
      <c r="B229" s="14">
        <f>IF('Bütçe Kalemleri'!B229="","",'Bütçe Kalemleri'!B229)</f>
      </c>
      <c r="C229" s="14">
        <f>IF('Bütçe Kalemleri'!C229="","",'Bütçe Kalemleri'!C229)</f>
      </c>
      <c r="D229" s="14">
        <f>IF('Bütçe Kalemleri'!D229="","",'Bütçe Kalemleri'!D229)</f>
      </c>
      <c r="E229" s="14">
        <f>IF('Bütçe Kalemleri'!E229="","",'Bütçe Kalemleri'!E229)</f>
      </c>
      <c r="F229" s="16">
        <f>IF($B229="",0,'Bütçe Kalemleri'!F229)</f>
      </c>
      <c r="G229" s="16">
        <f>IF($B229="",0,SUMIF('Maliyet Kayıtları'!$D$5:$D$1004,$B229,'Maliyet Kayıtları'!$G$5:$G$1004))</f>
      </c>
      <c r="H229" s="19">
        <f>IF($B229="","",$F229-$G229)</f>
      </c>
      <c r="I229" s="21">
        <f>IF(OR($B229="",$F229=0),"",$H229/$F229)</f>
      </c>
    </row>
    <row r="230" spans="2:9" x14ac:dyDescent="0.25">
      <c r="B230" s="14">
        <f>IF('Bütçe Kalemleri'!B230="","",'Bütçe Kalemleri'!B230)</f>
      </c>
      <c r="C230" s="14">
        <f>IF('Bütçe Kalemleri'!C230="","",'Bütçe Kalemleri'!C230)</f>
      </c>
      <c r="D230" s="14">
        <f>IF('Bütçe Kalemleri'!D230="","",'Bütçe Kalemleri'!D230)</f>
      </c>
      <c r="E230" s="14">
        <f>IF('Bütçe Kalemleri'!E230="","",'Bütçe Kalemleri'!E230)</f>
      </c>
      <c r="F230" s="16">
        <f>IF($B230="",0,'Bütçe Kalemleri'!F230)</f>
      </c>
      <c r="G230" s="16">
        <f>IF($B230="",0,SUMIF('Maliyet Kayıtları'!$D$5:$D$1004,$B230,'Maliyet Kayıtları'!$G$5:$G$1004))</f>
      </c>
      <c r="H230" s="19">
        <f>IF($B230="","",$F230-$G230)</f>
      </c>
      <c r="I230" s="21">
        <f>IF(OR($B230="",$F230=0),"",$H230/$F230)</f>
      </c>
    </row>
    <row r="231" spans="2:9" x14ac:dyDescent="0.25">
      <c r="B231" s="14">
        <f>IF('Bütçe Kalemleri'!B231="","",'Bütçe Kalemleri'!B231)</f>
      </c>
      <c r="C231" s="14">
        <f>IF('Bütçe Kalemleri'!C231="","",'Bütçe Kalemleri'!C231)</f>
      </c>
      <c r="D231" s="14">
        <f>IF('Bütçe Kalemleri'!D231="","",'Bütçe Kalemleri'!D231)</f>
      </c>
      <c r="E231" s="14">
        <f>IF('Bütçe Kalemleri'!E231="","",'Bütçe Kalemleri'!E231)</f>
      </c>
      <c r="F231" s="16">
        <f>IF($B231="",0,'Bütçe Kalemleri'!F231)</f>
      </c>
      <c r="G231" s="16">
        <f>IF($B231="",0,SUMIF('Maliyet Kayıtları'!$D$5:$D$1004,$B231,'Maliyet Kayıtları'!$G$5:$G$1004))</f>
      </c>
      <c r="H231" s="19">
        <f>IF($B231="","",$F231-$G231)</f>
      </c>
      <c r="I231" s="21">
        <f>IF(OR($B231="",$F231=0),"",$H231/$F231)</f>
      </c>
    </row>
    <row r="232" spans="2:9" x14ac:dyDescent="0.25">
      <c r="B232" s="14">
        <f>IF('Bütçe Kalemleri'!B232="","",'Bütçe Kalemleri'!B232)</f>
      </c>
      <c r="C232" s="14">
        <f>IF('Bütçe Kalemleri'!C232="","",'Bütçe Kalemleri'!C232)</f>
      </c>
      <c r="D232" s="14">
        <f>IF('Bütçe Kalemleri'!D232="","",'Bütçe Kalemleri'!D232)</f>
      </c>
      <c r="E232" s="14">
        <f>IF('Bütçe Kalemleri'!E232="","",'Bütçe Kalemleri'!E232)</f>
      </c>
      <c r="F232" s="16">
        <f>IF($B232="",0,'Bütçe Kalemleri'!F232)</f>
      </c>
      <c r="G232" s="16">
        <f>IF($B232="",0,SUMIF('Maliyet Kayıtları'!$D$5:$D$1004,$B232,'Maliyet Kayıtları'!$G$5:$G$1004))</f>
      </c>
      <c r="H232" s="19">
        <f>IF($B232="","",$F232-$G232)</f>
      </c>
      <c r="I232" s="21">
        <f>IF(OR($B232="",$F232=0),"",$H232/$F232)</f>
      </c>
    </row>
    <row r="233" spans="2:9" x14ac:dyDescent="0.25">
      <c r="B233" s="14">
        <f>IF('Bütçe Kalemleri'!B233="","",'Bütçe Kalemleri'!B233)</f>
      </c>
      <c r="C233" s="14">
        <f>IF('Bütçe Kalemleri'!C233="","",'Bütçe Kalemleri'!C233)</f>
      </c>
      <c r="D233" s="14">
        <f>IF('Bütçe Kalemleri'!D233="","",'Bütçe Kalemleri'!D233)</f>
      </c>
      <c r="E233" s="14">
        <f>IF('Bütçe Kalemleri'!E233="","",'Bütçe Kalemleri'!E233)</f>
      </c>
      <c r="F233" s="16">
        <f>IF($B233="",0,'Bütçe Kalemleri'!F233)</f>
      </c>
      <c r="G233" s="16">
        <f>IF($B233="",0,SUMIF('Maliyet Kayıtları'!$D$5:$D$1004,$B233,'Maliyet Kayıtları'!$G$5:$G$1004))</f>
      </c>
      <c r="H233" s="19">
        <f>IF($B233="","",$F233-$G233)</f>
      </c>
      <c r="I233" s="21">
        <f>IF(OR($B233="",$F233=0),"",$H233/$F233)</f>
      </c>
    </row>
    <row r="234" spans="2:9" x14ac:dyDescent="0.25">
      <c r="B234" s="14">
        <f>IF('Bütçe Kalemleri'!B234="","",'Bütçe Kalemleri'!B234)</f>
      </c>
      <c r="C234" s="14">
        <f>IF('Bütçe Kalemleri'!C234="","",'Bütçe Kalemleri'!C234)</f>
      </c>
      <c r="D234" s="14">
        <f>IF('Bütçe Kalemleri'!D234="","",'Bütçe Kalemleri'!D234)</f>
      </c>
      <c r="E234" s="14">
        <f>IF('Bütçe Kalemleri'!E234="","",'Bütçe Kalemleri'!E234)</f>
      </c>
      <c r="F234" s="16">
        <f>IF($B234="",0,'Bütçe Kalemleri'!F234)</f>
      </c>
      <c r="G234" s="16">
        <f>IF($B234="",0,SUMIF('Maliyet Kayıtları'!$D$5:$D$1004,$B234,'Maliyet Kayıtları'!$G$5:$G$1004))</f>
      </c>
      <c r="H234" s="19">
        <f>IF($B234="","",$F234-$G234)</f>
      </c>
      <c r="I234" s="21">
        <f>IF(OR($B234="",$F234=0),"",$H234/$F234)</f>
      </c>
    </row>
    <row r="235" spans="2:9" x14ac:dyDescent="0.25">
      <c r="B235" s="14">
        <f>IF('Bütçe Kalemleri'!B235="","",'Bütçe Kalemleri'!B235)</f>
      </c>
      <c r="C235" s="14">
        <f>IF('Bütçe Kalemleri'!C235="","",'Bütçe Kalemleri'!C235)</f>
      </c>
      <c r="D235" s="14">
        <f>IF('Bütçe Kalemleri'!D235="","",'Bütçe Kalemleri'!D235)</f>
      </c>
      <c r="E235" s="14">
        <f>IF('Bütçe Kalemleri'!E235="","",'Bütçe Kalemleri'!E235)</f>
      </c>
      <c r="F235" s="16">
        <f>IF($B235="",0,'Bütçe Kalemleri'!F235)</f>
      </c>
      <c r="G235" s="16">
        <f>IF($B235="",0,SUMIF('Maliyet Kayıtları'!$D$5:$D$1004,$B235,'Maliyet Kayıtları'!$G$5:$G$1004))</f>
      </c>
      <c r="H235" s="19">
        <f>IF($B235="","",$F235-$G235)</f>
      </c>
      <c r="I235" s="21">
        <f>IF(OR($B235="",$F235=0),"",$H235/$F235)</f>
      </c>
    </row>
    <row r="236" spans="2:9" x14ac:dyDescent="0.25">
      <c r="B236" s="14">
        <f>IF('Bütçe Kalemleri'!B236="","",'Bütçe Kalemleri'!B236)</f>
      </c>
      <c r="C236" s="14">
        <f>IF('Bütçe Kalemleri'!C236="","",'Bütçe Kalemleri'!C236)</f>
      </c>
      <c r="D236" s="14">
        <f>IF('Bütçe Kalemleri'!D236="","",'Bütçe Kalemleri'!D236)</f>
      </c>
      <c r="E236" s="14">
        <f>IF('Bütçe Kalemleri'!E236="","",'Bütçe Kalemleri'!E236)</f>
      </c>
      <c r="F236" s="16">
        <f>IF($B236="",0,'Bütçe Kalemleri'!F236)</f>
      </c>
      <c r="G236" s="16">
        <f>IF($B236="",0,SUMIF('Maliyet Kayıtları'!$D$5:$D$1004,$B236,'Maliyet Kayıtları'!$G$5:$G$1004))</f>
      </c>
      <c r="H236" s="19">
        <f>IF($B236="","",$F236-$G236)</f>
      </c>
      <c r="I236" s="21">
        <f>IF(OR($B236="",$F236=0),"",$H236/$F236)</f>
      </c>
    </row>
    <row r="237" spans="2:9" x14ac:dyDescent="0.25">
      <c r="B237" s="14">
        <f>IF('Bütçe Kalemleri'!B237="","",'Bütçe Kalemleri'!B237)</f>
      </c>
      <c r="C237" s="14">
        <f>IF('Bütçe Kalemleri'!C237="","",'Bütçe Kalemleri'!C237)</f>
      </c>
      <c r="D237" s="14">
        <f>IF('Bütçe Kalemleri'!D237="","",'Bütçe Kalemleri'!D237)</f>
      </c>
      <c r="E237" s="14">
        <f>IF('Bütçe Kalemleri'!E237="","",'Bütçe Kalemleri'!E237)</f>
      </c>
      <c r="F237" s="16">
        <f>IF($B237="",0,'Bütçe Kalemleri'!F237)</f>
      </c>
      <c r="G237" s="16">
        <f>IF($B237="",0,SUMIF('Maliyet Kayıtları'!$D$5:$D$1004,$B237,'Maliyet Kayıtları'!$G$5:$G$1004))</f>
      </c>
      <c r="H237" s="19">
        <f>IF($B237="","",$F237-$G237)</f>
      </c>
      <c r="I237" s="21">
        <f>IF(OR($B237="",$F237=0),"",$H237/$F237)</f>
      </c>
    </row>
    <row r="238" spans="2:9" x14ac:dyDescent="0.25">
      <c r="B238" s="14">
        <f>IF('Bütçe Kalemleri'!B238="","",'Bütçe Kalemleri'!B238)</f>
      </c>
      <c r="C238" s="14">
        <f>IF('Bütçe Kalemleri'!C238="","",'Bütçe Kalemleri'!C238)</f>
      </c>
      <c r="D238" s="14">
        <f>IF('Bütçe Kalemleri'!D238="","",'Bütçe Kalemleri'!D238)</f>
      </c>
      <c r="E238" s="14">
        <f>IF('Bütçe Kalemleri'!E238="","",'Bütçe Kalemleri'!E238)</f>
      </c>
      <c r="F238" s="16">
        <f>IF($B238="",0,'Bütçe Kalemleri'!F238)</f>
      </c>
      <c r="G238" s="16">
        <f>IF($B238="",0,SUMIF('Maliyet Kayıtları'!$D$5:$D$1004,$B238,'Maliyet Kayıtları'!$G$5:$G$1004))</f>
      </c>
      <c r="H238" s="19">
        <f>IF($B238="","",$F238-$G238)</f>
      </c>
      <c r="I238" s="21">
        <f>IF(OR($B238="",$F238=0),"",$H238/$F238)</f>
      </c>
    </row>
    <row r="239" spans="2:9" x14ac:dyDescent="0.25">
      <c r="B239" s="14">
        <f>IF('Bütçe Kalemleri'!B239="","",'Bütçe Kalemleri'!B239)</f>
      </c>
      <c r="C239" s="14">
        <f>IF('Bütçe Kalemleri'!C239="","",'Bütçe Kalemleri'!C239)</f>
      </c>
      <c r="D239" s="14">
        <f>IF('Bütçe Kalemleri'!D239="","",'Bütçe Kalemleri'!D239)</f>
      </c>
      <c r="E239" s="14">
        <f>IF('Bütçe Kalemleri'!E239="","",'Bütçe Kalemleri'!E239)</f>
      </c>
      <c r="F239" s="16">
        <f>IF($B239="",0,'Bütçe Kalemleri'!F239)</f>
      </c>
      <c r="G239" s="16">
        <f>IF($B239="",0,SUMIF('Maliyet Kayıtları'!$D$5:$D$1004,$B239,'Maliyet Kayıtları'!$G$5:$G$1004))</f>
      </c>
      <c r="H239" s="19">
        <f>IF($B239="","",$F239-$G239)</f>
      </c>
      <c r="I239" s="21">
        <f>IF(OR($B239="",$F239=0),"",$H239/$F239)</f>
      </c>
    </row>
    <row r="240" spans="2:9" x14ac:dyDescent="0.25">
      <c r="B240" s="14">
        <f>IF('Bütçe Kalemleri'!B240="","",'Bütçe Kalemleri'!B240)</f>
      </c>
      <c r="C240" s="14">
        <f>IF('Bütçe Kalemleri'!C240="","",'Bütçe Kalemleri'!C240)</f>
      </c>
      <c r="D240" s="14">
        <f>IF('Bütçe Kalemleri'!D240="","",'Bütçe Kalemleri'!D240)</f>
      </c>
      <c r="E240" s="14">
        <f>IF('Bütçe Kalemleri'!E240="","",'Bütçe Kalemleri'!E240)</f>
      </c>
      <c r="F240" s="16">
        <f>IF($B240="",0,'Bütçe Kalemleri'!F240)</f>
      </c>
      <c r="G240" s="16">
        <f>IF($B240="",0,SUMIF('Maliyet Kayıtları'!$D$5:$D$1004,$B240,'Maliyet Kayıtları'!$G$5:$G$1004))</f>
      </c>
      <c r="H240" s="19">
        <f>IF($B240="","",$F240-$G240)</f>
      </c>
      <c r="I240" s="21">
        <f>IF(OR($B240="",$F240=0),"",$H240/$F240)</f>
      </c>
    </row>
    <row r="241" spans="2:9" x14ac:dyDescent="0.25">
      <c r="B241" s="14">
        <f>IF('Bütçe Kalemleri'!B241="","",'Bütçe Kalemleri'!B241)</f>
      </c>
      <c r="C241" s="14">
        <f>IF('Bütçe Kalemleri'!C241="","",'Bütçe Kalemleri'!C241)</f>
      </c>
      <c r="D241" s="14">
        <f>IF('Bütçe Kalemleri'!D241="","",'Bütçe Kalemleri'!D241)</f>
      </c>
      <c r="E241" s="14">
        <f>IF('Bütçe Kalemleri'!E241="","",'Bütçe Kalemleri'!E241)</f>
      </c>
      <c r="F241" s="16">
        <f>IF($B241="",0,'Bütçe Kalemleri'!F241)</f>
      </c>
      <c r="G241" s="16">
        <f>IF($B241="",0,SUMIF('Maliyet Kayıtları'!$D$5:$D$1004,$B241,'Maliyet Kayıtları'!$G$5:$G$1004))</f>
      </c>
      <c r="H241" s="19">
        <f>IF($B241="","",$F241-$G241)</f>
      </c>
      <c r="I241" s="21">
        <f>IF(OR($B241="",$F241=0),"",$H241/$F241)</f>
      </c>
    </row>
    <row r="242" spans="2:9" x14ac:dyDescent="0.25">
      <c r="B242" s="14">
        <f>IF('Bütçe Kalemleri'!B242="","",'Bütçe Kalemleri'!B242)</f>
      </c>
      <c r="C242" s="14">
        <f>IF('Bütçe Kalemleri'!C242="","",'Bütçe Kalemleri'!C242)</f>
      </c>
      <c r="D242" s="14">
        <f>IF('Bütçe Kalemleri'!D242="","",'Bütçe Kalemleri'!D242)</f>
      </c>
      <c r="E242" s="14">
        <f>IF('Bütçe Kalemleri'!E242="","",'Bütçe Kalemleri'!E242)</f>
      </c>
      <c r="F242" s="16">
        <f>IF($B242="",0,'Bütçe Kalemleri'!F242)</f>
      </c>
      <c r="G242" s="16">
        <f>IF($B242="",0,SUMIF('Maliyet Kayıtları'!$D$5:$D$1004,$B242,'Maliyet Kayıtları'!$G$5:$G$1004))</f>
      </c>
      <c r="H242" s="19">
        <f>IF($B242="","",$F242-$G242)</f>
      </c>
      <c r="I242" s="21">
        <f>IF(OR($B242="",$F242=0),"",$H242/$F242)</f>
      </c>
    </row>
    <row r="243" spans="2:9" x14ac:dyDescent="0.25">
      <c r="B243" s="14">
        <f>IF('Bütçe Kalemleri'!B243="","",'Bütçe Kalemleri'!B243)</f>
      </c>
      <c r="C243" s="14">
        <f>IF('Bütçe Kalemleri'!C243="","",'Bütçe Kalemleri'!C243)</f>
      </c>
      <c r="D243" s="14">
        <f>IF('Bütçe Kalemleri'!D243="","",'Bütçe Kalemleri'!D243)</f>
      </c>
      <c r="E243" s="14">
        <f>IF('Bütçe Kalemleri'!E243="","",'Bütçe Kalemleri'!E243)</f>
      </c>
      <c r="F243" s="16">
        <f>IF($B243="",0,'Bütçe Kalemleri'!F243)</f>
      </c>
      <c r="G243" s="16">
        <f>IF($B243="",0,SUMIF('Maliyet Kayıtları'!$D$5:$D$1004,$B243,'Maliyet Kayıtları'!$G$5:$G$1004))</f>
      </c>
      <c r="H243" s="19">
        <f>IF($B243="","",$F243-$G243)</f>
      </c>
      <c r="I243" s="21">
        <f>IF(OR($B243="",$F243=0),"",$H243/$F243)</f>
      </c>
    </row>
    <row r="244" spans="2:9" x14ac:dyDescent="0.25">
      <c r="B244" s="14">
        <f>IF('Bütçe Kalemleri'!B244="","",'Bütçe Kalemleri'!B244)</f>
      </c>
      <c r="C244" s="14">
        <f>IF('Bütçe Kalemleri'!C244="","",'Bütçe Kalemleri'!C244)</f>
      </c>
      <c r="D244" s="14">
        <f>IF('Bütçe Kalemleri'!D244="","",'Bütçe Kalemleri'!D244)</f>
      </c>
      <c r="E244" s="14">
        <f>IF('Bütçe Kalemleri'!E244="","",'Bütçe Kalemleri'!E244)</f>
      </c>
      <c r="F244" s="16">
        <f>IF($B244="",0,'Bütçe Kalemleri'!F244)</f>
      </c>
      <c r="G244" s="16">
        <f>IF($B244="",0,SUMIF('Maliyet Kayıtları'!$D$5:$D$1004,$B244,'Maliyet Kayıtları'!$G$5:$G$1004))</f>
      </c>
      <c r="H244" s="19">
        <f>IF($B244="","",$F244-$G244)</f>
      </c>
      <c r="I244" s="21">
        <f>IF(OR($B244="",$F244=0),"",$H244/$F244)</f>
      </c>
    </row>
    <row r="245" spans="2:9" x14ac:dyDescent="0.25">
      <c r="B245" s="14">
        <f>IF('Bütçe Kalemleri'!B245="","",'Bütçe Kalemleri'!B245)</f>
      </c>
      <c r="C245" s="14">
        <f>IF('Bütçe Kalemleri'!C245="","",'Bütçe Kalemleri'!C245)</f>
      </c>
      <c r="D245" s="14">
        <f>IF('Bütçe Kalemleri'!D245="","",'Bütçe Kalemleri'!D245)</f>
      </c>
      <c r="E245" s="14">
        <f>IF('Bütçe Kalemleri'!E245="","",'Bütçe Kalemleri'!E245)</f>
      </c>
      <c r="F245" s="16">
        <f>IF($B245="",0,'Bütçe Kalemleri'!F245)</f>
      </c>
      <c r="G245" s="16">
        <f>IF($B245="",0,SUMIF('Maliyet Kayıtları'!$D$5:$D$1004,$B245,'Maliyet Kayıtları'!$G$5:$G$1004))</f>
      </c>
      <c r="H245" s="19">
        <f>IF($B245="","",$F245-$G245)</f>
      </c>
      <c r="I245" s="21">
        <f>IF(OR($B245="",$F245=0),"",$H245/$F245)</f>
      </c>
    </row>
    <row r="246" spans="2:9" x14ac:dyDescent="0.25">
      <c r="B246" s="14">
        <f>IF('Bütçe Kalemleri'!B246="","",'Bütçe Kalemleri'!B246)</f>
      </c>
      <c r="C246" s="14">
        <f>IF('Bütçe Kalemleri'!C246="","",'Bütçe Kalemleri'!C246)</f>
      </c>
      <c r="D246" s="14">
        <f>IF('Bütçe Kalemleri'!D246="","",'Bütçe Kalemleri'!D246)</f>
      </c>
      <c r="E246" s="14">
        <f>IF('Bütçe Kalemleri'!E246="","",'Bütçe Kalemleri'!E246)</f>
      </c>
      <c r="F246" s="16">
        <f>IF($B246="",0,'Bütçe Kalemleri'!F246)</f>
      </c>
      <c r="G246" s="16">
        <f>IF($B246="",0,SUMIF('Maliyet Kayıtları'!$D$5:$D$1004,$B246,'Maliyet Kayıtları'!$G$5:$G$1004))</f>
      </c>
      <c r="H246" s="19">
        <f>IF($B246="","",$F246-$G246)</f>
      </c>
      <c r="I246" s="21">
        <f>IF(OR($B246="",$F246=0),"",$H246/$F246)</f>
      </c>
    </row>
    <row r="247" spans="2:9" x14ac:dyDescent="0.25">
      <c r="B247" s="14">
        <f>IF('Bütçe Kalemleri'!B247="","",'Bütçe Kalemleri'!B247)</f>
      </c>
      <c r="C247" s="14">
        <f>IF('Bütçe Kalemleri'!C247="","",'Bütçe Kalemleri'!C247)</f>
      </c>
      <c r="D247" s="14">
        <f>IF('Bütçe Kalemleri'!D247="","",'Bütçe Kalemleri'!D247)</f>
      </c>
      <c r="E247" s="14">
        <f>IF('Bütçe Kalemleri'!E247="","",'Bütçe Kalemleri'!E247)</f>
      </c>
      <c r="F247" s="16">
        <f>IF($B247="",0,'Bütçe Kalemleri'!F247)</f>
      </c>
      <c r="G247" s="16">
        <f>IF($B247="",0,SUMIF('Maliyet Kayıtları'!$D$5:$D$1004,$B247,'Maliyet Kayıtları'!$G$5:$G$1004))</f>
      </c>
      <c r="H247" s="19">
        <f>IF($B247="","",$F247-$G247)</f>
      </c>
      <c r="I247" s="21">
        <f>IF(OR($B247="",$F247=0),"",$H247/$F247)</f>
      </c>
    </row>
    <row r="248" spans="2:9" x14ac:dyDescent="0.25">
      <c r="B248" s="14">
        <f>IF('Bütçe Kalemleri'!B248="","",'Bütçe Kalemleri'!B248)</f>
      </c>
      <c r="C248" s="14">
        <f>IF('Bütçe Kalemleri'!C248="","",'Bütçe Kalemleri'!C248)</f>
      </c>
      <c r="D248" s="14">
        <f>IF('Bütçe Kalemleri'!D248="","",'Bütçe Kalemleri'!D248)</f>
      </c>
      <c r="E248" s="14">
        <f>IF('Bütçe Kalemleri'!E248="","",'Bütçe Kalemleri'!E248)</f>
      </c>
      <c r="F248" s="16">
        <f>IF($B248="",0,'Bütçe Kalemleri'!F248)</f>
      </c>
      <c r="G248" s="16">
        <f>IF($B248="",0,SUMIF('Maliyet Kayıtları'!$D$5:$D$1004,$B248,'Maliyet Kayıtları'!$G$5:$G$1004))</f>
      </c>
      <c r="H248" s="19">
        <f>IF($B248="","",$F248-$G248)</f>
      </c>
      <c r="I248" s="21">
        <f>IF(OR($B248="",$F248=0),"",$H248/$F248)</f>
      </c>
    </row>
    <row r="249" spans="2:9" x14ac:dyDescent="0.25">
      <c r="B249" s="14">
        <f>IF('Bütçe Kalemleri'!B249="","",'Bütçe Kalemleri'!B249)</f>
      </c>
      <c r="C249" s="14">
        <f>IF('Bütçe Kalemleri'!C249="","",'Bütçe Kalemleri'!C249)</f>
      </c>
      <c r="D249" s="14">
        <f>IF('Bütçe Kalemleri'!D249="","",'Bütçe Kalemleri'!D249)</f>
      </c>
      <c r="E249" s="14">
        <f>IF('Bütçe Kalemleri'!E249="","",'Bütçe Kalemleri'!E249)</f>
      </c>
      <c r="F249" s="16">
        <f>IF($B249="",0,'Bütçe Kalemleri'!F249)</f>
      </c>
      <c r="G249" s="16">
        <f>IF($B249="",0,SUMIF('Maliyet Kayıtları'!$D$5:$D$1004,$B249,'Maliyet Kayıtları'!$G$5:$G$1004))</f>
      </c>
      <c r="H249" s="19">
        <f>IF($B249="","",$F249-$G249)</f>
      </c>
      <c r="I249" s="21">
        <f>IF(OR($B249="",$F249=0),"",$H249/$F249)</f>
      </c>
    </row>
    <row r="250" spans="2:9" x14ac:dyDescent="0.25">
      <c r="B250" s="14">
        <f>IF('Bütçe Kalemleri'!B250="","",'Bütçe Kalemleri'!B250)</f>
      </c>
      <c r="C250" s="14">
        <f>IF('Bütçe Kalemleri'!C250="","",'Bütçe Kalemleri'!C250)</f>
      </c>
      <c r="D250" s="14">
        <f>IF('Bütçe Kalemleri'!D250="","",'Bütçe Kalemleri'!D250)</f>
      </c>
      <c r="E250" s="14">
        <f>IF('Bütçe Kalemleri'!E250="","",'Bütçe Kalemleri'!E250)</f>
      </c>
      <c r="F250" s="16">
        <f>IF($B250="",0,'Bütçe Kalemleri'!F250)</f>
      </c>
      <c r="G250" s="16">
        <f>IF($B250="",0,SUMIF('Maliyet Kayıtları'!$D$5:$D$1004,$B250,'Maliyet Kayıtları'!$G$5:$G$1004))</f>
      </c>
      <c r="H250" s="19">
        <f>IF($B250="","",$F250-$G250)</f>
      </c>
      <c r="I250" s="21">
        <f>IF(OR($B250="",$F250=0),"",$H250/$F250)</f>
      </c>
    </row>
    <row r="251" spans="2:9" x14ac:dyDescent="0.25">
      <c r="B251" s="14">
        <f>IF('Bütçe Kalemleri'!B251="","",'Bütçe Kalemleri'!B251)</f>
      </c>
      <c r="C251" s="14">
        <f>IF('Bütçe Kalemleri'!C251="","",'Bütçe Kalemleri'!C251)</f>
      </c>
      <c r="D251" s="14">
        <f>IF('Bütçe Kalemleri'!D251="","",'Bütçe Kalemleri'!D251)</f>
      </c>
      <c r="E251" s="14">
        <f>IF('Bütçe Kalemleri'!E251="","",'Bütçe Kalemleri'!E251)</f>
      </c>
      <c r="F251" s="16">
        <f>IF($B251="",0,'Bütçe Kalemleri'!F251)</f>
      </c>
      <c r="G251" s="16">
        <f>IF($B251="",0,SUMIF('Maliyet Kayıtları'!$D$5:$D$1004,$B251,'Maliyet Kayıtları'!$G$5:$G$1004))</f>
      </c>
      <c r="H251" s="19">
        <f>IF($B251="","",$F251-$G251)</f>
      </c>
      <c r="I251" s="21">
        <f>IF(OR($B251="",$F251=0),"",$H251/$F251)</f>
      </c>
    </row>
    <row r="252" spans="2:9" x14ac:dyDescent="0.25">
      <c r="B252" s="14">
        <f>IF('Bütçe Kalemleri'!B252="","",'Bütçe Kalemleri'!B252)</f>
      </c>
      <c r="C252" s="14">
        <f>IF('Bütçe Kalemleri'!C252="","",'Bütçe Kalemleri'!C252)</f>
      </c>
      <c r="D252" s="14">
        <f>IF('Bütçe Kalemleri'!D252="","",'Bütçe Kalemleri'!D252)</f>
      </c>
      <c r="E252" s="14">
        <f>IF('Bütçe Kalemleri'!E252="","",'Bütçe Kalemleri'!E252)</f>
      </c>
      <c r="F252" s="16">
        <f>IF($B252="",0,'Bütçe Kalemleri'!F252)</f>
      </c>
      <c r="G252" s="16">
        <f>IF($B252="",0,SUMIF('Maliyet Kayıtları'!$D$5:$D$1004,$B252,'Maliyet Kayıtları'!$G$5:$G$1004))</f>
      </c>
      <c r="H252" s="19">
        <f>IF($B252="","",$F252-$G252)</f>
      </c>
      <c r="I252" s="21">
        <f>IF(OR($B252="",$F252=0),"",$H252/$F252)</f>
      </c>
    </row>
    <row r="253" spans="2:9" x14ac:dyDescent="0.25">
      <c r="B253" s="14">
        <f>IF('Bütçe Kalemleri'!B253="","",'Bütçe Kalemleri'!B253)</f>
      </c>
      <c r="C253" s="14">
        <f>IF('Bütçe Kalemleri'!C253="","",'Bütçe Kalemleri'!C253)</f>
      </c>
      <c r="D253" s="14">
        <f>IF('Bütçe Kalemleri'!D253="","",'Bütçe Kalemleri'!D253)</f>
      </c>
      <c r="E253" s="14">
        <f>IF('Bütçe Kalemleri'!E253="","",'Bütçe Kalemleri'!E253)</f>
      </c>
      <c r="F253" s="16">
        <f>IF($B253="",0,'Bütçe Kalemleri'!F253)</f>
      </c>
      <c r="G253" s="16">
        <f>IF($B253="",0,SUMIF('Maliyet Kayıtları'!$D$5:$D$1004,$B253,'Maliyet Kayıtları'!$G$5:$G$1004))</f>
      </c>
      <c r="H253" s="19">
        <f>IF($B253="","",$F253-$G253)</f>
      </c>
      <c r="I253" s="21">
        <f>IF(OR($B253="",$F253=0),"",$H253/$F253)</f>
      </c>
    </row>
    <row r="254" spans="2:9" x14ac:dyDescent="0.25">
      <c r="B254" s="14">
        <f>IF('Bütçe Kalemleri'!B254="","",'Bütçe Kalemleri'!B254)</f>
      </c>
      <c r="C254" s="14">
        <f>IF('Bütçe Kalemleri'!C254="","",'Bütçe Kalemleri'!C254)</f>
      </c>
      <c r="D254" s="14">
        <f>IF('Bütçe Kalemleri'!D254="","",'Bütçe Kalemleri'!D254)</f>
      </c>
      <c r="E254" s="14">
        <f>IF('Bütçe Kalemleri'!E254="","",'Bütçe Kalemleri'!E254)</f>
      </c>
      <c r="F254" s="16">
        <f>IF($B254="",0,'Bütçe Kalemleri'!F254)</f>
      </c>
      <c r="G254" s="16">
        <f>IF($B254="",0,SUMIF('Maliyet Kayıtları'!$D$5:$D$1004,$B254,'Maliyet Kayıtları'!$G$5:$G$1004))</f>
      </c>
      <c r="H254" s="19">
        <f>IF($B254="","",$F254-$G254)</f>
      </c>
      <c r="I254" s="21">
        <f>IF(OR($B254="",$F254=0),"",$H254/$F254)</f>
      </c>
    </row>
    <row r="255" spans="2:9" x14ac:dyDescent="0.25">
      <c r="B255" s="14">
        <f>IF('Bütçe Kalemleri'!B255="","",'Bütçe Kalemleri'!B255)</f>
      </c>
      <c r="C255" s="14">
        <f>IF('Bütçe Kalemleri'!C255="","",'Bütçe Kalemleri'!C255)</f>
      </c>
      <c r="D255" s="14">
        <f>IF('Bütçe Kalemleri'!D255="","",'Bütçe Kalemleri'!D255)</f>
      </c>
      <c r="E255" s="14">
        <f>IF('Bütçe Kalemleri'!E255="","",'Bütçe Kalemleri'!E255)</f>
      </c>
      <c r="F255" s="16">
        <f>IF($B255="",0,'Bütçe Kalemleri'!F255)</f>
      </c>
      <c r="G255" s="16">
        <f>IF($B255="",0,SUMIF('Maliyet Kayıtları'!$D$5:$D$1004,$B255,'Maliyet Kayıtları'!$G$5:$G$1004))</f>
      </c>
      <c r="H255" s="19">
        <f>IF($B255="","",$F255-$G255)</f>
      </c>
      <c r="I255" s="21">
        <f>IF(OR($B255="",$F255=0),"",$H255/$F255)</f>
      </c>
    </row>
    <row r="256" spans="2:9" x14ac:dyDescent="0.25">
      <c r="B256" s="14">
        <f>IF('Bütçe Kalemleri'!B256="","",'Bütçe Kalemleri'!B256)</f>
      </c>
      <c r="C256" s="14">
        <f>IF('Bütçe Kalemleri'!C256="","",'Bütçe Kalemleri'!C256)</f>
      </c>
      <c r="D256" s="14">
        <f>IF('Bütçe Kalemleri'!D256="","",'Bütçe Kalemleri'!D256)</f>
      </c>
      <c r="E256" s="14">
        <f>IF('Bütçe Kalemleri'!E256="","",'Bütçe Kalemleri'!E256)</f>
      </c>
      <c r="F256" s="16">
        <f>IF($B256="",0,'Bütçe Kalemleri'!F256)</f>
      </c>
      <c r="G256" s="16">
        <f>IF($B256="",0,SUMIF('Maliyet Kayıtları'!$D$5:$D$1004,$B256,'Maliyet Kayıtları'!$G$5:$G$1004))</f>
      </c>
      <c r="H256" s="19">
        <f>IF($B256="","",$F256-$G256)</f>
      </c>
      <c r="I256" s="21">
        <f>IF(OR($B256="",$F256=0),"",$H256/$F256)</f>
      </c>
    </row>
    <row r="257" spans="2:9" x14ac:dyDescent="0.25">
      <c r="B257" s="14">
        <f>IF('Bütçe Kalemleri'!B257="","",'Bütçe Kalemleri'!B257)</f>
      </c>
      <c r="C257" s="14">
        <f>IF('Bütçe Kalemleri'!C257="","",'Bütçe Kalemleri'!C257)</f>
      </c>
      <c r="D257" s="14">
        <f>IF('Bütçe Kalemleri'!D257="","",'Bütçe Kalemleri'!D257)</f>
      </c>
      <c r="E257" s="14">
        <f>IF('Bütçe Kalemleri'!E257="","",'Bütçe Kalemleri'!E257)</f>
      </c>
      <c r="F257" s="16">
        <f>IF($B257="",0,'Bütçe Kalemleri'!F257)</f>
      </c>
      <c r="G257" s="16">
        <f>IF($B257="",0,SUMIF('Maliyet Kayıtları'!$D$5:$D$1004,$B257,'Maliyet Kayıtları'!$G$5:$G$1004))</f>
      </c>
      <c r="H257" s="19">
        <f>IF($B257="","",$F257-$G257)</f>
      </c>
      <c r="I257" s="21">
        <f>IF(OR($B257="",$F257=0),"",$H257/$F257)</f>
      </c>
    </row>
    <row r="258" spans="2:9" x14ac:dyDescent="0.25">
      <c r="B258" s="14">
        <f>IF('Bütçe Kalemleri'!B258="","",'Bütçe Kalemleri'!B258)</f>
      </c>
      <c r="C258" s="14">
        <f>IF('Bütçe Kalemleri'!C258="","",'Bütçe Kalemleri'!C258)</f>
      </c>
      <c r="D258" s="14">
        <f>IF('Bütçe Kalemleri'!D258="","",'Bütçe Kalemleri'!D258)</f>
      </c>
      <c r="E258" s="14">
        <f>IF('Bütçe Kalemleri'!E258="","",'Bütçe Kalemleri'!E258)</f>
      </c>
      <c r="F258" s="16">
        <f>IF($B258="",0,'Bütçe Kalemleri'!F258)</f>
      </c>
      <c r="G258" s="16">
        <f>IF($B258="",0,SUMIF('Maliyet Kayıtları'!$D$5:$D$1004,$B258,'Maliyet Kayıtları'!$G$5:$G$1004))</f>
      </c>
      <c r="H258" s="19">
        <f>IF($B258="","",$F258-$G258)</f>
      </c>
      <c r="I258" s="21">
        <f>IF(OR($B258="",$F258=0),"",$H258/$F258)</f>
      </c>
    </row>
    <row r="259" spans="2:9" x14ac:dyDescent="0.25">
      <c r="B259" s="14">
        <f>IF('Bütçe Kalemleri'!B259="","",'Bütçe Kalemleri'!B259)</f>
      </c>
      <c r="C259" s="14">
        <f>IF('Bütçe Kalemleri'!C259="","",'Bütçe Kalemleri'!C259)</f>
      </c>
      <c r="D259" s="14">
        <f>IF('Bütçe Kalemleri'!D259="","",'Bütçe Kalemleri'!D259)</f>
      </c>
      <c r="E259" s="14">
        <f>IF('Bütçe Kalemleri'!E259="","",'Bütçe Kalemleri'!E259)</f>
      </c>
      <c r="F259" s="16">
        <f>IF($B259="",0,'Bütçe Kalemleri'!F259)</f>
      </c>
      <c r="G259" s="16">
        <f>IF($B259="",0,SUMIF('Maliyet Kayıtları'!$D$5:$D$1004,$B259,'Maliyet Kayıtları'!$G$5:$G$1004))</f>
      </c>
      <c r="H259" s="19">
        <f>IF($B259="","",$F259-$G259)</f>
      </c>
      <c r="I259" s="21">
        <f>IF(OR($B259="",$F259=0),"",$H259/$F259)</f>
      </c>
    </row>
    <row r="260" spans="2:9" x14ac:dyDescent="0.25">
      <c r="B260" s="14">
        <f>IF('Bütçe Kalemleri'!B260="","",'Bütçe Kalemleri'!B260)</f>
      </c>
      <c r="C260" s="14">
        <f>IF('Bütçe Kalemleri'!C260="","",'Bütçe Kalemleri'!C260)</f>
      </c>
      <c r="D260" s="14">
        <f>IF('Bütçe Kalemleri'!D260="","",'Bütçe Kalemleri'!D260)</f>
      </c>
      <c r="E260" s="14">
        <f>IF('Bütçe Kalemleri'!E260="","",'Bütçe Kalemleri'!E260)</f>
      </c>
      <c r="F260" s="16">
        <f>IF($B260="",0,'Bütçe Kalemleri'!F260)</f>
      </c>
      <c r="G260" s="16">
        <f>IF($B260="",0,SUMIF('Maliyet Kayıtları'!$D$5:$D$1004,$B260,'Maliyet Kayıtları'!$G$5:$G$1004))</f>
      </c>
      <c r="H260" s="19">
        <f>IF($B260="","",$F260-$G260)</f>
      </c>
      <c r="I260" s="21">
        <f>IF(OR($B260="",$F260=0),"",$H260/$F260)</f>
      </c>
    </row>
    <row r="261" spans="2:9" x14ac:dyDescent="0.25">
      <c r="B261" s="14">
        <f>IF('Bütçe Kalemleri'!B261="","",'Bütçe Kalemleri'!B261)</f>
      </c>
      <c r="C261" s="14">
        <f>IF('Bütçe Kalemleri'!C261="","",'Bütçe Kalemleri'!C261)</f>
      </c>
      <c r="D261" s="14">
        <f>IF('Bütçe Kalemleri'!D261="","",'Bütçe Kalemleri'!D261)</f>
      </c>
      <c r="E261" s="14">
        <f>IF('Bütçe Kalemleri'!E261="","",'Bütçe Kalemleri'!E261)</f>
      </c>
      <c r="F261" s="16">
        <f>IF($B261="",0,'Bütçe Kalemleri'!F261)</f>
      </c>
      <c r="G261" s="16">
        <f>IF($B261="",0,SUMIF('Maliyet Kayıtları'!$D$5:$D$1004,$B261,'Maliyet Kayıtları'!$G$5:$G$1004))</f>
      </c>
      <c r="H261" s="19">
        <f>IF($B261="","",$F261-$G261)</f>
      </c>
      <c r="I261" s="21">
        <f>IF(OR($B261="",$F261=0),"",$H261/$F261)</f>
      </c>
    </row>
    <row r="262" spans="2:9" x14ac:dyDescent="0.25">
      <c r="B262" s="14">
        <f>IF('Bütçe Kalemleri'!B262="","",'Bütçe Kalemleri'!B262)</f>
      </c>
      <c r="C262" s="14">
        <f>IF('Bütçe Kalemleri'!C262="","",'Bütçe Kalemleri'!C262)</f>
      </c>
      <c r="D262" s="14">
        <f>IF('Bütçe Kalemleri'!D262="","",'Bütçe Kalemleri'!D262)</f>
      </c>
      <c r="E262" s="14">
        <f>IF('Bütçe Kalemleri'!E262="","",'Bütçe Kalemleri'!E262)</f>
      </c>
      <c r="F262" s="16">
        <f>IF($B262="",0,'Bütçe Kalemleri'!F262)</f>
      </c>
      <c r="G262" s="16">
        <f>IF($B262="",0,SUMIF('Maliyet Kayıtları'!$D$5:$D$1004,$B262,'Maliyet Kayıtları'!$G$5:$G$1004))</f>
      </c>
      <c r="H262" s="19">
        <f>IF($B262="","",$F262-$G262)</f>
      </c>
      <c r="I262" s="21">
        <f>IF(OR($B262="",$F262=0),"",$H262/$F262)</f>
      </c>
    </row>
    <row r="263" spans="2:9" x14ac:dyDescent="0.25">
      <c r="B263" s="14">
        <f>IF('Bütçe Kalemleri'!B263="","",'Bütçe Kalemleri'!B263)</f>
      </c>
      <c r="C263" s="14">
        <f>IF('Bütçe Kalemleri'!C263="","",'Bütçe Kalemleri'!C263)</f>
      </c>
      <c r="D263" s="14">
        <f>IF('Bütçe Kalemleri'!D263="","",'Bütçe Kalemleri'!D263)</f>
      </c>
      <c r="E263" s="14">
        <f>IF('Bütçe Kalemleri'!E263="","",'Bütçe Kalemleri'!E263)</f>
      </c>
      <c r="F263" s="16">
        <f>IF($B263="",0,'Bütçe Kalemleri'!F263)</f>
      </c>
      <c r="G263" s="16">
        <f>IF($B263="",0,SUMIF('Maliyet Kayıtları'!$D$5:$D$1004,$B263,'Maliyet Kayıtları'!$G$5:$G$1004))</f>
      </c>
      <c r="H263" s="19">
        <f>IF($B263="","",$F263-$G263)</f>
      </c>
      <c r="I263" s="21">
        <f>IF(OR($B263="",$F263=0),"",$H263/$F263)</f>
      </c>
    </row>
    <row r="264" spans="2:9" x14ac:dyDescent="0.25">
      <c r="B264" s="14">
        <f>IF('Bütçe Kalemleri'!B264="","",'Bütçe Kalemleri'!B264)</f>
      </c>
      <c r="C264" s="14">
        <f>IF('Bütçe Kalemleri'!C264="","",'Bütçe Kalemleri'!C264)</f>
      </c>
      <c r="D264" s="14">
        <f>IF('Bütçe Kalemleri'!D264="","",'Bütçe Kalemleri'!D264)</f>
      </c>
      <c r="E264" s="14">
        <f>IF('Bütçe Kalemleri'!E264="","",'Bütçe Kalemleri'!E264)</f>
      </c>
      <c r="F264" s="16">
        <f>IF($B264="",0,'Bütçe Kalemleri'!F264)</f>
      </c>
      <c r="G264" s="16">
        <f>IF($B264="",0,SUMIF('Maliyet Kayıtları'!$D$5:$D$1004,$B264,'Maliyet Kayıtları'!$G$5:$G$1004))</f>
      </c>
      <c r="H264" s="19">
        <f>IF($B264="","",$F264-$G264)</f>
      </c>
      <c r="I264" s="21">
        <f>IF(OR($B264="",$F264=0),"",$H264/$F264)</f>
      </c>
    </row>
    <row r="265" spans="2:9" x14ac:dyDescent="0.25">
      <c r="B265" s="14">
        <f>IF('Bütçe Kalemleri'!B265="","",'Bütçe Kalemleri'!B265)</f>
      </c>
      <c r="C265" s="14">
        <f>IF('Bütçe Kalemleri'!C265="","",'Bütçe Kalemleri'!C265)</f>
      </c>
      <c r="D265" s="14">
        <f>IF('Bütçe Kalemleri'!D265="","",'Bütçe Kalemleri'!D265)</f>
      </c>
      <c r="E265" s="14">
        <f>IF('Bütçe Kalemleri'!E265="","",'Bütçe Kalemleri'!E265)</f>
      </c>
      <c r="F265" s="16">
        <f>IF($B265="",0,'Bütçe Kalemleri'!F265)</f>
      </c>
      <c r="G265" s="16">
        <f>IF($B265="",0,SUMIF('Maliyet Kayıtları'!$D$5:$D$1004,$B265,'Maliyet Kayıtları'!$G$5:$G$1004))</f>
      </c>
      <c r="H265" s="19">
        <f>IF($B265="","",$F265-$G265)</f>
      </c>
      <c r="I265" s="21">
        <f>IF(OR($B265="",$F265=0),"",$H265/$F265)</f>
      </c>
    </row>
    <row r="266" spans="2:9" x14ac:dyDescent="0.25">
      <c r="B266" s="14">
        <f>IF('Bütçe Kalemleri'!B266="","",'Bütçe Kalemleri'!B266)</f>
      </c>
      <c r="C266" s="14">
        <f>IF('Bütçe Kalemleri'!C266="","",'Bütçe Kalemleri'!C266)</f>
      </c>
      <c r="D266" s="14">
        <f>IF('Bütçe Kalemleri'!D266="","",'Bütçe Kalemleri'!D266)</f>
      </c>
      <c r="E266" s="14">
        <f>IF('Bütçe Kalemleri'!E266="","",'Bütçe Kalemleri'!E266)</f>
      </c>
      <c r="F266" s="16">
        <f>IF($B266="",0,'Bütçe Kalemleri'!F266)</f>
      </c>
      <c r="G266" s="16">
        <f>IF($B266="",0,SUMIF('Maliyet Kayıtları'!$D$5:$D$1004,$B266,'Maliyet Kayıtları'!$G$5:$G$1004))</f>
      </c>
      <c r="H266" s="19">
        <f>IF($B266="","",$F266-$G266)</f>
      </c>
      <c r="I266" s="21">
        <f>IF(OR($B266="",$F266=0),"",$H266/$F266)</f>
      </c>
    </row>
    <row r="267" spans="2:9" x14ac:dyDescent="0.25">
      <c r="B267" s="14">
        <f>IF('Bütçe Kalemleri'!B267="","",'Bütçe Kalemleri'!B267)</f>
      </c>
      <c r="C267" s="14">
        <f>IF('Bütçe Kalemleri'!C267="","",'Bütçe Kalemleri'!C267)</f>
      </c>
      <c r="D267" s="14">
        <f>IF('Bütçe Kalemleri'!D267="","",'Bütçe Kalemleri'!D267)</f>
      </c>
      <c r="E267" s="14">
        <f>IF('Bütçe Kalemleri'!E267="","",'Bütçe Kalemleri'!E267)</f>
      </c>
      <c r="F267" s="16">
        <f>IF($B267="",0,'Bütçe Kalemleri'!F267)</f>
      </c>
      <c r="G267" s="16">
        <f>IF($B267="",0,SUMIF('Maliyet Kayıtları'!$D$5:$D$1004,$B267,'Maliyet Kayıtları'!$G$5:$G$1004))</f>
      </c>
      <c r="H267" s="19">
        <f>IF($B267="","",$F267-$G267)</f>
      </c>
      <c r="I267" s="21">
        <f>IF(OR($B267="",$F267=0),"",$H267/$F267)</f>
      </c>
    </row>
    <row r="268" spans="2:9" x14ac:dyDescent="0.25">
      <c r="B268" s="14">
        <f>IF('Bütçe Kalemleri'!B268="","",'Bütçe Kalemleri'!B268)</f>
      </c>
      <c r="C268" s="14">
        <f>IF('Bütçe Kalemleri'!C268="","",'Bütçe Kalemleri'!C268)</f>
      </c>
      <c r="D268" s="14">
        <f>IF('Bütçe Kalemleri'!D268="","",'Bütçe Kalemleri'!D268)</f>
      </c>
      <c r="E268" s="14">
        <f>IF('Bütçe Kalemleri'!E268="","",'Bütçe Kalemleri'!E268)</f>
      </c>
      <c r="F268" s="16">
        <f>IF($B268="",0,'Bütçe Kalemleri'!F268)</f>
      </c>
      <c r="G268" s="16">
        <f>IF($B268="",0,SUMIF('Maliyet Kayıtları'!$D$5:$D$1004,$B268,'Maliyet Kayıtları'!$G$5:$G$1004))</f>
      </c>
      <c r="H268" s="19">
        <f>IF($B268="","",$F268-$G268)</f>
      </c>
      <c r="I268" s="21">
        <f>IF(OR($B268="",$F268=0),"",$H268/$F268)</f>
      </c>
    </row>
    <row r="269" spans="2:9" x14ac:dyDescent="0.25">
      <c r="B269" s="14">
        <f>IF('Bütçe Kalemleri'!B269="","",'Bütçe Kalemleri'!B269)</f>
      </c>
      <c r="C269" s="14">
        <f>IF('Bütçe Kalemleri'!C269="","",'Bütçe Kalemleri'!C269)</f>
      </c>
      <c r="D269" s="14">
        <f>IF('Bütçe Kalemleri'!D269="","",'Bütçe Kalemleri'!D269)</f>
      </c>
      <c r="E269" s="14">
        <f>IF('Bütçe Kalemleri'!E269="","",'Bütçe Kalemleri'!E269)</f>
      </c>
      <c r="F269" s="16">
        <f>IF($B269="",0,'Bütçe Kalemleri'!F269)</f>
      </c>
      <c r="G269" s="16">
        <f>IF($B269="",0,SUMIF('Maliyet Kayıtları'!$D$5:$D$1004,$B269,'Maliyet Kayıtları'!$G$5:$G$1004))</f>
      </c>
      <c r="H269" s="19">
        <f>IF($B269="","",$F269-$G269)</f>
      </c>
      <c r="I269" s="21">
        <f>IF(OR($B269="",$F269=0),"",$H269/$F269)</f>
      </c>
    </row>
    <row r="270" spans="2:9" x14ac:dyDescent="0.25">
      <c r="B270" s="14">
        <f>IF('Bütçe Kalemleri'!B270="","",'Bütçe Kalemleri'!B270)</f>
      </c>
      <c r="C270" s="14">
        <f>IF('Bütçe Kalemleri'!C270="","",'Bütçe Kalemleri'!C270)</f>
      </c>
      <c r="D270" s="14">
        <f>IF('Bütçe Kalemleri'!D270="","",'Bütçe Kalemleri'!D270)</f>
      </c>
      <c r="E270" s="14">
        <f>IF('Bütçe Kalemleri'!E270="","",'Bütçe Kalemleri'!E270)</f>
      </c>
      <c r="F270" s="16">
        <f>IF($B270="",0,'Bütçe Kalemleri'!F270)</f>
      </c>
      <c r="G270" s="16">
        <f>IF($B270="",0,SUMIF('Maliyet Kayıtları'!$D$5:$D$1004,$B270,'Maliyet Kayıtları'!$G$5:$G$1004))</f>
      </c>
      <c r="H270" s="19">
        <f>IF($B270="","",$F270-$G270)</f>
      </c>
      <c r="I270" s="21">
        <f>IF(OR($B270="",$F270=0),"",$H270/$F270)</f>
      </c>
    </row>
    <row r="271" spans="2:9" x14ac:dyDescent="0.25">
      <c r="B271" s="14">
        <f>IF('Bütçe Kalemleri'!B271="","",'Bütçe Kalemleri'!B271)</f>
      </c>
      <c r="C271" s="14">
        <f>IF('Bütçe Kalemleri'!C271="","",'Bütçe Kalemleri'!C271)</f>
      </c>
      <c r="D271" s="14">
        <f>IF('Bütçe Kalemleri'!D271="","",'Bütçe Kalemleri'!D271)</f>
      </c>
      <c r="E271" s="14">
        <f>IF('Bütçe Kalemleri'!E271="","",'Bütçe Kalemleri'!E271)</f>
      </c>
      <c r="F271" s="16">
        <f>IF($B271="",0,'Bütçe Kalemleri'!F271)</f>
      </c>
      <c r="G271" s="16">
        <f>IF($B271="",0,SUMIF('Maliyet Kayıtları'!$D$5:$D$1004,$B271,'Maliyet Kayıtları'!$G$5:$G$1004))</f>
      </c>
      <c r="H271" s="19">
        <f>IF($B271="","",$F271-$G271)</f>
      </c>
      <c r="I271" s="21">
        <f>IF(OR($B271="",$F271=0),"",$H271/$F271)</f>
      </c>
    </row>
    <row r="272" spans="2:9" x14ac:dyDescent="0.25">
      <c r="B272" s="14">
        <f>IF('Bütçe Kalemleri'!B272="","",'Bütçe Kalemleri'!B272)</f>
      </c>
      <c r="C272" s="14">
        <f>IF('Bütçe Kalemleri'!C272="","",'Bütçe Kalemleri'!C272)</f>
      </c>
      <c r="D272" s="14">
        <f>IF('Bütçe Kalemleri'!D272="","",'Bütçe Kalemleri'!D272)</f>
      </c>
      <c r="E272" s="14">
        <f>IF('Bütçe Kalemleri'!E272="","",'Bütçe Kalemleri'!E272)</f>
      </c>
      <c r="F272" s="16">
        <f>IF($B272="",0,'Bütçe Kalemleri'!F272)</f>
      </c>
      <c r="G272" s="16">
        <f>IF($B272="",0,SUMIF('Maliyet Kayıtları'!$D$5:$D$1004,$B272,'Maliyet Kayıtları'!$G$5:$G$1004))</f>
      </c>
      <c r="H272" s="19">
        <f>IF($B272="","",$F272-$G272)</f>
      </c>
      <c r="I272" s="21">
        <f>IF(OR($B272="",$F272=0),"",$H272/$F272)</f>
      </c>
    </row>
    <row r="273" spans="2:9" x14ac:dyDescent="0.25">
      <c r="B273" s="14">
        <f>IF('Bütçe Kalemleri'!B273="","",'Bütçe Kalemleri'!B273)</f>
      </c>
      <c r="C273" s="14">
        <f>IF('Bütçe Kalemleri'!C273="","",'Bütçe Kalemleri'!C273)</f>
      </c>
      <c r="D273" s="14">
        <f>IF('Bütçe Kalemleri'!D273="","",'Bütçe Kalemleri'!D273)</f>
      </c>
      <c r="E273" s="14">
        <f>IF('Bütçe Kalemleri'!E273="","",'Bütçe Kalemleri'!E273)</f>
      </c>
      <c r="F273" s="16">
        <f>IF($B273="",0,'Bütçe Kalemleri'!F273)</f>
      </c>
      <c r="G273" s="16">
        <f>IF($B273="",0,SUMIF('Maliyet Kayıtları'!$D$5:$D$1004,$B273,'Maliyet Kayıtları'!$G$5:$G$1004))</f>
      </c>
      <c r="H273" s="19">
        <f>IF($B273="","",$F273-$G273)</f>
      </c>
      <c r="I273" s="21">
        <f>IF(OR($B273="",$F273=0),"",$H273/$F273)</f>
      </c>
    </row>
    <row r="274" spans="2:9" x14ac:dyDescent="0.25">
      <c r="B274" s="14">
        <f>IF('Bütçe Kalemleri'!B274="","",'Bütçe Kalemleri'!B274)</f>
      </c>
      <c r="C274" s="14">
        <f>IF('Bütçe Kalemleri'!C274="","",'Bütçe Kalemleri'!C274)</f>
      </c>
      <c r="D274" s="14">
        <f>IF('Bütçe Kalemleri'!D274="","",'Bütçe Kalemleri'!D274)</f>
      </c>
      <c r="E274" s="14">
        <f>IF('Bütçe Kalemleri'!E274="","",'Bütçe Kalemleri'!E274)</f>
      </c>
      <c r="F274" s="16">
        <f>IF($B274="",0,'Bütçe Kalemleri'!F274)</f>
      </c>
      <c r="G274" s="16">
        <f>IF($B274="",0,SUMIF('Maliyet Kayıtları'!$D$5:$D$1004,$B274,'Maliyet Kayıtları'!$G$5:$G$1004))</f>
      </c>
      <c r="H274" s="19">
        <f>IF($B274="","",$F274-$G274)</f>
      </c>
      <c r="I274" s="21">
        <f>IF(OR($B274="",$F274=0),"",$H274/$F274)</f>
      </c>
    </row>
    <row r="275" spans="2:9" x14ac:dyDescent="0.25">
      <c r="B275" s="14">
        <f>IF('Bütçe Kalemleri'!B275="","",'Bütçe Kalemleri'!B275)</f>
      </c>
      <c r="C275" s="14">
        <f>IF('Bütçe Kalemleri'!C275="","",'Bütçe Kalemleri'!C275)</f>
      </c>
      <c r="D275" s="14">
        <f>IF('Bütçe Kalemleri'!D275="","",'Bütçe Kalemleri'!D275)</f>
      </c>
      <c r="E275" s="14">
        <f>IF('Bütçe Kalemleri'!E275="","",'Bütçe Kalemleri'!E275)</f>
      </c>
      <c r="F275" s="16">
        <f>IF($B275="",0,'Bütçe Kalemleri'!F275)</f>
      </c>
      <c r="G275" s="16">
        <f>IF($B275="",0,SUMIF('Maliyet Kayıtları'!$D$5:$D$1004,$B275,'Maliyet Kayıtları'!$G$5:$G$1004))</f>
      </c>
      <c r="H275" s="19">
        <f>IF($B275="","",$F275-$G275)</f>
      </c>
      <c r="I275" s="21">
        <f>IF(OR($B275="",$F275=0),"",$H275/$F275)</f>
      </c>
    </row>
    <row r="276" spans="2:9" x14ac:dyDescent="0.25">
      <c r="B276" s="14">
        <f>IF('Bütçe Kalemleri'!B276="","",'Bütçe Kalemleri'!B276)</f>
      </c>
      <c r="C276" s="14">
        <f>IF('Bütçe Kalemleri'!C276="","",'Bütçe Kalemleri'!C276)</f>
      </c>
      <c r="D276" s="14">
        <f>IF('Bütçe Kalemleri'!D276="","",'Bütçe Kalemleri'!D276)</f>
      </c>
      <c r="E276" s="14">
        <f>IF('Bütçe Kalemleri'!E276="","",'Bütçe Kalemleri'!E276)</f>
      </c>
      <c r="F276" s="16">
        <f>IF($B276="",0,'Bütçe Kalemleri'!F276)</f>
      </c>
      <c r="G276" s="16">
        <f>IF($B276="",0,SUMIF('Maliyet Kayıtları'!$D$5:$D$1004,$B276,'Maliyet Kayıtları'!$G$5:$G$1004))</f>
      </c>
      <c r="H276" s="19">
        <f>IF($B276="","",$F276-$G276)</f>
      </c>
      <c r="I276" s="21">
        <f>IF(OR($B276="",$F276=0),"",$H276/$F276)</f>
      </c>
    </row>
    <row r="277" spans="2:9" x14ac:dyDescent="0.25">
      <c r="B277" s="14">
        <f>IF('Bütçe Kalemleri'!B277="","",'Bütçe Kalemleri'!B277)</f>
      </c>
      <c r="C277" s="14">
        <f>IF('Bütçe Kalemleri'!C277="","",'Bütçe Kalemleri'!C277)</f>
      </c>
      <c r="D277" s="14">
        <f>IF('Bütçe Kalemleri'!D277="","",'Bütçe Kalemleri'!D277)</f>
      </c>
      <c r="E277" s="14">
        <f>IF('Bütçe Kalemleri'!E277="","",'Bütçe Kalemleri'!E277)</f>
      </c>
      <c r="F277" s="16">
        <f>IF($B277="",0,'Bütçe Kalemleri'!F277)</f>
      </c>
      <c r="G277" s="16">
        <f>IF($B277="",0,SUMIF('Maliyet Kayıtları'!$D$5:$D$1004,$B277,'Maliyet Kayıtları'!$G$5:$G$1004))</f>
      </c>
      <c r="H277" s="19">
        <f>IF($B277="","",$F277-$G277)</f>
      </c>
      <c r="I277" s="21">
        <f>IF(OR($B277="",$F277=0),"",$H277/$F277)</f>
      </c>
    </row>
    <row r="278" spans="2:9" x14ac:dyDescent="0.25">
      <c r="B278" s="14">
        <f>IF('Bütçe Kalemleri'!B278="","",'Bütçe Kalemleri'!B278)</f>
      </c>
      <c r="C278" s="14">
        <f>IF('Bütçe Kalemleri'!C278="","",'Bütçe Kalemleri'!C278)</f>
      </c>
      <c r="D278" s="14">
        <f>IF('Bütçe Kalemleri'!D278="","",'Bütçe Kalemleri'!D278)</f>
      </c>
      <c r="E278" s="14">
        <f>IF('Bütçe Kalemleri'!E278="","",'Bütçe Kalemleri'!E278)</f>
      </c>
      <c r="F278" s="16">
        <f>IF($B278="",0,'Bütçe Kalemleri'!F278)</f>
      </c>
      <c r="G278" s="16">
        <f>IF($B278="",0,SUMIF('Maliyet Kayıtları'!$D$5:$D$1004,$B278,'Maliyet Kayıtları'!$G$5:$G$1004))</f>
      </c>
      <c r="H278" s="19">
        <f>IF($B278="","",$F278-$G278)</f>
      </c>
      <c r="I278" s="21">
        <f>IF(OR($B278="",$F278=0),"",$H278/$F278)</f>
      </c>
    </row>
    <row r="279" spans="2:9" x14ac:dyDescent="0.25">
      <c r="B279" s="14">
        <f>IF('Bütçe Kalemleri'!B279="","",'Bütçe Kalemleri'!B279)</f>
      </c>
      <c r="C279" s="14">
        <f>IF('Bütçe Kalemleri'!C279="","",'Bütçe Kalemleri'!C279)</f>
      </c>
      <c r="D279" s="14">
        <f>IF('Bütçe Kalemleri'!D279="","",'Bütçe Kalemleri'!D279)</f>
      </c>
      <c r="E279" s="14">
        <f>IF('Bütçe Kalemleri'!E279="","",'Bütçe Kalemleri'!E279)</f>
      </c>
      <c r="F279" s="16">
        <f>IF($B279="",0,'Bütçe Kalemleri'!F279)</f>
      </c>
      <c r="G279" s="16">
        <f>IF($B279="",0,SUMIF('Maliyet Kayıtları'!$D$5:$D$1004,$B279,'Maliyet Kayıtları'!$G$5:$G$1004))</f>
      </c>
      <c r="H279" s="19">
        <f>IF($B279="","",$F279-$G279)</f>
      </c>
      <c r="I279" s="21">
        <f>IF(OR($B279="",$F279=0),"",$H279/$F279)</f>
      </c>
    </row>
    <row r="280" spans="2:9" x14ac:dyDescent="0.25">
      <c r="B280" s="14">
        <f>IF('Bütçe Kalemleri'!B280="","",'Bütçe Kalemleri'!B280)</f>
      </c>
      <c r="C280" s="14">
        <f>IF('Bütçe Kalemleri'!C280="","",'Bütçe Kalemleri'!C280)</f>
      </c>
      <c r="D280" s="14">
        <f>IF('Bütçe Kalemleri'!D280="","",'Bütçe Kalemleri'!D280)</f>
      </c>
      <c r="E280" s="14">
        <f>IF('Bütçe Kalemleri'!E280="","",'Bütçe Kalemleri'!E280)</f>
      </c>
      <c r="F280" s="16">
        <f>IF($B280="",0,'Bütçe Kalemleri'!F280)</f>
      </c>
      <c r="G280" s="16">
        <f>IF($B280="",0,SUMIF('Maliyet Kayıtları'!$D$5:$D$1004,$B280,'Maliyet Kayıtları'!$G$5:$G$1004))</f>
      </c>
      <c r="H280" s="19">
        <f>IF($B280="","",$F280-$G280)</f>
      </c>
      <c r="I280" s="21">
        <f>IF(OR($B280="",$F280=0),"",$H280/$F280)</f>
      </c>
    </row>
    <row r="281" spans="2:9" x14ac:dyDescent="0.25">
      <c r="B281" s="14">
        <f>IF('Bütçe Kalemleri'!B281="","",'Bütçe Kalemleri'!B281)</f>
      </c>
      <c r="C281" s="14">
        <f>IF('Bütçe Kalemleri'!C281="","",'Bütçe Kalemleri'!C281)</f>
      </c>
      <c r="D281" s="14">
        <f>IF('Bütçe Kalemleri'!D281="","",'Bütçe Kalemleri'!D281)</f>
      </c>
      <c r="E281" s="14">
        <f>IF('Bütçe Kalemleri'!E281="","",'Bütçe Kalemleri'!E281)</f>
      </c>
      <c r="F281" s="16">
        <f>IF($B281="",0,'Bütçe Kalemleri'!F281)</f>
      </c>
      <c r="G281" s="16">
        <f>IF($B281="",0,SUMIF('Maliyet Kayıtları'!$D$5:$D$1004,$B281,'Maliyet Kayıtları'!$G$5:$G$1004))</f>
      </c>
      <c r="H281" s="19">
        <f>IF($B281="","",$F281-$G281)</f>
      </c>
      <c r="I281" s="21">
        <f>IF(OR($B281="",$F281=0),"",$H281/$F281)</f>
      </c>
    </row>
    <row r="282" spans="2:9" x14ac:dyDescent="0.25">
      <c r="B282" s="14">
        <f>IF('Bütçe Kalemleri'!B282="","",'Bütçe Kalemleri'!B282)</f>
      </c>
      <c r="C282" s="14">
        <f>IF('Bütçe Kalemleri'!C282="","",'Bütçe Kalemleri'!C282)</f>
      </c>
      <c r="D282" s="14">
        <f>IF('Bütçe Kalemleri'!D282="","",'Bütçe Kalemleri'!D282)</f>
      </c>
      <c r="E282" s="14">
        <f>IF('Bütçe Kalemleri'!E282="","",'Bütçe Kalemleri'!E282)</f>
      </c>
      <c r="F282" s="16">
        <f>IF($B282="",0,'Bütçe Kalemleri'!F282)</f>
      </c>
      <c r="G282" s="16">
        <f>IF($B282="",0,SUMIF('Maliyet Kayıtları'!$D$5:$D$1004,$B282,'Maliyet Kayıtları'!$G$5:$G$1004))</f>
      </c>
      <c r="H282" s="19">
        <f>IF($B282="","",$F282-$G282)</f>
      </c>
      <c r="I282" s="21">
        <f>IF(OR($B282="",$F282=0),"",$H282/$F282)</f>
      </c>
    </row>
    <row r="283" spans="2:9" x14ac:dyDescent="0.25">
      <c r="B283" s="14">
        <f>IF('Bütçe Kalemleri'!B283="","",'Bütçe Kalemleri'!B283)</f>
      </c>
      <c r="C283" s="14">
        <f>IF('Bütçe Kalemleri'!C283="","",'Bütçe Kalemleri'!C283)</f>
      </c>
      <c r="D283" s="14">
        <f>IF('Bütçe Kalemleri'!D283="","",'Bütçe Kalemleri'!D283)</f>
      </c>
      <c r="E283" s="14">
        <f>IF('Bütçe Kalemleri'!E283="","",'Bütçe Kalemleri'!E283)</f>
      </c>
      <c r="F283" s="16">
        <f>IF($B283="",0,'Bütçe Kalemleri'!F283)</f>
      </c>
      <c r="G283" s="16">
        <f>IF($B283="",0,SUMIF('Maliyet Kayıtları'!$D$5:$D$1004,$B283,'Maliyet Kayıtları'!$G$5:$G$1004))</f>
      </c>
      <c r="H283" s="19">
        <f>IF($B283="","",$F283-$G283)</f>
      </c>
      <c r="I283" s="21">
        <f>IF(OR($B283="",$F283=0),"",$H283/$F283)</f>
      </c>
    </row>
    <row r="284" spans="2:9" x14ac:dyDescent="0.25">
      <c r="B284" s="14">
        <f>IF('Bütçe Kalemleri'!B284="","",'Bütçe Kalemleri'!B284)</f>
      </c>
      <c r="C284" s="14">
        <f>IF('Bütçe Kalemleri'!C284="","",'Bütçe Kalemleri'!C284)</f>
      </c>
      <c r="D284" s="14">
        <f>IF('Bütçe Kalemleri'!D284="","",'Bütçe Kalemleri'!D284)</f>
      </c>
      <c r="E284" s="14">
        <f>IF('Bütçe Kalemleri'!E284="","",'Bütçe Kalemleri'!E284)</f>
      </c>
      <c r="F284" s="16">
        <f>IF($B284="",0,'Bütçe Kalemleri'!F284)</f>
      </c>
      <c r="G284" s="16">
        <f>IF($B284="",0,SUMIF('Maliyet Kayıtları'!$D$5:$D$1004,$B284,'Maliyet Kayıtları'!$G$5:$G$1004))</f>
      </c>
      <c r="H284" s="19">
        <f>IF($B284="","",$F284-$G284)</f>
      </c>
      <c r="I284" s="21">
        <f>IF(OR($B284="",$F284=0),"",$H284/$F284)</f>
      </c>
    </row>
    <row r="285" spans="2:9" x14ac:dyDescent="0.25">
      <c r="B285" s="14">
        <f>IF('Bütçe Kalemleri'!B285="","",'Bütçe Kalemleri'!B285)</f>
      </c>
      <c r="C285" s="14">
        <f>IF('Bütçe Kalemleri'!C285="","",'Bütçe Kalemleri'!C285)</f>
      </c>
      <c r="D285" s="14">
        <f>IF('Bütçe Kalemleri'!D285="","",'Bütçe Kalemleri'!D285)</f>
      </c>
      <c r="E285" s="14">
        <f>IF('Bütçe Kalemleri'!E285="","",'Bütçe Kalemleri'!E285)</f>
      </c>
      <c r="F285" s="16">
        <f>IF($B285="",0,'Bütçe Kalemleri'!F285)</f>
      </c>
      <c r="G285" s="16">
        <f>IF($B285="",0,SUMIF('Maliyet Kayıtları'!$D$5:$D$1004,$B285,'Maliyet Kayıtları'!$G$5:$G$1004))</f>
      </c>
      <c r="H285" s="19">
        <f>IF($B285="","",$F285-$G285)</f>
      </c>
      <c r="I285" s="21">
        <f>IF(OR($B285="",$F285=0),"",$H285/$F285)</f>
      </c>
    </row>
    <row r="286" spans="2:9" x14ac:dyDescent="0.25">
      <c r="B286" s="14">
        <f>IF('Bütçe Kalemleri'!B286="","",'Bütçe Kalemleri'!B286)</f>
      </c>
      <c r="C286" s="14">
        <f>IF('Bütçe Kalemleri'!C286="","",'Bütçe Kalemleri'!C286)</f>
      </c>
      <c r="D286" s="14">
        <f>IF('Bütçe Kalemleri'!D286="","",'Bütçe Kalemleri'!D286)</f>
      </c>
      <c r="E286" s="14">
        <f>IF('Bütçe Kalemleri'!E286="","",'Bütçe Kalemleri'!E286)</f>
      </c>
      <c r="F286" s="16">
        <f>IF($B286="",0,'Bütçe Kalemleri'!F286)</f>
      </c>
      <c r="G286" s="16">
        <f>IF($B286="",0,SUMIF('Maliyet Kayıtları'!$D$5:$D$1004,$B286,'Maliyet Kayıtları'!$G$5:$G$1004))</f>
      </c>
      <c r="H286" s="19">
        <f>IF($B286="","",$F286-$G286)</f>
      </c>
      <c r="I286" s="21">
        <f>IF(OR($B286="",$F286=0),"",$H286/$F286)</f>
      </c>
    </row>
    <row r="287" spans="2:9" x14ac:dyDescent="0.25">
      <c r="B287" s="14">
        <f>IF('Bütçe Kalemleri'!B287="","",'Bütçe Kalemleri'!B287)</f>
      </c>
      <c r="C287" s="14">
        <f>IF('Bütçe Kalemleri'!C287="","",'Bütçe Kalemleri'!C287)</f>
      </c>
      <c r="D287" s="14">
        <f>IF('Bütçe Kalemleri'!D287="","",'Bütçe Kalemleri'!D287)</f>
      </c>
      <c r="E287" s="14">
        <f>IF('Bütçe Kalemleri'!E287="","",'Bütçe Kalemleri'!E287)</f>
      </c>
      <c r="F287" s="16">
        <f>IF($B287="",0,'Bütçe Kalemleri'!F287)</f>
      </c>
      <c r="G287" s="16">
        <f>IF($B287="",0,SUMIF('Maliyet Kayıtları'!$D$5:$D$1004,$B287,'Maliyet Kayıtları'!$G$5:$G$1004))</f>
      </c>
      <c r="H287" s="19">
        <f>IF($B287="","",$F287-$G287)</f>
      </c>
      <c r="I287" s="21">
        <f>IF(OR($B287="",$F287=0),"",$H287/$F287)</f>
      </c>
    </row>
    <row r="288" spans="2:9" x14ac:dyDescent="0.25">
      <c r="B288" s="14">
        <f>IF('Bütçe Kalemleri'!B288="","",'Bütçe Kalemleri'!B288)</f>
      </c>
      <c r="C288" s="14">
        <f>IF('Bütçe Kalemleri'!C288="","",'Bütçe Kalemleri'!C288)</f>
      </c>
      <c r="D288" s="14">
        <f>IF('Bütçe Kalemleri'!D288="","",'Bütçe Kalemleri'!D288)</f>
      </c>
      <c r="E288" s="14">
        <f>IF('Bütçe Kalemleri'!E288="","",'Bütçe Kalemleri'!E288)</f>
      </c>
      <c r="F288" s="16">
        <f>IF($B288="",0,'Bütçe Kalemleri'!F288)</f>
      </c>
      <c r="G288" s="16">
        <f>IF($B288="",0,SUMIF('Maliyet Kayıtları'!$D$5:$D$1004,$B288,'Maliyet Kayıtları'!$G$5:$G$1004))</f>
      </c>
      <c r="H288" s="19">
        <f>IF($B288="","",$F288-$G288)</f>
      </c>
      <c r="I288" s="21">
        <f>IF(OR($B288="",$F288=0),"",$H288/$F288)</f>
      </c>
    </row>
    <row r="289" spans="2:9" x14ac:dyDescent="0.25">
      <c r="B289" s="14">
        <f>IF('Bütçe Kalemleri'!B289="","",'Bütçe Kalemleri'!B289)</f>
      </c>
      <c r="C289" s="14">
        <f>IF('Bütçe Kalemleri'!C289="","",'Bütçe Kalemleri'!C289)</f>
      </c>
      <c r="D289" s="14">
        <f>IF('Bütçe Kalemleri'!D289="","",'Bütçe Kalemleri'!D289)</f>
      </c>
      <c r="E289" s="14">
        <f>IF('Bütçe Kalemleri'!E289="","",'Bütçe Kalemleri'!E289)</f>
      </c>
      <c r="F289" s="16">
        <f>IF($B289="",0,'Bütçe Kalemleri'!F289)</f>
      </c>
      <c r="G289" s="16">
        <f>IF($B289="",0,SUMIF('Maliyet Kayıtları'!$D$5:$D$1004,$B289,'Maliyet Kayıtları'!$G$5:$G$1004))</f>
      </c>
      <c r="H289" s="19">
        <f>IF($B289="","",$F289-$G289)</f>
      </c>
      <c r="I289" s="21">
        <f>IF(OR($B289="",$F289=0),"",$H289/$F289)</f>
      </c>
    </row>
    <row r="290" spans="2:9" x14ac:dyDescent="0.25">
      <c r="B290" s="14">
        <f>IF('Bütçe Kalemleri'!B290="","",'Bütçe Kalemleri'!B290)</f>
      </c>
      <c r="C290" s="14">
        <f>IF('Bütçe Kalemleri'!C290="","",'Bütçe Kalemleri'!C290)</f>
      </c>
      <c r="D290" s="14">
        <f>IF('Bütçe Kalemleri'!D290="","",'Bütçe Kalemleri'!D290)</f>
      </c>
      <c r="E290" s="14">
        <f>IF('Bütçe Kalemleri'!E290="","",'Bütçe Kalemleri'!E290)</f>
      </c>
      <c r="F290" s="16">
        <f>IF($B290="",0,'Bütçe Kalemleri'!F290)</f>
      </c>
      <c r="G290" s="16">
        <f>IF($B290="",0,SUMIF('Maliyet Kayıtları'!$D$5:$D$1004,$B290,'Maliyet Kayıtları'!$G$5:$G$1004))</f>
      </c>
      <c r="H290" s="19">
        <f>IF($B290="","",$F290-$G290)</f>
      </c>
      <c r="I290" s="21">
        <f>IF(OR($B290="",$F290=0),"",$H290/$F290)</f>
      </c>
    </row>
    <row r="291" spans="2:9" x14ac:dyDescent="0.25">
      <c r="B291" s="14">
        <f>IF('Bütçe Kalemleri'!B291="","",'Bütçe Kalemleri'!B291)</f>
      </c>
      <c r="C291" s="14">
        <f>IF('Bütçe Kalemleri'!C291="","",'Bütçe Kalemleri'!C291)</f>
      </c>
      <c r="D291" s="14">
        <f>IF('Bütçe Kalemleri'!D291="","",'Bütçe Kalemleri'!D291)</f>
      </c>
      <c r="E291" s="14">
        <f>IF('Bütçe Kalemleri'!E291="","",'Bütçe Kalemleri'!E291)</f>
      </c>
      <c r="F291" s="16">
        <f>IF($B291="",0,'Bütçe Kalemleri'!F291)</f>
      </c>
      <c r="G291" s="16">
        <f>IF($B291="",0,SUMIF('Maliyet Kayıtları'!$D$5:$D$1004,$B291,'Maliyet Kayıtları'!$G$5:$G$1004))</f>
      </c>
      <c r="H291" s="19">
        <f>IF($B291="","",$F291-$G291)</f>
      </c>
      <c r="I291" s="21">
        <f>IF(OR($B291="",$F291=0),"",$H291/$F291)</f>
      </c>
    </row>
    <row r="292" spans="2:9" x14ac:dyDescent="0.25">
      <c r="B292" s="14">
        <f>IF('Bütçe Kalemleri'!B292="","",'Bütçe Kalemleri'!B292)</f>
      </c>
      <c r="C292" s="14">
        <f>IF('Bütçe Kalemleri'!C292="","",'Bütçe Kalemleri'!C292)</f>
      </c>
      <c r="D292" s="14">
        <f>IF('Bütçe Kalemleri'!D292="","",'Bütçe Kalemleri'!D292)</f>
      </c>
      <c r="E292" s="14">
        <f>IF('Bütçe Kalemleri'!E292="","",'Bütçe Kalemleri'!E292)</f>
      </c>
      <c r="F292" s="16">
        <f>IF($B292="",0,'Bütçe Kalemleri'!F292)</f>
      </c>
      <c r="G292" s="16">
        <f>IF($B292="",0,SUMIF('Maliyet Kayıtları'!$D$5:$D$1004,$B292,'Maliyet Kayıtları'!$G$5:$G$1004))</f>
      </c>
      <c r="H292" s="19">
        <f>IF($B292="","",$F292-$G292)</f>
      </c>
      <c r="I292" s="21">
        <f>IF(OR($B292="",$F292=0),"",$H292/$F292)</f>
      </c>
    </row>
    <row r="293" spans="2:9" x14ac:dyDescent="0.25">
      <c r="B293" s="14">
        <f>IF('Bütçe Kalemleri'!B293="","",'Bütçe Kalemleri'!B293)</f>
      </c>
      <c r="C293" s="14">
        <f>IF('Bütçe Kalemleri'!C293="","",'Bütçe Kalemleri'!C293)</f>
      </c>
      <c r="D293" s="14">
        <f>IF('Bütçe Kalemleri'!D293="","",'Bütçe Kalemleri'!D293)</f>
      </c>
      <c r="E293" s="14">
        <f>IF('Bütçe Kalemleri'!E293="","",'Bütçe Kalemleri'!E293)</f>
      </c>
      <c r="F293" s="16">
        <f>IF($B293="",0,'Bütçe Kalemleri'!F293)</f>
      </c>
      <c r="G293" s="16">
        <f>IF($B293="",0,SUMIF('Maliyet Kayıtları'!$D$5:$D$1004,$B293,'Maliyet Kayıtları'!$G$5:$G$1004))</f>
      </c>
      <c r="H293" s="19">
        <f>IF($B293="","",$F293-$G293)</f>
      </c>
      <c r="I293" s="21">
        <f>IF(OR($B293="",$F293=0),"",$H293/$F293)</f>
      </c>
    </row>
    <row r="294" spans="2:9" x14ac:dyDescent="0.25">
      <c r="B294" s="14">
        <f>IF('Bütçe Kalemleri'!B294="","",'Bütçe Kalemleri'!B294)</f>
      </c>
      <c r="C294" s="14">
        <f>IF('Bütçe Kalemleri'!C294="","",'Bütçe Kalemleri'!C294)</f>
      </c>
      <c r="D294" s="14">
        <f>IF('Bütçe Kalemleri'!D294="","",'Bütçe Kalemleri'!D294)</f>
      </c>
      <c r="E294" s="14">
        <f>IF('Bütçe Kalemleri'!E294="","",'Bütçe Kalemleri'!E294)</f>
      </c>
      <c r="F294" s="16">
        <f>IF($B294="",0,'Bütçe Kalemleri'!F294)</f>
      </c>
      <c r="G294" s="16">
        <f>IF($B294="",0,SUMIF('Maliyet Kayıtları'!$D$5:$D$1004,$B294,'Maliyet Kayıtları'!$G$5:$G$1004))</f>
      </c>
      <c r="H294" s="19">
        <f>IF($B294="","",$F294-$G294)</f>
      </c>
      <c r="I294" s="21">
        <f>IF(OR($B294="",$F294=0),"",$H294/$F294)</f>
      </c>
    </row>
    <row r="295" spans="2:9" x14ac:dyDescent="0.25">
      <c r="B295" s="14">
        <f>IF('Bütçe Kalemleri'!B295="","",'Bütçe Kalemleri'!B295)</f>
      </c>
      <c r="C295" s="14">
        <f>IF('Bütçe Kalemleri'!C295="","",'Bütçe Kalemleri'!C295)</f>
      </c>
      <c r="D295" s="14">
        <f>IF('Bütçe Kalemleri'!D295="","",'Bütçe Kalemleri'!D295)</f>
      </c>
      <c r="E295" s="14">
        <f>IF('Bütçe Kalemleri'!E295="","",'Bütçe Kalemleri'!E295)</f>
      </c>
      <c r="F295" s="16">
        <f>IF($B295="",0,'Bütçe Kalemleri'!F295)</f>
      </c>
      <c r="G295" s="16">
        <f>IF($B295="",0,SUMIF('Maliyet Kayıtları'!$D$5:$D$1004,$B295,'Maliyet Kayıtları'!$G$5:$G$1004))</f>
      </c>
      <c r="H295" s="19">
        <f>IF($B295="","",$F295-$G295)</f>
      </c>
      <c r="I295" s="21">
        <f>IF(OR($B295="",$F295=0),"",$H295/$F295)</f>
      </c>
    </row>
    <row r="296" spans="2:9" x14ac:dyDescent="0.25">
      <c r="B296" s="14">
        <f>IF('Bütçe Kalemleri'!B296="","",'Bütçe Kalemleri'!B296)</f>
      </c>
      <c r="C296" s="14">
        <f>IF('Bütçe Kalemleri'!C296="","",'Bütçe Kalemleri'!C296)</f>
      </c>
      <c r="D296" s="14">
        <f>IF('Bütçe Kalemleri'!D296="","",'Bütçe Kalemleri'!D296)</f>
      </c>
      <c r="E296" s="14">
        <f>IF('Bütçe Kalemleri'!E296="","",'Bütçe Kalemleri'!E296)</f>
      </c>
      <c r="F296" s="16">
        <f>IF($B296="",0,'Bütçe Kalemleri'!F296)</f>
      </c>
      <c r="G296" s="16">
        <f>IF($B296="",0,SUMIF('Maliyet Kayıtları'!$D$5:$D$1004,$B296,'Maliyet Kayıtları'!$G$5:$G$1004))</f>
      </c>
      <c r="H296" s="19">
        <f>IF($B296="","",$F296-$G296)</f>
      </c>
      <c r="I296" s="21">
        <f>IF(OR($B296="",$F296=0),"",$H296/$F296)</f>
      </c>
    </row>
    <row r="297" spans="2:9" x14ac:dyDescent="0.25">
      <c r="B297" s="14">
        <f>IF('Bütçe Kalemleri'!B297="","",'Bütçe Kalemleri'!B297)</f>
      </c>
      <c r="C297" s="14">
        <f>IF('Bütçe Kalemleri'!C297="","",'Bütçe Kalemleri'!C297)</f>
      </c>
      <c r="D297" s="14">
        <f>IF('Bütçe Kalemleri'!D297="","",'Bütçe Kalemleri'!D297)</f>
      </c>
      <c r="E297" s="14">
        <f>IF('Bütçe Kalemleri'!E297="","",'Bütçe Kalemleri'!E297)</f>
      </c>
      <c r="F297" s="16">
        <f>IF($B297="",0,'Bütçe Kalemleri'!F297)</f>
      </c>
      <c r="G297" s="16">
        <f>IF($B297="",0,SUMIF('Maliyet Kayıtları'!$D$5:$D$1004,$B297,'Maliyet Kayıtları'!$G$5:$G$1004))</f>
      </c>
      <c r="H297" s="19">
        <f>IF($B297="","",$F297-$G297)</f>
      </c>
      <c r="I297" s="21">
        <f>IF(OR($B297="",$F297=0),"",$H297/$F297)</f>
      </c>
    </row>
    <row r="298" spans="2:9" x14ac:dyDescent="0.25">
      <c r="B298" s="14">
        <f>IF('Bütçe Kalemleri'!B298="","",'Bütçe Kalemleri'!B298)</f>
      </c>
      <c r="C298" s="14">
        <f>IF('Bütçe Kalemleri'!C298="","",'Bütçe Kalemleri'!C298)</f>
      </c>
      <c r="D298" s="14">
        <f>IF('Bütçe Kalemleri'!D298="","",'Bütçe Kalemleri'!D298)</f>
      </c>
      <c r="E298" s="14">
        <f>IF('Bütçe Kalemleri'!E298="","",'Bütçe Kalemleri'!E298)</f>
      </c>
      <c r="F298" s="16">
        <f>IF($B298="",0,'Bütçe Kalemleri'!F298)</f>
      </c>
      <c r="G298" s="16">
        <f>IF($B298="",0,SUMIF('Maliyet Kayıtları'!$D$5:$D$1004,$B298,'Maliyet Kayıtları'!$G$5:$G$1004))</f>
      </c>
      <c r="H298" s="19">
        <f>IF($B298="","",$F298-$G298)</f>
      </c>
      <c r="I298" s="21">
        <f>IF(OR($B298="",$F298=0),"",$H298/$F298)</f>
      </c>
    </row>
    <row r="299" spans="2:9" x14ac:dyDescent="0.25">
      <c r="B299" s="14">
        <f>IF('Bütçe Kalemleri'!B299="","",'Bütçe Kalemleri'!B299)</f>
      </c>
      <c r="C299" s="14">
        <f>IF('Bütçe Kalemleri'!C299="","",'Bütçe Kalemleri'!C299)</f>
      </c>
      <c r="D299" s="14">
        <f>IF('Bütçe Kalemleri'!D299="","",'Bütçe Kalemleri'!D299)</f>
      </c>
      <c r="E299" s="14">
        <f>IF('Bütçe Kalemleri'!E299="","",'Bütçe Kalemleri'!E299)</f>
      </c>
      <c r="F299" s="16">
        <f>IF($B299="",0,'Bütçe Kalemleri'!F299)</f>
      </c>
      <c r="G299" s="16">
        <f>IF($B299="",0,SUMIF('Maliyet Kayıtları'!$D$5:$D$1004,$B299,'Maliyet Kayıtları'!$G$5:$G$1004))</f>
      </c>
      <c r="H299" s="19">
        <f>IF($B299="","",$F299-$G299)</f>
      </c>
      <c r="I299" s="21">
        <f>IF(OR($B299="",$F299=0),"",$H299/$F299)</f>
      </c>
    </row>
    <row r="300" spans="2:9" x14ac:dyDescent="0.25">
      <c r="B300" s="14">
        <f>IF('Bütçe Kalemleri'!B300="","",'Bütçe Kalemleri'!B300)</f>
      </c>
      <c r="C300" s="14">
        <f>IF('Bütçe Kalemleri'!C300="","",'Bütçe Kalemleri'!C300)</f>
      </c>
      <c r="D300" s="14">
        <f>IF('Bütçe Kalemleri'!D300="","",'Bütçe Kalemleri'!D300)</f>
      </c>
      <c r="E300" s="14">
        <f>IF('Bütçe Kalemleri'!E300="","",'Bütçe Kalemleri'!E300)</f>
      </c>
      <c r="F300" s="16">
        <f>IF($B300="",0,'Bütçe Kalemleri'!F300)</f>
      </c>
      <c r="G300" s="16">
        <f>IF($B300="",0,SUMIF('Maliyet Kayıtları'!$D$5:$D$1004,$B300,'Maliyet Kayıtları'!$G$5:$G$1004))</f>
      </c>
      <c r="H300" s="19">
        <f>IF($B300="","",$F300-$G300)</f>
      </c>
      <c r="I300" s="21">
        <f>IF(OR($B300="",$F300=0),"",$H300/$F300)</f>
      </c>
    </row>
    <row r="301" spans="2:9" x14ac:dyDescent="0.25">
      <c r="B301" s="14">
        <f>IF('Bütçe Kalemleri'!B301="","",'Bütçe Kalemleri'!B301)</f>
      </c>
      <c r="C301" s="14">
        <f>IF('Bütçe Kalemleri'!C301="","",'Bütçe Kalemleri'!C301)</f>
      </c>
      <c r="D301" s="14">
        <f>IF('Bütçe Kalemleri'!D301="","",'Bütçe Kalemleri'!D301)</f>
      </c>
      <c r="E301" s="14">
        <f>IF('Bütçe Kalemleri'!E301="","",'Bütçe Kalemleri'!E301)</f>
      </c>
      <c r="F301" s="16">
        <f>IF($B301="",0,'Bütçe Kalemleri'!F301)</f>
      </c>
      <c r="G301" s="16">
        <f>IF($B301="",0,SUMIF('Maliyet Kayıtları'!$D$5:$D$1004,$B301,'Maliyet Kayıtları'!$G$5:$G$1004))</f>
      </c>
      <c r="H301" s="19">
        <f>IF($B301="","",$F301-$G301)</f>
      </c>
      <c r="I301" s="21">
        <f>IF(OR($B301="",$F301=0),"",$H301/$F301)</f>
      </c>
    </row>
    <row r="302" spans="2:9" x14ac:dyDescent="0.25">
      <c r="B302" s="14">
        <f>IF('Bütçe Kalemleri'!B302="","",'Bütçe Kalemleri'!B302)</f>
      </c>
      <c r="C302" s="14">
        <f>IF('Bütçe Kalemleri'!C302="","",'Bütçe Kalemleri'!C302)</f>
      </c>
      <c r="D302" s="14">
        <f>IF('Bütçe Kalemleri'!D302="","",'Bütçe Kalemleri'!D302)</f>
      </c>
      <c r="E302" s="14">
        <f>IF('Bütçe Kalemleri'!E302="","",'Bütçe Kalemleri'!E302)</f>
      </c>
      <c r="F302" s="16">
        <f>IF($B302="",0,'Bütçe Kalemleri'!F302)</f>
      </c>
      <c r="G302" s="16">
        <f>IF($B302="",0,SUMIF('Maliyet Kayıtları'!$D$5:$D$1004,$B302,'Maliyet Kayıtları'!$G$5:$G$1004))</f>
      </c>
      <c r="H302" s="19">
        <f>IF($B302="","",$F302-$G302)</f>
      </c>
      <c r="I302" s="21">
        <f>IF(OR($B302="",$F302=0),"",$H302/$F302)</f>
      </c>
    </row>
    <row r="303" spans="2:9" x14ac:dyDescent="0.25">
      <c r="B303" s="14">
        <f>IF('Bütçe Kalemleri'!B303="","",'Bütçe Kalemleri'!B303)</f>
      </c>
      <c r="C303" s="14">
        <f>IF('Bütçe Kalemleri'!C303="","",'Bütçe Kalemleri'!C303)</f>
      </c>
      <c r="D303" s="14">
        <f>IF('Bütçe Kalemleri'!D303="","",'Bütçe Kalemleri'!D303)</f>
      </c>
      <c r="E303" s="14">
        <f>IF('Bütçe Kalemleri'!E303="","",'Bütçe Kalemleri'!E303)</f>
      </c>
      <c r="F303" s="16">
        <f>IF($B303="",0,'Bütçe Kalemleri'!F303)</f>
      </c>
      <c r="G303" s="16">
        <f>IF($B303="",0,SUMIF('Maliyet Kayıtları'!$D$5:$D$1004,$B303,'Maliyet Kayıtları'!$G$5:$G$1004))</f>
      </c>
      <c r="H303" s="19">
        <f>IF($B303="","",$F303-$G303)</f>
      </c>
      <c r="I303" s="21">
        <f>IF(OR($B303="",$F303=0),"",$H303/$F303)</f>
      </c>
    </row>
    <row r="304" spans="2:9" x14ac:dyDescent="0.25">
      <c r="B304" s="14">
        <f>IF('Bütçe Kalemleri'!B304="","",'Bütçe Kalemleri'!B304)</f>
      </c>
      <c r="C304" s="14">
        <f>IF('Bütçe Kalemleri'!C304="","",'Bütçe Kalemleri'!C304)</f>
      </c>
      <c r="D304" s="14">
        <f>IF('Bütçe Kalemleri'!D304="","",'Bütçe Kalemleri'!D304)</f>
      </c>
      <c r="E304" s="14">
        <f>IF('Bütçe Kalemleri'!E304="","",'Bütçe Kalemleri'!E304)</f>
      </c>
      <c r="F304" s="16">
        <f>IF($B304="",0,'Bütçe Kalemleri'!F304)</f>
      </c>
      <c r="G304" s="16">
        <f>IF($B304="",0,SUMIF('Maliyet Kayıtları'!$D$5:$D$1004,$B304,'Maliyet Kayıtları'!$G$5:$G$1004))</f>
      </c>
      <c r="H304" s="19">
        <f>IF($B304="","",$F304-$G304)</f>
      </c>
      <c r="I304" s="21">
        <f>IF(OR($B304="",$F304=0),"",$H304/$F304)</f>
      </c>
    </row>
    <row r="306" spans="4:8" x14ac:dyDescent="0.25">
      <c r="D306" s="22" t="s">
        <v>83</v>
      </c>
      <c r="F306" s="23">
        <f>SUM(F5:F304)</f>
      </c>
      <c r="G306" s="23">
        <f>SUM(G5:G304)</f>
      </c>
      <c r="H306" s="23">
        <f>SUM(H5:H304)</f>
      </c>
    </row>
  </sheetData>
  <mergeCells count="2">
    <mergeCell ref="A1:I1"/>
    <mergeCell ref="A2:I2"/>
  </mergeCells>
  <conditionalFormatting sqref="H5:H304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F14"/>
  <sheetFormatPr defaultRowHeight="15" outlineLevelRow="0" outlineLevelCol="0" x14ac:dyDescent="55"/>
  <cols>
    <col min="1" max="1" width="3" customWidth="1"/>
    <col min="2" max="2" width="32" customWidth="1"/>
    <col min="3" max="3" width="20" customWidth="1"/>
    <col min="4" max="4" width="4" customWidth="1"/>
    <col min="5" max="5" width="32" customWidth="1"/>
    <col min="6" max="6" width="20" customWidth="1"/>
  </cols>
  <sheetData>
    <row r="1" ht="34" customHeight="1" spans="1:6" x14ac:dyDescent="0.25">
      <c r="A1" s="1" t="s">
        <v>84</v>
      </c>
      <c r="B1" s="1"/>
      <c r="C1" s="1"/>
      <c r="D1" s="1"/>
      <c r="E1" s="1"/>
      <c r="F1" s="1"/>
    </row>
    <row r="2" ht="20" customHeight="1" spans="1:6" x14ac:dyDescent="0.25">
      <c r="A2" s="2" t="s">
        <v>85</v>
      </c>
      <c r="B2" s="2"/>
      <c r="C2" s="2"/>
      <c r="D2" s="2"/>
      <c r="E2" s="2"/>
      <c r="F2" s="2"/>
    </row>
    <row r="4" spans="2:6" x14ac:dyDescent="0.25">
      <c r="B4" s="24" t="s">
        <v>86</v>
      </c>
      <c r="C4" s="25">
        <f>SUM('Proje Kartları'!$G$5:$G$34)</f>
      </c>
      <c r="E4" s="24" t="s">
        <v>87</v>
      </c>
      <c r="F4" s="25">
        <f>SUM('Hakedişler'!$E$5:$E$204)</f>
      </c>
    </row>
    <row r="5" spans="2:6" x14ac:dyDescent="0.25">
      <c r="B5" s="24" t="s">
        <v>88</v>
      </c>
      <c r="C5" s="25">
        <f>'Bütçe Sapması'!F306</f>
      </c>
      <c r="E5" s="24" t="s">
        <v>73</v>
      </c>
      <c r="F5" s="25">
        <f>SUM('Hakedişler'!$I$5:$I$204)</f>
      </c>
    </row>
    <row r="6" spans="2:6" x14ac:dyDescent="0.25">
      <c r="B6" s="24" t="s">
        <v>89</v>
      </c>
      <c r="C6" s="25">
        <f>'Bütçe Sapması'!G306</f>
      </c>
      <c r="E6" s="24" t="s">
        <v>90</v>
      </c>
      <c r="F6" s="25">
        <f>SUM('Hakedişler'!$I$5:$I$204)-'Bütçe Sapması'!G306</f>
      </c>
    </row>
    <row r="7" spans="2:6" x14ac:dyDescent="0.25">
      <c r="B7" s="24" t="s">
        <v>91</v>
      </c>
      <c r="C7" s="25">
        <f>'Bütçe Sapması'!H306</f>
      </c>
      <c r="E7" s="24" t="s">
        <v>92</v>
      </c>
      <c r="F7" s="25">
        <f>SUM('Proje Kartları'!$G$5:$G$34)-'Bütçe Sapması'!G306</f>
      </c>
    </row>
    <row r="9" spans="2:6" x14ac:dyDescent="0.25">
      <c r="B9" s="24" t="s">
        <v>93</v>
      </c>
      <c r="C9" s="26">
        <f>COUNTIF('Proje Kartları'!$H$5:$H$34,"Devam")</f>
      </c>
      <c r="E9" s="24" t="s">
        <v>94</v>
      </c>
      <c r="F9" s="27">
        <f>IFERROR('Bütçe Sapması'!G306/SUM('Proje Kartları'!$G$5:$G$34),0)</f>
      </c>
    </row>
    <row r="10" spans="2:6" x14ac:dyDescent="0.25">
      <c r="B10" s="24" t="s">
        <v>95</v>
      </c>
      <c r="C10" s="26">
        <f>COUNTIF('Bütçe Sapması'!$H$5:$H$304,"&lt;0")</f>
      </c>
      <c r="E10" s="24" t="s">
        <v>96</v>
      </c>
      <c r="F10" s="27">
        <f>IFERROR(SUM('Hakedişler'!$E$5:$E$204)/SUM('Proje Kartları'!$G$5:$G$34),0)</f>
      </c>
    </row>
    <row r="12" spans="2:6" x14ac:dyDescent="0.25">
      <c r="B12" s="28" t="s">
        <v>97</v>
      </c>
      <c r="C12" s="28"/>
      <c r="D12" s="28"/>
      <c r="E12" s="28"/>
      <c r="F12" s="28"/>
    </row>
    <row r="13" spans="2:6" x14ac:dyDescent="0.25">
      <c r="B13" s="28"/>
      <c r="C13" s="28"/>
      <c r="D13" s="28"/>
      <c r="E13" s="28"/>
      <c r="F13" s="28"/>
    </row>
    <row r="14" spans="2:6" x14ac:dyDescent="0.25">
      <c r="B14" s="28"/>
      <c r="C14" s="28"/>
      <c r="D14" s="28"/>
      <c r="E14" s="28"/>
      <c r="F14" s="28"/>
    </row>
  </sheetData>
  <mergeCells count="3">
    <mergeCell ref="A1:F1"/>
    <mergeCell ref="A2:F2"/>
    <mergeCell ref="B12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9A"/>
  </sheetPr>
  <dimension ref="A1:B11"/>
  <sheetFormatPr defaultRowHeight="15" outlineLevelRow="0" outlineLevelCol="0" x14ac:dyDescent="55"/>
  <cols>
    <col min="1" max="1" width="3" customWidth="1"/>
    <col min="2" max="2" width="24" customWidth="1"/>
  </cols>
  <sheetData>
    <row r="1" ht="34" customHeight="1" spans="1:2" x14ac:dyDescent="0.25">
      <c r="A1" s="1" t="s">
        <v>98</v>
      </c>
      <c r="B1" s="1"/>
    </row>
    <row r="2" ht="20" customHeight="1" spans="1:2" x14ac:dyDescent="0.25">
      <c r="A2" s="2" t="s">
        <v>99</v>
      </c>
      <c r="B2" s="2"/>
    </row>
    <row r="4" ht="30" customHeight="1" spans="1:2" x14ac:dyDescent="0.25">
      <c r="A4" s="7" t="s">
        <v>20</v>
      </c>
      <c r="B4" s="7" t="s">
        <v>100</v>
      </c>
    </row>
    <row r="5" spans="2:2" x14ac:dyDescent="0.25">
      <c r="B5" s="29" t="s">
        <v>43</v>
      </c>
    </row>
    <row r="6" spans="2:2" x14ac:dyDescent="0.25">
      <c r="B6" s="29" t="s">
        <v>46</v>
      </c>
    </row>
    <row r="7" spans="2:2" x14ac:dyDescent="0.25">
      <c r="B7" s="29" t="s">
        <v>101</v>
      </c>
    </row>
    <row r="8" spans="2:2" x14ac:dyDescent="0.25">
      <c r="B8" s="29" t="s">
        <v>102</v>
      </c>
    </row>
    <row r="9" spans="2:2" x14ac:dyDescent="0.25">
      <c r="B9" s="29" t="s">
        <v>103</v>
      </c>
    </row>
    <row r="10" spans="2:2" x14ac:dyDescent="0.25">
      <c r="B10" s="29" t="s">
        <v>104</v>
      </c>
    </row>
    <row r="11" spans="2:2" x14ac:dyDescent="0.25">
      <c r="B11" s="29" t="s">
        <v>105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Nasıl Kullanılır</vt:lpstr>
      <vt:lpstr>Proje Kartları</vt:lpstr>
      <vt:lpstr>Bütçe Kalemleri</vt:lpstr>
      <vt:lpstr>Maliyet Kayıtları</vt:lpstr>
      <vt:lpstr>Hakedişler</vt:lpstr>
      <vt:lpstr>Bütçe Sapması</vt:lpstr>
      <vt:lpstr>Dashboard</vt:lpstr>
      <vt:lpstr>Listeler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2026-09-11T07:41:18Z</dcterms:created>
  <dcterms:modified xsi:type="dcterms:W3CDTF">2026-09-11T07:41:18Z</dcterms:modified>
</cp:coreProperties>
</file>