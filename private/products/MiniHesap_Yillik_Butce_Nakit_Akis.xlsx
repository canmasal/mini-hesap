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sıl Kullanılır" state="visible" r:id="rId4"/>
    <sheet sheetId="2" name="Yıllık Plan" state="visible" r:id="rId5"/>
    <sheet sheetId="3" name="Gerçekleşen" state="visible" r:id="rId6"/>
    <sheet sheetId="4" name="Karşılaştırma" state="visible" r:id="rId7"/>
    <sheet sheetId="5" name="Özet" state="visible" r:id="rId8"/>
  </sheets>
  <calcPr calcId="171027"/>
</workbook>
</file>

<file path=xl/sharedStrings.xml><?xml version="1.0" encoding="utf-8"?>
<sst xmlns="http://schemas.openxmlformats.org/spreadsheetml/2006/main" count="115" uniqueCount="66">
  <si>
    <t>Nasıl Kullanılır?</t>
  </si>
  <si>
    <t>MiniHesap · minihesap.net</t>
  </si>
  <si>
    <t>Bu dosya ne işe yarar?</t>
  </si>
  <si>
    <t>12 aylık gelir ve giderlerinizi planlar, her ay planladığınız ile gerçekleşen arasındaki farkı gösterir. Yıl sonunda ne kadar birikim yapabileceğinizi önceden görürsünüz.</t>
  </si>
  <si>
    <t>Adım adım</t>
  </si>
  <si>
    <t>1. 'Yıllık Plan' sayfasında her gelir ve gider kalemi için 12 ayın planını girin.</t>
  </si>
  <si>
    <t>2. 'Gerçekleşen' sayfasına ay ilerledikçe gerçek tutarları işleyin.</t>
  </si>
  <si>
    <t>3. 'Karşılaştırma' sayfası plan ile gerçek arasındaki sapmayı gösterir.</t>
  </si>
  <si>
    <t>4. 'Özet' sayfasında yıllık toplamları ve birikim oranınızı görün.</t>
  </si>
  <si>
    <t>İpuçları</t>
  </si>
  <si>
    <t>Gider kalemlerini olabildiğince ayrıntılı girin; 'diğer' kalemi büyüdükçe bütçe kontrolü zorlaşır.</t>
  </si>
  <si>
    <t>Yılda bir veya iki kez ödenen kalemleri (sigorta, vergi, aidat) ilgili aya yazmayı unutmayın.</t>
  </si>
  <si>
    <t>Birikim oranınız gelirin en az %20'si olacak şekilde hedefleyin.</t>
  </si>
  <si>
    <t>Sarı hücreler sizin dolduracağınız alanlardır. Yeşil hücreler otomatik hesaplanır, formüllerini değiştirmeyin.</t>
  </si>
  <si>
    <t>Bu dosyadaki hesaplamalar bilgilendirme amaçlıdır; resmî bordro, banka hesabı veya mali müşavir görüşü yerine geçmez. © MiniHesap</t>
  </si>
  <si>
    <t>Yıllık Plan — Gelir / Gider</t>
  </si>
  <si>
    <t>Tutarları ilgili aya girin</t>
  </si>
  <si>
    <t/>
  </si>
  <si>
    <t>Kalem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</si>
  <si>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</si>
  <si>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</si>
  <si>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</si>
  <si>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</si>
  <si>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</si>
  <si>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</si>
  <si>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</si>
  <si>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</si>
  <si>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</si>
  <si>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</si>
  <si>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</si>
  <si>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</si>
  <si>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TOPLAM</t>
  </si>
  <si>
    <t>Maaş</t>
  </si>
  <si>
    <t>Ek Gelir</t>
  </si>
  <si>
    <t>Kira Geliri</t>
  </si>
  <si>
    <t>Diğer Gelir</t>
  </si>
  <si>
    <t>TOPLAM GELİR</t>
  </si>
  <si>
    <t>Kira / Konut</t>
  </si>
  <si>
    <t>Market</t>
  </si>
  <si>
    <t>Faturalar</t>
  </si>
  <si>
    <t>Ulaşım</t>
  </si>
  <si>
    <t>Kredi / Taksit</t>
  </si>
  <si>
    <t>Sağlık</t>
  </si>
  <si>
    <t>Eğitim</t>
  </si>
  <si>
    <t>Giyim</t>
  </si>
  <si>
    <t>Eğlence</t>
  </si>
  <si>
    <t>Sigorta</t>
  </si>
  <si>
    <t>Diğer</t>
  </si>
  <si>
    <t>TOPLAM GİDER</t>
  </si>
  <si>
    <t>AYLIK BAKİYE</t>
  </si>
  <si>
    <t>Gerçekleşen — Gelir / Gider</t>
  </si>
  <si>
    <t>Plan / Gerçekleşen Sapma</t>
  </si>
  <si>
    <t>Eksi değer: planladığınızdan fazla harcadınız</t>
  </si>
  <si>
    <t>Gelir Sapması</t>
  </si>
  <si>
    <t>Gider Sapması</t>
  </si>
  <si>
    <t>Bakiye Sapması</t>
  </si>
  <si>
    <t>Yıllık Özet</t>
  </si>
  <si>
    <t>Plan ve gerçekleşen karşılaştırması</t>
  </si>
  <si>
    <t>Planlanan Yıllık Gelir</t>
  </si>
  <si>
    <t>Planlanan Yıllık Gider</t>
  </si>
  <si>
    <t>Planlanan Birikim</t>
  </si>
  <si>
    <t>Gerçekleşen Yıllık Gelir</t>
  </si>
  <si>
    <t>Gerçekleşen Yıllık Gider</t>
  </si>
  <si>
    <t>Gerçekleşen Birikim</t>
  </si>
  <si>
    <t>BİRİKİM ORANI (gerçekleşen)</t>
  </si>
  <si>
    <t>Birikim oranınız gelirinizin en az %20'si olmalıdır. Altındaysanız en büyük gider kalemlerinizi 'Karşılaştırma' sayfasından inceleyin.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</si>
</sst>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₺&quot;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617066"/>
      <sz val="10"/>
      <name val="Calibri"/>
    </font>
    <font>
      <b/>
      <color rgb="FF166534"/>
      <sz val="12"/>
    </font>
    <font>
      <i/>
      <color rgb="FF854D0E"/>
      <sz val="10"/>
    </font>
    <font>
      <i/>
      <color rgb="FF617066"/>
      <sz val="9"/>
    </font>
    <font>
      <b/>
      <color rgb="FFFFFFFF"/>
      <sz val="10"/>
    </font>
    <font>
      <b/>
      <sz val="10"/>
    </font>
    <font>
      <b/>
      <color rgb="FF166534"/>
    </font>
    <font>
      <b/>
      <color rgb="FFB91C1C"/>
    </font>
    <font>
      <b/>
      <color rgb="FF10231A"/>
      <sz val="12"/>
    </font>
    <font>
      <b/>
      <color rgb="FF166534"/>
      <sz val="11"/>
    </font>
    <font>
      <b/>
      <color rgb="FF10231A"/>
      <sz val="10"/>
    </font>
    <font>
      <b/>
      <color rgb="FF166534"/>
      <sz val="14"/>
    </font>
  </fonts>
  <fills count="6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0FDF4"/>
      </patternFill>
    </fill>
    <fill>
      <patternFill patternType="solid">
        <fgColor rgb="FF166534"/>
      </patternFill>
    </fill>
    <fill>
      <patternFill patternType="solid">
        <fgColor rgb="FFFFFBEB"/>
      </patternFill>
    </fill>
  </fills>
  <borders count="3">
    <border>
      <left/>
      <right/>
      <top/>
      <bottom/>
      <diagonal/>
    </border>
    <border>
      <left style="thin">
        <color rgb="FFDCE7DF"/>
      </left>
      <right style="thin">
        <color rgb="FFDCE7DF"/>
      </right>
      <top style="thin">
        <color rgb="FFDCE7DF"/>
      </top>
      <bottom style="thin">
        <color rgb="FFDCE7DF"/>
      </bottom>
      <diagonal/>
    </border>
    <border>
      <left style="hair">
        <color rgb="FFDCE7DF"/>
      </left>
      <right style="hair">
        <color rgb="FFDCE7DF"/>
      </right>
      <top style="hair">
        <color rgb="FFDCE7DF"/>
      </top>
      <bottom style="hair">
        <color rgb="FFDCE7D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0" xfId="0" applyFont="1"/>
    <xf numFmtId="164" fontId="0" fillId="5" borderId="1" xfId="0" applyNumberFormat="1" applyFill="1" applyBorder="1"/>
    <xf numFmtId="164" fontId="0" fillId="0" borderId="2" xfId="0" applyNumberFormat="1" applyBorder="1"/>
    <xf numFmtId="0" fontId="8" fillId="0" borderId="0" xfId="0" applyFont="1"/>
    <xf numFmtId="164" fontId="3" fillId="3" borderId="1" xfId="0" applyNumberFormat="1" applyFont="1" applyFill="1" applyBorder="1"/>
    <xf numFmtId="0" fontId="9" fillId="0" borderId="0" xfId="0" applyFont="1"/>
    <xf numFmtId="0" fontId="10" fillId="0" borderId="0" xfId="0" applyFont="1"/>
    <xf numFmtId="164" fontId="11" fillId="3" borderId="1" xfId="0" applyNumberFormat="1" applyFont="1" applyFill="1" applyBorder="1"/>
    <xf numFmtId="0" fontId="12" fillId="0" borderId="0" xfId="0" applyFont="1"/>
    <xf numFmtId="10" fontId="13" fillId="3" borderId="1" xfId="0" applyNumberFormat="1" applyFont="1" applyFill="1" applyBorder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B20"/>
  <sheetFormatPr defaultRowHeight="15" outlineLevelRow="0" outlineLevelCol="0" x14ac:dyDescent="55"/>
  <cols>
    <col min="1" max="1" width="4" customWidth="1"/>
    <col min="2" max="2" width="110" customWidth="1"/>
  </cols>
  <sheetData>
    <row r="1" ht="34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spans="2:2" x14ac:dyDescent="0.25">
      <c r="B4" s="3" t="s">
        <v>2</v>
      </c>
    </row>
    <row r="5" ht="32" customHeight="1" spans="2:2" x14ac:dyDescent="0.25">
      <c r="B5" s="4" t="s">
        <v>3</v>
      </c>
    </row>
    <row r="7" spans="2:2" x14ac:dyDescent="0.25">
      <c r="B7" s="3" t="s">
        <v>4</v>
      </c>
    </row>
    <row r="8" ht="18" customHeight="1" spans="2:2" x14ac:dyDescent="0.25">
      <c r="B8" s="4" t="s">
        <v>5</v>
      </c>
    </row>
    <row r="9" ht="18" customHeight="1" spans="2:2" x14ac:dyDescent="0.25">
      <c r="B9" s="4" t="s">
        <v>6</v>
      </c>
    </row>
    <row r="10" ht="18" customHeight="1" spans="2:2" x14ac:dyDescent="0.25">
      <c r="B10" s="4" t="s">
        <v>7</v>
      </c>
    </row>
    <row r="11" ht="18" customHeight="1" spans="2:2" x14ac:dyDescent="0.25">
      <c r="B11" s="4" t="s">
        <v>8</v>
      </c>
    </row>
    <row r="13" spans="2:2" x14ac:dyDescent="0.25">
      <c r="B13" s="3" t="s">
        <v>9</v>
      </c>
    </row>
    <row r="14" ht="32" customHeight="1" spans="2:2" x14ac:dyDescent="0.25">
      <c r="B14" s="4" t="s">
        <v>10</v>
      </c>
    </row>
    <row r="15" ht="18" customHeight="1" spans="2:2" x14ac:dyDescent="0.25">
      <c r="B15" s="4" t="s">
        <v>11</v>
      </c>
    </row>
    <row r="16" ht="18" customHeight="1" spans="2:2" x14ac:dyDescent="0.25">
      <c r="B16" s="4" t="s">
        <v>12</v>
      </c>
    </row>
    <row r="18" spans="2:2" x14ac:dyDescent="0.25">
      <c r="B18" s="5" t="s">
        <v>13</v>
      </c>
    </row>
    <row r="20" spans="2:2" x14ac:dyDescent="0.25">
      <c r="B20" s="6" t="s">
        <v>14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O23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24" customWidth="1"/>
    <col min="3" max="14" width="13" customWidth="1"/>
    <col min="15" max="15" width="16" customWidth="1"/>
  </cols>
  <sheetData>
    <row r="1" ht="34" customHeight="1" spans="1:15" x14ac:dyDescent="0.25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30" customHeight="1" spans="1:15" x14ac:dyDescent="0.25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 t="s">
        <v>30</v>
      </c>
      <c r="O4" s="7" t="s">
        <v>31</v>
      </c>
    </row>
    <row r="5" spans="2:15" x14ac:dyDescent="0.25">
      <c r="B5" s="8" t="s">
        <v>32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">
        <f>SUM(C5:N5)</f>
      </c>
    </row>
    <row r="6" spans="2:15" x14ac:dyDescent="0.25">
      <c r="B6" s="8" t="s">
        <v>33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">
        <f>SUM(C6:N6)</f>
      </c>
    </row>
    <row r="7" spans="2:15" x14ac:dyDescent="0.25">
      <c r="B7" s="8" t="s">
        <v>34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0">
        <f>SUM(C7:N7)</f>
      </c>
    </row>
    <row r="8" spans="2:15" x14ac:dyDescent="0.25">
      <c r="B8" s="8" t="s">
        <v>35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>
        <f>SUM(C8:N8)</f>
      </c>
    </row>
    <row r="9" spans="2:15" x14ac:dyDescent="0.25">
      <c r="B9" s="11" t="s">
        <v>36</v>
      </c>
      <c r="C9" s="12">
        <f>SUM(C5:C8)</f>
      </c>
      <c r="D9" s="12">
        <f>SUM(D5:D8)</f>
      </c>
      <c r="E9" s="12">
        <f>SUM(E5:E8)</f>
      </c>
      <c r="F9" s="12">
        <f>SUM(F5:F8)</f>
      </c>
      <c r="G9" s="12">
        <f>SUM(G5:G8)</f>
      </c>
      <c r="H9" s="12">
        <f>SUM(H5:H8)</f>
      </c>
      <c r="I9" s="12">
        <f>SUM(I5:I8)</f>
      </c>
      <c r="J9" s="12">
        <f>SUM(J5:J8)</f>
      </c>
      <c r="K9" s="12">
        <f>SUM(K5:K8)</f>
      </c>
      <c r="L9" s="12">
        <f>SUM(L5:L8)</f>
      </c>
      <c r="M9" s="12">
        <f>SUM(M5:M8)</f>
      </c>
      <c r="N9" s="12">
        <f>SUM(N5:N8)</f>
      </c>
      <c r="O9" s="12">
        <f>SUM(O5:O8)</f>
      </c>
    </row>
    <row r="11" spans="2:15" x14ac:dyDescent="0.25">
      <c r="B11" s="8" t="s">
        <v>37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>
        <f>SUM(C11:N11)</f>
      </c>
    </row>
    <row r="12" spans="2:15" x14ac:dyDescent="0.25">
      <c r="B12" s="8" t="s">
        <v>38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>
        <f>SUM(C12:N12)</f>
      </c>
    </row>
    <row r="13" spans="2:15" x14ac:dyDescent="0.25">
      <c r="B13" s="8" t="s">
        <v>39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>
        <f>SUM(C13:N13)</f>
      </c>
    </row>
    <row r="14" spans="2:15" x14ac:dyDescent="0.25">
      <c r="B14" s="8" t="s">
        <v>40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>
        <f>SUM(C14:N14)</f>
      </c>
    </row>
    <row r="15" spans="2:15" x14ac:dyDescent="0.25">
      <c r="B15" s="8" t="s">
        <v>41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>
        <f>SUM(C15:N15)</f>
      </c>
    </row>
    <row r="16" spans="2:15" x14ac:dyDescent="0.25">
      <c r="B16" s="8" t="s">
        <v>42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>
        <f>SUM(C16:N16)</f>
      </c>
    </row>
    <row r="17" spans="2:15" x14ac:dyDescent="0.25">
      <c r="B17" s="8" t="s">
        <v>43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>
        <f>SUM(C17:N17)</f>
      </c>
    </row>
    <row r="18" spans="2:15" x14ac:dyDescent="0.25">
      <c r="B18" s="8" t="s">
        <v>44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>
        <f>SUM(C18:N18)</f>
      </c>
    </row>
    <row r="19" spans="2:15" x14ac:dyDescent="0.25">
      <c r="B19" s="8" t="s">
        <v>45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>
        <f>SUM(C19:N19)</f>
      </c>
    </row>
    <row r="20" spans="2:15" x14ac:dyDescent="0.25">
      <c r="B20" s="8" t="s">
        <v>46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>
        <f>SUM(C20:N20)</f>
      </c>
    </row>
    <row r="21" spans="2:15" x14ac:dyDescent="0.25">
      <c r="B21" s="8" t="s">
        <v>47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>
        <f>SUM(C21:N21)</f>
      </c>
    </row>
    <row r="22" spans="2:15" x14ac:dyDescent="0.25">
      <c r="B22" s="13" t="s">
        <v>48</v>
      </c>
      <c r="C22" s="12">
        <f>SUM(C11:C21)</f>
      </c>
      <c r="D22" s="12">
        <f>SUM(D11:D21)</f>
      </c>
      <c r="E22" s="12">
        <f>SUM(E11:E21)</f>
      </c>
      <c r="F22" s="12">
        <f>SUM(F11:F21)</f>
      </c>
      <c r="G22" s="12">
        <f>SUM(G11:G21)</f>
      </c>
      <c r="H22" s="12">
        <f>SUM(H11:H21)</f>
      </c>
      <c r="I22" s="12">
        <f>SUM(I11:I21)</f>
      </c>
      <c r="J22" s="12">
        <f>SUM(J11:J21)</f>
      </c>
      <c r="K22" s="12">
        <f>SUM(K11:K21)</f>
      </c>
      <c r="L22" s="12">
        <f>SUM(L11:L21)</f>
      </c>
      <c r="M22" s="12">
        <f>SUM(M11:M21)</f>
      </c>
      <c r="N22" s="12">
        <f>SUM(N11:N21)</f>
      </c>
      <c r="O22" s="12">
        <f>SUM(O11:O21)</f>
      </c>
    </row>
    <row r="23" spans="2:15" x14ac:dyDescent="0.25">
      <c r="B23" s="14" t="s">
        <v>49</v>
      </c>
      <c r="C23" s="15">
        <f>C9-C22</f>
      </c>
      <c r="D23" s="15">
        <f>D9-D22</f>
      </c>
      <c r="E23" s="15">
        <f>E9-E22</f>
      </c>
      <c r="F23" s="15">
        <f>F9-F22</f>
      </c>
      <c r="G23" s="15">
        <f>G9-G22</f>
      </c>
      <c r="H23" s="15">
        <f>H9-H22</f>
      </c>
      <c r="I23" s="15">
        <f>I9-I22</f>
      </c>
      <c r="J23" s="15">
        <f>J9-J22</f>
      </c>
      <c r="K23" s="15">
        <f>K9-K22</f>
      </c>
      <c r="L23" s="15">
        <f>L9-L22</f>
      </c>
      <c r="M23" s="15">
        <f>M9-M22</f>
      </c>
      <c r="N23" s="15">
        <f>N9-N22</f>
      </c>
      <c r="O23" s="12">
        <f>O9-O22</f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O23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24" customWidth="1"/>
    <col min="3" max="14" width="13" customWidth="1"/>
    <col min="15" max="15" width="16" customWidth="1"/>
  </cols>
  <sheetData>
    <row r="1" ht="34" customHeight="1" spans="1:15" x14ac:dyDescent="0.25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30" customHeight="1" spans="1:15" x14ac:dyDescent="0.25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 t="s">
        <v>30</v>
      </c>
      <c r="O4" s="7" t="s">
        <v>31</v>
      </c>
    </row>
    <row r="5" spans="2:15" x14ac:dyDescent="0.25">
      <c r="B5" s="8" t="s">
        <v>32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">
        <f>SUM(C5:N5)</f>
      </c>
    </row>
    <row r="6" spans="2:15" x14ac:dyDescent="0.25">
      <c r="B6" s="8" t="s">
        <v>33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">
        <f>SUM(C6:N6)</f>
      </c>
    </row>
    <row r="7" spans="2:15" x14ac:dyDescent="0.25">
      <c r="B7" s="8" t="s">
        <v>34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0">
        <f>SUM(C7:N7)</f>
      </c>
    </row>
    <row r="8" spans="2:15" x14ac:dyDescent="0.25">
      <c r="B8" s="8" t="s">
        <v>35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>
        <f>SUM(C8:N8)</f>
      </c>
    </row>
    <row r="9" spans="2:15" x14ac:dyDescent="0.25">
      <c r="B9" s="11" t="s">
        <v>36</v>
      </c>
      <c r="C9" s="12">
        <f>SUM(C5:C8)</f>
      </c>
      <c r="D9" s="12">
        <f>SUM(D5:D8)</f>
      </c>
      <c r="E9" s="12">
        <f>SUM(E5:E8)</f>
      </c>
      <c r="F9" s="12">
        <f>SUM(F5:F8)</f>
      </c>
      <c r="G9" s="12">
        <f>SUM(G5:G8)</f>
      </c>
      <c r="H9" s="12">
        <f>SUM(H5:H8)</f>
      </c>
      <c r="I9" s="12">
        <f>SUM(I5:I8)</f>
      </c>
      <c r="J9" s="12">
        <f>SUM(J5:J8)</f>
      </c>
      <c r="K9" s="12">
        <f>SUM(K5:K8)</f>
      </c>
      <c r="L9" s="12">
        <f>SUM(L5:L8)</f>
      </c>
      <c r="M9" s="12">
        <f>SUM(M5:M8)</f>
      </c>
      <c r="N9" s="12">
        <f>SUM(N5:N8)</f>
      </c>
      <c r="O9" s="12">
        <f>SUM(O5:O8)</f>
      </c>
    </row>
    <row r="11" spans="2:15" x14ac:dyDescent="0.25">
      <c r="B11" s="8" t="s">
        <v>37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>
        <f>SUM(C11:N11)</f>
      </c>
    </row>
    <row r="12" spans="2:15" x14ac:dyDescent="0.25">
      <c r="B12" s="8" t="s">
        <v>38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>
        <f>SUM(C12:N12)</f>
      </c>
    </row>
    <row r="13" spans="2:15" x14ac:dyDescent="0.25">
      <c r="B13" s="8" t="s">
        <v>39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>
        <f>SUM(C13:N13)</f>
      </c>
    </row>
    <row r="14" spans="2:15" x14ac:dyDescent="0.25">
      <c r="B14" s="8" t="s">
        <v>40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>
        <f>SUM(C14:N14)</f>
      </c>
    </row>
    <row r="15" spans="2:15" x14ac:dyDescent="0.25">
      <c r="B15" s="8" t="s">
        <v>41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>
        <f>SUM(C15:N15)</f>
      </c>
    </row>
    <row r="16" spans="2:15" x14ac:dyDescent="0.25">
      <c r="B16" s="8" t="s">
        <v>42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>
        <f>SUM(C16:N16)</f>
      </c>
    </row>
    <row r="17" spans="2:15" x14ac:dyDescent="0.25">
      <c r="B17" s="8" t="s">
        <v>43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>
        <f>SUM(C17:N17)</f>
      </c>
    </row>
    <row r="18" spans="2:15" x14ac:dyDescent="0.25">
      <c r="B18" s="8" t="s">
        <v>44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>
        <f>SUM(C18:N18)</f>
      </c>
    </row>
    <row r="19" spans="2:15" x14ac:dyDescent="0.25">
      <c r="B19" s="8" t="s">
        <v>45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>
        <f>SUM(C19:N19)</f>
      </c>
    </row>
    <row r="20" spans="2:15" x14ac:dyDescent="0.25">
      <c r="B20" s="8" t="s">
        <v>46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>
        <f>SUM(C20:N20)</f>
      </c>
    </row>
    <row r="21" spans="2:15" x14ac:dyDescent="0.25">
      <c r="B21" s="8" t="s">
        <v>47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>
        <f>SUM(C21:N21)</f>
      </c>
    </row>
    <row r="22" spans="2:15" x14ac:dyDescent="0.25">
      <c r="B22" s="13" t="s">
        <v>48</v>
      </c>
      <c r="C22" s="12">
        <f>SUM(C11:C21)</f>
      </c>
      <c r="D22" s="12">
        <f>SUM(D11:D21)</f>
      </c>
      <c r="E22" s="12">
        <f>SUM(E11:E21)</f>
      </c>
      <c r="F22" s="12">
        <f>SUM(F11:F21)</f>
      </c>
      <c r="G22" s="12">
        <f>SUM(G11:G21)</f>
      </c>
      <c r="H22" s="12">
        <f>SUM(H11:H21)</f>
      </c>
      <c r="I22" s="12">
        <f>SUM(I11:I21)</f>
      </c>
      <c r="J22" s="12">
        <f>SUM(J11:J21)</f>
      </c>
      <c r="K22" s="12">
        <f>SUM(K11:K21)</f>
      </c>
      <c r="L22" s="12">
        <f>SUM(L11:L21)</f>
      </c>
      <c r="M22" s="12">
        <f>SUM(M11:M21)</f>
      </c>
      <c r="N22" s="12">
        <f>SUM(N11:N21)</f>
      </c>
      <c r="O22" s="12">
        <f>SUM(O11:O21)</f>
      </c>
    </row>
    <row r="23" spans="2:15" x14ac:dyDescent="0.25">
      <c r="B23" s="14" t="s">
        <v>49</v>
      </c>
      <c r="C23" s="15">
        <f>C9-C22</f>
      </c>
      <c r="D23" s="15">
        <f>D9-D22</f>
      </c>
      <c r="E23" s="15">
        <f>E9-E22</f>
      </c>
      <c r="F23" s="15">
        <f>F9-F22</f>
      </c>
      <c r="G23" s="15">
        <f>G9-G22</f>
      </c>
      <c r="H23" s="15">
        <f>H9-H22</f>
      </c>
      <c r="I23" s="15">
        <f>I9-I22</f>
      </c>
      <c r="J23" s="15">
        <f>J9-J22</f>
      </c>
      <c r="K23" s="15">
        <f>K9-K22</f>
      </c>
      <c r="L23" s="15">
        <f>L9-L22</f>
      </c>
      <c r="M23" s="15">
        <f>M9-M22</f>
      </c>
      <c r="N23" s="15">
        <f>N9-N22</f>
      </c>
      <c r="O23" s="12">
        <f>O9-O22</f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24" customWidth="1"/>
    <col min="3" max="14" width="13" customWidth="1"/>
    <col min="15" max="15" width="16" customWidth="1"/>
  </cols>
  <sheetData>
    <row r="1" ht="34" customHeight="1" spans="1:15" x14ac:dyDescent="0.2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30" customHeight="1" spans="1:15" x14ac:dyDescent="0.25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 t="s">
        <v>30</v>
      </c>
      <c r="O4" s="7" t="s">
        <v>31</v>
      </c>
    </row>
    <row r="5" spans="2:15" x14ac:dyDescent="0.25">
      <c r="B5" s="8" t="s">
        <v>53</v>
      </c>
      <c r="C5" s="10">
        <f>'Gerçekleşen'!C9-'Yıllık Plan'!C9</f>
      </c>
      <c r="D5" s="10">
        <f>'Gerçekleşen'!D9-'Yıllık Plan'!D9</f>
      </c>
      <c r="E5" s="10">
        <f>'Gerçekleşen'!E9-'Yıllık Plan'!E9</f>
      </c>
      <c r="F5" s="10">
        <f>'Gerçekleşen'!F9-'Yıllık Plan'!F9</f>
      </c>
      <c r="G5" s="10">
        <f>'Gerçekleşen'!G9-'Yıllık Plan'!G9</f>
      </c>
      <c r="H5" s="10">
        <f>'Gerçekleşen'!H9-'Yıllık Plan'!H9</f>
      </c>
      <c r="I5" s="10">
        <f>'Gerçekleşen'!I9-'Yıllık Plan'!I9</f>
      </c>
      <c r="J5" s="10">
        <f>'Gerçekleşen'!J9-'Yıllık Plan'!J9</f>
      </c>
      <c r="K5" s="10">
        <f>'Gerçekleşen'!K9-'Yıllık Plan'!K9</f>
      </c>
      <c r="L5" s="10">
        <f>'Gerçekleşen'!L9-'Yıllık Plan'!L9</f>
      </c>
      <c r="M5" s="10">
        <f>'Gerçekleşen'!M9-'Yıllık Plan'!M9</f>
      </c>
      <c r="N5" s="10">
        <f>'Gerçekleşen'!N9-'Yıllık Plan'!N9</f>
      </c>
      <c r="O5" s="10">
        <f>SUM(C5:N5)</f>
      </c>
    </row>
    <row r="6" spans="2:15" x14ac:dyDescent="0.25">
      <c r="B6" s="8" t="s">
        <v>54</v>
      </c>
      <c r="C6" s="10">
        <f>'Yıllık Plan'!C22-'Gerçekleşen'!C22</f>
      </c>
      <c r="D6" s="10">
        <f>'Yıllık Plan'!D22-'Gerçekleşen'!D22</f>
      </c>
      <c r="E6" s="10">
        <f>'Yıllık Plan'!E22-'Gerçekleşen'!E22</f>
      </c>
      <c r="F6" s="10">
        <f>'Yıllık Plan'!F22-'Gerçekleşen'!F22</f>
      </c>
      <c r="G6" s="10">
        <f>'Yıllık Plan'!G22-'Gerçekleşen'!G22</f>
      </c>
      <c r="H6" s="10">
        <f>'Yıllık Plan'!H22-'Gerçekleşen'!H22</f>
      </c>
      <c r="I6" s="10">
        <f>'Yıllık Plan'!I22-'Gerçekleşen'!I22</f>
      </c>
      <c r="J6" s="10">
        <f>'Yıllık Plan'!J22-'Gerçekleşen'!J22</f>
      </c>
      <c r="K6" s="10">
        <f>'Yıllık Plan'!K22-'Gerçekleşen'!K22</f>
      </c>
      <c r="L6" s="10">
        <f>'Yıllık Plan'!L22-'Gerçekleşen'!L22</f>
      </c>
      <c r="M6" s="10">
        <f>'Yıllık Plan'!M22-'Gerçekleşen'!M22</f>
      </c>
      <c r="N6" s="10">
        <f>'Yıllık Plan'!N22-'Gerçekleşen'!N22</f>
      </c>
      <c r="O6" s="10">
        <f>SUM(C6:N6)</f>
      </c>
    </row>
    <row r="7" spans="2:15" x14ac:dyDescent="0.25">
      <c r="B7" s="8" t="s">
        <v>55</v>
      </c>
      <c r="C7" s="10">
        <f>'Gerçekleşen'!C23-'Yıllık Plan'!C23</f>
      </c>
      <c r="D7" s="10">
        <f>'Gerçekleşen'!D23-'Yıllık Plan'!D23</f>
      </c>
      <c r="E7" s="10">
        <f>'Gerçekleşen'!E23-'Yıllık Plan'!E23</f>
      </c>
      <c r="F7" s="10">
        <f>'Gerçekleşen'!F23-'Yıllık Plan'!F23</f>
      </c>
      <c r="G7" s="10">
        <f>'Gerçekleşen'!G23-'Yıllık Plan'!G23</f>
      </c>
      <c r="H7" s="10">
        <f>'Gerçekleşen'!H23-'Yıllık Plan'!H23</f>
      </c>
      <c r="I7" s="10">
        <f>'Gerçekleşen'!I23-'Yıllık Plan'!I23</f>
      </c>
      <c r="J7" s="10">
        <f>'Gerçekleşen'!J23-'Yıllık Plan'!J23</f>
      </c>
      <c r="K7" s="10">
        <f>'Gerçekleşen'!K23-'Yıllık Plan'!K23</f>
      </c>
      <c r="L7" s="10">
        <f>'Gerçekleşen'!L23-'Yıllık Plan'!L23</f>
      </c>
      <c r="M7" s="10">
        <f>'Gerçekleşen'!M23-'Yıllık Plan'!M23</f>
      </c>
      <c r="N7" s="10">
        <f>'Gerçekleşen'!N23-'Yıllık Plan'!N23</f>
      </c>
      <c r="O7" s="10">
        <f>SUM(C7:N7)</f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534"/>
  </sheetPr>
  <dimension ref="A1:D15"/>
  <sheetFormatPr defaultRowHeight="15" outlineLevelRow="0" outlineLevelCol="0" x14ac:dyDescent="55"/>
  <cols>
    <col min="1" max="1" width="3" customWidth="1"/>
    <col min="2" max="2" width="36" customWidth="1"/>
    <col min="3" max="3" width="22" customWidth="1"/>
  </cols>
  <sheetData>
    <row r="1" ht="34" customHeight="1" spans="1:4" x14ac:dyDescent="0.25">
      <c r="A1" s="1" t="s">
        <v>56</v>
      </c>
      <c r="B1" s="1"/>
      <c r="C1" s="1"/>
      <c r="D1" s="1"/>
    </row>
    <row r="2" ht="20" customHeight="1" spans="1:4" x14ac:dyDescent="0.25">
      <c r="A2" s="2" t="s">
        <v>57</v>
      </c>
      <c r="B2" s="2"/>
      <c r="C2" s="2"/>
      <c r="D2" s="2"/>
    </row>
    <row r="4" spans="2:3" x14ac:dyDescent="0.25">
      <c r="B4" s="16" t="s">
        <v>58</v>
      </c>
      <c r="C4" s="10">
        <f>'Yıllık Plan'!O9</f>
      </c>
    </row>
    <row r="5" spans="2:3" x14ac:dyDescent="0.25">
      <c r="B5" s="16" t="s">
        <v>59</v>
      </c>
      <c r="C5" s="10">
        <f>'Yıllık Plan'!O22</f>
      </c>
    </row>
    <row r="6" spans="2:3" x14ac:dyDescent="0.25">
      <c r="B6" s="16" t="s">
        <v>60</v>
      </c>
      <c r="C6" s="10">
        <f>'Yıllık Plan'!O23</f>
      </c>
    </row>
    <row r="7" spans="2:3" x14ac:dyDescent="0.25">
      <c r="B7" s="16" t="s">
        <v>61</v>
      </c>
      <c r="C7" s="10">
        <f>'Gerçekleşen'!O9</f>
      </c>
    </row>
    <row r="8" spans="2:3" x14ac:dyDescent="0.25">
      <c r="B8" s="16" t="s">
        <v>62</v>
      </c>
      <c r="C8" s="10">
        <f>'Gerçekleşen'!O22</f>
      </c>
    </row>
    <row r="9" spans="2:3" x14ac:dyDescent="0.25">
      <c r="B9" s="16" t="s">
        <v>63</v>
      </c>
      <c r="C9" s="10">
        <f>'Gerçekleşen'!O23</f>
      </c>
    </row>
    <row r="11" spans="2:3" x14ac:dyDescent="0.25">
      <c r="B11" s="14" t="s">
        <v>64</v>
      </c>
      <c r="C11" s="17">
        <f>IF(C7=0,0,C9/C7)</f>
      </c>
    </row>
    <row r="13" spans="2:3" x14ac:dyDescent="0.25">
      <c r="B13" s="18" t="s">
        <v>65</v>
      </c>
      <c r="C13" s="18"/>
    </row>
    <row r="14" spans="2:3" x14ac:dyDescent="0.25">
      <c r="B14" s="18"/>
      <c r="C14" s="18"/>
    </row>
    <row r="15" spans="2:3" x14ac:dyDescent="0.25">
      <c r="B15" s="18"/>
      <c r="C15" s="18"/>
    </row>
  </sheetData>
  <mergeCells count="3">
    <mergeCell ref="A1:D1"/>
    <mergeCell ref="A2:D2"/>
    <mergeCell ref="B13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Nasıl Kullanılır</vt:lpstr>
      <vt:lpstr>Yıllık Plan</vt:lpstr>
      <vt:lpstr>Gerçekleşen</vt:lpstr>
      <vt:lpstr>Karşılaştırma</vt:lpstr>
      <vt:lpstr>Özet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MiniHesap</dc:creator>
  <dc:title/>
  <dc:subject/>
  <dc:description/>
  <cp:keywords/>
  <cp:category/>
  <cp:lastModifiedBy>Unknown</cp:lastModifiedBy>
  <dcterms:created xsi:type="dcterms:W3CDTF">2026-09-11T06:26:13Z</dcterms:created>
  <dcterms:modified xsi:type="dcterms:W3CDTF">2026-09-11T06:26:13Z</dcterms:modified>
</cp:coreProperties>
</file>