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ppData\Local\Temp\claude\C--Users-user-Desktop-mini-hesap\3b5a2d53-4f29-495e-91f7-7be274cc05a4\scratchpad\xlsx\out\"/>
    </mc:Choice>
  </mc:AlternateContent>
  <bookViews>
    <workbookView xWindow="0" yWindow="0" windowWidth="17256" windowHeight="7536"/>
  </bookViews>
  <sheets>
    <sheet name="Kurulum" sheetId="1" r:id="rId1"/>
    <sheet name="Dashboard" sheetId="8" r:id="rId2"/>
    <sheet name="Hareketler" sheetId="2" r:id="rId3"/>
    <sheet name="Stok" sheetId="3" r:id="rId4"/>
    <sheet name="Cari Ekstre" sheetId="4" r:id="rId5"/>
    <sheet name="Urun Karlilik" sheetId="5" r:id="rId6"/>
    <sheet name="Aylik Ozet" sheetId="6" r:id="rId7"/>
    <sheet name="Vadesi Gecen" sheetId="7" r:id="rId8"/>
  </sheets>
  <definedNames>
    <definedName name="MH_qryAylikOzet" localSheetId="6">'Aylik Ozet'!$A$1:$F$4</definedName>
    <definedName name="MH_qryCariEkstre" localSheetId="4">'Cari Ekstre'!$A$1:$H$4</definedName>
    <definedName name="MH_qryHareketDetay" localSheetId="2">Hareketler!$A$1:$W$6</definedName>
    <definedName name="MH_qryStokDurumu" localSheetId="3">Stok!$A$1:$I$4</definedName>
    <definedName name="MH_qryUrunKarlilik" localSheetId="5">'Urun Karlilik'!$A$1:$G$4</definedName>
    <definedName name="MH_qryVadesiGecen" localSheetId="7">'Vadesi Gecen'!$A$1:$I$4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8" l="1"/>
  <c r="F11" i="8"/>
  <c r="F10" i="8"/>
  <c r="C11" i="8"/>
  <c r="C10" i="8"/>
  <c r="F8" i="8"/>
  <c r="F7" i="8"/>
  <c r="F6" i="8"/>
  <c r="F5" i="8"/>
  <c r="C8" i="8"/>
  <c r="C7" i="8"/>
  <c r="C6" i="8"/>
  <c r="C5" i="8"/>
</calcChain>
</file>

<file path=xl/connections.xml><?xml version="1.0" encoding="utf-8"?>
<connections xmlns="http://schemas.openxmlformats.org/spreadsheetml/2006/main">
  <connection id="1" keepAlive="1" name="Bağlantı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HareketDetay" commandType="3"/>
  </connection>
  <connection id="2" keepAlive="1" name="Bağlantı1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StokDurumu" commandType="3"/>
  </connection>
  <connection id="3" keepAlive="1" name="Bağlantı2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CariEkstre" commandType="3"/>
  </connection>
  <connection id="4" keepAlive="1" name="Bağlantı3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UrunKarlilik" commandType="3"/>
  </connection>
  <connection id="5" keepAlive="1" name="Bağlantı4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AylikOzet" commandType="3"/>
  </connection>
  <connection id="6" keepAlive="1" name="Bağlantı5" type="5" refreshedVersion="6" refreshOnLoad="1" saveData="1">
    <dbPr connection="Provider=Microsoft.ACE.OLEDB.16.0;User ID=Admin;Data Source=C:\Users\user\AppData\Local\Temp\claude\C--Users-user-Desktop-mini-hesap\3b5a2d53-4f29-495e-91f7-7be274cc05a4\scratchpad\xlsx\out\MiniHesap_Isletme_Veritabani.accdb;Mode=Share Deny None;Extended Properties=&quot;&quot;;Jet OLEDB:System database=&quot;&quot;;Jet OLEDB:Registry Path=&quot;&quot;;Jet OLEDB:Engine Type=6;Jet OLEDB:Database Locking Mode=1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qryVadesiGecen" commandType="3"/>
  </connection>
</connections>
</file>

<file path=xl/sharedStrings.xml><?xml version="1.0" encoding="utf-8"?>
<sst xmlns="http://schemas.openxmlformats.org/spreadsheetml/2006/main" count="200" uniqueCount="128">
  <si>
    <t>HareketId</t>
  </si>
  <si>
    <t>Tarih</t>
  </si>
  <si>
    <t>HareketTipi</t>
  </si>
  <si>
    <t>StokEtkisi</t>
  </si>
  <si>
    <t>CariEtkisi</t>
  </si>
  <si>
    <t>CariKodu</t>
  </si>
  <si>
    <t>Cari</t>
  </si>
  <si>
    <t>UrunKodu</t>
  </si>
  <si>
    <t>Urun</t>
  </si>
  <si>
    <t>Miktar</t>
  </si>
  <si>
    <t>BirimFiyat</t>
  </si>
  <si>
    <t>KdvOrani</t>
  </si>
  <si>
    <t>Matrah</t>
  </si>
  <si>
    <t>KdvTutari</t>
  </si>
  <si>
    <t>Toplam</t>
  </si>
  <si>
    <t>OdemeYontemi</t>
  </si>
  <si>
    <t>BelgeTuru</t>
  </si>
  <si>
    <t>BelgeNo</t>
  </si>
  <si>
    <t>VadeTarihi</t>
  </si>
  <si>
    <t>Tahsil</t>
  </si>
  <si>
    <t>Aciklama</t>
  </si>
  <si>
    <t>Yil</t>
  </si>
  <si>
    <t>Ay</t>
  </si>
  <si>
    <t>Satis</t>
  </si>
  <si>
    <t>C001</t>
  </si>
  <si>
    <t>Aydin Ticaret Ltd. Sti.</t>
  </si>
  <si>
    <t>U001</t>
  </si>
  <si>
    <t>A Serisi Urun</t>
  </si>
  <si>
    <t>Banka</t>
  </si>
  <si>
    <t>e-Fatura</t>
  </si>
  <si>
    <t>SAT2026000141</t>
  </si>
  <si>
    <t>Toptan urun satisi</t>
  </si>
  <si>
    <t>C002</t>
  </si>
  <si>
    <t>Beta Yazilim A.S.</t>
  </si>
  <si>
    <t>U003</t>
  </si>
  <si>
    <t>Aylik Bakim Hizmeti</t>
  </si>
  <si>
    <t>Acik Hesap</t>
  </si>
  <si>
    <t>e-Arsiv Fatura</t>
  </si>
  <si>
    <t>SAT2026000158</t>
  </si>
  <si>
    <t>Aylik bakim hizmeti</t>
  </si>
  <si>
    <t>U002</t>
  </si>
  <si>
    <t>B Serisi Urun</t>
  </si>
  <si>
    <t>SAT2026000122</t>
  </si>
  <si>
    <t>Proje teslimati</t>
  </si>
  <si>
    <t>Alis</t>
  </si>
  <si>
    <t>C003</t>
  </si>
  <si>
    <t>Deniz Toptan Gida</t>
  </si>
  <si>
    <t>ALS2026000318</t>
  </si>
  <si>
    <t>Stok alimi</t>
  </si>
  <si>
    <t>ALS2026000402</t>
  </si>
  <si>
    <t>UrunId</t>
  </si>
  <si>
    <t>UrunAdi</t>
  </si>
  <si>
    <t>Birim</t>
  </si>
  <si>
    <t>AcilisStogu</t>
  </si>
  <si>
    <t>KritikStok</t>
  </si>
  <si>
    <t>NetHareket</t>
  </si>
  <si>
    <t>SatisFiyati</t>
  </si>
  <si>
    <t>AlisFiyati</t>
  </si>
  <si>
    <t>Adet</t>
  </si>
  <si>
    <t>CariId</t>
  </si>
  <si>
    <t>Unvan</t>
  </si>
  <si>
    <t>CariTipi</t>
  </si>
  <si>
    <t>AcilisBakiyesi</t>
  </si>
  <si>
    <t>ToplamSatis</t>
  </si>
  <si>
    <t>ToplamAlis</t>
  </si>
  <si>
    <t>AcikAlacak</t>
  </si>
  <si>
    <t>Musteri</t>
  </si>
  <si>
    <t>Tedarikci</t>
  </si>
  <si>
    <t>SatilanMiktar</t>
  </si>
  <si>
    <t>SatisMatrahi</t>
  </si>
  <si>
    <t>Kdv</t>
  </si>
  <si>
    <t>HareketSayisi</t>
  </si>
  <si>
    <t>Tutar</t>
  </si>
  <si>
    <t>GecikmeGunu</t>
  </si>
  <si>
    <t>MiniHesap - Isletme Yonetim Panosu</t>
  </si>
  <si>
    <t>Veriler Access veritabanindan canli okunur. Yenilemek icin: Veri sekmesi &gt; Tumunu Yenile</t>
  </si>
  <si>
    <t>TOPLAM SATIS (KDV haric)</t>
  </si>
  <si>
    <t>TOPLAM ALIS (KDV haric)</t>
  </si>
  <si>
    <t>BRUT KAR</t>
  </si>
  <si>
    <t>KAR MARJI</t>
  </si>
  <si>
    <t>HESAPLANAN KDV (satis)</t>
  </si>
  <si>
    <t>INDIRILECEK KDV (alis)</t>
  </si>
  <si>
    <t>ODENECEK / DEVREDEN KDV</t>
  </si>
  <si>
    <t>TOPLAM HAREKET SAYISI</t>
  </si>
  <si>
    <t>TAHSIL EDILMEMIS ALACAK</t>
  </si>
  <si>
    <t>ODENMEMIS BORC</t>
  </si>
  <si>
    <t>VADESI GECEN TUTAR</t>
  </si>
  <si>
    <t>VADESI GECEN BELGE SAYISI</t>
  </si>
  <si>
    <t>STOK DURUMU</t>
  </si>
  <si>
    <t>Kritik stoktaki urun sayisi</t>
  </si>
  <si>
    <t>Not: Access dosyasi ile bu Excel dosyasi ayni klasorde durmalidir. Klasoru degistirdiyseniz 'Kurulum' sayfasindaki adimlari uygulayin.</t>
  </si>
  <si>
    <t>Kurulum ve Kullanim</t>
  </si>
  <si>
    <t>Bu paket nasil calisir?</t>
  </si>
  <si>
    <t>Paket iki dosyadan olusur:</t>
  </si>
  <si>
    <t xml:space="preserve">  1) MiniHesap_Isletme_Veritabani.accdb  -&gt;  VERIYI TUTAR (Microsoft Access)</t>
  </si>
  <si>
    <t xml:space="preserve">  2) MiniHesap_Isletme_Raporlama.xlsx     -&gt;  HESAPLAMA VE RAPORLAMA YAPAR (Microsoft Excel)</t>
  </si>
  <si>
    <t>Veri girisini Access dosyasindan yaparsiniz. Excel dosyasi bu veriyi canli okur ve</t>
  </si>
  <si>
    <t>ozet, kar, KDV, stok, cari bakiye ve vade analizlerini hesaplar.</t>
  </si>
  <si>
    <t>Ilk kurulum</t>
  </si>
  <si>
    <t>1. Iki dosyayi da AYNI KLASORE cikarin.</t>
  </si>
  <si>
    <t>2. Once Access dosyasini acin, verilerinizi girin ve kaydedip kapatin.</t>
  </si>
  <si>
    <t>3. Excel dosyasini acin. 'Icerigi Etkinlestir' uyarisi cikarsa etkinlestirin.</t>
  </si>
  <si>
    <t>4. Veri sekmesi &gt; Tumunu Yenile dugmesine basin. Tablolar guncellenir.</t>
  </si>
  <si>
    <t>Access tarafinda veri girisi</t>
  </si>
  <si>
    <t>Cariler tablosu: musteri ve tedarikcileriniz. CariKodu benzersiz olmalidir.</t>
  </si>
  <si>
    <t>Urunler tablosu: sattiginiz/aldiginiz urunler. UrunKodu benzersiz olmalidir.</t>
  </si>
  <si>
    <t>Hareketler tablosu: her alis/satis icin bir kayit. HareketTipiId, CariId ve UrunId</t>
  </si>
  <si>
    <t xml:space="preserve">  ilgili tablolara baglidir; Access bu iliskiler sayesinde hatali kayit girmenizi engeller.</t>
  </si>
  <si>
    <t>Ayarlar tablosu: firma bilgileriniz ve varsayilan KDV orani.</t>
  </si>
  <si>
    <t>Hesaplama sorgulari (Access icinde hazir gelir)</t>
  </si>
  <si>
    <t>qryHareketDetay  - her harekete ait matrah, KDV ve toplam tutar</t>
  </si>
  <si>
    <t>qryStokDurumu    - urun bazli acilis, net hareket ve kritik stok</t>
  </si>
  <si>
    <t>qryCariEkstre    - cari bazli satis, alis ve acik alacak</t>
  </si>
  <si>
    <t>qryAylikOzet     - yil/ay bazinda matrah ve KDV ozeti</t>
  </si>
  <si>
    <t>qryUrunKarlilik  - urun bazli satilan miktar ve satis matrahi</t>
  </si>
  <si>
    <t>qryVadesiGecen   - vadesi gecmis tahsil edilmemis belgeler</t>
  </si>
  <si>
    <t>Klasoru degistirdiyseniz (baglanti yenileme)</t>
  </si>
  <si>
    <t>Excel dosyasi Access dosyasinin yolunu hatirlar. Dosyalari tasidiysaniz:</t>
  </si>
  <si>
    <t>1. Excel'de Veri sekmesi &gt; Sorgular ve Baglantilar &gt; Baglantilar</t>
  </si>
  <si>
    <t>2. Listedeki her baglantiya cift tiklayin &gt; Tanim sekmesi</t>
  </si>
  <si>
    <t>3. Baglanti dizesindeki 'Data Source=' kismini yeni klasor yoluyla degistirin</t>
  </si>
  <si>
    <t>4. Tamam deyip Tumunu Yenile yapin</t>
  </si>
  <si>
    <t>Sik sorulanlar</t>
  </si>
  <si>
    <t>Excel acilirken 'Bu calisma kitabi disaridan veri baglantisi iceriyor' uyarisi normaldir; etkinlestirin.</t>
  </si>
  <si>
    <t>Access kurulu degilse Excel dosyasi veriyi okuyamaz. Microsoft Access Database Engine yeterlidir.</t>
  </si>
  <si>
    <t>Veriyi Excel'den degistirmeyin; Excel yalnizca okur. Degisiklikleri Access'ten yapin.</t>
  </si>
  <si>
    <t>Bu dosyadaki hesaplamalar bilgilendirme amaclidir; resmi defter veya mali musavir hizmeti yerine gecmez.</t>
  </si>
  <si>
    <t>(c) MiniHesap - minihesap.net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</si>
</sst>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 TL&quot;"/>
    <numFmt numFmtId="165" formatCode="%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b/>
      <sz val="18"/>
      <color rgb="FFFFFFFF"/>
      <name val="Calibri"/>
      <family val="2"/>
      <charset val="162"/>
      <scheme val="minor"/>
    </font>
    <font>
      <i/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2"/>
      <color rgb="FF2C643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0ED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0" fillId="0" borderId="0" xfId="0"/>
    <xf numFmtId="0" fontId="3" fillId="2" borderId="0" xfId="0" applyFont="1" applyFill="1"/>
    <xf numFmtId="0" fontId="4" fillId="0" borderId="0" xfId="0" applyFont="1"/>
    <xf numFmtId="0" fontId="5" fillId="0" borderId="0" xfId="0" applyFont="1"/>
    <xf numFmtId="164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Alignment="1">
      <alignment horizontal="right"/>
    </xf>
    <xf numFmtId="3" fontId="6" fillId="3" borderId="0" xfId="0" applyNumberFormat="1" applyFont="1" applyFill="1" applyAlignment="1">
      <alignment horizontal="right"/>
    </xf>
    <xf numFmtId="0" fontId="7" fillId="0" borderId="0" xfId="0" applyFont="1"/>
    <xf numFmtId="3" fontId="1" fillId="3" borderId="0" xfId="0" applyNumberFormat="1" applyFont="1" applyFill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2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H_qryHareketDetay" backgroundRefresh="0" refreshOnLoad="1" connectionId="1" autoFormatId="0" applyNumberFormats="0" applyBorderFormats="0" applyFontFormats="1" applyPatternFormats="1" applyAlignmentFormats="0" applyWidthHeightFormats="0">
  <queryTableRefresh preserveSortFilterLayout="0" nextId="24">
    <queryTableFields count="23">
      <queryTableField id="1" name="HareketId"/>
      <queryTableField id="2" name="Tarih"/>
      <queryTableField id="3" name="HareketTipi"/>
      <queryTableField id="4" name="StokEtkisi"/>
      <queryTableField id="5" name="CariEtkisi"/>
      <queryTableField id="6" name="CariKodu"/>
      <queryTableField id="7" name="Cari"/>
      <queryTableField id="8" name="UrunKodu"/>
      <queryTableField id="9" name="Urun"/>
      <queryTableField id="10" name="Miktar"/>
      <queryTableField id="11" name="BirimFiyat"/>
      <queryTableField id="12" name="KdvOrani"/>
      <queryTableField id="13" name="Matrah"/>
      <queryTableField id="14" name="KdvTutari"/>
      <queryTableField id="15" name="Toplam"/>
      <queryTableField id="16" name="OdemeYontemi"/>
      <queryTableField id="17" name="BelgeTuru"/>
      <queryTableField id="18" name="BelgeNo"/>
      <queryTableField id="19" name="VadeTarihi"/>
      <queryTableField id="20" name="Tahsil"/>
      <queryTableField id="21" name="Aciklama"/>
      <queryTableField id="22" name="Yil"/>
      <queryTableField id="23" name="Ay"/>
    </queryTableFields>
  </queryTableRefresh>
</queryTable>
</file>

<file path=xl/queryTables/queryTable2.xml><?xml version="1.0" encoding="utf-8"?>
<queryTable xmlns="http://schemas.openxmlformats.org/spreadsheetml/2006/main" name="MH_qryStokDurumu" backgroundRefresh="0" refreshOnLoad="1" connectionId="2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UrunId"/>
      <queryTableField id="2" name="UrunKodu"/>
      <queryTableField id="3" name="UrunAdi"/>
      <queryTableField id="4" name="Birim"/>
      <queryTableField id="5" name="AcilisStogu"/>
      <queryTableField id="6" name="KritikStok"/>
      <queryTableField id="7" name="NetHareket"/>
      <queryTableField id="8" name="SatisFiyati"/>
      <queryTableField id="9" name="AlisFiyati"/>
    </queryTableFields>
  </queryTableRefresh>
</queryTable>
</file>

<file path=xl/queryTables/queryTable3.xml><?xml version="1.0" encoding="utf-8"?>
<queryTable xmlns="http://schemas.openxmlformats.org/spreadsheetml/2006/main" name="MH_qryCariEkstre" backgroundRefresh="0" refreshOnLoad="1" connectionId="3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CariId"/>
      <queryTableField id="2" name="CariKodu"/>
      <queryTableField id="3" name="Unvan"/>
      <queryTableField id="4" name="CariTipi"/>
      <queryTableField id="5" name="AcilisBakiyesi"/>
      <queryTableField id="6" name="ToplamSatis"/>
      <queryTableField id="7" name="ToplamAlis"/>
      <queryTableField id="8" name="AcikAlacak"/>
    </queryTableFields>
  </queryTableRefresh>
</queryTable>
</file>

<file path=xl/queryTables/queryTable4.xml><?xml version="1.0" encoding="utf-8"?>
<queryTable xmlns="http://schemas.openxmlformats.org/spreadsheetml/2006/main" name="MH_qryUrunKarlilik" backgroundRefresh="0" refreshOnLoad="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UrunId"/>
      <queryTableField id="2" name="UrunKodu"/>
      <queryTableField id="3" name="UrunAdi"/>
      <queryTableField id="4" name="SatilanMiktar"/>
      <queryTableField id="5" name="SatisMatrahi"/>
      <queryTableField id="6" name="AlisFiyati"/>
      <queryTableField id="7" name="SatisFiyati"/>
    </queryTableFields>
  </queryTableRefresh>
</queryTable>
</file>

<file path=xl/queryTables/queryTable5.xml><?xml version="1.0" encoding="utf-8"?>
<queryTable xmlns="http://schemas.openxmlformats.org/spreadsheetml/2006/main" name="MH_qryAylikOzet" backgroundRefresh="0" refreshOnLoad="1" connectionId="5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Yil"/>
      <queryTableField id="2" name="Ay"/>
      <queryTableField id="3" name="HareketTipi"/>
      <queryTableField id="4" name="Matrah"/>
      <queryTableField id="5" name="Kdv"/>
      <queryTableField id="6" name="HareketSayisi"/>
    </queryTableFields>
  </queryTableRefresh>
</queryTable>
</file>

<file path=xl/queryTables/queryTable6.xml><?xml version="1.0" encoding="utf-8"?>
<queryTable xmlns="http://schemas.openxmlformats.org/spreadsheetml/2006/main" name="MH_qryVadesiGecen" backgroundRefresh="0" refreshOnLoad="1" connectionId="6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HareketId"/>
      <queryTableField id="2" name="Tarih"/>
      <queryTableField id="3" name="HareketTipi"/>
      <queryTableField id="4" name="CariKodu"/>
      <queryTableField id="5" name="Cari"/>
      <queryTableField id="6" name="BelgeNo"/>
      <queryTableField id="7" name="VadeTarihi"/>
      <queryTableField id="8" name="Tutar"/>
      <queryTableField id="9" name="GecikmeGunu"/>
    </queryTableFields>
  </queryTableRefresh>
</query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6"/>
  <sheetViews>
    <sheetView tabSelected="1" workbookViewId="0"/>
  </sheetViews>
  <sheetFormatPr defaultRowHeight="14.4" x14ac:dyDescent="0.3"/>
  <cols>
    <col min="1" max="1" width="3.77734375" customWidth="1"/>
    <col min="2" max="2" width="110.77734375" customWidth="1"/>
  </cols>
  <sheetData>
    <row r="2" spans="2:2" ht="34.049999999999997" customHeight="1" x14ac:dyDescent="0.45">
      <c r="B2" s="14" t="s">
        <v>91</v>
      </c>
    </row>
    <row r="3" spans="2:2" x14ac:dyDescent="0.3">
      <c r="B3" s="15"/>
    </row>
    <row r="4" spans="2:2" ht="15.6" x14ac:dyDescent="0.3">
      <c r="B4" s="16" t="s">
        <v>92</v>
      </c>
    </row>
    <row r="5" spans="2:2" x14ac:dyDescent="0.3">
      <c r="B5" s="15" t="s">
        <v>93</v>
      </c>
    </row>
    <row r="6" spans="2:2" x14ac:dyDescent="0.3">
      <c r="B6" s="15" t="s">
        <v>94</v>
      </c>
    </row>
    <row r="7" spans="2:2" x14ac:dyDescent="0.3">
      <c r="B7" s="15" t="s">
        <v>95</v>
      </c>
    </row>
    <row r="8" spans="2:2" x14ac:dyDescent="0.3">
      <c r="B8" s="15"/>
    </row>
    <row r="9" spans="2:2" x14ac:dyDescent="0.3">
      <c r="B9" s="15" t="s">
        <v>96</v>
      </c>
    </row>
    <row r="10" spans="2:2" x14ac:dyDescent="0.3">
      <c r="B10" s="15" t="s">
        <v>97</v>
      </c>
    </row>
    <row r="11" spans="2:2" x14ac:dyDescent="0.3">
      <c r="B11" s="15"/>
    </row>
    <row r="12" spans="2:2" ht="15.6" x14ac:dyDescent="0.3">
      <c r="B12" s="16" t="s">
        <v>98</v>
      </c>
    </row>
    <row r="13" spans="2:2" x14ac:dyDescent="0.3">
      <c r="B13" s="15" t="s">
        <v>99</v>
      </c>
    </row>
    <row r="14" spans="2:2" x14ac:dyDescent="0.3">
      <c r="B14" s="15" t="s">
        <v>100</v>
      </c>
    </row>
    <row r="15" spans="2:2" x14ac:dyDescent="0.3">
      <c r="B15" s="15" t="s">
        <v>101</v>
      </c>
    </row>
    <row r="16" spans="2:2" x14ac:dyDescent="0.3">
      <c r="B16" s="15" t="s">
        <v>102</v>
      </c>
    </row>
    <row r="17" spans="2:2" x14ac:dyDescent="0.3">
      <c r="B17" s="15"/>
    </row>
    <row r="18" spans="2:2" ht="15.6" x14ac:dyDescent="0.3">
      <c r="B18" s="16" t="s">
        <v>103</v>
      </c>
    </row>
    <row r="19" spans="2:2" x14ac:dyDescent="0.3">
      <c r="B19" s="15" t="s">
        <v>104</v>
      </c>
    </row>
    <row r="20" spans="2:2" x14ac:dyDescent="0.3">
      <c r="B20" s="15" t="s">
        <v>105</v>
      </c>
    </row>
    <row r="21" spans="2:2" x14ac:dyDescent="0.3">
      <c r="B21" s="15" t="s">
        <v>106</v>
      </c>
    </row>
    <row r="22" spans="2:2" x14ac:dyDescent="0.3">
      <c r="B22" s="15" t="s">
        <v>107</v>
      </c>
    </row>
    <row r="23" spans="2:2" x14ac:dyDescent="0.3">
      <c r="B23" s="15" t="s">
        <v>108</v>
      </c>
    </row>
    <row r="24" spans="2:2" x14ac:dyDescent="0.3">
      <c r="B24" s="15"/>
    </row>
    <row r="25" spans="2:2" ht="15.6" x14ac:dyDescent="0.3">
      <c r="B25" s="16" t="s">
        <v>109</v>
      </c>
    </row>
    <row r="26" spans="2:2" x14ac:dyDescent="0.3">
      <c r="B26" s="15" t="s">
        <v>110</v>
      </c>
    </row>
    <row r="27" spans="2:2" x14ac:dyDescent="0.3">
      <c r="B27" s="15" t="s">
        <v>111</v>
      </c>
    </row>
    <row r="28" spans="2:2" x14ac:dyDescent="0.3">
      <c r="B28" s="15" t="s">
        <v>112</v>
      </c>
    </row>
    <row r="29" spans="2:2" x14ac:dyDescent="0.3">
      <c r="B29" s="15" t="s">
        <v>113</v>
      </c>
    </row>
    <row r="30" spans="2:2" x14ac:dyDescent="0.3">
      <c r="B30" s="15" t="s">
        <v>114</v>
      </c>
    </row>
    <row r="31" spans="2:2" x14ac:dyDescent="0.3">
      <c r="B31" s="15" t="s">
        <v>115</v>
      </c>
    </row>
    <row r="32" spans="2:2" x14ac:dyDescent="0.3">
      <c r="B32" s="15"/>
    </row>
    <row r="33" spans="2:2" ht="15.6" x14ac:dyDescent="0.3">
      <c r="B33" s="16" t="s">
        <v>116</v>
      </c>
    </row>
    <row r="34" spans="2:2" x14ac:dyDescent="0.3">
      <c r="B34" s="15" t="s">
        <v>117</v>
      </c>
    </row>
    <row r="35" spans="2:2" x14ac:dyDescent="0.3">
      <c r="B35" s="15" t="s">
        <v>118</v>
      </c>
    </row>
    <row r="36" spans="2:2" x14ac:dyDescent="0.3">
      <c r="B36" s="15" t="s">
        <v>119</v>
      </c>
    </row>
    <row r="37" spans="2:2" x14ac:dyDescent="0.3">
      <c r="B37" s="15" t="s">
        <v>120</v>
      </c>
    </row>
    <row r="38" spans="2:2" x14ac:dyDescent="0.3">
      <c r="B38" s="15" t="s">
        <v>121</v>
      </c>
    </row>
    <row r="39" spans="2:2" x14ac:dyDescent="0.3">
      <c r="B39" s="15"/>
    </row>
    <row r="40" spans="2:2" ht="15.6" x14ac:dyDescent="0.3">
      <c r="B40" s="16" t="s">
        <v>122</v>
      </c>
    </row>
    <row r="41" spans="2:2" x14ac:dyDescent="0.3">
      <c r="B41" s="15" t="s">
        <v>123</v>
      </c>
    </row>
    <row r="42" spans="2:2" x14ac:dyDescent="0.3">
      <c r="B42" s="15" t="s">
        <v>124</v>
      </c>
    </row>
    <row r="43" spans="2:2" x14ac:dyDescent="0.3">
      <c r="B43" s="15" t="s">
        <v>125</v>
      </c>
    </row>
    <row r="44" spans="2:2" x14ac:dyDescent="0.3">
      <c r="B44" s="15"/>
    </row>
    <row r="45" spans="2:2" x14ac:dyDescent="0.3">
      <c r="B45" s="15" t="s">
        <v>126</v>
      </c>
    </row>
    <row r="46" spans="2:2" x14ac:dyDescent="0.3">
      <c r="B46" s="15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workbookViewId="0"/>
  </sheetViews>
  <sheetFormatPr defaultRowHeight="14.4" x14ac:dyDescent="0.3"/>
  <cols>
    <col min="1" max="1" width="2.77734375" customWidth="1"/>
    <col min="2" max="2" width="34.77734375" customWidth="1"/>
    <col min="3" max="3" width="20.77734375" customWidth="1"/>
    <col min="4" max="4" width="3.77734375" customWidth="1"/>
    <col min="5" max="5" width="34.77734375" customWidth="1"/>
    <col min="6" max="6" width="20.77734375" customWidth="1"/>
  </cols>
  <sheetData>
    <row r="2" spans="2:6" ht="34.049999999999997" customHeight="1" x14ac:dyDescent="0.45">
      <c r="B2" s="4" t="s">
        <v>74</v>
      </c>
      <c r="C2" s="3"/>
      <c r="D2" s="3"/>
      <c r="E2" s="3"/>
      <c r="F2" s="3"/>
    </row>
    <row r="3" spans="2:6" x14ac:dyDescent="0.3">
      <c r="B3" s="5" t="s">
        <v>75</v>
      </c>
    </row>
    <row r="5" spans="2:6" ht="17.399999999999999" x14ac:dyDescent="0.35">
      <c r="B5" s="6" t="s">
        <v>76</v>
      </c>
      <c r="C5" s="7">
        <f>SUMIF(Hareketler!C:C,"Satis",Hareketler!M:M)</f>
        <v>134000</v>
      </c>
      <c r="E5" s="6" t="s">
        <v>80</v>
      </c>
      <c r="F5" s="7">
        <f>SUMIF(Hareketler!C:C,"Satis",Hareketler!N:N)</f>
        <v>26800</v>
      </c>
    </row>
    <row r="6" spans="2:6" ht="17.399999999999999" x14ac:dyDescent="0.35">
      <c r="B6" s="6" t="s">
        <v>77</v>
      </c>
      <c r="C6" s="7">
        <f>SUMIF(Hareketler!C:C,"Alis",Hareketler!M:M)</f>
        <v>88800</v>
      </c>
      <c r="E6" s="6" t="s">
        <v>81</v>
      </c>
      <c r="F6" s="7">
        <f>SUMIF(Hareketler!C:C,"Alis",Hareketler!N:N)</f>
        <v>17760</v>
      </c>
    </row>
    <row r="7" spans="2:6" ht="17.399999999999999" x14ac:dyDescent="0.35">
      <c r="B7" s="6" t="s">
        <v>78</v>
      </c>
      <c r="C7" s="7">
        <f>C5-C6</f>
        <v>45200</v>
      </c>
      <c r="E7" s="6" t="s">
        <v>82</v>
      </c>
      <c r="F7" s="7">
        <f>F5-F6</f>
        <v>9040</v>
      </c>
    </row>
    <row r="8" spans="2:6" ht="17.399999999999999" x14ac:dyDescent="0.35">
      <c r="B8" s="6" t="s">
        <v>79</v>
      </c>
      <c r="C8" s="8">
        <f>IF(C5=0,0,C7/C5)</f>
        <v>0.33731343283582088</v>
      </c>
      <c r="E8" s="6" t="s">
        <v>83</v>
      </c>
      <c r="F8" s="9">
        <f>COUNTA(Hareketler!A:A)-1</f>
        <v>5</v>
      </c>
    </row>
    <row r="10" spans="2:6" ht="17.399999999999999" x14ac:dyDescent="0.35">
      <c r="B10" s="6" t="s">
        <v>84</v>
      </c>
      <c r="C10" s="7">
        <f>SUMIFS(Hareketler!O:O,Hareketler!C:C,"Satis",Hareketler!T:T,FALSE)</f>
        <v>103200</v>
      </c>
      <c r="E10" s="6" t="s">
        <v>86</v>
      </c>
      <c r="F10" s="7">
        <f>SUMIF('Vadesi Gecen'!I:I,"&gt;0",'Vadesi Gecen'!H:H)</f>
        <v>93600</v>
      </c>
    </row>
    <row r="11" spans="2:6" ht="17.399999999999999" x14ac:dyDescent="0.35">
      <c r="B11" s="6" t="s">
        <v>85</v>
      </c>
      <c r="C11" s="7">
        <f>SUMIFS(Hareketler!O:O,Hareketler!C:C,"Alis",Hareketler!T:T,FALSE)</f>
        <v>45360</v>
      </c>
      <c r="E11" s="6" t="s">
        <v>87</v>
      </c>
      <c r="F11" s="9">
        <f>COUNTIF('Vadesi Gecen'!I:I,"&gt;0")</f>
        <v>1</v>
      </c>
    </row>
    <row r="13" spans="2:6" ht="15.6" x14ac:dyDescent="0.3">
      <c r="B13" s="10" t="s">
        <v>88</v>
      </c>
    </row>
    <row r="14" spans="2:6" x14ac:dyDescent="0.3">
      <c r="B14" s="6" t="s">
        <v>89</v>
      </c>
      <c r="C14" s="11">
        <f>SUMPRODUCT((Stok!$B$2:$B$2000&lt;&gt;"")*((Stok!$E$2:$E$2000+Stok!$G$2:$G$2000)&lt;=Stok!$F$2:$F$2000))</f>
        <v>1</v>
      </c>
    </row>
    <row r="16" spans="2:6" x14ac:dyDescent="0.3">
      <c r="B16" s="13" t="s">
        <v>90</v>
      </c>
      <c r="C16" s="12"/>
      <c r="D16" s="12"/>
      <c r="E16" s="12"/>
      <c r="F16" s="12"/>
    </row>
    <row r="17" spans="2:6" x14ac:dyDescent="0.3">
      <c r="B17" s="12"/>
      <c r="C17" s="12"/>
      <c r="D17" s="12"/>
      <c r="E17" s="12"/>
      <c r="F17" s="12"/>
    </row>
  </sheetData>
  <mergeCells count="2">
    <mergeCell ref="B2:F2"/>
    <mergeCell ref="B16:F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9.21875" bestFit="1" customWidth="1"/>
    <col min="2" max="2" width="10.109375" bestFit="1" customWidth="1"/>
    <col min="3" max="3" width="10.5546875" bestFit="1" customWidth="1"/>
    <col min="4" max="4" width="9.109375" bestFit="1" customWidth="1"/>
    <col min="5" max="5" width="8.5546875" bestFit="1" customWidth="1"/>
    <col min="6" max="6" width="8.6640625" bestFit="1" customWidth="1"/>
    <col min="7" max="7" width="18.33203125" bestFit="1" customWidth="1"/>
    <col min="8" max="8" width="9.6640625" bestFit="1" customWidth="1"/>
    <col min="9" max="9" width="16.88671875" bestFit="1" customWidth="1"/>
    <col min="10" max="10" width="6.5546875" bestFit="1" customWidth="1"/>
    <col min="11" max="11" width="9.33203125" bestFit="1" customWidth="1"/>
    <col min="12" max="12" width="8.77734375" bestFit="1" customWidth="1"/>
    <col min="13" max="13" width="7.21875" bestFit="1" customWidth="1"/>
    <col min="14" max="14" width="9.109375" bestFit="1" customWidth="1"/>
    <col min="15" max="15" width="7.33203125" bestFit="1" customWidth="1"/>
    <col min="16" max="16" width="14.21875" bestFit="1" customWidth="1"/>
    <col min="17" max="17" width="12.21875" bestFit="1" customWidth="1"/>
    <col min="18" max="18" width="14.109375" bestFit="1" customWidth="1"/>
    <col min="19" max="19" width="10.109375" bestFit="1" customWidth="1"/>
    <col min="20" max="20" width="7.21875" bestFit="1" customWidth="1"/>
    <col min="21" max="21" width="16.5546875" bestFit="1" customWidth="1"/>
    <col min="22" max="22" width="5" bestFit="1" customWidth="1"/>
    <col min="23" max="23" width="3.21875" bestFit="1" customWidth="1"/>
  </cols>
  <sheetData>
    <row r="1" spans="1:23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1</v>
      </c>
      <c r="B2" s="1">
        <v>46252</v>
      </c>
      <c r="C2" t="s">
        <v>23</v>
      </c>
      <c r="D2">
        <v>-1</v>
      </c>
      <c r="E2">
        <v>1</v>
      </c>
      <c r="F2" t="s">
        <v>24</v>
      </c>
      <c r="G2" t="s">
        <v>25</v>
      </c>
      <c r="H2" t="s">
        <v>26</v>
      </c>
      <c r="I2" t="s">
        <v>27</v>
      </c>
      <c r="J2">
        <v>40</v>
      </c>
      <c r="K2">
        <v>1200</v>
      </c>
      <c r="L2">
        <v>0.2</v>
      </c>
      <c r="M2">
        <v>48000</v>
      </c>
      <c r="N2">
        <v>9600</v>
      </c>
      <c r="O2">
        <v>57600</v>
      </c>
      <c r="P2" t="s">
        <v>28</v>
      </c>
      <c r="Q2" t="s">
        <v>29</v>
      </c>
      <c r="R2" t="s">
        <v>30</v>
      </c>
      <c r="S2" s="1">
        <v>46252</v>
      </c>
      <c r="T2" t="b">
        <v>1</v>
      </c>
      <c r="U2" t="s">
        <v>31</v>
      </c>
      <c r="V2">
        <v>2026</v>
      </c>
      <c r="W2">
        <v>8</v>
      </c>
    </row>
    <row r="3" spans="1:23" x14ac:dyDescent="0.3">
      <c r="A3">
        <v>2</v>
      </c>
      <c r="B3" s="1">
        <v>46264</v>
      </c>
      <c r="C3" t="s">
        <v>23</v>
      </c>
      <c r="D3">
        <v>-1</v>
      </c>
      <c r="E3">
        <v>1</v>
      </c>
      <c r="F3" t="s">
        <v>32</v>
      </c>
      <c r="G3" t="s">
        <v>33</v>
      </c>
      <c r="H3" t="s">
        <v>34</v>
      </c>
      <c r="I3" t="s">
        <v>35</v>
      </c>
      <c r="J3">
        <v>1</v>
      </c>
      <c r="K3">
        <v>8000</v>
      </c>
      <c r="L3">
        <v>0.2</v>
      </c>
      <c r="M3">
        <v>8000</v>
      </c>
      <c r="N3">
        <v>1600</v>
      </c>
      <c r="O3">
        <v>9600</v>
      </c>
      <c r="P3" t="s">
        <v>36</v>
      </c>
      <c r="Q3" t="s">
        <v>37</v>
      </c>
      <c r="R3" t="s">
        <v>38</v>
      </c>
      <c r="S3" s="1">
        <v>46294</v>
      </c>
      <c r="T3" t="b">
        <v>0</v>
      </c>
      <c r="U3" t="s">
        <v>39</v>
      </c>
      <c r="V3">
        <v>2026</v>
      </c>
      <c r="W3">
        <v>8</v>
      </c>
    </row>
    <row r="4" spans="1:23" x14ac:dyDescent="0.3">
      <c r="A4">
        <v>3</v>
      </c>
      <c r="B4" s="1">
        <v>46236</v>
      </c>
      <c r="C4" t="s">
        <v>23</v>
      </c>
      <c r="D4">
        <v>-1</v>
      </c>
      <c r="E4">
        <v>1</v>
      </c>
      <c r="F4" t="s">
        <v>24</v>
      </c>
      <c r="G4" t="s">
        <v>25</v>
      </c>
      <c r="H4" t="s">
        <v>40</v>
      </c>
      <c r="I4" t="s">
        <v>41</v>
      </c>
      <c r="J4">
        <v>120</v>
      </c>
      <c r="K4">
        <v>650</v>
      </c>
      <c r="L4">
        <v>0.2</v>
      </c>
      <c r="M4">
        <v>78000</v>
      </c>
      <c r="N4">
        <v>15600</v>
      </c>
      <c r="O4">
        <v>93600</v>
      </c>
      <c r="P4" t="s">
        <v>36</v>
      </c>
      <c r="Q4" t="s">
        <v>29</v>
      </c>
      <c r="R4" t="s">
        <v>42</v>
      </c>
      <c r="S4" s="1">
        <v>46267</v>
      </c>
      <c r="T4" t="b">
        <v>0</v>
      </c>
      <c r="U4" t="s">
        <v>43</v>
      </c>
      <c r="V4">
        <v>2026</v>
      </c>
      <c r="W4">
        <v>8</v>
      </c>
    </row>
    <row r="5" spans="1:23" x14ac:dyDescent="0.3">
      <c r="A5">
        <v>4</v>
      </c>
      <c r="B5" s="1">
        <v>46250</v>
      </c>
      <c r="C5" t="s">
        <v>44</v>
      </c>
      <c r="D5">
        <v>1</v>
      </c>
      <c r="E5">
        <v>-1</v>
      </c>
      <c r="F5" t="s">
        <v>45</v>
      </c>
      <c r="G5" t="s">
        <v>46</v>
      </c>
      <c r="H5" t="s">
        <v>26</v>
      </c>
      <c r="I5" t="s">
        <v>27</v>
      </c>
      <c r="J5">
        <v>60</v>
      </c>
      <c r="K5">
        <v>850</v>
      </c>
      <c r="L5">
        <v>0.2</v>
      </c>
      <c r="M5">
        <v>51000</v>
      </c>
      <c r="N5">
        <v>10200</v>
      </c>
      <c r="O5">
        <v>61200</v>
      </c>
      <c r="P5" t="s">
        <v>28</v>
      </c>
      <c r="Q5" t="s">
        <v>29</v>
      </c>
      <c r="R5" t="s">
        <v>47</v>
      </c>
      <c r="S5" s="1">
        <v>46250</v>
      </c>
      <c r="T5" t="b">
        <v>1</v>
      </c>
      <c r="U5" t="s">
        <v>48</v>
      </c>
      <c r="V5">
        <v>2026</v>
      </c>
      <c r="W5">
        <v>8</v>
      </c>
    </row>
    <row r="6" spans="1:23" x14ac:dyDescent="0.3">
      <c r="A6">
        <v>5</v>
      </c>
      <c r="B6" s="1">
        <v>46270</v>
      </c>
      <c r="C6" t="s">
        <v>44</v>
      </c>
      <c r="D6">
        <v>1</v>
      </c>
      <c r="E6">
        <v>-1</v>
      </c>
      <c r="F6" t="s">
        <v>45</v>
      </c>
      <c r="G6" t="s">
        <v>46</v>
      </c>
      <c r="H6" t="s">
        <v>40</v>
      </c>
      <c r="I6" t="s">
        <v>41</v>
      </c>
      <c r="J6">
        <v>90</v>
      </c>
      <c r="K6">
        <v>420</v>
      </c>
      <c r="L6">
        <v>0.2</v>
      </c>
      <c r="M6">
        <v>37800</v>
      </c>
      <c r="N6">
        <v>7560</v>
      </c>
      <c r="O6">
        <v>45360</v>
      </c>
      <c r="P6" t="s">
        <v>36</v>
      </c>
      <c r="Q6" t="s">
        <v>29</v>
      </c>
      <c r="R6" t="s">
        <v>49</v>
      </c>
      <c r="S6" s="1">
        <v>46285</v>
      </c>
      <c r="T6" t="b">
        <v>0</v>
      </c>
      <c r="U6" t="s">
        <v>48</v>
      </c>
      <c r="V6">
        <v>2026</v>
      </c>
      <c r="W6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16.88671875" bestFit="1" customWidth="1"/>
    <col min="4" max="4" width="5.33203125" bestFit="1" customWidth="1"/>
    <col min="5" max="5" width="10.109375" bestFit="1" customWidth="1"/>
    <col min="6" max="6" width="9.109375" bestFit="1" customWidth="1"/>
    <col min="7" max="7" width="10.5546875" bestFit="1" customWidth="1"/>
    <col min="8" max="8" width="9.33203125" bestFit="1" customWidth="1"/>
    <col min="9" max="9" width="8.33203125" bestFit="1" customWidth="1"/>
  </cols>
  <sheetData>
    <row r="1" spans="1:9" s="2" customFormat="1" x14ac:dyDescent="0.3">
      <c r="A1" s="2" t="s">
        <v>50</v>
      </c>
      <c r="B1" s="2" t="s">
        <v>7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  <c r="I1" s="2" t="s">
        <v>57</v>
      </c>
    </row>
    <row r="2" spans="1:9" x14ac:dyDescent="0.3">
      <c r="A2">
        <v>1</v>
      </c>
      <c r="B2" t="s">
        <v>26</v>
      </c>
      <c r="C2" t="s">
        <v>27</v>
      </c>
      <c r="D2" t="s">
        <v>58</v>
      </c>
      <c r="E2">
        <v>100</v>
      </c>
      <c r="F2">
        <v>20</v>
      </c>
      <c r="G2">
        <v>20</v>
      </c>
      <c r="H2">
        <v>1200</v>
      </c>
      <c r="I2">
        <v>850</v>
      </c>
    </row>
    <row r="3" spans="1:9" x14ac:dyDescent="0.3">
      <c r="A3">
        <v>2</v>
      </c>
      <c r="B3" t="s">
        <v>40</v>
      </c>
      <c r="C3" t="s">
        <v>41</v>
      </c>
      <c r="D3" t="s">
        <v>58</v>
      </c>
      <c r="E3">
        <v>250</v>
      </c>
      <c r="F3">
        <v>50</v>
      </c>
      <c r="G3">
        <v>-30</v>
      </c>
      <c r="H3">
        <v>650</v>
      </c>
      <c r="I3">
        <v>420</v>
      </c>
    </row>
    <row r="4" spans="1:9" x14ac:dyDescent="0.3">
      <c r="A4">
        <v>3</v>
      </c>
      <c r="B4" t="s">
        <v>34</v>
      </c>
      <c r="C4" t="s">
        <v>35</v>
      </c>
      <c r="D4" t="s">
        <v>22</v>
      </c>
      <c r="E4">
        <v>0</v>
      </c>
      <c r="F4">
        <v>0</v>
      </c>
      <c r="G4">
        <v>-1</v>
      </c>
      <c r="H4">
        <v>8000</v>
      </c>
      <c r="I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5.88671875" bestFit="1" customWidth="1"/>
    <col min="2" max="2" width="8.6640625" bestFit="1" customWidth="1"/>
    <col min="3" max="3" width="18.33203125" bestFit="1" customWidth="1"/>
    <col min="4" max="4" width="8.33203125" bestFit="1" customWidth="1"/>
    <col min="5" max="5" width="12" bestFit="1" customWidth="1"/>
    <col min="6" max="6" width="11.21875" bestFit="1" customWidth="1"/>
    <col min="7" max="7" width="10.21875" bestFit="1" customWidth="1"/>
    <col min="8" max="8" width="10.109375" bestFit="1" customWidth="1"/>
  </cols>
  <sheetData>
    <row r="1" spans="1:8" s="2" customFormat="1" x14ac:dyDescent="0.3">
      <c r="A1" s="2" t="s">
        <v>59</v>
      </c>
      <c r="B1" s="2" t="s">
        <v>5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</row>
    <row r="2" spans="1:8" x14ac:dyDescent="0.3">
      <c r="A2">
        <v>1</v>
      </c>
      <c r="B2" t="s">
        <v>24</v>
      </c>
      <c r="C2" t="s">
        <v>25</v>
      </c>
      <c r="D2" t="s">
        <v>66</v>
      </c>
      <c r="E2">
        <v>0</v>
      </c>
      <c r="F2">
        <v>151200</v>
      </c>
      <c r="H2">
        <v>93600</v>
      </c>
    </row>
    <row r="3" spans="1:8" x14ac:dyDescent="0.3">
      <c r="A3">
        <v>2</v>
      </c>
      <c r="B3" t="s">
        <v>32</v>
      </c>
      <c r="C3" t="s">
        <v>33</v>
      </c>
      <c r="D3" t="s">
        <v>66</v>
      </c>
      <c r="E3">
        <v>0</v>
      </c>
      <c r="F3">
        <v>9600</v>
      </c>
      <c r="H3">
        <v>9600</v>
      </c>
    </row>
    <row r="4" spans="1:8" x14ac:dyDescent="0.3">
      <c r="A4">
        <v>3</v>
      </c>
      <c r="B4" t="s">
        <v>45</v>
      </c>
      <c r="C4" t="s">
        <v>46</v>
      </c>
      <c r="D4" t="s">
        <v>67</v>
      </c>
      <c r="E4">
        <v>0</v>
      </c>
      <c r="G4">
        <v>106560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16.88671875" bestFit="1" customWidth="1"/>
    <col min="4" max="4" width="12.21875" bestFit="1" customWidth="1"/>
    <col min="5" max="5" width="11.5546875" bestFit="1" customWidth="1"/>
    <col min="6" max="6" width="8.33203125" bestFit="1" customWidth="1"/>
    <col min="7" max="7" width="9.33203125" bestFit="1" customWidth="1"/>
  </cols>
  <sheetData>
    <row r="1" spans="1:7" s="2" customFormat="1" x14ac:dyDescent="0.3">
      <c r="A1" s="2" t="s">
        <v>50</v>
      </c>
      <c r="B1" s="2" t="s">
        <v>7</v>
      </c>
      <c r="C1" s="2" t="s">
        <v>51</v>
      </c>
      <c r="D1" s="2" t="s">
        <v>68</v>
      </c>
      <c r="E1" s="2" t="s">
        <v>69</v>
      </c>
      <c r="F1" s="2" t="s">
        <v>57</v>
      </c>
      <c r="G1" s="2" t="s">
        <v>56</v>
      </c>
    </row>
    <row r="2" spans="1:7" x14ac:dyDescent="0.3">
      <c r="A2">
        <v>1</v>
      </c>
      <c r="B2" t="s">
        <v>26</v>
      </c>
      <c r="C2" t="s">
        <v>27</v>
      </c>
      <c r="D2">
        <v>40</v>
      </c>
      <c r="E2">
        <v>48000</v>
      </c>
      <c r="F2">
        <v>850</v>
      </c>
      <c r="G2">
        <v>1200</v>
      </c>
    </row>
    <row r="3" spans="1:7" x14ac:dyDescent="0.3">
      <c r="A3">
        <v>2</v>
      </c>
      <c r="B3" t="s">
        <v>40</v>
      </c>
      <c r="C3" t="s">
        <v>41</v>
      </c>
      <c r="D3">
        <v>120</v>
      </c>
      <c r="E3">
        <v>78000</v>
      </c>
      <c r="F3">
        <v>420</v>
      </c>
      <c r="G3">
        <v>650</v>
      </c>
    </row>
    <row r="4" spans="1:7" x14ac:dyDescent="0.3">
      <c r="A4">
        <v>3</v>
      </c>
      <c r="B4" t="s">
        <v>34</v>
      </c>
      <c r="C4" t="s">
        <v>35</v>
      </c>
      <c r="D4">
        <v>1</v>
      </c>
      <c r="E4">
        <v>8000</v>
      </c>
      <c r="F4">
        <v>0</v>
      </c>
      <c r="G4">
        <v>8000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5" bestFit="1" customWidth="1"/>
    <col min="2" max="2" width="3.21875" bestFit="1" customWidth="1"/>
    <col min="3" max="3" width="10.5546875" bestFit="1" customWidth="1"/>
    <col min="4" max="4" width="7.21875" bestFit="1" customWidth="1"/>
    <col min="5" max="5" width="6" bestFit="1" customWidth="1"/>
    <col min="6" max="6" width="12.21875" bestFit="1" customWidth="1"/>
  </cols>
  <sheetData>
    <row r="1" spans="1:6" s="2" customFormat="1" x14ac:dyDescent="0.3">
      <c r="A1" s="2" t="s">
        <v>21</v>
      </c>
      <c r="B1" s="2" t="s">
        <v>22</v>
      </c>
      <c r="C1" s="2" t="s">
        <v>2</v>
      </c>
      <c r="D1" s="2" t="s">
        <v>12</v>
      </c>
      <c r="E1" s="2" t="s">
        <v>70</v>
      </c>
      <c r="F1" s="2" t="s">
        <v>71</v>
      </c>
    </row>
    <row r="2" spans="1:6" x14ac:dyDescent="0.3">
      <c r="A2">
        <v>2026</v>
      </c>
      <c r="B2">
        <v>8</v>
      </c>
      <c r="C2" t="s">
        <v>44</v>
      </c>
      <c r="D2">
        <v>51000</v>
      </c>
      <c r="E2">
        <v>10200</v>
      </c>
      <c r="F2">
        <v>1</v>
      </c>
    </row>
    <row r="3" spans="1:6" x14ac:dyDescent="0.3">
      <c r="A3">
        <v>2026</v>
      </c>
      <c r="B3">
        <v>8</v>
      </c>
      <c r="C3" t="s">
        <v>23</v>
      </c>
      <c r="D3">
        <v>134000</v>
      </c>
      <c r="E3">
        <v>26800</v>
      </c>
      <c r="F3">
        <v>3</v>
      </c>
    </row>
    <row r="4" spans="1:6" x14ac:dyDescent="0.3">
      <c r="A4">
        <v>2026</v>
      </c>
      <c r="B4">
        <v>9</v>
      </c>
      <c r="C4" t="s">
        <v>44</v>
      </c>
      <c r="D4">
        <v>37800</v>
      </c>
      <c r="E4">
        <v>7560</v>
      </c>
      <c r="F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9.21875" bestFit="1" customWidth="1"/>
    <col min="2" max="2" width="10.109375" bestFit="1" customWidth="1"/>
    <col min="3" max="3" width="10.5546875" bestFit="1" customWidth="1"/>
    <col min="4" max="4" width="8.6640625" bestFit="1" customWidth="1"/>
    <col min="5" max="5" width="18.33203125" bestFit="1" customWidth="1"/>
    <col min="6" max="6" width="14.109375" bestFit="1" customWidth="1"/>
    <col min="7" max="7" width="10.109375" bestFit="1" customWidth="1"/>
    <col min="8" max="8" width="6" bestFit="1" customWidth="1"/>
    <col min="9" max="9" width="12.77734375" bestFit="1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6</v>
      </c>
      <c r="F1" s="2" t="s">
        <v>17</v>
      </c>
      <c r="G1" s="2" t="s">
        <v>18</v>
      </c>
      <c r="H1" s="2" t="s">
        <v>72</v>
      </c>
      <c r="I1" s="2" t="s">
        <v>73</v>
      </c>
    </row>
    <row r="2" spans="1:9" x14ac:dyDescent="0.3">
      <c r="A2">
        <v>2</v>
      </c>
      <c r="B2" s="1">
        <v>46264</v>
      </c>
      <c r="C2" t="s">
        <v>23</v>
      </c>
      <c r="D2" t="s">
        <v>32</v>
      </c>
      <c r="E2" t="s">
        <v>33</v>
      </c>
      <c r="F2" t="s">
        <v>38</v>
      </c>
      <c r="G2" s="1">
        <v>46294</v>
      </c>
      <c r="H2">
        <v>9600</v>
      </c>
      <c r="I2">
        <v>-18</v>
      </c>
    </row>
    <row r="3" spans="1:9" x14ac:dyDescent="0.3">
      <c r="A3">
        <v>3</v>
      </c>
      <c r="B3" s="1">
        <v>46236</v>
      </c>
      <c r="C3" t="s">
        <v>23</v>
      </c>
      <c r="D3" t="s">
        <v>24</v>
      </c>
      <c r="E3" t="s">
        <v>25</v>
      </c>
      <c r="F3" t="s">
        <v>42</v>
      </c>
      <c r="G3" s="1">
        <v>46267</v>
      </c>
      <c r="H3">
        <v>93600</v>
      </c>
      <c r="I3">
        <v>9</v>
      </c>
    </row>
    <row r="4" spans="1:9" x14ac:dyDescent="0.3">
      <c r="A4">
        <v>5</v>
      </c>
      <c r="B4" s="1">
        <v>46270</v>
      </c>
      <c r="C4" t="s">
        <v>44</v>
      </c>
      <c r="D4" t="s">
        <v>45</v>
      </c>
      <c r="E4" t="s">
        <v>46</v>
      </c>
      <c r="F4" t="s">
        <v>49</v>
      </c>
      <c r="G4" s="1">
        <v>46285</v>
      </c>
      <c r="H4">
        <v>45360</v>
      </c>
      <c r="I4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6</vt:i4>
      </vt:variant>
    </vt:vector>
  </HeadingPairs>
  <TitlesOfParts>
    <vt:vector size="14" baseType="lpstr">
      <vt:lpstr>Kurulum</vt:lpstr>
      <vt:lpstr>Dashboard</vt:lpstr>
      <vt:lpstr>Hareketler</vt:lpstr>
      <vt:lpstr>Stok</vt:lpstr>
      <vt:lpstr>Cari Ekstre</vt:lpstr>
      <vt:lpstr>Urun Karlilik</vt:lpstr>
      <vt:lpstr>Aylik Ozet</vt:lpstr>
      <vt:lpstr>Vadesi Gecen</vt:lpstr>
      <vt:lpstr>'Aylik Ozet'!MH_qryAylikOzet</vt:lpstr>
      <vt:lpstr>'Cari Ekstre'!MH_qryCariEkstre</vt:lpstr>
      <vt:lpstr>Hareketler!MH_qryHareketDetay</vt:lpstr>
      <vt:lpstr>Stok!MH_qryStokDurumu</vt:lpstr>
      <vt:lpstr>'Urun Karlilik'!MH_qryUrunKarlilik</vt:lpstr>
      <vt:lpstr>'Vadesi Gecen'!MH_qryVadesiGecen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2026-09-11T07:56:00Z</dcterms:created>
  <dcterms:modified xsi:type="dcterms:W3CDTF">2026-09-11T07:56:02Z</dcterms:modified>
</cp:coreProperties>
</file>