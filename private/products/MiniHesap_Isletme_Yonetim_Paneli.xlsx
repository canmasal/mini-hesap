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asıl Kullanılır" state="visible" r:id="rId4"/>
    <sheet sheetId="2" name="Ayarlar" state="visible" r:id="rId5"/>
    <sheet sheetId="3" name="Cari Kartlar" state="visible" r:id="rId6"/>
    <sheet sheetId="4" name="Ürün Kartlar" state="visible" r:id="rId7"/>
    <sheet sheetId="5" name="Hareketler" state="visible" r:id="rId8"/>
    <sheet sheetId="6" name="Stok Durumu" state="visible" r:id="rId9"/>
    <sheet sheetId="7" name="Cari Ekstre" state="visible" r:id="rId10"/>
    <sheet sheetId="8" name="Dashboard" state="visible" r:id="rId11"/>
  </sheets>
  <definedNames>
    <definedName name="HareketTipleri">Ayarlar!$E$5:$E$8</definedName>
    <definedName name="CariTipleri">Ayarlar!$F$5:$F$7</definedName>
    <definedName name="Durumlar">Ayarlar!$G$5:$G$6</definedName>
    <definedName name="OdemeYontemleri">Ayarlar!$E$12:$E$17</definedName>
    <definedName name="CariKodlari">'Cari Kartlar'!$B$5:$B$204</definedName>
    <definedName name="UrunKodlari">'Ürün Kartlar'!$B$5:$B$204</definedName>
  </definedNames>
  <calcPr calcId="171027"/>
</workbook>
</file>

<file path=xl/sharedStrings.xml><?xml version="1.0" encoding="utf-8"?>
<sst xmlns="http://schemas.openxmlformats.org/spreadsheetml/2006/main" count="184" uniqueCount="140">
  <si>
    <t>Nasıl Kullanılır?</t>
  </si>
  <si>
    <t>MiniHesap · minihesap.net</t>
  </si>
  <si>
    <t>Bu dosya ne işe yarar?</t>
  </si>
  <si>
    <t>Küçük bir işletmenin cari (müşteri/tedarikçi), ürün, stok ve fatura hareketlerini tek dosyada veritabanı mantığıyla yönetir. Bilgiyi bir kez kart olarak tanımlarsınız, sonra hareket girerken listeden seçersiniz; fiyat, KDV, stok ve cari bakiye otomatik hesaplanır.</t>
  </si>
  <si>
    <t>Dosyanın yapısı</t>
  </si>
  <si>
    <t>Kart tabloları (bir kez doldurulur): Cari Kartlar, Ürün Kartlar</t>
  </si>
  <si>
    <t>Hareket tablosu (sürekli doldurulur): Hareketler</t>
  </si>
  <si>
    <t>Otomatik görünümler (formüllü, elle doldurulmaz): Stok Durumu, Cari Ekstre, Dashboard</t>
  </si>
  <si>
    <t>Adım adım</t>
  </si>
  <si>
    <t>1. AYARLAR sayfasında firma bilgilerinizi ve varsayılan KDV oranını girin.</t>
  </si>
  <si>
    <t>2. CARİ KARTLAR sayfasına müşteri ve tedarikçilerinizi ekleyin. Her cariye benzersiz bir kod verin (C001, C002...).</t>
  </si>
  <si>
    <t>3. ÜRÜN KARTLAR sayfasına sattığınız/aldığınız ürünleri ekleyin. Kod, alış fiyatı, satış fiyatı ve KDV oranını girin.</t>
  </si>
  <si>
    <t>4. HAREKETLER sayfasında her alış/satış için bir satır açın. Cari ve ürün sütunlarında açılır listeden seçim yapın.</t>
  </si>
  <si>
    <t>5. Birim fiyat ve KDV oranı ürün kartından otomatik gelir; isterseniz üzerine yazabilirsiniz.</t>
  </si>
  <si>
    <t>6. STOK DURUMU, CARİ EKSTRE ve DASHBOARD sayfaları kendiliğinden güncellenir.</t>
  </si>
  <si>
    <t>Önemli kurallar</t>
  </si>
  <si>
    <t>Cari kodu ve ürün kodu benzersiz olmalıdır; aynı kodu iki kez kullanmayın.</t>
  </si>
  <si>
    <t>Bir kartı silmeyin; kullanılmıyorsa 'Durum' sütununu Pasif yapın. Silerseniz o karta bağlı eski hareketler bozulur.</t>
  </si>
  <si>
    <t>Hareket tipi Satış ise stoktan düşer ve cariden alacak doğar; Alış ise stoğa girer ve cariye borç doğar.</t>
  </si>
  <si>
    <t>Hareketler sayfasında 1000 satıra kadar yer ayrılmıştır; yetmezse satır ekleyip formülleri aşağı kopyalayın.</t>
  </si>
  <si>
    <t>SARI hücreler sizin dolduracağınız alanlardır. GRİ ve YEŞİL hücreler formüllüdür, üzerlerine yazmayın.</t>
  </si>
  <si>
    <t>Bu dosyadaki hesaplamalar bilgilendirme amaçlıdır; resmî defter, bordro veya mali müşavir hizmeti yerine geçmez. © MiniHesap</t>
  </si>
  <si>
    <t>Ayarlar</t>
  </si>
  <si>
    <t>Firma bilgileri ve liste tanımları</t>
  </si>
  <si>
    <t>Firma Adı</t>
  </si>
  <si>
    <t>Örnek Ticaret Ltd. Şti.</t>
  </si>
  <si>
    <t>Hareket Tipleri</t>
  </si>
  <si>
    <t>Cari Tipleri</t>
  </si>
  <si>
    <t>Durum</t>
  </si>
  <si>
    <t>Vergi Dairesi</t>
  </si>
  <si>
    <t/>
  </si>
  <si>
    <t>Satış</t>
  </si>
  <si>
    <t>Müşteri</t>
  </si>
  <si>
    <t>Aktif</t>
  </si>
  <si>
    <t>Vergi No</t>
  </si>
  <si>
    <t>Alış</t>
  </si>
  <si>
    <t>Tedarikçi</t>
  </si>
  <si>
    <t>Pasif</t>
  </si>
  <si>
    <t>Telefon</t>
  </si>
  <si>
    <t>Tahsilat</t>
  </si>
  <si>
    <t>Her İkisi</t>
  </si>
  <si>
    <t>E-posta</t>
  </si>
  <si>
    <t>Ödeme</t>
  </si>
  <si>
    <t>Varsayılan KDV Oranı</t>
  </si>
  <si>
    <t>Ödeme Yöntemleri</t>
  </si>
  <si>
    <t>Bu sayfadaki listeler diğer sayfalardaki açılır menüleri besler. Liste öğesi eklerseniz menüler otomatik genişlemez; yeni öğeyi listenin boş satırına yazın.</t>
  </si>
  <si>
    <t>Nakit</t>
  </si>
  <si>
    <t>Banka</t>
  </si>
  <si>
    <t>Kredi Kartı</t>
  </si>
  <si>
    <t>Çek</t>
  </si>
  <si>
    <t>Senet</t>
  </si>
  <si>
    <t>Açık Hesap</t>
  </si>
  <si>
    <t>Cari Kartlar</t>
  </si>
  <si>
    <t>Müşteri ve tedarikçi tanımları · her carinin kodu benzersiz olmalı</t>
  </si>
  <si>
    <t>Cari Kodu</t>
  </si>
  <si>
    <t>Unvan / Ad Soyad</t>
  </si>
  <si>
    <t>Tip</t>
  </si>
  <si>
    <t>Vergi No / TCKN</t>
  </si>
  <si>
    <t>Açılış Bakiyesi</t>
  </si>
  <si>
    <t>C001</t>
  </si>
  <si>
    <t>Aydın Ticaret Ltd. Şti.</t>
  </si>
  <si>
    <t>1234567890</t>
  </si>
  <si>
    <t>0212 000 00 00</t>
  </si>
  <si>
    <t>info@aydinticaret.com</t>
  </si>
  <si>
    <t>C002</t>
  </si>
  <si>
    <t>Beta Yazılım A.Ş.</t>
  </si>
  <si>
    <t>2345678901</t>
  </si>
  <si>
    <t>0216 000 00 00</t>
  </si>
  <si>
    <t>muhasebe@betayazilim.com</t>
  </si>
  <si>
    <t>C003</t>
  </si>
  <si>
    <t>Deniz Toptan Gıda</t>
  </si>
  <si>
    <t>3456789012</t>
  </si>
  <si>
    <t>0232 000 00 00</t>
  </si>
  <si>
    <t>siparis@deniztoptan.com</t>
  </si>
  <si>
    <t>Ürün Kartlar</t>
  </si>
  <si>
    <t>Ürün ve hizmet tanımları · fiyatlar hareket girerken otomatik gelir</t>
  </si>
  <si>
    <t>Ürün Kodu</t>
  </si>
  <si>
    <t>Ürün / Hizmet Adı</t>
  </si>
  <si>
    <t>Birim</t>
  </si>
  <si>
    <t>Alış Fiyatı</t>
  </si>
  <si>
    <t>Satış Fiyatı</t>
  </si>
  <si>
    <t>KDV</t>
  </si>
  <si>
    <t>Açılış Stoğu</t>
  </si>
  <si>
    <t>Kritik Stok</t>
  </si>
  <si>
    <t>U001</t>
  </si>
  <si>
    <t>A Serisi Ürün</t>
  </si>
  <si>
    <t>Adet</t>
  </si>
  <si>
    <t>U002</t>
  </si>
  <si>
    <t>B Serisi Ürün</t>
  </si>
  <si>
    <t>U003</t>
  </si>
  <si>
    <t>Aylık Bakım Hizmeti</t>
  </si>
  <si>
    <t>Ay</t>
  </si>
  <si>
    <t>Hareketler</t>
  </si>
  <si>
    <t>Her alış/satış için bir satır · cari ve ürün sütunlarında listeden seçin, gerisi otomatik</t>
  </si>
  <si>
    <t>Tarih</t>
  </si>
  <si>
    <t>Cari Unvan</t>
  </si>
  <si>
    <t>Ürün Adı</t>
  </si>
  <si>
    <t>Miktar</t>
  </si>
  <si>
    <t>Birim Fiyat</t>
  </si>
  <si>
    <t>Matrah</t>
  </si>
  <si>
    <t>KDV Tutarı</t>
  </si>
  <si>
    <t>Toplam</t>
  </si>
  <si>
    <t>Belge No</t>
  </si>
  <si>
    <t>Açıklama</t>
  </si>
  <si>
    <t>SAT2026000141</t>
  </si>
  <si>
    <t>Toptan ürün satışı</t>
  </si>
  <si>
    <t>ALS2026000318</t>
  </si>
  <si>
    <t>Stok alımı</t>
  </si>
  <si>
    <t>SAT2026000158</t>
  </si>
  <si>
    <t>Aylık bakım</t>
  </si>
  <si>
    <t>Stok Durumu</t>
  </si>
  <si>
    <t>Hareketler sayfasından otomatik hesaplanır · elle doldurmayın</t>
  </si>
  <si>
    <t>Açılış</t>
  </si>
  <si>
    <t>Giren</t>
  </si>
  <si>
    <t>Çıkan</t>
  </si>
  <si>
    <t>Kalan Stok</t>
  </si>
  <si>
    <t>Cari Ekstre</t>
  </si>
  <si>
    <t>Cari bazlı borç, alacak ve bakiye · otomatik hesaplanır</t>
  </si>
  <si>
    <t>Unvan</t>
  </si>
  <si>
    <t>Satış (Alacak)</t>
  </si>
  <si>
    <t>Alış (Borç)</t>
  </si>
  <si>
    <t>BAKİYE</t>
  </si>
  <si>
    <t>Dashboard</t>
  </si>
  <si>
    <t>Tüm sayfalardan beslenen özet · elle doldurulmaz</t>
  </si>
  <si>
    <t>TOPLAM SATIŞ (KDV hariç)</t>
  </si>
  <si>
    <t>HESAPLANAN KDV (satış)</t>
  </si>
  <si>
    <t>TOPLAM ALIŞ (KDV hariç)</t>
  </si>
  <si>
    <t>İNDİRİLECEK KDV (alış)</t>
  </si>
  <si>
    <t>BRÜT KÂR</t>
  </si>
  <si>
    <t>ÖDENECEK / DEVREDEN KDV</t>
  </si>
  <si>
    <t>KÂR MARJI</t>
  </si>
  <si>
    <t>TOPLAM HAREKET SAYISI</t>
  </si>
  <si>
    <t>TOPLAM ALACAK (müşteriler)</t>
  </si>
  <si>
    <t>KRİTİK STOKTAKİ ÜRÜN</t>
  </si>
  <si>
    <t>TOPLAM BORÇ (tedarikçiler)</t>
  </si>
  <si>
    <t>STOĞU BİTEN ÜRÜN</t>
  </si>
  <si>
    <t>EN ÇOK SATIŞ YAPILAN CARİLER</t>
  </si>
  <si>
    <t>Cari</t>
  </si>
  <si>
    <t>Satış Tutarı</t>
  </si>
  <si>
    <t>Dashboard değerleri Hareketler, Cari Ekstre ve Stok Durumu sayfalarından otomatik gelir. Excel'de otomatik hesaplama kapalıysa F9 tuşuna basın.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</si>
</sst>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0\ &quot;₺&quot;"/>
    <numFmt numFmtId="165" formatCode="dd.mm.yyyy"/>
    <numFmt numFmtId="166" formatCode="0.0%"/>
  </numFmts>
  <fonts count="12" x14ac:knownFonts="1">
    <font>
      <color theme="1"/>
      <family val="2"/>
      <scheme val="minor"/>
      <sz val="11"/>
      <name val="Calibri"/>
    </font>
    <font>
      <b/>
      <color rgb="FFFFFFFF"/>
      <sz val="18"/>
    </font>
    <font>
      <i/>
      <color rgb="FF617066"/>
      <sz val="10"/>
    </font>
    <font>
      <b/>
      <color rgb="FF166534"/>
      <sz val="12"/>
    </font>
    <font>
      <i/>
      <color rgb="FF854D0E"/>
      <sz val="10"/>
    </font>
    <font>
      <i/>
      <color rgb="FF617066"/>
      <sz val="9"/>
    </font>
    <font>
      <b/>
      <sz val="10"/>
    </font>
    <font>
      <b/>
      <color rgb="FFFFFFFF"/>
      <sz val="10"/>
    </font>
    <font>
      <b/>
      <color rgb="FF405248"/>
      <sz val="10"/>
    </font>
    <font>
      <b/>
      <color rgb="FF166534"/>
      <sz val="11"/>
    </font>
    <font>
      <b/>
      <color rgb="FF617066"/>
      <sz val="9"/>
    </font>
    <font>
      <b/>
      <color rgb="FF166534"/>
      <sz val="14"/>
    </font>
  </fonts>
  <fills count="8">
    <fill>
      <patternFill patternType="none"/>
    </fill>
    <fill>
      <patternFill patternType="gray125"/>
    </fill>
    <fill>
      <patternFill patternType="solid">
        <fgColor rgb="FF16A34A"/>
      </patternFill>
    </fill>
    <fill>
      <patternFill patternType="solid">
        <fgColor rgb="FFF0FDF4"/>
      </patternFill>
    </fill>
    <fill>
      <patternFill patternType="solid">
        <fgColor rgb="FFFFFBEB"/>
      </patternFill>
    </fill>
    <fill>
      <patternFill patternType="solid">
        <fgColor rgb="FF166534"/>
      </patternFill>
    </fill>
    <fill>
      <patternFill patternType="solid">
        <fgColor rgb="FFF8FAF9"/>
      </patternFill>
    </fill>
    <fill>
      <patternFill patternType="solid">
        <fgColor rgb="FFFFFDF2"/>
      </patternFill>
    </fill>
  </fills>
  <borders count="3">
    <border>
      <left/>
      <right/>
      <top/>
      <bottom/>
      <diagonal/>
    </border>
    <border>
      <left style="hair">
        <color rgb="FFDCE7DF"/>
      </left>
      <right style="hair">
        <color rgb="FFDCE7DF"/>
      </right>
      <top style="hair">
        <color rgb="FFDCE7DF"/>
      </top>
      <bottom style="hair">
        <color rgb="FFDCE7DF"/>
      </bottom>
      <diagonal/>
    </border>
    <border>
      <left style="thin">
        <color rgb="FFDCE7DF"/>
      </left>
      <right style="thin">
        <color rgb="FFDCE7DF"/>
      </right>
      <top style="thin">
        <color rgb="FFDCE7DF"/>
      </top>
      <bottom style="thin">
        <color rgb="FFDCE7DF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3" borderId="0" xfId="0" applyFont="1" applyFill="1" applyAlignment="1">
      <alignment horizontal="left" vertical="center" indent="1"/>
    </xf>
    <xf numFmtId="0" fontId="3" fillId="0" borderId="0" xfId="0" applyFont="1"/>
    <xf numFmtId="0" fontId="0" fillId="0" borderId="0" xfId="0" applyAlignment="1">
      <alignment vertical="top" wrapText="1"/>
    </xf>
    <xf numFmtId="0" fontId="4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6" fillId="0" borderId="0" xfId="0" applyFont="1"/>
    <xf numFmtId="0" fontId="0" fillId="4" borderId="1" xfId="0" applyFill="1" applyBorder="1"/>
    <xf numFmtId="0" fontId="7" fillId="5" borderId="2" xfId="0" applyFont="1" applyFill="1" applyBorder="1" applyAlignment="1">
      <alignment horizontal="center" vertical="center" wrapText="1"/>
    </xf>
    <xf numFmtId="0" fontId="0" fillId="0" borderId="1" xfId="0" applyBorder="1"/>
    <xf numFmtId="9" fontId="0" fillId="4" borderId="1" xfId="0" applyNumberFormat="1" applyFill="1" applyBorder="1"/>
    <xf numFmtId="0" fontId="5" fillId="0" borderId="0" xfId="0" applyFont="1" applyAlignment="1">
      <alignment vertical="top" wrapText="1"/>
    </xf>
    <xf numFmtId="164" fontId="0" fillId="4" borderId="1" xfId="0" applyNumberFormat="1" applyFill="1" applyBorder="1"/>
    <xf numFmtId="3" fontId="0" fillId="4" borderId="1" xfId="0" applyNumberFormat="1" applyFill="1" applyBorder="1"/>
    <xf numFmtId="165" fontId="0" fillId="4" borderId="1" xfId="0" applyNumberFormat="1" applyFill="1" applyBorder="1"/>
    <xf numFmtId="0" fontId="8" fillId="6" borderId="1" xfId="0" applyFont="1" applyFill="1" applyBorder="1"/>
    <xf numFmtId="4" fontId="0" fillId="4" borderId="1" xfId="0" applyNumberFormat="1" applyFill="1" applyBorder="1"/>
    <xf numFmtId="164" fontId="8" fillId="6" borderId="1" xfId="0" applyNumberFormat="1" applyFont="1" applyFill="1" applyBorder="1"/>
    <xf numFmtId="165" fontId="0" fillId="7" borderId="1" xfId="0" applyNumberFormat="1" applyFill="1" applyBorder="1"/>
    <xf numFmtId="0" fontId="0" fillId="7" borderId="1" xfId="0" applyFill="1" applyBorder="1"/>
    <xf numFmtId="4" fontId="0" fillId="7" borderId="1" xfId="0" applyNumberFormat="1" applyFill="1" applyBorder="1"/>
    <xf numFmtId="164" fontId="0" fillId="7" borderId="1" xfId="0" applyNumberFormat="1" applyFill="1" applyBorder="1"/>
    <xf numFmtId="9" fontId="0" fillId="7" borderId="1" xfId="0" applyNumberFormat="1" applyFill="1" applyBorder="1"/>
    <xf numFmtId="3" fontId="8" fillId="6" borderId="1" xfId="0" applyNumberFormat="1" applyFont="1" applyFill="1" applyBorder="1"/>
    <xf numFmtId="3" fontId="9" fillId="6" borderId="1" xfId="0" applyNumberFormat="1" applyFont="1" applyFill="1" applyBorder="1"/>
    <xf numFmtId="164" fontId="9" fillId="6" borderId="1" xfId="0" applyNumberFormat="1" applyFont="1" applyFill="1" applyBorder="1"/>
    <xf numFmtId="0" fontId="10" fillId="0" borderId="0" xfId="0" applyFont="1" applyAlignment="1">
      <alignment vertical="center"/>
    </xf>
    <xf numFmtId="164" fontId="11" fillId="3" borderId="2" xfId="0" applyNumberFormat="1" applyFont="1" applyFill="1" applyBorder="1" applyAlignment="1">
      <alignment horizontal="right" vertical="center" indent="1"/>
    </xf>
    <xf numFmtId="166" fontId="11" fillId="3" borderId="2" xfId="0" applyNumberFormat="1" applyFont="1" applyFill="1" applyBorder="1" applyAlignment="1">
      <alignment horizontal="right" vertical="center" indent="1"/>
    </xf>
    <xf numFmtId="3" fontId="11" fillId="3" borderId="2" xfId="0" applyNumberFormat="1" applyFont="1" applyFill="1" applyBorder="1" applyAlignment="1">
      <alignment horizontal="right" vertical="center" indent="1"/>
    </xf>
  </cellXfs>
  <cellStyles count="1">
    <cellStyle name="Normal" xfId="0" builtinId="0"/>
  </cellStyles>
  <dxfs count="2">
    <dxf>
      <font>
        <b/>
        <color rgb="FF854D0E"/>
      </font>
      <fill>
        <patternFill patternType="solid">
          <bgColor rgb="FFFEF3C7"/>
        </patternFill>
      </fill>
    </dxf>
    <dxf>
      <font>
        <b/>
        <color rgb="FFB91C1C"/>
      </font>
      <fill>
        <patternFill patternType="solid">
          <bgColor rgb="FFFEE2E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6A34A"/>
  </sheetPr>
  <dimension ref="A1:B28"/>
  <sheetFormatPr defaultRowHeight="15" outlineLevelRow="0" outlineLevelCol="0" x14ac:dyDescent="55"/>
  <cols>
    <col min="1" max="1" width="4" customWidth="1"/>
    <col min="2" max="2" width="112" customWidth="1"/>
  </cols>
  <sheetData>
    <row r="1" ht="34" customHeight="1" spans="1:2" x14ac:dyDescent="0.25">
      <c r="A1" s="1" t="s">
        <v>0</v>
      </c>
      <c r="B1" s="1"/>
    </row>
    <row r="2" ht="20" customHeight="1" spans="1:2" x14ac:dyDescent="0.25">
      <c r="A2" s="2" t="s">
        <v>1</v>
      </c>
      <c r="B2" s="2"/>
    </row>
    <row r="4" spans="2:2" x14ac:dyDescent="0.25">
      <c r="B4" s="3" t="s">
        <v>2</v>
      </c>
    </row>
    <row r="5" ht="48" customHeight="1" spans="2:2" x14ac:dyDescent="0.25">
      <c r="B5" s="4" t="s">
        <v>3</v>
      </c>
    </row>
    <row r="7" spans="2:2" x14ac:dyDescent="0.25">
      <c r="B7" s="3" t="s">
        <v>4</v>
      </c>
    </row>
    <row r="8" ht="18" customHeight="1" spans="2:2" x14ac:dyDescent="0.25">
      <c r="B8" s="4" t="s">
        <v>5</v>
      </c>
    </row>
    <row r="9" ht="18" customHeight="1" spans="2:2" x14ac:dyDescent="0.25">
      <c r="B9" s="4" t="s">
        <v>6</v>
      </c>
    </row>
    <row r="10" ht="18" customHeight="1" spans="2:2" x14ac:dyDescent="0.25">
      <c r="B10" s="4" t="s">
        <v>7</v>
      </c>
    </row>
    <row r="12" spans="2:2" x14ac:dyDescent="0.25">
      <c r="B12" s="3" t="s">
        <v>8</v>
      </c>
    </row>
    <row r="13" ht="18" customHeight="1" spans="2:2" x14ac:dyDescent="0.25">
      <c r="B13" s="4" t="s">
        <v>9</v>
      </c>
    </row>
    <row r="14" ht="32" customHeight="1" spans="2:2" x14ac:dyDescent="0.25">
      <c r="B14" s="4" t="s">
        <v>10</v>
      </c>
    </row>
    <row r="15" ht="32" customHeight="1" spans="2:2" x14ac:dyDescent="0.25">
      <c r="B15" s="4" t="s">
        <v>11</v>
      </c>
    </row>
    <row r="16" ht="32" customHeight="1" spans="2:2" x14ac:dyDescent="0.25">
      <c r="B16" s="4" t="s">
        <v>12</v>
      </c>
    </row>
    <row r="17" ht="18" customHeight="1" spans="2:2" x14ac:dyDescent="0.25">
      <c r="B17" s="4" t="s">
        <v>13</v>
      </c>
    </row>
    <row r="18" ht="18" customHeight="1" spans="2:2" x14ac:dyDescent="0.25">
      <c r="B18" s="4" t="s">
        <v>14</v>
      </c>
    </row>
    <row r="20" spans="2:2" x14ac:dyDescent="0.25">
      <c r="B20" s="3" t="s">
        <v>15</v>
      </c>
    </row>
    <row r="21" ht="18" customHeight="1" spans="2:2" x14ac:dyDescent="0.25">
      <c r="B21" s="4" t="s">
        <v>16</v>
      </c>
    </row>
    <row r="22" ht="32" customHeight="1" spans="2:2" x14ac:dyDescent="0.25">
      <c r="B22" s="4" t="s">
        <v>17</v>
      </c>
    </row>
    <row r="23" ht="32" customHeight="1" spans="2:2" x14ac:dyDescent="0.25">
      <c r="B23" s="4" t="s">
        <v>18</v>
      </c>
    </row>
    <row r="24" ht="32" customHeight="1" spans="2:2" x14ac:dyDescent="0.25">
      <c r="B24" s="4" t="s">
        <v>19</v>
      </c>
    </row>
    <row r="26" spans="2:2" x14ac:dyDescent="0.25">
      <c r="B26" s="5" t="s">
        <v>20</v>
      </c>
    </row>
    <row r="28" spans="2:2" x14ac:dyDescent="0.25">
      <c r="B28" s="6" t="s">
        <v>21</v>
      </c>
    </row>
  </sheetData>
  <mergeCells count="2">
    <mergeCell ref="A1:B1"/>
    <mergeCell ref="A2:B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4A39A"/>
  </sheetPr>
  <dimension ref="A1:G17"/>
  <sheetFormatPr defaultRowHeight="15" outlineLevelRow="0" outlineLevelCol="0" x14ac:dyDescent="55"/>
  <cols>
    <col min="1" max="1" width="3" customWidth="1"/>
    <col min="2" max="2" width="30" customWidth="1"/>
    <col min="3" max="3" width="34" customWidth="1"/>
    <col min="5" max="7" width="20" customWidth="1"/>
  </cols>
  <sheetData>
    <row r="1" ht="34" customHeight="1" spans="1:7" x14ac:dyDescent="0.25">
      <c r="A1" s="1" t="s">
        <v>22</v>
      </c>
      <c r="B1" s="1"/>
      <c r="C1" s="1"/>
      <c r="D1" s="1"/>
      <c r="E1" s="1"/>
      <c r="F1" s="1"/>
      <c r="G1" s="1"/>
    </row>
    <row r="2" ht="20" customHeight="1" spans="1:7" x14ac:dyDescent="0.25">
      <c r="A2" s="2" t="s">
        <v>23</v>
      </c>
      <c r="B2" s="2"/>
      <c r="C2" s="2"/>
      <c r="D2" s="2"/>
      <c r="E2" s="2"/>
      <c r="F2" s="2"/>
      <c r="G2" s="2"/>
    </row>
    <row r="4" ht="30" customHeight="1" spans="2:7" x14ac:dyDescent="0.25">
      <c r="B4" s="7" t="s">
        <v>24</v>
      </c>
      <c r="C4" s="8" t="s">
        <v>25</v>
      </c>
      <c r="E4" s="9" t="s">
        <v>26</v>
      </c>
      <c r="F4" s="9" t="s">
        <v>27</v>
      </c>
      <c r="G4" s="9" t="s">
        <v>28</v>
      </c>
    </row>
    <row r="5" spans="2:7" x14ac:dyDescent="0.25">
      <c r="B5" s="7" t="s">
        <v>29</v>
      </c>
      <c r="C5" s="8" t="s">
        <v>30</v>
      </c>
      <c r="E5" s="10" t="s">
        <v>31</v>
      </c>
      <c r="F5" s="10" t="s">
        <v>32</v>
      </c>
      <c r="G5" s="10" t="s">
        <v>33</v>
      </c>
    </row>
    <row r="6" spans="2:7" x14ac:dyDescent="0.25">
      <c r="B6" s="7" t="s">
        <v>34</v>
      </c>
      <c r="C6" s="8" t="s">
        <v>30</v>
      </c>
      <c r="E6" s="10" t="s">
        <v>35</v>
      </c>
      <c r="F6" s="10" t="s">
        <v>36</v>
      </c>
      <c r="G6" s="10" t="s">
        <v>37</v>
      </c>
    </row>
    <row r="7" spans="2:7" x14ac:dyDescent="0.25">
      <c r="B7" s="7" t="s">
        <v>38</v>
      </c>
      <c r="C7" s="8" t="s">
        <v>30</v>
      </c>
      <c r="E7" s="10" t="s">
        <v>39</v>
      </c>
      <c r="F7" s="10" t="s">
        <v>40</v>
      </c>
      <c r="G7" s="10"/>
    </row>
    <row r="8" spans="2:7" x14ac:dyDescent="0.25">
      <c r="B8" s="7" t="s">
        <v>41</v>
      </c>
      <c r="C8" s="8" t="s">
        <v>30</v>
      </c>
      <c r="E8" s="10" t="s">
        <v>42</v>
      </c>
      <c r="F8" s="10"/>
      <c r="G8" s="10"/>
    </row>
    <row r="9" spans="2:3" x14ac:dyDescent="0.25">
      <c r="B9" s="7" t="s">
        <v>43</v>
      </c>
      <c r="C9" s="11">
        <v>0.2</v>
      </c>
    </row>
    <row r="11" ht="30" customHeight="1" spans="5:5" x14ac:dyDescent="0.25">
      <c r="E11" s="9" t="s">
        <v>44</v>
      </c>
    </row>
    <row r="12" spans="2:5" x14ac:dyDescent="0.25">
      <c r="B12" s="12" t="s">
        <v>45</v>
      </c>
      <c r="C12" s="12"/>
      <c r="E12" s="10" t="s">
        <v>46</v>
      </c>
    </row>
    <row r="13" spans="2:5" x14ac:dyDescent="0.25">
      <c r="B13" s="12"/>
      <c r="C13" s="12"/>
      <c r="E13" s="10" t="s">
        <v>47</v>
      </c>
    </row>
    <row r="14" spans="2:5" x14ac:dyDescent="0.25">
      <c r="B14" s="12"/>
      <c r="C14" s="12"/>
      <c r="E14" s="10" t="s">
        <v>48</v>
      </c>
    </row>
    <row r="15" spans="2:5" x14ac:dyDescent="0.25">
      <c r="B15" s="12"/>
      <c r="C15" s="12"/>
      <c r="E15" s="10" t="s">
        <v>49</v>
      </c>
    </row>
    <row r="16" spans="2:5" x14ac:dyDescent="0.25">
      <c r="B16" s="12"/>
      <c r="C16" s="12"/>
      <c r="E16" s="10" t="s">
        <v>50</v>
      </c>
    </row>
    <row r="17" spans="5:5" x14ac:dyDescent="0.25">
      <c r="E17" s="10" t="s">
        <v>51</v>
      </c>
    </row>
  </sheetData>
  <mergeCells count="3">
    <mergeCell ref="A1:G1"/>
    <mergeCell ref="A2:G2"/>
    <mergeCell ref="B12:C1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B82F6"/>
  </sheetPr>
  <dimension ref="A1:I204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3" customWidth="1"/>
    <col min="2" max="2" width="12" customWidth="1"/>
    <col min="3" max="3" width="32" customWidth="1"/>
    <col min="4" max="4" width="16" customWidth="1"/>
    <col min="5" max="6" width="18" customWidth="1"/>
    <col min="7" max="7" width="24" customWidth="1"/>
    <col min="8" max="8" width="16" customWidth="1"/>
    <col min="9" max="9" width="12" customWidth="1"/>
  </cols>
  <sheetData>
    <row r="1" ht="34" customHeight="1" spans="1:9" x14ac:dyDescent="0.25">
      <c r="A1" s="1" t="s">
        <v>52</v>
      </c>
      <c r="B1" s="1"/>
      <c r="C1" s="1"/>
      <c r="D1" s="1"/>
      <c r="E1" s="1"/>
      <c r="F1" s="1"/>
      <c r="G1" s="1"/>
      <c r="H1" s="1"/>
      <c r="I1" s="1"/>
    </row>
    <row r="2" ht="20" customHeight="1" spans="1:9" x14ac:dyDescent="0.25">
      <c r="A2" s="2" t="s">
        <v>53</v>
      </c>
      <c r="B2" s="2"/>
      <c r="C2" s="2"/>
      <c r="D2" s="2"/>
      <c r="E2" s="2"/>
      <c r="F2" s="2"/>
      <c r="G2" s="2"/>
      <c r="H2" s="2"/>
      <c r="I2" s="2"/>
    </row>
    <row r="4" ht="30" customHeight="1" spans="1:9" x14ac:dyDescent="0.25">
      <c r="A4" s="9" t="s">
        <v>30</v>
      </c>
      <c r="B4" s="9" t="s">
        <v>54</v>
      </c>
      <c r="C4" s="9" t="s">
        <v>55</v>
      </c>
      <c r="D4" s="9" t="s">
        <v>56</v>
      </c>
      <c r="E4" s="9" t="s">
        <v>57</v>
      </c>
      <c r="F4" s="9" t="s">
        <v>38</v>
      </c>
      <c r="G4" s="9" t="s">
        <v>41</v>
      </c>
      <c r="H4" s="9" t="s">
        <v>58</v>
      </c>
      <c r="I4" s="9" t="s">
        <v>28</v>
      </c>
    </row>
    <row r="5" spans="2:9" x14ac:dyDescent="0.25">
      <c r="B5" s="8" t="s">
        <v>59</v>
      </c>
      <c r="C5" s="8" t="s">
        <v>60</v>
      </c>
      <c r="D5" s="8" t="s">
        <v>32</v>
      </c>
      <c r="E5" s="8" t="s">
        <v>61</v>
      </c>
      <c r="F5" s="8" t="s">
        <v>62</v>
      </c>
      <c r="G5" s="8" t="s">
        <v>63</v>
      </c>
      <c r="H5" s="13">
        <v>0</v>
      </c>
      <c r="I5" s="8" t="s">
        <v>33</v>
      </c>
    </row>
    <row r="6" spans="2:9" x14ac:dyDescent="0.25">
      <c r="B6" s="8" t="s">
        <v>64</v>
      </c>
      <c r="C6" s="8" t="s">
        <v>65</v>
      </c>
      <c r="D6" s="8" t="s">
        <v>32</v>
      </c>
      <c r="E6" s="8" t="s">
        <v>66</v>
      </c>
      <c r="F6" s="8" t="s">
        <v>67</v>
      </c>
      <c r="G6" s="8" t="s">
        <v>68</v>
      </c>
      <c r="H6" s="13">
        <v>0</v>
      </c>
      <c r="I6" s="8" t="s">
        <v>33</v>
      </c>
    </row>
    <row r="7" spans="2:9" x14ac:dyDescent="0.25">
      <c r="B7" s="8" t="s">
        <v>69</v>
      </c>
      <c r="C7" s="8" t="s">
        <v>70</v>
      </c>
      <c r="D7" s="8" t="s">
        <v>36</v>
      </c>
      <c r="E7" s="8" t="s">
        <v>71</v>
      </c>
      <c r="F7" s="8" t="s">
        <v>72</v>
      </c>
      <c r="G7" s="8" t="s">
        <v>73</v>
      </c>
      <c r="H7" s="13">
        <v>0</v>
      </c>
      <c r="I7" s="8" t="s">
        <v>33</v>
      </c>
    </row>
    <row r="8" spans="2:9" x14ac:dyDescent="0.25">
      <c r="B8" s="8"/>
      <c r="C8" s="8"/>
      <c r="D8" s="8"/>
      <c r="E8" s="8"/>
      <c r="F8" s="8"/>
      <c r="G8" s="8"/>
      <c r="H8" s="13"/>
      <c r="I8" s="8"/>
    </row>
    <row r="9" spans="2:9" x14ac:dyDescent="0.25">
      <c r="B9" s="8"/>
      <c r="C9" s="8"/>
      <c r="D9" s="8"/>
      <c r="E9" s="8"/>
      <c r="F9" s="8"/>
      <c r="G9" s="8"/>
      <c r="H9" s="13"/>
      <c r="I9" s="8"/>
    </row>
    <row r="10" spans="2:9" x14ac:dyDescent="0.25">
      <c r="B10" s="8"/>
      <c r="C10" s="8"/>
      <c r="D10" s="8"/>
      <c r="E10" s="8"/>
      <c r="F10" s="8"/>
      <c r="G10" s="8"/>
      <c r="H10" s="13"/>
      <c r="I10" s="8"/>
    </row>
    <row r="11" spans="2:9" x14ac:dyDescent="0.25">
      <c r="B11" s="8"/>
      <c r="C11" s="8"/>
      <c r="D11" s="8"/>
      <c r="E11" s="8"/>
      <c r="F11" s="8"/>
      <c r="G11" s="8"/>
      <c r="H11" s="13"/>
      <c r="I11" s="8"/>
    </row>
    <row r="12" spans="2:9" x14ac:dyDescent="0.25">
      <c r="B12" s="8"/>
      <c r="C12" s="8"/>
      <c r="D12" s="8"/>
      <c r="E12" s="8"/>
      <c r="F12" s="8"/>
      <c r="G12" s="8"/>
      <c r="H12" s="13"/>
      <c r="I12" s="8"/>
    </row>
    <row r="13" spans="2:9" x14ac:dyDescent="0.25">
      <c r="B13" s="8"/>
      <c r="C13" s="8"/>
      <c r="D13" s="8"/>
      <c r="E13" s="8"/>
      <c r="F13" s="8"/>
      <c r="G13" s="8"/>
      <c r="H13" s="13"/>
      <c r="I13" s="8"/>
    </row>
    <row r="14" spans="2:9" x14ac:dyDescent="0.25">
      <c r="B14" s="8"/>
      <c r="C14" s="8"/>
      <c r="D14" s="8"/>
      <c r="E14" s="8"/>
      <c r="F14" s="8"/>
      <c r="G14" s="8"/>
      <c r="H14" s="13"/>
      <c r="I14" s="8"/>
    </row>
    <row r="15" spans="2:9" x14ac:dyDescent="0.25">
      <c r="B15" s="8"/>
      <c r="C15" s="8"/>
      <c r="D15" s="8"/>
      <c r="E15" s="8"/>
      <c r="F15" s="8"/>
      <c r="G15" s="8"/>
      <c r="H15" s="13"/>
      <c r="I15" s="8"/>
    </row>
    <row r="16" spans="2:9" x14ac:dyDescent="0.25">
      <c r="B16" s="8"/>
      <c r="C16" s="8"/>
      <c r="D16" s="8"/>
      <c r="E16" s="8"/>
      <c r="F16" s="8"/>
      <c r="G16" s="8"/>
      <c r="H16" s="13"/>
      <c r="I16" s="8"/>
    </row>
    <row r="17" spans="2:9" x14ac:dyDescent="0.25">
      <c r="B17" s="8"/>
      <c r="C17" s="8"/>
      <c r="D17" s="8"/>
      <c r="E17" s="8"/>
      <c r="F17" s="8"/>
      <c r="G17" s="8"/>
      <c r="H17" s="13"/>
      <c r="I17" s="8"/>
    </row>
    <row r="18" spans="2:9" x14ac:dyDescent="0.25">
      <c r="B18" s="8"/>
      <c r="C18" s="8"/>
      <c r="D18" s="8"/>
      <c r="E18" s="8"/>
      <c r="F18" s="8"/>
      <c r="G18" s="8"/>
      <c r="H18" s="13"/>
      <c r="I18" s="8"/>
    </row>
    <row r="19" spans="2:9" x14ac:dyDescent="0.25">
      <c r="B19" s="8"/>
      <c r="C19" s="8"/>
      <c r="D19" s="8"/>
      <c r="E19" s="8"/>
      <c r="F19" s="8"/>
      <c r="G19" s="8"/>
      <c r="H19" s="13"/>
      <c r="I19" s="8"/>
    </row>
    <row r="20" spans="2:9" x14ac:dyDescent="0.25">
      <c r="B20" s="8"/>
      <c r="C20" s="8"/>
      <c r="D20" s="8"/>
      <c r="E20" s="8"/>
      <c r="F20" s="8"/>
      <c r="G20" s="8"/>
      <c r="H20" s="13"/>
      <c r="I20" s="8"/>
    </row>
    <row r="21" spans="2:9" x14ac:dyDescent="0.25">
      <c r="B21" s="8"/>
      <c r="C21" s="8"/>
      <c r="D21" s="8"/>
      <c r="E21" s="8"/>
      <c r="F21" s="8"/>
      <c r="G21" s="8"/>
      <c r="H21" s="13"/>
      <c r="I21" s="8"/>
    </row>
    <row r="22" spans="2:9" x14ac:dyDescent="0.25">
      <c r="B22" s="8"/>
      <c r="C22" s="8"/>
      <c r="D22" s="8"/>
      <c r="E22" s="8"/>
      <c r="F22" s="8"/>
      <c r="G22" s="8"/>
      <c r="H22" s="13"/>
      <c r="I22" s="8"/>
    </row>
    <row r="23" spans="2:9" x14ac:dyDescent="0.25">
      <c r="B23" s="8"/>
      <c r="C23" s="8"/>
      <c r="D23" s="8"/>
      <c r="E23" s="8"/>
      <c r="F23" s="8"/>
      <c r="G23" s="8"/>
      <c r="H23" s="13"/>
      <c r="I23" s="8"/>
    </row>
    <row r="24" spans="2:9" x14ac:dyDescent="0.25">
      <c r="B24" s="8"/>
      <c r="C24" s="8"/>
      <c r="D24" s="8"/>
      <c r="E24" s="8"/>
      <c r="F24" s="8"/>
      <c r="G24" s="8"/>
      <c r="H24" s="13"/>
      <c r="I24" s="8"/>
    </row>
    <row r="25" spans="2:9" x14ac:dyDescent="0.25">
      <c r="B25" s="8"/>
      <c r="C25" s="8"/>
      <c r="D25" s="8"/>
      <c r="E25" s="8"/>
      <c r="F25" s="8"/>
      <c r="G25" s="8"/>
      <c r="H25" s="13"/>
      <c r="I25" s="8"/>
    </row>
    <row r="26" spans="2:9" x14ac:dyDescent="0.25">
      <c r="B26" s="8"/>
      <c r="C26" s="8"/>
      <c r="D26" s="8"/>
      <c r="E26" s="8"/>
      <c r="F26" s="8"/>
      <c r="G26" s="8"/>
      <c r="H26" s="13"/>
      <c r="I26" s="8"/>
    </row>
    <row r="27" spans="2:9" x14ac:dyDescent="0.25">
      <c r="B27" s="8"/>
      <c r="C27" s="8"/>
      <c r="D27" s="8"/>
      <c r="E27" s="8"/>
      <c r="F27" s="8"/>
      <c r="G27" s="8"/>
      <c r="H27" s="13"/>
      <c r="I27" s="8"/>
    </row>
    <row r="28" spans="2:9" x14ac:dyDescent="0.25">
      <c r="B28" s="8"/>
      <c r="C28" s="8"/>
      <c r="D28" s="8"/>
      <c r="E28" s="8"/>
      <c r="F28" s="8"/>
      <c r="G28" s="8"/>
      <c r="H28" s="13"/>
      <c r="I28" s="8"/>
    </row>
    <row r="29" spans="2:9" x14ac:dyDescent="0.25">
      <c r="B29" s="8"/>
      <c r="C29" s="8"/>
      <c r="D29" s="8"/>
      <c r="E29" s="8"/>
      <c r="F29" s="8"/>
      <c r="G29" s="8"/>
      <c r="H29" s="13"/>
      <c r="I29" s="8"/>
    </row>
    <row r="30" spans="2:9" x14ac:dyDescent="0.25">
      <c r="B30" s="8"/>
      <c r="C30" s="8"/>
      <c r="D30" s="8"/>
      <c r="E30" s="8"/>
      <c r="F30" s="8"/>
      <c r="G30" s="8"/>
      <c r="H30" s="13"/>
      <c r="I30" s="8"/>
    </row>
    <row r="31" spans="2:9" x14ac:dyDescent="0.25">
      <c r="B31" s="8"/>
      <c r="C31" s="8"/>
      <c r="D31" s="8"/>
      <c r="E31" s="8"/>
      <c r="F31" s="8"/>
      <c r="G31" s="8"/>
      <c r="H31" s="13"/>
      <c r="I31" s="8"/>
    </row>
    <row r="32" spans="2:9" x14ac:dyDescent="0.25">
      <c r="B32" s="8"/>
      <c r="C32" s="8"/>
      <c r="D32" s="8"/>
      <c r="E32" s="8"/>
      <c r="F32" s="8"/>
      <c r="G32" s="8"/>
      <c r="H32" s="13"/>
      <c r="I32" s="8"/>
    </row>
    <row r="33" spans="2:9" x14ac:dyDescent="0.25">
      <c r="B33" s="8"/>
      <c r="C33" s="8"/>
      <c r="D33" s="8"/>
      <c r="E33" s="8"/>
      <c r="F33" s="8"/>
      <c r="G33" s="8"/>
      <c r="H33" s="13"/>
      <c r="I33" s="8"/>
    </row>
    <row r="34" spans="2:9" x14ac:dyDescent="0.25">
      <c r="B34" s="8"/>
      <c r="C34" s="8"/>
      <c r="D34" s="8"/>
      <c r="E34" s="8"/>
      <c r="F34" s="8"/>
      <c r="G34" s="8"/>
      <c r="H34" s="13"/>
      <c r="I34" s="8"/>
    </row>
    <row r="35" spans="2:9" x14ac:dyDescent="0.25">
      <c r="B35" s="8"/>
      <c r="C35" s="8"/>
      <c r="D35" s="8"/>
      <c r="E35" s="8"/>
      <c r="F35" s="8"/>
      <c r="G35" s="8"/>
      <c r="H35" s="13"/>
      <c r="I35" s="8"/>
    </row>
    <row r="36" spans="2:9" x14ac:dyDescent="0.25">
      <c r="B36" s="8"/>
      <c r="C36" s="8"/>
      <c r="D36" s="8"/>
      <c r="E36" s="8"/>
      <c r="F36" s="8"/>
      <c r="G36" s="8"/>
      <c r="H36" s="13"/>
      <c r="I36" s="8"/>
    </row>
    <row r="37" spans="2:9" x14ac:dyDescent="0.25">
      <c r="B37" s="8"/>
      <c r="C37" s="8"/>
      <c r="D37" s="8"/>
      <c r="E37" s="8"/>
      <c r="F37" s="8"/>
      <c r="G37" s="8"/>
      <c r="H37" s="13"/>
      <c r="I37" s="8"/>
    </row>
    <row r="38" spans="2:9" x14ac:dyDescent="0.25">
      <c r="B38" s="8"/>
      <c r="C38" s="8"/>
      <c r="D38" s="8"/>
      <c r="E38" s="8"/>
      <c r="F38" s="8"/>
      <c r="G38" s="8"/>
      <c r="H38" s="13"/>
      <c r="I38" s="8"/>
    </row>
    <row r="39" spans="2:9" x14ac:dyDescent="0.25">
      <c r="B39" s="8"/>
      <c r="C39" s="8"/>
      <c r="D39" s="8"/>
      <c r="E39" s="8"/>
      <c r="F39" s="8"/>
      <c r="G39" s="8"/>
      <c r="H39" s="13"/>
      <c r="I39" s="8"/>
    </row>
    <row r="40" spans="2:9" x14ac:dyDescent="0.25">
      <c r="B40" s="8"/>
      <c r="C40" s="8"/>
      <c r="D40" s="8"/>
      <c r="E40" s="8"/>
      <c r="F40" s="8"/>
      <c r="G40" s="8"/>
      <c r="H40" s="13"/>
      <c r="I40" s="8"/>
    </row>
    <row r="41" spans="2:9" x14ac:dyDescent="0.25">
      <c r="B41" s="8"/>
      <c r="C41" s="8"/>
      <c r="D41" s="8"/>
      <c r="E41" s="8"/>
      <c r="F41" s="8"/>
      <c r="G41" s="8"/>
      <c r="H41" s="13"/>
      <c r="I41" s="8"/>
    </row>
    <row r="42" spans="2:9" x14ac:dyDescent="0.25">
      <c r="B42" s="8"/>
      <c r="C42" s="8"/>
      <c r="D42" s="8"/>
      <c r="E42" s="8"/>
      <c r="F42" s="8"/>
      <c r="G42" s="8"/>
      <c r="H42" s="13"/>
      <c r="I42" s="8"/>
    </row>
    <row r="43" spans="2:9" x14ac:dyDescent="0.25">
      <c r="B43" s="8"/>
      <c r="C43" s="8"/>
      <c r="D43" s="8"/>
      <c r="E43" s="8"/>
      <c r="F43" s="8"/>
      <c r="G43" s="8"/>
      <c r="H43" s="13"/>
      <c r="I43" s="8"/>
    </row>
    <row r="44" spans="2:9" x14ac:dyDescent="0.25">
      <c r="B44" s="8"/>
      <c r="C44" s="8"/>
      <c r="D44" s="8"/>
      <c r="E44" s="8"/>
      <c r="F44" s="8"/>
      <c r="G44" s="8"/>
      <c r="H44" s="13"/>
      <c r="I44" s="8"/>
    </row>
    <row r="45" spans="2:9" x14ac:dyDescent="0.25">
      <c r="B45" s="8"/>
      <c r="C45" s="8"/>
      <c r="D45" s="8"/>
      <c r="E45" s="8"/>
      <c r="F45" s="8"/>
      <c r="G45" s="8"/>
      <c r="H45" s="13"/>
      <c r="I45" s="8"/>
    </row>
    <row r="46" spans="2:9" x14ac:dyDescent="0.25">
      <c r="B46" s="8"/>
      <c r="C46" s="8"/>
      <c r="D46" s="8"/>
      <c r="E46" s="8"/>
      <c r="F46" s="8"/>
      <c r="G46" s="8"/>
      <c r="H46" s="13"/>
      <c r="I46" s="8"/>
    </row>
    <row r="47" spans="2:9" x14ac:dyDescent="0.25">
      <c r="B47" s="8"/>
      <c r="C47" s="8"/>
      <c r="D47" s="8"/>
      <c r="E47" s="8"/>
      <c r="F47" s="8"/>
      <c r="G47" s="8"/>
      <c r="H47" s="13"/>
      <c r="I47" s="8"/>
    </row>
    <row r="48" spans="2:9" x14ac:dyDescent="0.25">
      <c r="B48" s="8"/>
      <c r="C48" s="8"/>
      <c r="D48" s="8"/>
      <c r="E48" s="8"/>
      <c r="F48" s="8"/>
      <c r="G48" s="8"/>
      <c r="H48" s="13"/>
      <c r="I48" s="8"/>
    </row>
    <row r="49" spans="2:9" x14ac:dyDescent="0.25">
      <c r="B49" s="8"/>
      <c r="C49" s="8"/>
      <c r="D49" s="8"/>
      <c r="E49" s="8"/>
      <c r="F49" s="8"/>
      <c r="G49" s="8"/>
      <c r="H49" s="13"/>
      <c r="I49" s="8"/>
    </row>
    <row r="50" spans="2:9" x14ac:dyDescent="0.25">
      <c r="B50" s="8"/>
      <c r="C50" s="8"/>
      <c r="D50" s="8"/>
      <c r="E50" s="8"/>
      <c r="F50" s="8"/>
      <c r="G50" s="8"/>
      <c r="H50" s="13"/>
      <c r="I50" s="8"/>
    </row>
    <row r="51" spans="2:9" x14ac:dyDescent="0.25">
      <c r="B51" s="8"/>
      <c r="C51" s="8"/>
      <c r="D51" s="8"/>
      <c r="E51" s="8"/>
      <c r="F51" s="8"/>
      <c r="G51" s="8"/>
      <c r="H51" s="13"/>
      <c r="I51" s="8"/>
    </row>
    <row r="52" spans="2:9" x14ac:dyDescent="0.25">
      <c r="B52" s="8"/>
      <c r="C52" s="8"/>
      <c r="D52" s="8"/>
      <c r="E52" s="8"/>
      <c r="F52" s="8"/>
      <c r="G52" s="8"/>
      <c r="H52" s="13"/>
      <c r="I52" s="8"/>
    </row>
    <row r="53" spans="2:9" x14ac:dyDescent="0.25">
      <c r="B53" s="8"/>
      <c r="C53" s="8"/>
      <c r="D53" s="8"/>
      <c r="E53" s="8"/>
      <c r="F53" s="8"/>
      <c r="G53" s="8"/>
      <c r="H53" s="13"/>
      <c r="I53" s="8"/>
    </row>
    <row r="54" spans="2:9" x14ac:dyDescent="0.25">
      <c r="B54" s="8"/>
      <c r="C54" s="8"/>
      <c r="D54" s="8"/>
      <c r="E54" s="8"/>
      <c r="F54" s="8"/>
      <c r="G54" s="8"/>
      <c r="H54" s="13"/>
      <c r="I54" s="8"/>
    </row>
    <row r="55" spans="2:9" x14ac:dyDescent="0.25">
      <c r="B55" s="8"/>
      <c r="C55" s="8"/>
      <c r="D55" s="8"/>
      <c r="E55" s="8"/>
      <c r="F55" s="8"/>
      <c r="G55" s="8"/>
      <c r="H55" s="13"/>
      <c r="I55" s="8"/>
    </row>
    <row r="56" spans="2:9" x14ac:dyDescent="0.25">
      <c r="B56" s="8"/>
      <c r="C56" s="8"/>
      <c r="D56" s="8"/>
      <c r="E56" s="8"/>
      <c r="F56" s="8"/>
      <c r="G56" s="8"/>
      <c r="H56" s="13"/>
      <c r="I56" s="8"/>
    </row>
    <row r="57" spans="2:9" x14ac:dyDescent="0.25">
      <c r="B57" s="8"/>
      <c r="C57" s="8"/>
      <c r="D57" s="8"/>
      <c r="E57" s="8"/>
      <c r="F57" s="8"/>
      <c r="G57" s="8"/>
      <c r="H57" s="13"/>
      <c r="I57" s="8"/>
    </row>
    <row r="58" spans="2:9" x14ac:dyDescent="0.25">
      <c r="B58" s="8"/>
      <c r="C58" s="8"/>
      <c r="D58" s="8"/>
      <c r="E58" s="8"/>
      <c r="F58" s="8"/>
      <c r="G58" s="8"/>
      <c r="H58" s="13"/>
      <c r="I58" s="8"/>
    </row>
    <row r="59" spans="2:9" x14ac:dyDescent="0.25">
      <c r="B59" s="8"/>
      <c r="C59" s="8"/>
      <c r="D59" s="8"/>
      <c r="E59" s="8"/>
      <c r="F59" s="8"/>
      <c r="G59" s="8"/>
      <c r="H59" s="13"/>
      <c r="I59" s="8"/>
    </row>
    <row r="60" spans="2:9" x14ac:dyDescent="0.25">
      <c r="B60" s="8"/>
      <c r="C60" s="8"/>
      <c r="D60" s="8"/>
      <c r="E60" s="8"/>
      <c r="F60" s="8"/>
      <c r="G60" s="8"/>
      <c r="H60" s="13"/>
      <c r="I60" s="8"/>
    </row>
    <row r="61" spans="2:9" x14ac:dyDescent="0.25">
      <c r="B61" s="8"/>
      <c r="C61" s="8"/>
      <c r="D61" s="8"/>
      <c r="E61" s="8"/>
      <c r="F61" s="8"/>
      <c r="G61" s="8"/>
      <c r="H61" s="13"/>
      <c r="I61" s="8"/>
    </row>
    <row r="62" spans="2:9" x14ac:dyDescent="0.25">
      <c r="B62" s="8"/>
      <c r="C62" s="8"/>
      <c r="D62" s="8"/>
      <c r="E62" s="8"/>
      <c r="F62" s="8"/>
      <c r="G62" s="8"/>
      <c r="H62" s="13"/>
      <c r="I62" s="8"/>
    </row>
    <row r="63" spans="2:9" x14ac:dyDescent="0.25">
      <c r="B63" s="8"/>
      <c r="C63" s="8"/>
      <c r="D63" s="8"/>
      <c r="E63" s="8"/>
      <c r="F63" s="8"/>
      <c r="G63" s="8"/>
      <c r="H63" s="13"/>
      <c r="I63" s="8"/>
    </row>
    <row r="64" spans="2:9" x14ac:dyDescent="0.25">
      <c r="B64" s="8"/>
      <c r="C64" s="8"/>
      <c r="D64" s="8"/>
      <c r="E64" s="8"/>
      <c r="F64" s="8"/>
      <c r="G64" s="8"/>
      <c r="H64" s="13"/>
      <c r="I64" s="8"/>
    </row>
    <row r="65" spans="2:9" x14ac:dyDescent="0.25">
      <c r="B65" s="8"/>
      <c r="C65" s="8"/>
      <c r="D65" s="8"/>
      <c r="E65" s="8"/>
      <c r="F65" s="8"/>
      <c r="G65" s="8"/>
      <c r="H65" s="13"/>
      <c r="I65" s="8"/>
    </row>
    <row r="66" spans="2:9" x14ac:dyDescent="0.25">
      <c r="B66" s="8"/>
      <c r="C66" s="8"/>
      <c r="D66" s="8"/>
      <c r="E66" s="8"/>
      <c r="F66" s="8"/>
      <c r="G66" s="8"/>
      <c r="H66" s="13"/>
      <c r="I66" s="8"/>
    </row>
    <row r="67" spans="2:9" x14ac:dyDescent="0.25">
      <c r="B67" s="8"/>
      <c r="C67" s="8"/>
      <c r="D67" s="8"/>
      <c r="E67" s="8"/>
      <c r="F67" s="8"/>
      <c r="G67" s="8"/>
      <c r="H67" s="13"/>
      <c r="I67" s="8"/>
    </row>
    <row r="68" spans="2:9" x14ac:dyDescent="0.25">
      <c r="B68" s="8"/>
      <c r="C68" s="8"/>
      <c r="D68" s="8"/>
      <c r="E68" s="8"/>
      <c r="F68" s="8"/>
      <c r="G68" s="8"/>
      <c r="H68" s="13"/>
      <c r="I68" s="8"/>
    </row>
    <row r="69" spans="2:9" x14ac:dyDescent="0.25">
      <c r="B69" s="8"/>
      <c r="C69" s="8"/>
      <c r="D69" s="8"/>
      <c r="E69" s="8"/>
      <c r="F69" s="8"/>
      <c r="G69" s="8"/>
      <c r="H69" s="13"/>
      <c r="I69" s="8"/>
    </row>
    <row r="70" spans="2:9" x14ac:dyDescent="0.25">
      <c r="B70" s="8"/>
      <c r="C70" s="8"/>
      <c r="D70" s="8"/>
      <c r="E70" s="8"/>
      <c r="F70" s="8"/>
      <c r="G70" s="8"/>
      <c r="H70" s="13"/>
      <c r="I70" s="8"/>
    </row>
    <row r="71" spans="2:9" x14ac:dyDescent="0.25">
      <c r="B71" s="8"/>
      <c r="C71" s="8"/>
      <c r="D71" s="8"/>
      <c r="E71" s="8"/>
      <c r="F71" s="8"/>
      <c r="G71" s="8"/>
      <c r="H71" s="13"/>
      <c r="I71" s="8"/>
    </row>
    <row r="72" spans="2:9" x14ac:dyDescent="0.25">
      <c r="B72" s="8"/>
      <c r="C72" s="8"/>
      <c r="D72" s="8"/>
      <c r="E72" s="8"/>
      <c r="F72" s="8"/>
      <c r="G72" s="8"/>
      <c r="H72" s="13"/>
      <c r="I72" s="8"/>
    </row>
    <row r="73" spans="2:9" x14ac:dyDescent="0.25">
      <c r="B73" s="8"/>
      <c r="C73" s="8"/>
      <c r="D73" s="8"/>
      <c r="E73" s="8"/>
      <c r="F73" s="8"/>
      <c r="G73" s="8"/>
      <c r="H73" s="13"/>
      <c r="I73" s="8"/>
    </row>
    <row r="74" spans="2:9" x14ac:dyDescent="0.25">
      <c r="B74" s="8"/>
      <c r="C74" s="8"/>
      <c r="D74" s="8"/>
      <c r="E74" s="8"/>
      <c r="F74" s="8"/>
      <c r="G74" s="8"/>
      <c r="H74" s="13"/>
      <c r="I74" s="8"/>
    </row>
    <row r="75" spans="2:9" x14ac:dyDescent="0.25">
      <c r="B75" s="8"/>
      <c r="C75" s="8"/>
      <c r="D75" s="8"/>
      <c r="E75" s="8"/>
      <c r="F75" s="8"/>
      <c r="G75" s="8"/>
      <c r="H75" s="13"/>
      <c r="I75" s="8"/>
    </row>
    <row r="76" spans="2:9" x14ac:dyDescent="0.25">
      <c r="B76" s="8"/>
      <c r="C76" s="8"/>
      <c r="D76" s="8"/>
      <c r="E76" s="8"/>
      <c r="F76" s="8"/>
      <c r="G76" s="8"/>
      <c r="H76" s="13"/>
      <c r="I76" s="8"/>
    </row>
    <row r="77" spans="2:9" x14ac:dyDescent="0.25">
      <c r="B77" s="8"/>
      <c r="C77" s="8"/>
      <c r="D77" s="8"/>
      <c r="E77" s="8"/>
      <c r="F77" s="8"/>
      <c r="G77" s="8"/>
      <c r="H77" s="13"/>
      <c r="I77" s="8"/>
    </row>
    <row r="78" spans="2:9" x14ac:dyDescent="0.25">
      <c r="B78" s="8"/>
      <c r="C78" s="8"/>
      <c r="D78" s="8"/>
      <c r="E78" s="8"/>
      <c r="F78" s="8"/>
      <c r="G78" s="8"/>
      <c r="H78" s="13"/>
      <c r="I78" s="8"/>
    </row>
    <row r="79" spans="2:9" x14ac:dyDescent="0.25">
      <c r="B79" s="8"/>
      <c r="C79" s="8"/>
      <c r="D79" s="8"/>
      <c r="E79" s="8"/>
      <c r="F79" s="8"/>
      <c r="G79" s="8"/>
      <c r="H79" s="13"/>
      <c r="I79" s="8"/>
    </row>
    <row r="80" spans="2:9" x14ac:dyDescent="0.25">
      <c r="B80" s="8"/>
      <c r="C80" s="8"/>
      <c r="D80" s="8"/>
      <c r="E80" s="8"/>
      <c r="F80" s="8"/>
      <c r="G80" s="8"/>
      <c r="H80" s="13"/>
      <c r="I80" s="8"/>
    </row>
    <row r="81" spans="2:9" x14ac:dyDescent="0.25">
      <c r="B81" s="8"/>
      <c r="C81" s="8"/>
      <c r="D81" s="8"/>
      <c r="E81" s="8"/>
      <c r="F81" s="8"/>
      <c r="G81" s="8"/>
      <c r="H81" s="13"/>
      <c r="I81" s="8"/>
    </row>
    <row r="82" spans="2:9" x14ac:dyDescent="0.25">
      <c r="B82" s="8"/>
      <c r="C82" s="8"/>
      <c r="D82" s="8"/>
      <c r="E82" s="8"/>
      <c r="F82" s="8"/>
      <c r="G82" s="8"/>
      <c r="H82" s="13"/>
      <c r="I82" s="8"/>
    </row>
    <row r="83" spans="2:9" x14ac:dyDescent="0.25">
      <c r="B83" s="8"/>
      <c r="C83" s="8"/>
      <c r="D83" s="8"/>
      <c r="E83" s="8"/>
      <c r="F83" s="8"/>
      <c r="G83" s="8"/>
      <c r="H83" s="13"/>
      <c r="I83" s="8"/>
    </row>
    <row r="84" spans="2:9" x14ac:dyDescent="0.25">
      <c r="B84" s="8"/>
      <c r="C84" s="8"/>
      <c r="D84" s="8"/>
      <c r="E84" s="8"/>
      <c r="F84" s="8"/>
      <c r="G84" s="8"/>
      <c r="H84" s="13"/>
      <c r="I84" s="8"/>
    </row>
    <row r="85" spans="2:9" x14ac:dyDescent="0.25">
      <c r="B85" s="8"/>
      <c r="C85" s="8"/>
      <c r="D85" s="8"/>
      <c r="E85" s="8"/>
      <c r="F85" s="8"/>
      <c r="G85" s="8"/>
      <c r="H85" s="13"/>
      <c r="I85" s="8"/>
    </row>
    <row r="86" spans="2:9" x14ac:dyDescent="0.25">
      <c r="B86" s="8"/>
      <c r="C86" s="8"/>
      <c r="D86" s="8"/>
      <c r="E86" s="8"/>
      <c r="F86" s="8"/>
      <c r="G86" s="8"/>
      <c r="H86" s="13"/>
      <c r="I86" s="8"/>
    </row>
    <row r="87" spans="2:9" x14ac:dyDescent="0.25">
      <c r="B87" s="8"/>
      <c r="C87" s="8"/>
      <c r="D87" s="8"/>
      <c r="E87" s="8"/>
      <c r="F87" s="8"/>
      <c r="G87" s="8"/>
      <c r="H87" s="13"/>
      <c r="I87" s="8"/>
    </row>
    <row r="88" spans="2:9" x14ac:dyDescent="0.25">
      <c r="B88" s="8"/>
      <c r="C88" s="8"/>
      <c r="D88" s="8"/>
      <c r="E88" s="8"/>
      <c r="F88" s="8"/>
      <c r="G88" s="8"/>
      <c r="H88" s="13"/>
      <c r="I88" s="8"/>
    </row>
    <row r="89" spans="2:9" x14ac:dyDescent="0.25">
      <c r="B89" s="8"/>
      <c r="C89" s="8"/>
      <c r="D89" s="8"/>
      <c r="E89" s="8"/>
      <c r="F89" s="8"/>
      <c r="G89" s="8"/>
      <c r="H89" s="13"/>
      <c r="I89" s="8"/>
    </row>
    <row r="90" spans="2:9" x14ac:dyDescent="0.25">
      <c r="B90" s="8"/>
      <c r="C90" s="8"/>
      <c r="D90" s="8"/>
      <c r="E90" s="8"/>
      <c r="F90" s="8"/>
      <c r="G90" s="8"/>
      <c r="H90" s="13"/>
      <c r="I90" s="8"/>
    </row>
    <row r="91" spans="2:9" x14ac:dyDescent="0.25">
      <c r="B91" s="8"/>
      <c r="C91" s="8"/>
      <c r="D91" s="8"/>
      <c r="E91" s="8"/>
      <c r="F91" s="8"/>
      <c r="G91" s="8"/>
      <c r="H91" s="13"/>
      <c r="I91" s="8"/>
    </row>
    <row r="92" spans="2:9" x14ac:dyDescent="0.25">
      <c r="B92" s="8"/>
      <c r="C92" s="8"/>
      <c r="D92" s="8"/>
      <c r="E92" s="8"/>
      <c r="F92" s="8"/>
      <c r="G92" s="8"/>
      <c r="H92" s="13"/>
      <c r="I92" s="8"/>
    </row>
    <row r="93" spans="2:9" x14ac:dyDescent="0.25">
      <c r="B93" s="8"/>
      <c r="C93" s="8"/>
      <c r="D93" s="8"/>
      <c r="E93" s="8"/>
      <c r="F93" s="8"/>
      <c r="G93" s="8"/>
      <c r="H93" s="13"/>
      <c r="I93" s="8"/>
    </row>
    <row r="94" spans="2:9" x14ac:dyDescent="0.25">
      <c r="B94" s="8"/>
      <c r="C94" s="8"/>
      <c r="D94" s="8"/>
      <c r="E94" s="8"/>
      <c r="F94" s="8"/>
      <c r="G94" s="8"/>
      <c r="H94" s="13"/>
      <c r="I94" s="8"/>
    </row>
    <row r="95" spans="2:9" x14ac:dyDescent="0.25">
      <c r="B95" s="8"/>
      <c r="C95" s="8"/>
      <c r="D95" s="8"/>
      <c r="E95" s="8"/>
      <c r="F95" s="8"/>
      <c r="G95" s="8"/>
      <c r="H95" s="13"/>
      <c r="I95" s="8"/>
    </row>
    <row r="96" spans="2:9" x14ac:dyDescent="0.25">
      <c r="B96" s="8"/>
      <c r="C96" s="8"/>
      <c r="D96" s="8"/>
      <c r="E96" s="8"/>
      <c r="F96" s="8"/>
      <c r="G96" s="8"/>
      <c r="H96" s="13"/>
      <c r="I96" s="8"/>
    </row>
    <row r="97" spans="2:9" x14ac:dyDescent="0.25">
      <c r="B97" s="8"/>
      <c r="C97" s="8"/>
      <c r="D97" s="8"/>
      <c r="E97" s="8"/>
      <c r="F97" s="8"/>
      <c r="G97" s="8"/>
      <c r="H97" s="13"/>
      <c r="I97" s="8"/>
    </row>
    <row r="98" spans="2:9" x14ac:dyDescent="0.25">
      <c r="B98" s="8"/>
      <c r="C98" s="8"/>
      <c r="D98" s="8"/>
      <c r="E98" s="8"/>
      <c r="F98" s="8"/>
      <c r="G98" s="8"/>
      <c r="H98" s="13"/>
      <c r="I98" s="8"/>
    </row>
    <row r="99" spans="2:9" x14ac:dyDescent="0.25">
      <c r="B99" s="8"/>
      <c r="C99" s="8"/>
      <c r="D99" s="8"/>
      <c r="E99" s="8"/>
      <c r="F99" s="8"/>
      <c r="G99" s="8"/>
      <c r="H99" s="13"/>
      <c r="I99" s="8"/>
    </row>
    <row r="100" spans="2:9" x14ac:dyDescent="0.25">
      <c r="B100" s="8"/>
      <c r="C100" s="8"/>
      <c r="D100" s="8"/>
      <c r="E100" s="8"/>
      <c r="F100" s="8"/>
      <c r="G100" s="8"/>
      <c r="H100" s="13"/>
      <c r="I100" s="8"/>
    </row>
    <row r="101" spans="2:9" x14ac:dyDescent="0.25">
      <c r="B101" s="8"/>
      <c r="C101" s="8"/>
      <c r="D101" s="8"/>
      <c r="E101" s="8"/>
      <c r="F101" s="8"/>
      <c r="G101" s="8"/>
      <c r="H101" s="13"/>
      <c r="I101" s="8"/>
    </row>
    <row r="102" spans="2:9" x14ac:dyDescent="0.25">
      <c r="B102" s="8"/>
      <c r="C102" s="8"/>
      <c r="D102" s="8"/>
      <c r="E102" s="8"/>
      <c r="F102" s="8"/>
      <c r="G102" s="8"/>
      <c r="H102" s="13"/>
      <c r="I102" s="8"/>
    </row>
    <row r="103" spans="2:9" x14ac:dyDescent="0.25">
      <c r="B103" s="8"/>
      <c r="C103" s="8"/>
      <c r="D103" s="8"/>
      <c r="E103" s="8"/>
      <c r="F103" s="8"/>
      <c r="G103" s="8"/>
      <c r="H103" s="13"/>
      <c r="I103" s="8"/>
    </row>
    <row r="104" spans="2:9" x14ac:dyDescent="0.25">
      <c r="B104" s="8"/>
      <c r="C104" s="8"/>
      <c r="D104" s="8"/>
      <c r="E104" s="8"/>
      <c r="F104" s="8"/>
      <c r="G104" s="8"/>
      <c r="H104" s="13"/>
      <c r="I104" s="8"/>
    </row>
    <row r="105" spans="2:9" x14ac:dyDescent="0.25">
      <c r="B105" s="8"/>
      <c r="C105" s="8"/>
      <c r="D105" s="8"/>
      <c r="E105" s="8"/>
      <c r="F105" s="8"/>
      <c r="G105" s="8"/>
      <c r="H105" s="13"/>
      <c r="I105" s="8"/>
    </row>
    <row r="106" spans="2:9" x14ac:dyDescent="0.25">
      <c r="B106" s="8"/>
      <c r="C106" s="8"/>
      <c r="D106" s="8"/>
      <c r="E106" s="8"/>
      <c r="F106" s="8"/>
      <c r="G106" s="8"/>
      <c r="H106" s="13"/>
      <c r="I106" s="8"/>
    </row>
    <row r="107" spans="2:9" x14ac:dyDescent="0.25">
      <c r="B107" s="8"/>
      <c r="C107" s="8"/>
      <c r="D107" s="8"/>
      <c r="E107" s="8"/>
      <c r="F107" s="8"/>
      <c r="G107" s="8"/>
      <c r="H107" s="13"/>
      <c r="I107" s="8"/>
    </row>
    <row r="108" spans="2:9" x14ac:dyDescent="0.25">
      <c r="B108" s="8"/>
      <c r="C108" s="8"/>
      <c r="D108" s="8"/>
      <c r="E108" s="8"/>
      <c r="F108" s="8"/>
      <c r="G108" s="8"/>
      <c r="H108" s="13"/>
      <c r="I108" s="8"/>
    </row>
    <row r="109" spans="2:9" x14ac:dyDescent="0.25">
      <c r="B109" s="8"/>
      <c r="C109" s="8"/>
      <c r="D109" s="8"/>
      <c r="E109" s="8"/>
      <c r="F109" s="8"/>
      <c r="G109" s="8"/>
      <c r="H109" s="13"/>
      <c r="I109" s="8"/>
    </row>
    <row r="110" spans="2:9" x14ac:dyDescent="0.25">
      <c r="B110" s="8"/>
      <c r="C110" s="8"/>
      <c r="D110" s="8"/>
      <c r="E110" s="8"/>
      <c r="F110" s="8"/>
      <c r="G110" s="8"/>
      <c r="H110" s="13"/>
      <c r="I110" s="8"/>
    </row>
    <row r="111" spans="2:9" x14ac:dyDescent="0.25">
      <c r="B111" s="8"/>
      <c r="C111" s="8"/>
      <c r="D111" s="8"/>
      <c r="E111" s="8"/>
      <c r="F111" s="8"/>
      <c r="G111" s="8"/>
      <c r="H111" s="13"/>
      <c r="I111" s="8"/>
    </row>
    <row r="112" spans="2:9" x14ac:dyDescent="0.25">
      <c r="B112" s="8"/>
      <c r="C112" s="8"/>
      <c r="D112" s="8"/>
      <c r="E112" s="8"/>
      <c r="F112" s="8"/>
      <c r="G112" s="8"/>
      <c r="H112" s="13"/>
      <c r="I112" s="8"/>
    </row>
    <row r="113" spans="2:9" x14ac:dyDescent="0.25">
      <c r="B113" s="8"/>
      <c r="C113" s="8"/>
      <c r="D113" s="8"/>
      <c r="E113" s="8"/>
      <c r="F113" s="8"/>
      <c r="G113" s="8"/>
      <c r="H113" s="13"/>
      <c r="I113" s="8"/>
    </row>
    <row r="114" spans="2:9" x14ac:dyDescent="0.25">
      <c r="B114" s="8"/>
      <c r="C114" s="8"/>
      <c r="D114" s="8"/>
      <c r="E114" s="8"/>
      <c r="F114" s="8"/>
      <c r="G114" s="8"/>
      <c r="H114" s="13"/>
      <c r="I114" s="8"/>
    </row>
    <row r="115" spans="2:9" x14ac:dyDescent="0.25">
      <c r="B115" s="8"/>
      <c r="C115" s="8"/>
      <c r="D115" s="8"/>
      <c r="E115" s="8"/>
      <c r="F115" s="8"/>
      <c r="G115" s="8"/>
      <c r="H115" s="13"/>
      <c r="I115" s="8"/>
    </row>
    <row r="116" spans="2:9" x14ac:dyDescent="0.25">
      <c r="B116" s="8"/>
      <c r="C116" s="8"/>
      <c r="D116" s="8"/>
      <c r="E116" s="8"/>
      <c r="F116" s="8"/>
      <c r="G116" s="8"/>
      <c r="H116" s="13"/>
      <c r="I116" s="8"/>
    </row>
    <row r="117" spans="2:9" x14ac:dyDescent="0.25">
      <c r="B117" s="8"/>
      <c r="C117" s="8"/>
      <c r="D117" s="8"/>
      <c r="E117" s="8"/>
      <c r="F117" s="8"/>
      <c r="G117" s="8"/>
      <c r="H117" s="13"/>
      <c r="I117" s="8"/>
    </row>
    <row r="118" spans="2:9" x14ac:dyDescent="0.25">
      <c r="B118" s="8"/>
      <c r="C118" s="8"/>
      <c r="D118" s="8"/>
      <c r="E118" s="8"/>
      <c r="F118" s="8"/>
      <c r="G118" s="8"/>
      <c r="H118" s="13"/>
      <c r="I118" s="8"/>
    </row>
    <row r="119" spans="2:9" x14ac:dyDescent="0.25">
      <c r="B119" s="8"/>
      <c r="C119" s="8"/>
      <c r="D119" s="8"/>
      <c r="E119" s="8"/>
      <c r="F119" s="8"/>
      <c r="G119" s="8"/>
      <c r="H119" s="13"/>
      <c r="I119" s="8"/>
    </row>
    <row r="120" spans="2:9" x14ac:dyDescent="0.25">
      <c r="B120" s="8"/>
      <c r="C120" s="8"/>
      <c r="D120" s="8"/>
      <c r="E120" s="8"/>
      <c r="F120" s="8"/>
      <c r="G120" s="8"/>
      <c r="H120" s="13"/>
      <c r="I120" s="8"/>
    </row>
    <row r="121" spans="2:9" x14ac:dyDescent="0.25">
      <c r="B121" s="8"/>
      <c r="C121" s="8"/>
      <c r="D121" s="8"/>
      <c r="E121" s="8"/>
      <c r="F121" s="8"/>
      <c r="G121" s="8"/>
      <c r="H121" s="13"/>
      <c r="I121" s="8"/>
    </row>
    <row r="122" spans="2:9" x14ac:dyDescent="0.25">
      <c r="B122" s="8"/>
      <c r="C122" s="8"/>
      <c r="D122" s="8"/>
      <c r="E122" s="8"/>
      <c r="F122" s="8"/>
      <c r="G122" s="8"/>
      <c r="H122" s="13"/>
      <c r="I122" s="8"/>
    </row>
    <row r="123" spans="2:9" x14ac:dyDescent="0.25">
      <c r="B123" s="8"/>
      <c r="C123" s="8"/>
      <c r="D123" s="8"/>
      <c r="E123" s="8"/>
      <c r="F123" s="8"/>
      <c r="G123" s="8"/>
      <c r="H123" s="13"/>
      <c r="I123" s="8"/>
    </row>
    <row r="124" spans="2:9" x14ac:dyDescent="0.25">
      <c r="B124" s="8"/>
      <c r="C124" s="8"/>
      <c r="D124" s="8"/>
      <c r="E124" s="8"/>
      <c r="F124" s="8"/>
      <c r="G124" s="8"/>
      <c r="H124" s="13"/>
      <c r="I124" s="8"/>
    </row>
    <row r="125" spans="2:9" x14ac:dyDescent="0.25">
      <c r="B125" s="8"/>
      <c r="C125" s="8"/>
      <c r="D125" s="8"/>
      <c r="E125" s="8"/>
      <c r="F125" s="8"/>
      <c r="G125" s="8"/>
      <c r="H125" s="13"/>
      <c r="I125" s="8"/>
    </row>
    <row r="126" spans="2:9" x14ac:dyDescent="0.25">
      <c r="B126" s="8"/>
      <c r="C126" s="8"/>
      <c r="D126" s="8"/>
      <c r="E126" s="8"/>
      <c r="F126" s="8"/>
      <c r="G126" s="8"/>
      <c r="H126" s="13"/>
      <c r="I126" s="8"/>
    </row>
    <row r="127" spans="2:9" x14ac:dyDescent="0.25">
      <c r="B127" s="8"/>
      <c r="C127" s="8"/>
      <c r="D127" s="8"/>
      <c r="E127" s="8"/>
      <c r="F127" s="8"/>
      <c r="G127" s="8"/>
      <c r="H127" s="13"/>
      <c r="I127" s="8"/>
    </row>
    <row r="128" spans="2:9" x14ac:dyDescent="0.25">
      <c r="B128" s="8"/>
      <c r="C128" s="8"/>
      <c r="D128" s="8"/>
      <c r="E128" s="8"/>
      <c r="F128" s="8"/>
      <c r="G128" s="8"/>
      <c r="H128" s="13"/>
      <c r="I128" s="8"/>
    </row>
    <row r="129" spans="2:9" x14ac:dyDescent="0.25">
      <c r="B129" s="8"/>
      <c r="C129" s="8"/>
      <c r="D129" s="8"/>
      <c r="E129" s="8"/>
      <c r="F129" s="8"/>
      <c r="G129" s="8"/>
      <c r="H129" s="13"/>
      <c r="I129" s="8"/>
    </row>
    <row r="130" spans="2:9" x14ac:dyDescent="0.25">
      <c r="B130" s="8"/>
      <c r="C130" s="8"/>
      <c r="D130" s="8"/>
      <c r="E130" s="8"/>
      <c r="F130" s="8"/>
      <c r="G130" s="8"/>
      <c r="H130" s="13"/>
      <c r="I130" s="8"/>
    </row>
    <row r="131" spans="2:9" x14ac:dyDescent="0.25">
      <c r="B131" s="8"/>
      <c r="C131" s="8"/>
      <c r="D131" s="8"/>
      <c r="E131" s="8"/>
      <c r="F131" s="8"/>
      <c r="G131" s="8"/>
      <c r="H131" s="13"/>
      <c r="I131" s="8"/>
    </row>
    <row r="132" spans="2:9" x14ac:dyDescent="0.25">
      <c r="B132" s="8"/>
      <c r="C132" s="8"/>
      <c r="D132" s="8"/>
      <c r="E132" s="8"/>
      <c r="F132" s="8"/>
      <c r="G132" s="8"/>
      <c r="H132" s="13"/>
      <c r="I132" s="8"/>
    </row>
    <row r="133" spans="2:9" x14ac:dyDescent="0.25">
      <c r="B133" s="8"/>
      <c r="C133" s="8"/>
      <c r="D133" s="8"/>
      <c r="E133" s="8"/>
      <c r="F133" s="8"/>
      <c r="G133" s="8"/>
      <c r="H133" s="13"/>
      <c r="I133" s="8"/>
    </row>
    <row r="134" spans="2:9" x14ac:dyDescent="0.25">
      <c r="B134" s="8"/>
      <c r="C134" s="8"/>
      <c r="D134" s="8"/>
      <c r="E134" s="8"/>
      <c r="F134" s="8"/>
      <c r="G134" s="8"/>
      <c r="H134" s="13"/>
      <c r="I134" s="8"/>
    </row>
    <row r="135" spans="2:9" x14ac:dyDescent="0.25">
      <c r="B135" s="8"/>
      <c r="C135" s="8"/>
      <c r="D135" s="8"/>
      <c r="E135" s="8"/>
      <c r="F135" s="8"/>
      <c r="G135" s="8"/>
      <c r="H135" s="13"/>
      <c r="I135" s="8"/>
    </row>
    <row r="136" spans="2:9" x14ac:dyDescent="0.25">
      <c r="B136" s="8"/>
      <c r="C136" s="8"/>
      <c r="D136" s="8"/>
      <c r="E136" s="8"/>
      <c r="F136" s="8"/>
      <c r="G136" s="8"/>
      <c r="H136" s="13"/>
      <c r="I136" s="8"/>
    </row>
    <row r="137" spans="2:9" x14ac:dyDescent="0.25">
      <c r="B137" s="8"/>
      <c r="C137" s="8"/>
      <c r="D137" s="8"/>
      <c r="E137" s="8"/>
      <c r="F137" s="8"/>
      <c r="G137" s="8"/>
      <c r="H137" s="13"/>
      <c r="I137" s="8"/>
    </row>
    <row r="138" spans="2:9" x14ac:dyDescent="0.25">
      <c r="B138" s="8"/>
      <c r="C138" s="8"/>
      <c r="D138" s="8"/>
      <c r="E138" s="8"/>
      <c r="F138" s="8"/>
      <c r="G138" s="8"/>
      <c r="H138" s="13"/>
      <c r="I138" s="8"/>
    </row>
    <row r="139" spans="2:9" x14ac:dyDescent="0.25">
      <c r="B139" s="8"/>
      <c r="C139" s="8"/>
      <c r="D139" s="8"/>
      <c r="E139" s="8"/>
      <c r="F139" s="8"/>
      <c r="G139" s="8"/>
      <c r="H139" s="13"/>
      <c r="I139" s="8"/>
    </row>
    <row r="140" spans="2:9" x14ac:dyDescent="0.25">
      <c r="B140" s="8"/>
      <c r="C140" s="8"/>
      <c r="D140" s="8"/>
      <c r="E140" s="8"/>
      <c r="F140" s="8"/>
      <c r="G140" s="8"/>
      <c r="H140" s="13"/>
      <c r="I140" s="8"/>
    </row>
    <row r="141" spans="2:9" x14ac:dyDescent="0.25">
      <c r="B141" s="8"/>
      <c r="C141" s="8"/>
      <c r="D141" s="8"/>
      <c r="E141" s="8"/>
      <c r="F141" s="8"/>
      <c r="G141" s="8"/>
      <c r="H141" s="13"/>
      <c r="I141" s="8"/>
    </row>
    <row r="142" spans="2:9" x14ac:dyDescent="0.25">
      <c r="B142" s="8"/>
      <c r="C142" s="8"/>
      <c r="D142" s="8"/>
      <c r="E142" s="8"/>
      <c r="F142" s="8"/>
      <c r="G142" s="8"/>
      <c r="H142" s="13"/>
      <c r="I142" s="8"/>
    </row>
    <row r="143" spans="2:9" x14ac:dyDescent="0.25">
      <c r="B143" s="8"/>
      <c r="C143" s="8"/>
      <c r="D143" s="8"/>
      <c r="E143" s="8"/>
      <c r="F143" s="8"/>
      <c r="G143" s="8"/>
      <c r="H143" s="13"/>
      <c r="I143" s="8"/>
    </row>
    <row r="144" spans="2:9" x14ac:dyDescent="0.25">
      <c r="B144" s="8"/>
      <c r="C144" s="8"/>
      <c r="D144" s="8"/>
      <c r="E144" s="8"/>
      <c r="F144" s="8"/>
      <c r="G144" s="8"/>
      <c r="H144" s="13"/>
      <c r="I144" s="8"/>
    </row>
    <row r="145" spans="2:9" x14ac:dyDescent="0.25">
      <c r="B145" s="8"/>
      <c r="C145" s="8"/>
      <c r="D145" s="8"/>
      <c r="E145" s="8"/>
      <c r="F145" s="8"/>
      <c r="G145" s="8"/>
      <c r="H145" s="13"/>
      <c r="I145" s="8"/>
    </row>
    <row r="146" spans="2:9" x14ac:dyDescent="0.25">
      <c r="B146" s="8"/>
      <c r="C146" s="8"/>
      <c r="D146" s="8"/>
      <c r="E146" s="8"/>
      <c r="F146" s="8"/>
      <c r="G146" s="8"/>
      <c r="H146" s="13"/>
      <c r="I146" s="8"/>
    </row>
    <row r="147" spans="2:9" x14ac:dyDescent="0.25">
      <c r="B147" s="8"/>
      <c r="C147" s="8"/>
      <c r="D147" s="8"/>
      <c r="E147" s="8"/>
      <c r="F147" s="8"/>
      <c r="G147" s="8"/>
      <c r="H147" s="13"/>
      <c r="I147" s="8"/>
    </row>
    <row r="148" spans="2:9" x14ac:dyDescent="0.25">
      <c r="B148" s="8"/>
      <c r="C148" s="8"/>
      <c r="D148" s="8"/>
      <c r="E148" s="8"/>
      <c r="F148" s="8"/>
      <c r="G148" s="8"/>
      <c r="H148" s="13"/>
      <c r="I148" s="8"/>
    </row>
    <row r="149" spans="2:9" x14ac:dyDescent="0.25">
      <c r="B149" s="8"/>
      <c r="C149" s="8"/>
      <c r="D149" s="8"/>
      <c r="E149" s="8"/>
      <c r="F149" s="8"/>
      <c r="G149" s="8"/>
      <c r="H149" s="13"/>
      <c r="I149" s="8"/>
    </row>
    <row r="150" spans="2:9" x14ac:dyDescent="0.25">
      <c r="B150" s="8"/>
      <c r="C150" s="8"/>
      <c r="D150" s="8"/>
      <c r="E150" s="8"/>
      <c r="F150" s="8"/>
      <c r="G150" s="8"/>
      <c r="H150" s="13"/>
      <c r="I150" s="8"/>
    </row>
    <row r="151" spans="2:9" x14ac:dyDescent="0.25">
      <c r="B151" s="8"/>
      <c r="C151" s="8"/>
      <c r="D151" s="8"/>
      <c r="E151" s="8"/>
      <c r="F151" s="8"/>
      <c r="G151" s="8"/>
      <c r="H151" s="13"/>
      <c r="I151" s="8"/>
    </row>
    <row r="152" spans="2:9" x14ac:dyDescent="0.25">
      <c r="B152" s="8"/>
      <c r="C152" s="8"/>
      <c r="D152" s="8"/>
      <c r="E152" s="8"/>
      <c r="F152" s="8"/>
      <c r="G152" s="8"/>
      <c r="H152" s="13"/>
      <c r="I152" s="8"/>
    </row>
    <row r="153" spans="2:9" x14ac:dyDescent="0.25">
      <c r="B153" s="8"/>
      <c r="C153" s="8"/>
      <c r="D153" s="8"/>
      <c r="E153" s="8"/>
      <c r="F153" s="8"/>
      <c r="G153" s="8"/>
      <c r="H153" s="13"/>
      <c r="I153" s="8"/>
    </row>
    <row r="154" spans="2:9" x14ac:dyDescent="0.25">
      <c r="B154" s="8"/>
      <c r="C154" s="8"/>
      <c r="D154" s="8"/>
      <c r="E154" s="8"/>
      <c r="F154" s="8"/>
      <c r="G154" s="8"/>
      <c r="H154" s="13"/>
      <c r="I154" s="8"/>
    </row>
    <row r="155" spans="2:9" x14ac:dyDescent="0.25">
      <c r="B155" s="8"/>
      <c r="C155" s="8"/>
      <c r="D155" s="8"/>
      <c r="E155" s="8"/>
      <c r="F155" s="8"/>
      <c r="G155" s="8"/>
      <c r="H155" s="13"/>
      <c r="I155" s="8"/>
    </row>
    <row r="156" spans="2:9" x14ac:dyDescent="0.25">
      <c r="B156" s="8"/>
      <c r="C156" s="8"/>
      <c r="D156" s="8"/>
      <c r="E156" s="8"/>
      <c r="F156" s="8"/>
      <c r="G156" s="8"/>
      <c r="H156" s="13"/>
      <c r="I156" s="8"/>
    </row>
    <row r="157" spans="2:9" x14ac:dyDescent="0.25">
      <c r="B157" s="8"/>
      <c r="C157" s="8"/>
      <c r="D157" s="8"/>
      <c r="E157" s="8"/>
      <c r="F157" s="8"/>
      <c r="G157" s="8"/>
      <c r="H157" s="13"/>
      <c r="I157" s="8"/>
    </row>
    <row r="158" spans="2:9" x14ac:dyDescent="0.25">
      <c r="B158" s="8"/>
      <c r="C158" s="8"/>
      <c r="D158" s="8"/>
      <c r="E158" s="8"/>
      <c r="F158" s="8"/>
      <c r="G158" s="8"/>
      <c r="H158" s="13"/>
      <c r="I158" s="8"/>
    </row>
    <row r="159" spans="2:9" x14ac:dyDescent="0.25">
      <c r="B159" s="8"/>
      <c r="C159" s="8"/>
      <c r="D159" s="8"/>
      <c r="E159" s="8"/>
      <c r="F159" s="8"/>
      <c r="G159" s="8"/>
      <c r="H159" s="13"/>
      <c r="I159" s="8"/>
    </row>
    <row r="160" spans="2:9" x14ac:dyDescent="0.25">
      <c r="B160" s="8"/>
      <c r="C160" s="8"/>
      <c r="D160" s="8"/>
      <c r="E160" s="8"/>
      <c r="F160" s="8"/>
      <c r="G160" s="8"/>
      <c r="H160" s="13"/>
      <c r="I160" s="8"/>
    </row>
    <row r="161" spans="2:9" x14ac:dyDescent="0.25">
      <c r="B161" s="8"/>
      <c r="C161" s="8"/>
      <c r="D161" s="8"/>
      <c r="E161" s="8"/>
      <c r="F161" s="8"/>
      <c r="G161" s="8"/>
      <c r="H161" s="13"/>
      <c r="I161" s="8"/>
    </row>
    <row r="162" spans="2:9" x14ac:dyDescent="0.25">
      <c r="B162" s="8"/>
      <c r="C162" s="8"/>
      <c r="D162" s="8"/>
      <c r="E162" s="8"/>
      <c r="F162" s="8"/>
      <c r="G162" s="8"/>
      <c r="H162" s="13"/>
      <c r="I162" s="8"/>
    </row>
    <row r="163" spans="2:9" x14ac:dyDescent="0.25">
      <c r="B163" s="8"/>
      <c r="C163" s="8"/>
      <c r="D163" s="8"/>
      <c r="E163" s="8"/>
      <c r="F163" s="8"/>
      <c r="G163" s="8"/>
      <c r="H163" s="13"/>
      <c r="I163" s="8"/>
    </row>
    <row r="164" spans="2:9" x14ac:dyDescent="0.25">
      <c r="B164" s="8"/>
      <c r="C164" s="8"/>
      <c r="D164" s="8"/>
      <c r="E164" s="8"/>
      <c r="F164" s="8"/>
      <c r="G164" s="8"/>
      <c r="H164" s="13"/>
      <c r="I164" s="8"/>
    </row>
    <row r="165" spans="2:9" x14ac:dyDescent="0.25">
      <c r="B165" s="8"/>
      <c r="C165" s="8"/>
      <c r="D165" s="8"/>
      <c r="E165" s="8"/>
      <c r="F165" s="8"/>
      <c r="G165" s="8"/>
      <c r="H165" s="13"/>
      <c r="I165" s="8"/>
    </row>
    <row r="166" spans="2:9" x14ac:dyDescent="0.25">
      <c r="B166" s="8"/>
      <c r="C166" s="8"/>
      <c r="D166" s="8"/>
      <c r="E166" s="8"/>
      <c r="F166" s="8"/>
      <c r="G166" s="8"/>
      <c r="H166" s="13"/>
      <c r="I166" s="8"/>
    </row>
    <row r="167" spans="2:9" x14ac:dyDescent="0.25">
      <c r="B167" s="8"/>
      <c r="C167" s="8"/>
      <c r="D167" s="8"/>
      <c r="E167" s="8"/>
      <c r="F167" s="8"/>
      <c r="G167" s="8"/>
      <c r="H167" s="13"/>
      <c r="I167" s="8"/>
    </row>
    <row r="168" spans="2:9" x14ac:dyDescent="0.25">
      <c r="B168" s="8"/>
      <c r="C168" s="8"/>
      <c r="D168" s="8"/>
      <c r="E168" s="8"/>
      <c r="F168" s="8"/>
      <c r="G168" s="8"/>
      <c r="H168" s="13"/>
      <c r="I168" s="8"/>
    </row>
    <row r="169" spans="2:9" x14ac:dyDescent="0.25">
      <c r="B169" s="8"/>
      <c r="C169" s="8"/>
      <c r="D169" s="8"/>
      <c r="E169" s="8"/>
      <c r="F169" s="8"/>
      <c r="G169" s="8"/>
      <c r="H169" s="13"/>
      <c r="I169" s="8"/>
    </row>
    <row r="170" spans="2:9" x14ac:dyDescent="0.25">
      <c r="B170" s="8"/>
      <c r="C170" s="8"/>
      <c r="D170" s="8"/>
      <c r="E170" s="8"/>
      <c r="F170" s="8"/>
      <c r="G170" s="8"/>
      <c r="H170" s="13"/>
      <c r="I170" s="8"/>
    </row>
    <row r="171" spans="2:9" x14ac:dyDescent="0.25">
      <c r="B171" s="8"/>
      <c r="C171" s="8"/>
      <c r="D171" s="8"/>
      <c r="E171" s="8"/>
      <c r="F171" s="8"/>
      <c r="G171" s="8"/>
      <c r="H171" s="13"/>
      <c r="I171" s="8"/>
    </row>
    <row r="172" spans="2:9" x14ac:dyDescent="0.25">
      <c r="B172" s="8"/>
      <c r="C172" s="8"/>
      <c r="D172" s="8"/>
      <c r="E172" s="8"/>
      <c r="F172" s="8"/>
      <c r="G172" s="8"/>
      <c r="H172" s="13"/>
      <c r="I172" s="8"/>
    </row>
    <row r="173" spans="2:9" x14ac:dyDescent="0.25">
      <c r="B173" s="8"/>
      <c r="C173" s="8"/>
      <c r="D173" s="8"/>
      <c r="E173" s="8"/>
      <c r="F173" s="8"/>
      <c r="G173" s="8"/>
      <c r="H173" s="13"/>
      <c r="I173" s="8"/>
    </row>
    <row r="174" spans="2:9" x14ac:dyDescent="0.25">
      <c r="B174" s="8"/>
      <c r="C174" s="8"/>
      <c r="D174" s="8"/>
      <c r="E174" s="8"/>
      <c r="F174" s="8"/>
      <c r="G174" s="8"/>
      <c r="H174" s="13"/>
      <c r="I174" s="8"/>
    </row>
    <row r="175" spans="2:9" x14ac:dyDescent="0.25">
      <c r="B175" s="8"/>
      <c r="C175" s="8"/>
      <c r="D175" s="8"/>
      <c r="E175" s="8"/>
      <c r="F175" s="8"/>
      <c r="G175" s="8"/>
      <c r="H175" s="13"/>
      <c r="I175" s="8"/>
    </row>
    <row r="176" spans="2:9" x14ac:dyDescent="0.25">
      <c r="B176" s="8"/>
      <c r="C176" s="8"/>
      <c r="D176" s="8"/>
      <c r="E176" s="8"/>
      <c r="F176" s="8"/>
      <c r="G176" s="8"/>
      <c r="H176" s="13"/>
      <c r="I176" s="8"/>
    </row>
    <row r="177" spans="2:9" x14ac:dyDescent="0.25">
      <c r="B177" s="8"/>
      <c r="C177" s="8"/>
      <c r="D177" s="8"/>
      <c r="E177" s="8"/>
      <c r="F177" s="8"/>
      <c r="G177" s="8"/>
      <c r="H177" s="13"/>
      <c r="I177" s="8"/>
    </row>
    <row r="178" spans="2:9" x14ac:dyDescent="0.25">
      <c r="B178" s="8"/>
      <c r="C178" s="8"/>
      <c r="D178" s="8"/>
      <c r="E178" s="8"/>
      <c r="F178" s="8"/>
      <c r="G178" s="8"/>
      <c r="H178" s="13"/>
      <c r="I178" s="8"/>
    </row>
    <row r="179" spans="2:9" x14ac:dyDescent="0.25">
      <c r="B179" s="8"/>
      <c r="C179" s="8"/>
      <c r="D179" s="8"/>
      <c r="E179" s="8"/>
      <c r="F179" s="8"/>
      <c r="G179" s="8"/>
      <c r="H179" s="13"/>
      <c r="I179" s="8"/>
    </row>
    <row r="180" spans="2:9" x14ac:dyDescent="0.25">
      <c r="B180" s="8"/>
      <c r="C180" s="8"/>
      <c r="D180" s="8"/>
      <c r="E180" s="8"/>
      <c r="F180" s="8"/>
      <c r="G180" s="8"/>
      <c r="H180" s="13"/>
      <c r="I180" s="8"/>
    </row>
    <row r="181" spans="2:9" x14ac:dyDescent="0.25">
      <c r="B181" s="8"/>
      <c r="C181" s="8"/>
      <c r="D181" s="8"/>
      <c r="E181" s="8"/>
      <c r="F181" s="8"/>
      <c r="G181" s="8"/>
      <c r="H181" s="13"/>
      <c r="I181" s="8"/>
    </row>
    <row r="182" spans="2:9" x14ac:dyDescent="0.25">
      <c r="B182" s="8"/>
      <c r="C182" s="8"/>
      <c r="D182" s="8"/>
      <c r="E182" s="8"/>
      <c r="F182" s="8"/>
      <c r="G182" s="8"/>
      <c r="H182" s="13"/>
      <c r="I182" s="8"/>
    </row>
    <row r="183" spans="2:9" x14ac:dyDescent="0.25">
      <c r="B183" s="8"/>
      <c r="C183" s="8"/>
      <c r="D183" s="8"/>
      <c r="E183" s="8"/>
      <c r="F183" s="8"/>
      <c r="G183" s="8"/>
      <c r="H183" s="13"/>
      <c r="I183" s="8"/>
    </row>
    <row r="184" spans="2:9" x14ac:dyDescent="0.25">
      <c r="B184" s="8"/>
      <c r="C184" s="8"/>
      <c r="D184" s="8"/>
      <c r="E184" s="8"/>
      <c r="F184" s="8"/>
      <c r="G184" s="8"/>
      <c r="H184" s="13"/>
      <c r="I184" s="8"/>
    </row>
    <row r="185" spans="2:9" x14ac:dyDescent="0.25">
      <c r="B185" s="8"/>
      <c r="C185" s="8"/>
      <c r="D185" s="8"/>
      <c r="E185" s="8"/>
      <c r="F185" s="8"/>
      <c r="G185" s="8"/>
      <c r="H185" s="13"/>
      <c r="I185" s="8"/>
    </row>
    <row r="186" spans="2:9" x14ac:dyDescent="0.25">
      <c r="B186" s="8"/>
      <c r="C186" s="8"/>
      <c r="D186" s="8"/>
      <c r="E186" s="8"/>
      <c r="F186" s="8"/>
      <c r="G186" s="8"/>
      <c r="H186" s="13"/>
      <c r="I186" s="8"/>
    </row>
    <row r="187" spans="2:9" x14ac:dyDescent="0.25">
      <c r="B187" s="8"/>
      <c r="C187" s="8"/>
      <c r="D187" s="8"/>
      <c r="E187" s="8"/>
      <c r="F187" s="8"/>
      <c r="G187" s="8"/>
      <c r="H187" s="13"/>
      <c r="I187" s="8"/>
    </row>
    <row r="188" spans="2:9" x14ac:dyDescent="0.25">
      <c r="B188" s="8"/>
      <c r="C188" s="8"/>
      <c r="D188" s="8"/>
      <c r="E188" s="8"/>
      <c r="F188" s="8"/>
      <c r="G188" s="8"/>
      <c r="H188" s="13"/>
      <c r="I188" s="8"/>
    </row>
    <row r="189" spans="2:9" x14ac:dyDescent="0.25">
      <c r="B189" s="8"/>
      <c r="C189" s="8"/>
      <c r="D189" s="8"/>
      <c r="E189" s="8"/>
      <c r="F189" s="8"/>
      <c r="G189" s="8"/>
      <c r="H189" s="13"/>
      <c r="I189" s="8"/>
    </row>
    <row r="190" spans="2:9" x14ac:dyDescent="0.25">
      <c r="B190" s="8"/>
      <c r="C190" s="8"/>
      <c r="D190" s="8"/>
      <c r="E190" s="8"/>
      <c r="F190" s="8"/>
      <c r="G190" s="8"/>
      <c r="H190" s="13"/>
      <c r="I190" s="8"/>
    </row>
    <row r="191" spans="2:9" x14ac:dyDescent="0.25">
      <c r="B191" s="8"/>
      <c r="C191" s="8"/>
      <c r="D191" s="8"/>
      <c r="E191" s="8"/>
      <c r="F191" s="8"/>
      <c r="G191" s="8"/>
      <c r="H191" s="13"/>
      <c r="I191" s="8"/>
    </row>
    <row r="192" spans="2:9" x14ac:dyDescent="0.25">
      <c r="B192" s="8"/>
      <c r="C192" s="8"/>
      <c r="D192" s="8"/>
      <c r="E192" s="8"/>
      <c r="F192" s="8"/>
      <c r="G192" s="8"/>
      <c r="H192" s="13"/>
      <c r="I192" s="8"/>
    </row>
    <row r="193" spans="2:9" x14ac:dyDescent="0.25">
      <c r="B193" s="8"/>
      <c r="C193" s="8"/>
      <c r="D193" s="8"/>
      <c r="E193" s="8"/>
      <c r="F193" s="8"/>
      <c r="G193" s="8"/>
      <c r="H193" s="13"/>
      <c r="I193" s="8"/>
    </row>
    <row r="194" spans="2:9" x14ac:dyDescent="0.25">
      <c r="B194" s="8"/>
      <c r="C194" s="8"/>
      <c r="D194" s="8"/>
      <c r="E194" s="8"/>
      <c r="F194" s="8"/>
      <c r="G194" s="8"/>
      <c r="H194" s="13"/>
      <c r="I194" s="8"/>
    </row>
    <row r="195" spans="2:9" x14ac:dyDescent="0.25">
      <c r="B195" s="8"/>
      <c r="C195" s="8"/>
      <c r="D195" s="8"/>
      <c r="E195" s="8"/>
      <c r="F195" s="8"/>
      <c r="G195" s="8"/>
      <c r="H195" s="13"/>
      <c r="I195" s="8"/>
    </row>
    <row r="196" spans="2:9" x14ac:dyDescent="0.25">
      <c r="B196" s="8"/>
      <c r="C196" s="8"/>
      <c r="D196" s="8"/>
      <c r="E196" s="8"/>
      <c r="F196" s="8"/>
      <c r="G196" s="8"/>
      <c r="H196" s="13"/>
      <c r="I196" s="8"/>
    </row>
    <row r="197" spans="2:9" x14ac:dyDescent="0.25">
      <c r="B197" s="8"/>
      <c r="C197" s="8"/>
      <c r="D197" s="8"/>
      <c r="E197" s="8"/>
      <c r="F197" s="8"/>
      <c r="G197" s="8"/>
      <c r="H197" s="13"/>
      <c r="I197" s="8"/>
    </row>
    <row r="198" spans="2:9" x14ac:dyDescent="0.25">
      <c r="B198" s="8"/>
      <c r="C198" s="8"/>
      <c r="D198" s="8"/>
      <c r="E198" s="8"/>
      <c r="F198" s="8"/>
      <c r="G198" s="8"/>
      <c r="H198" s="13"/>
      <c r="I198" s="8"/>
    </row>
    <row r="199" spans="2:9" x14ac:dyDescent="0.25">
      <c r="B199" s="8"/>
      <c r="C199" s="8"/>
      <c r="D199" s="8"/>
      <c r="E199" s="8"/>
      <c r="F199" s="8"/>
      <c r="G199" s="8"/>
      <c r="H199" s="13"/>
      <c r="I199" s="8"/>
    </row>
    <row r="200" spans="2:9" x14ac:dyDescent="0.25">
      <c r="B200" s="8"/>
      <c r="C200" s="8"/>
      <c r="D200" s="8"/>
      <c r="E200" s="8"/>
      <c r="F200" s="8"/>
      <c r="G200" s="8"/>
      <c r="H200" s="13"/>
      <c r="I200" s="8"/>
    </row>
    <row r="201" spans="2:9" x14ac:dyDescent="0.25">
      <c r="B201" s="8"/>
      <c r="C201" s="8"/>
      <c r="D201" s="8"/>
      <c r="E201" s="8"/>
      <c r="F201" s="8"/>
      <c r="G201" s="8"/>
      <c r="H201" s="13"/>
      <c r="I201" s="8"/>
    </row>
    <row r="202" spans="2:9" x14ac:dyDescent="0.25">
      <c r="B202" s="8"/>
      <c r="C202" s="8"/>
      <c r="D202" s="8"/>
      <c r="E202" s="8"/>
      <c r="F202" s="8"/>
      <c r="G202" s="8"/>
      <c r="H202" s="13"/>
      <c r="I202" s="8"/>
    </row>
    <row r="203" spans="2:9" x14ac:dyDescent="0.25">
      <c r="B203" s="8"/>
      <c r="C203" s="8"/>
      <c r="D203" s="8"/>
      <c r="E203" s="8"/>
      <c r="F203" s="8"/>
      <c r="G203" s="8"/>
      <c r="H203" s="13"/>
      <c r="I203" s="8"/>
    </row>
    <row r="204" spans="2:9" x14ac:dyDescent="0.25">
      <c r="B204" s="8"/>
      <c r="C204" s="8"/>
      <c r="D204" s="8"/>
      <c r="E204" s="8"/>
      <c r="F204" s="8"/>
      <c r="G204" s="8"/>
      <c r="H204" s="13"/>
      <c r="I204" s="8"/>
    </row>
  </sheetData>
  <mergeCells count="2">
    <mergeCell ref="A1:I1"/>
    <mergeCell ref="A2:I2"/>
  </mergeCells>
  <dataValidations count="2">
    <dataValidation type="list" allowBlank="1" sqref="D5:D204">
      <formula1>=CariTipleri</formula1>
    </dataValidation>
    <dataValidation type="list" allowBlank="1" sqref="I5:I204">
      <formula1>=Durumlar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B5CF6"/>
  </sheetPr>
  <dimension ref="A1:I204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3" customWidth="1"/>
    <col min="2" max="2" width="14" customWidth="1"/>
    <col min="3" max="3" width="34" customWidth="1"/>
    <col min="4" max="4" width="10" customWidth="1"/>
    <col min="5" max="6" width="16" customWidth="1"/>
    <col min="7" max="7" width="10" customWidth="1"/>
    <col min="8" max="8" width="14" customWidth="1"/>
    <col min="9" max="9" width="12" customWidth="1"/>
  </cols>
  <sheetData>
    <row r="1" ht="34" customHeight="1" spans="1:9" x14ac:dyDescent="0.25">
      <c r="A1" s="1" t="s">
        <v>74</v>
      </c>
      <c r="B1" s="1"/>
      <c r="C1" s="1"/>
      <c r="D1" s="1"/>
      <c r="E1" s="1"/>
      <c r="F1" s="1"/>
      <c r="G1" s="1"/>
      <c r="H1" s="1"/>
      <c r="I1" s="1"/>
    </row>
    <row r="2" ht="20" customHeight="1" spans="1:9" x14ac:dyDescent="0.25">
      <c r="A2" s="2" t="s">
        <v>75</v>
      </c>
      <c r="B2" s="2"/>
      <c r="C2" s="2"/>
      <c r="D2" s="2"/>
      <c r="E2" s="2"/>
      <c r="F2" s="2"/>
      <c r="G2" s="2"/>
      <c r="H2" s="2"/>
      <c r="I2" s="2"/>
    </row>
    <row r="4" ht="30" customHeight="1" spans="1:9" x14ac:dyDescent="0.25">
      <c r="A4" s="9" t="s">
        <v>30</v>
      </c>
      <c r="B4" s="9" t="s">
        <v>76</v>
      </c>
      <c r="C4" s="9" t="s">
        <v>77</v>
      </c>
      <c r="D4" s="9" t="s">
        <v>78</v>
      </c>
      <c r="E4" s="9" t="s">
        <v>79</v>
      </c>
      <c r="F4" s="9" t="s">
        <v>80</v>
      </c>
      <c r="G4" s="9" t="s">
        <v>81</v>
      </c>
      <c r="H4" s="9" t="s">
        <v>82</v>
      </c>
      <c r="I4" s="9" t="s">
        <v>83</v>
      </c>
    </row>
    <row r="5" spans="2:9" x14ac:dyDescent="0.25">
      <c r="B5" s="8" t="s">
        <v>84</v>
      </c>
      <c r="C5" s="8" t="s">
        <v>85</v>
      </c>
      <c r="D5" s="8" t="s">
        <v>86</v>
      </c>
      <c r="E5" s="13">
        <v>850</v>
      </c>
      <c r="F5" s="13">
        <v>1200</v>
      </c>
      <c r="G5" s="11">
        <v>0.2</v>
      </c>
      <c r="H5" s="14">
        <v>100</v>
      </c>
      <c r="I5" s="14">
        <v>20</v>
      </c>
    </row>
    <row r="6" spans="2:9" x14ac:dyDescent="0.25">
      <c r="B6" s="8" t="s">
        <v>87</v>
      </c>
      <c r="C6" s="8" t="s">
        <v>88</v>
      </c>
      <c r="D6" s="8" t="s">
        <v>86</v>
      </c>
      <c r="E6" s="13">
        <v>420</v>
      </c>
      <c r="F6" s="13">
        <v>650</v>
      </c>
      <c r="G6" s="11">
        <v>0.2</v>
      </c>
      <c r="H6" s="14">
        <v>250</v>
      </c>
      <c r="I6" s="14">
        <v>50</v>
      </c>
    </row>
    <row r="7" spans="2:9" x14ac:dyDescent="0.25">
      <c r="B7" s="8" t="s">
        <v>89</v>
      </c>
      <c r="C7" s="8" t="s">
        <v>90</v>
      </c>
      <c r="D7" s="8" t="s">
        <v>91</v>
      </c>
      <c r="E7" s="13">
        <v>0</v>
      </c>
      <c r="F7" s="13">
        <v>8000</v>
      </c>
      <c r="G7" s="11">
        <v>0.2</v>
      </c>
      <c r="H7" s="14">
        <v>0</v>
      </c>
      <c r="I7" s="14">
        <v>0</v>
      </c>
    </row>
    <row r="8" spans="2:9" x14ac:dyDescent="0.25">
      <c r="B8" s="8"/>
      <c r="C8" s="8"/>
      <c r="D8" s="8"/>
      <c r="E8" s="13"/>
      <c r="F8" s="13"/>
      <c r="G8" s="11"/>
      <c r="H8" s="14"/>
      <c r="I8" s="14"/>
    </row>
    <row r="9" spans="2:9" x14ac:dyDescent="0.25">
      <c r="B9" s="8"/>
      <c r="C9" s="8"/>
      <c r="D9" s="8"/>
      <c r="E9" s="13"/>
      <c r="F9" s="13"/>
      <c r="G9" s="11"/>
      <c r="H9" s="14"/>
      <c r="I9" s="14"/>
    </row>
    <row r="10" spans="2:9" x14ac:dyDescent="0.25">
      <c r="B10" s="8"/>
      <c r="C10" s="8"/>
      <c r="D10" s="8"/>
      <c r="E10" s="13"/>
      <c r="F10" s="13"/>
      <c r="G10" s="11"/>
      <c r="H10" s="14"/>
      <c r="I10" s="14"/>
    </row>
    <row r="11" spans="2:9" x14ac:dyDescent="0.25">
      <c r="B11" s="8"/>
      <c r="C11" s="8"/>
      <c r="D11" s="8"/>
      <c r="E11" s="13"/>
      <c r="F11" s="13"/>
      <c r="G11" s="11"/>
      <c r="H11" s="14"/>
      <c r="I11" s="14"/>
    </row>
    <row r="12" spans="2:9" x14ac:dyDescent="0.25">
      <c r="B12" s="8"/>
      <c r="C12" s="8"/>
      <c r="D12" s="8"/>
      <c r="E12" s="13"/>
      <c r="F12" s="13"/>
      <c r="G12" s="11"/>
      <c r="H12" s="14"/>
      <c r="I12" s="14"/>
    </row>
    <row r="13" spans="2:9" x14ac:dyDescent="0.25">
      <c r="B13" s="8"/>
      <c r="C13" s="8"/>
      <c r="D13" s="8"/>
      <c r="E13" s="13"/>
      <c r="F13" s="13"/>
      <c r="G13" s="11"/>
      <c r="H13" s="14"/>
      <c r="I13" s="14"/>
    </row>
    <row r="14" spans="2:9" x14ac:dyDescent="0.25">
      <c r="B14" s="8"/>
      <c r="C14" s="8"/>
      <c r="D14" s="8"/>
      <c r="E14" s="13"/>
      <c r="F14" s="13"/>
      <c r="G14" s="11"/>
      <c r="H14" s="14"/>
      <c r="I14" s="14"/>
    </row>
    <row r="15" spans="2:9" x14ac:dyDescent="0.25">
      <c r="B15" s="8"/>
      <c r="C15" s="8"/>
      <c r="D15" s="8"/>
      <c r="E15" s="13"/>
      <c r="F15" s="13"/>
      <c r="G15" s="11"/>
      <c r="H15" s="14"/>
      <c r="I15" s="14"/>
    </row>
    <row r="16" spans="2:9" x14ac:dyDescent="0.25">
      <c r="B16" s="8"/>
      <c r="C16" s="8"/>
      <c r="D16" s="8"/>
      <c r="E16" s="13"/>
      <c r="F16" s="13"/>
      <c r="G16" s="11"/>
      <c r="H16" s="14"/>
      <c r="I16" s="14"/>
    </row>
    <row r="17" spans="2:9" x14ac:dyDescent="0.25">
      <c r="B17" s="8"/>
      <c r="C17" s="8"/>
      <c r="D17" s="8"/>
      <c r="E17" s="13"/>
      <c r="F17" s="13"/>
      <c r="G17" s="11"/>
      <c r="H17" s="14"/>
      <c r="I17" s="14"/>
    </row>
    <row r="18" spans="2:9" x14ac:dyDescent="0.25">
      <c r="B18" s="8"/>
      <c r="C18" s="8"/>
      <c r="D18" s="8"/>
      <c r="E18" s="13"/>
      <c r="F18" s="13"/>
      <c r="G18" s="11"/>
      <c r="H18" s="14"/>
      <c r="I18" s="14"/>
    </row>
    <row r="19" spans="2:9" x14ac:dyDescent="0.25">
      <c r="B19" s="8"/>
      <c r="C19" s="8"/>
      <c r="D19" s="8"/>
      <c r="E19" s="13"/>
      <c r="F19" s="13"/>
      <c r="G19" s="11"/>
      <c r="H19" s="14"/>
      <c r="I19" s="14"/>
    </row>
    <row r="20" spans="2:9" x14ac:dyDescent="0.25">
      <c r="B20" s="8"/>
      <c r="C20" s="8"/>
      <c r="D20" s="8"/>
      <c r="E20" s="13"/>
      <c r="F20" s="13"/>
      <c r="G20" s="11"/>
      <c r="H20" s="14"/>
      <c r="I20" s="14"/>
    </row>
    <row r="21" spans="2:9" x14ac:dyDescent="0.25">
      <c r="B21" s="8"/>
      <c r="C21" s="8"/>
      <c r="D21" s="8"/>
      <c r="E21" s="13"/>
      <c r="F21" s="13"/>
      <c r="G21" s="11"/>
      <c r="H21" s="14"/>
      <c r="I21" s="14"/>
    </row>
    <row r="22" spans="2:9" x14ac:dyDescent="0.25">
      <c r="B22" s="8"/>
      <c r="C22" s="8"/>
      <c r="D22" s="8"/>
      <c r="E22" s="13"/>
      <c r="F22" s="13"/>
      <c r="G22" s="11"/>
      <c r="H22" s="14"/>
      <c r="I22" s="14"/>
    </row>
    <row r="23" spans="2:9" x14ac:dyDescent="0.25">
      <c r="B23" s="8"/>
      <c r="C23" s="8"/>
      <c r="D23" s="8"/>
      <c r="E23" s="13"/>
      <c r="F23" s="13"/>
      <c r="G23" s="11"/>
      <c r="H23" s="14"/>
      <c r="I23" s="14"/>
    </row>
    <row r="24" spans="2:9" x14ac:dyDescent="0.25">
      <c r="B24" s="8"/>
      <c r="C24" s="8"/>
      <c r="D24" s="8"/>
      <c r="E24" s="13"/>
      <c r="F24" s="13"/>
      <c r="G24" s="11"/>
      <c r="H24" s="14"/>
      <c r="I24" s="14"/>
    </row>
    <row r="25" spans="2:9" x14ac:dyDescent="0.25">
      <c r="B25" s="8"/>
      <c r="C25" s="8"/>
      <c r="D25" s="8"/>
      <c r="E25" s="13"/>
      <c r="F25" s="13"/>
      <c r="G25" s="11"/>
      <c r="H25" s="14"/>
      <c r="I25" s="14"/>
    </row>
    <row r="26" spans="2:9" x14ac:dyDescent="0.25">
      <c r="B26" s="8"/>
      <c r="C26" s="8"/>
      <c r="D26" s="8"/>
      <c r="E26" s="13"/>
      <c r="F26" s="13"/>
      <c r="G26" s="11"/>
      <c r="H26" s="14"/>
      <c r="I26" s="14"/>
    </row>
    <row r="27" spans="2:9" x14ac:dyDescent="0.25">
      <c r="B27" s="8"/>
      <c r="C27" s="8"/>
      <c r="D27" s="8"/>
      <c r="E27" s="13"/>
      <c r="F27" s="13"/>
      <c r="G27" s="11"/>
      <c r="H27" s="14"/>
      <c r="I27" s="14"/>
    </row>
    <row r="28" spans="2:9" x14ac:dyDescent="0.25">
      <c r="B28" s="8"/>
      <c r="C28" s="8"/>
      <c r="D28" s="8"/>
      <c r="E28" s="13"/>
      <c r="F28" s="13"/>
      <c r="G28" s="11"/>
      <c r="H28" s="14"/>
      <c r="I28" s="14"/>
    </row>
    <row r="29" spans="2:9" x14ac:dyDescent="0.25">
      <c r="B29" s="8"/>
      <c r="C29" s="8"/>
      <c r="D29" s="8"/>
      <c r="E29" s="13"/>
      <c r="F29" s="13"/>
      <c r="G29" s="11"/>
      <c r="H29" s="14"/>
      <c r="I29" s="14"/>
    </row>
    <row r="30" spans="2:9" x14ac:dyDescent="0.25">
      <c r="B30" s="8"/>
      <c r="C30" s="8"/>
      <c r="D30" s="8"/>
      <c r="E30" s="13"/>
      <c r="F30" s="13"/>
      <c r="G30" s="11"/>
      <c r="H30" s="14"/>
      <c r="I30" s="14"/>
    </row>
    <row r="31" spans="2:9" x14ac:dyDescent="0.25">
      <c r="B31" s="8"/>
      <c r="C31" s="8"/>
      <c r="D31" s="8"/>
      <c r="E31" s="13"/>
      <c r="F31" s="13"/>
      <c r="G31" s="11"/>
      <c r="H31" s="14"/>
      <c r="I31" s="14"/>
    </row>
    <row r="32" spans="2:9" x14ac:dyDescent="0.25">
      <c r="B32" s="8"/>
      <c r="C32" s="8"/>
      <c r="D32" s="8"/>
      <c r="E32" s="13"/>
      <c r="F32" s="13"/>
      <c r="G32" s="11"/>
      <c r="H32" s="14"/>
      <c r="I32" s="14"/>
    </row>
    <row r="33" spans="2:9" x14ac:dyDescent="0.25">
      <c r="B33" s="8"/>
      <c r="C33" s="8"/>
      <c r="D33" s="8"/>
      <c r="E33" s="13"/>
      <c r="F33" s="13"/>
      <c r="G33" s="11"/>
      <c r="H33" s="14"/>
      <c r="I33" s="14"/>
    </row>
    <row r="34" spans="2:9" x14ac:dyDescent="0.25">
      <c r="B34" s="8"/>
      <c r="C34" s="8"/>
      <c r="D34" s="8"/>
      <c r="E34" s="13"/>
      <c r="F34" s="13"/>
      <c r="G34" s="11"/>
      <c r="H34" s="14"/>
      <c r="I34" s="14"/>
    </row>
    <row r="35" spans="2:9" x14ac:dyDescent="0.25">
      <c r="B35" s="8"/>
      <c r="C35" s="8"/>
      <c r="D35" s="8"/>
      <c r="E35" s="13"/>
      <c r="F35" s="13"/>
      <c r="G35" s="11"/>
      <c r="H35" s="14"/>
      <c r="I35" s="14"/>
    </row>
    <row r="36" spans="2:9" x14ac:dyDescent="0.25">
      <c r="B36" s="8"/>
      <c r="C36" s="8"/>
      <c r="D36" s="8"/>
      <c r="E36" s="13"/>
      <c r="F36" s="13"/>
      <c r="G36" s="11"/>
      <c r="H36" s="14"/>
      <c r="I36" s="14"/>
    </row>
    <row r="37" spans="2:9" x14ac:dyDescent="0.25">
      <c r="B37" s="8"/>
      <c r="C37" s="8"/>
      <c r="D37" s="8"/>
      <c r="E37" s="13"/>
      <c r="F37" s="13"/>
      <c r="G37" s="11"/>
      <c r="H37" s="14"/>
      <c r="I37" s="14"/>
    </row>
    <row r="38" spans="2:9" x14ac:dyDescent="0.25">
      <c r="B38" s="8"/>
      <c r="C38" s="8"/>
      <c r="D38" s="8"/>
      <c r="E38" s="13"/>
      <c r="F38" s="13"/>
      <c r="G38" s="11"/>
      <c r="H38" s="14"/>
      <c r="I38" s="14"/>
    </row>
    <row r="39" spans="2:9" x14ac:dyDescent="0.25">
      <c r="B39" s="8"/>
      <c r="C39" s="8"/>
      <c r="D39" s="8"/>
      <c r="E39" s="13"/>
      <c r="F39" s="13"/>
      <c r="G39" s="11"/>
      <c r="H39" s="14"/>
      <c r="I39" s="14"/>
    </row>
    <row r="40" spans="2:9" x14ac:dyDescent="0.25">
      <c r="B40" s="8"/>
      <c r="C40" s="8"/>
      <c r="D40" s="8"/>
      <c r="E40" s="13"/>
      <c r="F40" s="13"/>
      <c r="G40" s="11"/>
      <c r="H40" s="14"/>
      <c r="I40" s="14"/>
    </row>
    <row r="41" spans="2:9" x14ac:dyDescent="0.25">
      <c r="B41" s="8"/>
      <c r="C41" s="8"/>
      <c r="D41" s="8"/>
      <c r="E41" s="13"/>
      <c r="F41" s="13"/>
      <c r="G41" s="11"/>
      <c r="H41" s="14"/>
      <c r="I41" s="14"/>
    </row>
    <row r="42" spans="2:9" x14ac:dyDescent="0.25">
      <c r="B42" s="8"/>
      <c r="C42" s="8"/>
      <c r="D42" s="8"/>
      <c r="E42" s="13"/>
      <c r="F42" s="13"/>
      <c r="G42" s="11"/>
      <c r="H42" s="14"/>
      <c r="I42" s="14"/>
    </row>
    <row r="43" spans="2:9" x14ac:dyDescent="0.25">
      <c r="B43" s="8"/>
      <c r="C43" s="8"/>
      <c r="D43" s="8"/>
      <c r="E43" s="13"/>
      <c r="F43" s="13"/>
      <c r="G43" s="11"/>
      <c r="H43" s="14"/>
      <c r="I43" s="14"/>
    </row>
    <row r="44" spans="2:9" x14ac:dyDescent="0.25">
      <c r="B44" s="8"/>
      <c r="C44" s="8"/>
      <c r="D44" s="8"/>
      <c r="E44" s="13"/>
      <c r="F44" s="13"/>
      <c r="G44" s="11"/>
      <c r="H44" s="14"/>
      <c r="I44" s="14"/>
    </row>
    <row r="45" spans="2:9" x14ac:dyDescent="0.25">
      <c r="B45" s="8"/>
      <c r="C45" s="8"/>
      <c r="D45" s="8"/>
      <c r="E45" s="13"/>
      <c r="F45" s="13"/>
      <c r="G45" s="11"/>
      <c r="H45" s="14"/>
      <c r="I45" s="14"/>
    </row>
    <row r="46" spans="2:9" x14ac:dyDescent="0.25">
      <c r="B46" s="8"/>
      <c r="C46" s="8"/>
      <c r="D46" s="8"/>
      <c r="E46" s="13"/>
      <c r="F46" s="13"/>
      <c r="G46" s="11"/>
      <c r="H46" s="14"/>
      <c r="I46" s="14"/>
    </row>
    <row r="47" spans="2:9" x14ac:dyDescent="0.25">
      <c r="B47" s="8"/>
      <c r="C47" s="8"/>
      <c r="D47" s="8"/>
      <c r="E47" s="13"/>
      <c r="F47" s="13"/>
      <c r="G47" s="11"/>
      <c r="H47" s="14"/>
      <c r="I47" s="14"/>
    </row>
    <row r="48" spans="2:9" x14ac:dyDescent="0.25">
      <c r="B48" s="8"/>
      <c r="C48" s="8"/>
      <c r="D48" s="8"/>
      <c r="E48" s="13"/>
      <c r="F48" s="13"/>
      <c r="G48" s="11"/>
      <c r="H48" s="14"/>
      <c r="I48" s="14"/>
    </row>
    <row r="49" spans="2:9" x14ac:dyDescent="0.25">
      <c r="B49" s="8"/>
      <c r="C49" s="8"/>
      <c r="D49" s="8"/>
      <c r="E49" s="13"/>
      <c r="F49" s="13"/>
      <c r="G49" s="11"/>
      <c r="H49" s="14"/>
      <c r="I49" s="14"/>
    </row>
    <row r="50" spans="2:9" x14ac:dyDescent="0.25">
      <c r="B50" s="8"/>
      <c r="C50" s="8"/>
      <c r="D50" s="8"/>
      <c r="E50" s="13"/>
      <c r="F50" s="13"/>
      <c r="G50" s="11"/>
      <c r="H50" s="14"/>
      <c r="I50" s="14"/>
    </row>
    <row r="51" spans="2:9" x14ac:dyDescent="0.25">
      <c r="B51" s="8"/>
      <c r="C51" s="8"/>
      <c r="D51" s="8"/>
      <c r="E51" s="13"/>
      <c r="F51" s="13"/>
      <c r="G51" s="11"/>
      <c r="H51" s="14"/>
      <c r="I51" s="14"/>
    </row>
    <row r="52" spans="2:9" x14ac:dyDescent="0.25">
      <c r="B52" s="8"/>
      <c r="C52" s="8"/>
      <c r="D52" s="8"/>
      <c r="E52" s="13"/>
      <c r="F52" s="13"/>
      <c r="G52" s="11"/>
      <c r="H52" s="14"/>
      <c r="I52" s="14"/>
    </row>
    <row r="53" spans="2:9" x14ac:dyDescent="0.25">
      <c r="B53" s="8"/>
      <c r="C53" s="8"/>
      <c r="D53" s="8"/>
      <c r="E53" s="13"/>
      <c r="F53" s="13"/>
      <c r="G53" s="11"/>
      <c r="H53" s="14"/>
      <c r="I53" s="14"/>
    </row>
    <row r="54" spans="2:9" x14ac:dyDescent="0.25">
      <c r="B54" s="8"/>
      <c r="C54" s="8"/>
      <c r="D54" s="8"/>
      <c r="E54" s="13"/>
      <c r="F54" s="13"/>
      <c r="G54" s="11"/>
      <c r="H54" s="14"/>
      <c r="I54" s="14"/>
    </row>
    <row r="55" spans="2:9" x14ac:dyDescent="0.25">
      <c r="B55" s="8"/>
      <c r="C55" s="8"/>
      <c r="D55" s="8"/>
      <c r="E55" s="13"/>
      <c r="F55" s="13"/>
      <c r="G55" s="11"/>
      <c r="H55" s="14"/>
      <c r="I55" s="14"/>
    </row>
    <row r="56" spans="2:9" x14ac:dyDescent="0.25">
      <c r="B56" s="8"/>
      <c r="C56" s="8"/>
      <c r="D56" s="8"/>
      <c r="E56" s="13"/>
      <c r="F56" s="13"/>
      <c r="G56" s="11"/>
      <c r="H56" s="14"/>
      <c r="I56" s="14"/>
    </row>
    <row r="57" spans="2:9" x14ac:dyDescent="0.25">
      <c r="B57" s="8"/>
      <c r="C57" s="8"/>
      <c r="D57" s="8"/>
      <c r="E57" s="13"/>
      <c r="F57" s="13"/>
      <c r="G57" s="11"/>
      <c r="H57" s="14"/>
      <c r="I57" s="14"/>
    </row>
    <row r="58" spans="2:9" x14ac:dyDescent="0.25">
      <c r="B58" s="8"/>
      <c r="C58" s="8"/>
      <c r="D58" s="8"/>
      <c r="E58" s="13"/>
      <c r="F58" s="13"/>
      <c r="G58" s="11"/>
      <c r="H58" s="14"/>
      <c r="I58" s="14"/>
    </row>
    <row r="59" spans="2:9" x14ac:dyDescent="0.25">
      <c r="B59" s="8"/>
      <c r="C59" s="8"/>
      <c r="D59" s="8"/>
      <c r="E59" s="13"/>
      <c r="F59" s="13"/>
      <c r="G59" s="11"/>
      <c r="H59" s="14"/>
      <c r="I59" s="14"/>
    </row>
    <row r="60" spans="2:9" x14ac:dyDescent="0.25">
      <c r="B60" s="8"/>
      <c r="C60" s="8"/>
      <c r="D60" s="8"/>
      <c r="E60" s="13"/>
      <c r="F60" s="13"/>
      <c r="G60" s="11"/>
      <c r="H60" s="14"/>
      <c r="I60" s="14"/>
    </row>
    <row r="61" spans="2:9" x14ac:dyDescent="0.25">
      <c r="B61" s="8"/>
      <c r="C61" s="8"/>
      <c r="D61" s="8"/>
      <c r="E61" s="13"/>
      <c r="F61" s="13"/>
      <c r="G61" s="11"/>
      <c r="H61" s="14"/>
      <c r="I61" s="14"/>
    </row>
    <row r="62" spans="2:9" x14ac:dyDescent="0.25">
      <c r="B62" s="8"/>
      <c r="C62" s="8"/>
      <c r="D62" s="8"/>
      <c r="E62" s="13"/>
      <c r="F62" s="13"/>
      <c r="G62" s="11"/>
      <c r="H62" s="14"/>
      <c r="I62" s="14"/>
    </row>
    <row r="63" spans="2:9" x14ac:dyDescent="0.25">
      <c r="B63" s="8"/>
      <c r="C63" s="8"/>
      <c r="D63" s="8"/>
      <c r="E63" s="13"/>
      <c r="F63" s="13"/>
      <c r="G63" s="11"/>
      <c r="H63" s="14"/>
      <c r="I63" s="14"/>
    </row>
    <row r="64" spans="2:9" x14ac:dyDescent="0.25">
      <c r="B64" s="8"/>
      <c r="C64" s="8"/>
      <c r="D64" s="8"/>
      <c r="E64" s="13"/>
      <c r="F64" s="13"/>
      <c r="G64" s="11"/>
      <c r="H64" s="14"/>
      <c r="I64" s="14"/>
    </row>
    <row r="65" spans="2:9" x14ac:dyDescent="0.25">
      <c r="B65" s="8"/>
      <c r="C65" s="8"/>
      <c r="D65" s="8"/>
      <c r="E65" s="13"/>
      <c r="F65" s="13"/>
      <c r="G65" s="11"/>
      <c r="H65" s="14"/>
      <c r="I65" s="14"/>
    </row>
    <row r="66" spans="2:9" x14ac:dyDescent="0.25">
      <c r="B66" s="8"/>
      <c r="C66" s="8"/>
      <c r="D66" s="8"/>
      <c r="E66" s="13"/>
      <c r="F66" s="13"/>
      <c r="G66" s="11"/>
      <c r="H66" s="14"/>
      <c r="I66" s="14"/>
    </row>
    <row r="67" spans="2:9" x14ac:dyDescent="0.25">
      <c r="B67" s="8"/>
      <c r="C67" s="8"/>
      <c r="D67" s="8"/>
      <c r="E67" s="13"/>
      <c r="F67" s="13"/>
      <c r="G67" s="11"/>
      <c r="H67" s="14"/>
      <c r="I67" s="14"/>
    </row>
    <row r="68" spans="2:9" x14ac:dyDescent="0.25">
      <c r="B68" s="8"/>
      <c r="C68" s="8"/>
      <c r="D68" s="8"/>
      <c r="E68" s="13"/>
      <c r="F68" s="13"/>
      <c r="G68" s="11"/>
      <c r="H68" s="14"/>
      <c r="I68" s="14"/>
    </row>
    <row r="69" spans="2:9" x14ac:dyDescent="0.25">
      <c r="B69" s="8"/>
      <c r="C69" s="8"/>
      <c r="D69" s="8"/>
      <c r="E69" s="13"/>
      <c r="F69" s="13"/>
      <c r="G69" s="11"/>
      <c r="H69" s="14"/>
      <c r="I69" s="14"/>
    </row>
    <row r="70" spans="2:9" x14ac:dyDescent="0.25">
      <c r="B70" s="8"/>
      <c r="C70" s="8"/>
      <c r="D70" s="8"/>
      <c r="E70" s="13"/>
      <c r="F70" s="13"/>
      <c r="G70" s="11"/>
      <c r="H70" s="14"/>
      <c r="I70" s="14"/>
    </row>
    <row r="71" spans="2:9" x14ac:dyDescent="0.25">
      <c r="B71" s="8"/>
      <c r="C71" s="8"/>
      <c r="D71" s="8"/>
      <c r="E71" s="13"/>
      <c r="F71" s="13"/>
      <c r="G71" s="11"/>
      <c r="H71" s="14"/>
      <c r="I71" s="14"/>
    </row>
    <row r="72" spans="2:9" x14ac:dyDescent="0.25">
      <c r="B72" s="8"/>
      <c r="C72" s="8"/>
      <c r="D72" s="8"/>
      <c r="E72" s="13"/>
      <c r="F72" s="13"/>
      <c r="G72" s="11"/>
      <c r="H72" s="14"/>
      <c r="I72" s="14"/>
    </row>
    <row r="73" spans="2:9" x14ac:dyDescent="0.25">
      <c r="B73" s="8"/>
      <c r="C73" s="8"/>
      <c r="D73" s="8"/>
      <c r="E73" s="13"/>
      <c r="F73" s="13"/>
      <c r="G73" s="11"/>
      <c r="H73" s="14"/>
      <c r="I73" s="14"/>
    </row>
    <row r="74" spans="2:9" x14ac:dyDescent="0.25">
      <c r="B74" s="8"/>
      <c r="C74" s="8"/>
      <c r="D74" s="8"/>
      <c r="E74" s="13"/>
      <c r="F74" s="13"/>
      <c r="G74" s="11"/>
      <c r="H74" s="14"/>
      <c r="I74" s="14"/>
    </row>
    <row r="75" spans="2:9" x14ac:dyDescent="0.25">
      <c r="B75" s="8"/>
      <c r="C75" s="8"/>
      <c r="D75" s="8"/>
      <c r="E75" s="13"/>
      <c r="F75" s="13"/>
      <c r="G75" s="11"/>
      <c r="H75" s="14"/>
      <c r="I75" s="14"/>
    </row>
    <row r="76" spans="2:9" x14ac:dyDescent="0.25">
      <c r="B76" s="8"/>
      <c r="C76" s="8"/>
      <c r="D76" s="8"/>
      <c r="E76" s="13"/>
      <c r="F76" s="13"/>
      <c r="G76" s="11"/>
      <c r="H76" s="14"/>
      <c r="I76" s="14"/>
    </row>
    <row r="77" spans="2:9" x14ac:dyDescent="0.25">
      <c r="B77" s="8"/>
      <c r="C77" s="8"/>
      <c r="D77" s="8"/>
      <c r="E77" s="13"/>
      <c r="F77" s="13"/>
      <c r="G77" s="11"/>
      <c r="H77" s="14"/>
      <c r="I77" s="14"/>
    </row>
    <row r="78" spans="2:9" x14ac:dyDescent="0.25">
      <c r="B78" s="8"/>
      <c r="C78" s="8"/>
      <c r="D78" s="8"/>
      <c r="E78" s="13"/>
      <c r="F78" s="13"/>
      <c r="G78" s="11"/>
      <c r="H78" s="14"/>
      <c r="I78" s="14"/>
    </row>
    <row r="79" spans="2:9" x14ac:dyDescent="0.25">
      <c r="B79" s="8"/>
      <c r="C79" s="8"/>
      <c r="D79" s="8"/>
      <c r="E79" s="13"/>
      <c r="F79" s="13"/>
      <c r="G79" s="11"/>
      <c r="H79" s="14"/>
      <c r="I79" s="14"/>
    </row>
    <row r="80" spans="2:9" x14ac:dyDescent="0.25">
      <c r="B80" s="8"/>
      <c r="C80" s="8"/>
      <c r="D80" s="8"/>
      <c r="E80" s="13"/>
      <c r="F80" s="13"/>
      <c r="G80" s="11"/>
      <c r="H80" s="14"/>
      <c r="I80" s="14"/>
    </row>
    <row r="81" spans="2:9" x14ac:dyDescent="0.25">
      <c r="B81" s="8"/>
      <c r="C81" s="8"/>
      <c r="D81" s="8"/>
      <c r="E81" s="13"/>
      <c r="F81" s="13"/>
      <c r="G81" s="11"/>
      <c r="H81" s="14"/>
      <c r="I81" s="14"/>
    </row>
    <row r="82" spans="2:9" x14ac:dyDescent="0.25">
      <c r="B82" s="8"/>
      <c r="C82" s="8"/>
      <c r="D82" s="8"/>
      <c r="E82" s="13"/>
      <c r="F82" s="13"/>
      <c r="G82" s="11"/>
      <c r="H82" s="14"/>
      <c r="I82" s="14"/>
    </row>
    <row r="83" spans="2:9" x14ac:dyDescent="0.25">
      <c r="B83" s="8"/>
      <c r="C83" s="8"/>
      <c r="D83" s="8"/>
      <c r="E83" s="13"/>
      <c r="F83" s="13"/>
      <c r="G83" s="11"/>
      <c r="H83" s="14"/>
      <c r="I83" s="14"/>
    </row>
    <row r="84" spans="2:9" x14ac:dyDescent="0.25">
      <c r="B84" s="8"/>
      <c r="C84" s="8"/>
      <c r="D84" s="8"/>
      <c r="E84" s="13"/>
      <c r="F84" s="13"/>
      <c r="G84" s="11"/>
      <c r="H84" s="14"/>
      <c r="I84" s="14"/>
    </row>
    <row r="85" spans="2:9" x14ac:dyDescent="0.25">
      <c r="B85" s="8"/>
      <c r="C85" s="8"/>
      <c r="D85" s="8"/>
      <c r="E85" s="13"/>
      <c r="F85" s="13"/>
      <c r="G85" s="11"/>
      <c r="H85" s="14"/>
      <c r="I85" s="14"/>
    </row>
    <row r="86" spans="2:9" x14ac:dyDescent="0.25">
      <c r="B86" s="8"/>
      <c r="C86" s="8"/>
      <c r="D86" s="8"/>
      <c r="E86" s="13"/>
      <c r="F86" s="13"/>
      <c r="G86" s="11"/>
      <c r="H86" s="14"/>
      <c r="I86" s="14"/>
    </row>
    <row r="87" spans="2:9" x14ac:dyDescent="0.25">
      <c r="B87" s="8"/>
      <c r="C87" s="8"/>
      <c r="D87" s="8"/>
      <c r="E87" s="13"/>
      <c r="F87" s="13"/>
      <c r="G87" s="11"/>
      <c r="H87" s="14"/>
      <c r="I87" s="14"/>
    </row>
    <row r="88" spans="2:9" x14ac:dyDescent="0.25">
      <c r="B88" s="8"/>
      <c r="C88" s="8"/>
      <c r="D88" s="8"/>
      <c r="E88" s="13"/>
      <c r="F88" s="13"/>
      <c r="G88" s="11"/>
      <c r="H88" s="14"/>
      <c r="I88" s="14"/>
    </row>
    <row r="89" spans="2:9" x14ac:dyDescent="0.25">
      <c r="B89" s="8"/>
      <c r="C89" s="8"/>
      <c r="D89" s="8"/>
      <c r="E89" s="13"/>
      <c r="F89" s="13"/>
      <c r="G89" s="11"/>
      <c r="H89" s="14"/>
      <c r="I89" s="14"/>
    </row>
    <row r="90" spans="2:9" x14ac:dyDescent="0.25">
      <c r="B90" s="8"/>
      <c r="C90" s="8"/>
      <c r="D90" s="8"/>
      <c r="E90" s="13"/>
      <c r="F90" s="13"/>
      <c r="G90" s="11"/>
      <c r="H90" s="14"/>
      <c r="I90" s="14"/>
    </row>
    <row r="91" spans="2:9" x14ac:dyDescent="0.25">
      <c r="B91" s="8"/>
      <c r="C91" s="8"/>
      <c r="D91" s="8"/>
      <c r="E91" s="13"/>
      <c r="F91" s="13"/>
      <c r="G91" s="11"/>
      <c r="H91" s="14"/>
      <c r="I91" s="14"/>
    </row>
    <row r="92" spans="2:9" x14ac:dyDescent="0.25">
      <c r="B92" s="8"/>
      <c r="C92" s="8"/>
      <c r="D92" s="8"/>
      <c r="E92" s="13"/>
      <c r="F92" s="13"/>
      <c r="G92" s="11"/>
      <c r="H92" s="14"/>
      <c r="I92" s="14"/>
    </row>
    <row r="93" spans="2:9" x14ac:dyDescent="0.25">
      <c r="B93" s="8"/>
      <c r="C93" s="8"/>
      <c r="D93" s="8"/>
      <c r="E93" s="13"/>
      <c r="F93" s="13"/>
      <c r="G93" s="11"/>
      <c r="H93" s="14"/>
      <c r="I93" s="14"/>
    </row>
    <row r="94" spans="2:9" x14ac:dyDescent="0.25">
      <c r="B94" s="8"/>
      <c r="C94" s="8"/>
      <c r="D94" s="8"/>
      <c r="E94" s="13"/>
      <c r="F94" s="13"/>
      <c r="G94" s="11"/>
      <c r="H94" s="14"/>
      <c r="I94" s="14"/>
    </row>
    <row r="95" spans="2:9" x14ac:dyDescent="0.25">
      <c r="B95" s="8"/>
      <c r="C95" s="8"/>
      <c r="D95" s="8"/>
      <c r="E95" s="13"/>
      <c r="F95" s="13"/>
      <c r="G95" s="11"/>
      <c r="H95" s="14"/>
      <c r="I95" s="14"/>
    </row>
    <row r="96" spans="2:9" x14ac:dyDescent="0.25">
      <c r="B96" s="8"/>
      <c r="C96" s="8"/>
      <c r="D96" s="8"/>
      <c r="E96" s="13"/>
      <c r="F96" s="13"/>
      <c r="G96" s="11"/>
      <c r="H96" s="14"/>
      <c r="I96" s="14"/>
    </row>
    <row r="97" spans="2:9" x14ac:dyDescent="0.25">
      <c r="B97" s="8"/>
      <c r="C97" s="8"/>
      <c r="D97" s="8"/>
      <c r="E97" s="13"/>
      <c r="F97" s="13"/>
      <c r="G97" s="11"/>
      <c r="H97" s="14"/>
      <c r="I97" s="14"/>
    </row>
    <row r="98" spans="2:9" x14ac:dyDescent="0.25">
      <c r="B98" s="8"/>
      <c r="C98" s="8"/>
      <c r="D98" s="8"/>
      <c r="E98" s="13"/>
      <c r="F98" s="13"/>
      <c r="G98" s="11"/>
      <c r="H98" s="14"/>
      <c r="I98" s="14"/>
    </row>
    <row r="99" spans="2:9" x14ac:dyDescent="0.25">
      <c r="B99" s="8"/>
      <c r="C99" s="8"/>
      <c r="D99" s="8"/>
      <c r="E99" s="13"/>
      <c r="F99" s="13"/>
      <c r="G99" s="11"/>
      <c r="H99" s="14"/>
      <c r="I99" s="14"/>
    </row>
    <row r="100" spans="2:9" x14ac:dyDescent="0.25">
      <c r="B100" s="8"/>
      <c r="C100" s="8"/>
      <c r="D100" s="8"/>
      <c r="E100" s="13"/>
      <c r="F100" s="13"/>
      <c r="G100" s="11"/>
      <c r="H100" s="14"/>
      <c r="I100" s="14"/>
    </row>
    <row r="101" spans="2:9" x14ac:dyDescent="0.25">
      <c r="B101" s="8"/>
      <c r="C101" s="8"/>
      <c r="D101" s="8"/>
      <c r="E101" s="13"/>
      <c r="F101" s="13"/>
      <c r="G101" s="11"/>
      <c r="H101" s="14"/>
      <c r="I101" s="14"/>
    </row>
    <row r="102" spans="2:9" x14ac:dyDescent="0.25">
      <c r="B102" s="8"/>
      <c r="C102" s="8"/>
      <c r="D102" s="8"/>
      <c r="E102" s="13"/>
      <c r="F102" s="13"/>
      <c r="G102" s="11"/>
      <c r="H102" s="14"/>
      <c r="I102" s="14"/>
    </row>
    <row r="103" spans="2:9" x14ac:dyDescent="0.25">
      <c r="B103" s="8"/>
      <c r="C103" s="8"/>
      <c r="D103" s="8"/>
      <c r="E103" s="13"/>
      <c r="F103" s="13"/>
      <c r="G103" s="11"/>
      <c r="H103" s="14"/>
      <c r="I103" s="14"/>
    </row>
    <row r="104" spans="2:9" x14ac:dyDescent="0.25">
      <c r="B104" s="8"/>
      <c r="C104" s="8"/>
      <c r="D104" s="8"/>
      <c r="E104" s="13"/>
      <c r="F104" s="13"/>
      <c r="G104" s="11"/>
      <c r="H104" s="14"/>
      <c r="I104" s="14"/>
    </row>
    <row r="105" spans="2:9" x14ac:dyDescent="0.25">
      <c r="B105" s="8"/>
      <c r="C105" s="8"/>
      <c r="D105" s="8"/>
      <c r="E105" s="13"/>
      <c r="F105" s="13"/>
      <c r="G105" s="11"/>
      <c r="H105" s="14"/>
      <c r="I105" s="14"/>
    </row>
    <row r="106" spans="2:9" x14ac:dyDescent="0.25">
      <c r="B106" s="8"/>
      <c r="C106" s="8"/>
      <c r="D106" s="8"/>
      <c r="E106" s="13"/>
      <c r="F106" s="13"/>
      <c r="G106" s="11"/>
      <c r="H106" s="14"/>
      <c r="I106" s="14"/>
    </row>
    <row r="107" spans="2:9" x14ac:dyDescent="0.25">
      <c r="B107" s="8"/>
      <c r="C107" s="8"/>
      <c r="D107" s="8"/>
      <c r="E107" s="13"/>
      <c r="F107" s="13"/>
      <c r="G107" s="11"/>
      <c r="H107" s="14"/>
      <c r="I107" s="14"/>
    </row>
    <row r="108" spans="2:9" x14ac:dyDescent="0.25">
      <c r="B108" s="8"/>
      <c r="C108" s="8"/>
      <c r="D108" s="8"/>
      <c r="E108" s="13"/>
      <c r="F108" s="13"/>
      <c r="G108" s="11"/>
      <c r="H108" s="14"/>
      <c r="I108" s="14"/>
    </row>
    <row r="109" spans="2:9" x14ac:dyDescent="0.25">
      <c r="B109" s="8"/>
      <c r="C109" s="8"/>
      <c r="D109" s="8"/>
      <c r="E109" s="13"/>
      <c r="F109" s="13"/>
      <c r="G109" s="11"/>
      <c r="H109" s="14"/>
      <c r="I109" s="14"/>
    </row>
    <row r="110" spans="2:9" x14ac:dyDescent="0.25">
      <c r="B110" s="8"/>
      <c r="C110" s="8"/>
      <c r="D110" s="8"/>
      <c r="E110" s="13"/>
      <c r="F110" s="13"/>
      <c r="G110" s="11"/>
      <c r="H110" s="14"/>
      <c r="I110" s="14"/>
    </row>
    <row r="111" spans="2:9" x14ac:dyDescent="0.25">
      <c r="B111" s="8"/>
      <c r="C111" s="8"/>
      <c r="D111" s="8"/>
      <c r="E111" s="13"/>
      <c r="F111" s="13"/>
      <c r="G111" s="11"/>
      <c r="H111" s="14"/>
      <c r="I111" s="14"/>
    </row>
    <row r="112" spans="2:9" x14ac:dyDescent="0.25">
      <c r="B112" s="8"/>
      <c r="C112" s="8"/>
      <c r="D112" s="8"/>
      <c r="E112" s="13"/>
      <c r="F112" s="13"/>
      <c r="G112" s="11"/>
      <c r="H112" s="14"/>
      <c r="I112" s="14"/>
    </row>
    <row r="113" spans="2:9" x14ac:dyDescent="0.25">
      <c r="B113" s="8"/>
      <c r="C113" s="8"/>
      <c r="D113" s="8"/>
      <c r="E113" s="13"/>
      <c r="F113" s="13"/>
      <c r="G113" s="11"/>
      <c r="H113" s="14"/>
      <c r="I113" s="14"/>
    </row>
    <row r="114" spans="2:9" x14ac:dyDescent="0.25">
      <c r="B114" s="8"/>
      <c r="C114" s="8"/>
      <c r="D114" s="8"/>
      <c r="E114" s="13"/>
      <c r="F114" s="13"/>
      <c r="G114" s="11"/>
      <c r="H114" s="14"/>
      <c r="I114" s="14"/>
    </row>
    <row r="115" spans="2:9" x14ac:dyDescent="0.25">
      <c r="B115" s="8"/>
      <c r="C115" s="8"/>
      <c r="D115" s="8"/>
      <c r="E115" s="13"/>
      <c r="F115" s="13"/>
      <c r="G115" s="11"/>
      <c r="H115" s="14"/>
      <c r="I115" s="14"/>
    </row>
    <row r="116" spans="2:9" x14ac:dyDescent="0.25">
      <c r="B116" s="8"/>
      <c r="C116" s="8"/>
      <c r="D116" s="8"/>
      <c r="E116" s="13"/>
      <c r="F116" s="13"/>
      <c r="G116" s="11"/>
      <c r="H116" s="14"/>
      <c r="I116" s="14"/>
    </row>
    <row r="117" spans="2:9" x14ac:dyDescent="0.25">
      <c r="B117" s="8"/>
      <c r="C117" s="8"/>
      <c r="D117" s="8"/>
      <c r="E117" s="13"/>
      <c r="F117" s="13"/>
      <c r="G117" s="11"/>
      <c r="H117" s="14"/>
      <c r="I117" s="14"/>
    </row>
    <row r="118" spans="2:9" x14ac:dyDescent="0.25">
      <c r="B118" s="8"/>
      <c r="C118" s="8"/>
      <c r="D118" s="8"/>
      <c r="E118" s="13"/>
      <c r="F118" s="13"/>
      <c r="G118" s="11"/>
      <c r="H118" s="14"/>
      <c r="I118" s="14"/>
    </row>
    <row r="119" spans="2:9" x14ac:dyDescent="0.25">
      <c r="B119" s="8"/>
      <c r="C119" s="8"/>
      <c r="D119" s="8"/>
      <c r="E119" s="13"/>
      <c r="F119" s="13"/>
      <c r="G119" s="11"/>
      <c r="H119" s="14"/>
      <c r="I119" s="14"/>
    </row>
    <row r="120" spans="2:9" x14ac:dyDescent="0.25">
      <c r="B120" s="8"/>
      <c r="C120" s="8"/>
      <c r="D120" s="8"/>
      <c r="E120" s="13"/>
      <c r="F120" s="13"/>
      <c r="G120" s="11"/>
      <c r="H120" s="14"/>
      <c r="I120" s="14"/>
    </row>
    <row r="121" spans="2:9" x14ac:dyDescent="0.25">
      <c r="B121" s="8"/>
      <c r="C121" s="8"/>
      <c r="D121" s="8"/>
      <c r="E121" s="13"/>
      <c r="F121" s="13"/>
      <c r="G121" s="11"/>
      <c r="H121" s="14"/>
      <c r="I121" s="14"/>
    </row>
    <row r="122" spans="2:9" x14ac:dyDescent="0.25">
      <c r="B122" s="8"/>
      <c r="C122" s="8"/>
      <c r="D122" s="8"/>
      <c r="E122" s="13"/>
      <c r="F122" s="13"/>
      <c r="G122" s="11"/>
      <c r="H122" s="14"/>
      <c r="I122" s="14"/>
    </row>
    <row r="123" spans="2:9" x14ac:dyDescent="0.25">
      <c r="B123" s="8"/>
      <c r="C123" s="8"/>
      <c r="D123" s="8"/>
      <c r="E123" s="13"/>
      <c r="F123" s="13"/>
      <c r="G123" s="11"/>
      <c r="H123" s="14"/>
      <c r="I123" s="14"/>
    </row>
    <row r="124" spans="2:9" x14ac:dyDescent="0.25">
      <c r="B124" s="8"/>
      <c r="C124" s="8"/>
      <c r="D124" s="8"/>
      <c r="E124" s="13"/>
      <c r="F124" s="13"/>
      <c r="G124" s="11"/>
      <c r="H124" s="14"/>
      <c r="I124" s="14"/>
    </row>
    <row r="125" spans="2:9" x14ac:dyDescent="0.25">
      <c r="B125" s="8"/>
      <c r="C125" s="8"/>
      <c r="D125" s="8"/>
      <c r="E125" s="13"/>
      <c r="F125" s="13"/>
      <c r="G125" s="11"/>
      <c r="H125" s="14"/>
      <c r="I125" s="14"/>
    </row>
    <row r="126" spans="2:9" x14ac:dyDescent="0.25">
      <c r="B126" s="8"/>
      <c r="C126" s="8"/>
      <c r="D126" s="8"/>
      <c r="E126" s="13"/>
      <c r="F126" s="13"/>
      <c r="G126" s="11"/>
      <c r="H126" s="14"/>
      <c r="I126" s="14"/>
    </row>
    <row r="127" spans="2:9" x14ac:dyDescent="0.25">
      <c r="B127" s="8"/>
      <c r="C127" s="8"/>
      <c r="D127" s="8"/>
      <c r="E127" s="13"/>
      <c r="F127" s="13"/>
      <c r="G127" s="11"/>
      <c r="H127" s="14"/>
      <c r="I127" s="14"/>
    </row>
    <row r="128" spans="2:9" x14ac:dyDescent="0.25">
      <c r="B128" s="8"/>
      <c r="C128" s="8"/>
      <c r="D128" s="8"/>
      <c r="E128" s="13"/>
      <c r="F128" s="13"/>
      <c r="G128" s="11"/>
      <c r="H128" s="14"/>
      <c r="I128" s="14"/>
    </row>
    <row r="129" spans="2:9" x14ac:dyDescent="0.25">
      <c r="B129" s="8"/>
      <c r="C129" s="8"/>
      <c r="D129" s="8"/>
      <c r="E129" s="13"/>
      <c r="F129" s="13"/>
      <c r="G129" s="11"/>
      <c r="H129" s="14"/>
      <c r="I129" s="14"/>
    </row>
    <row r="130" spans="2:9" x14ac:dyDescent="0.25">
      <c r="B130" s="8"/>
      <c r="C130" s="8"/>
      <c r="D130" s="8"/>
      <c r="E130" s="13"/>
      <c r="F130" s="13"/>
      <c r="G130" s="11"/>
      <c r="H130" s="14"/>
      <c r="I130" s="14"/>
    </row>
    <row r="131" spans="2:9" x14ac:dyDescent="0.25">
      <c r="B131" s="8"/>
      <c r="C131" s="8"/>
      <c r="D131" s="8"/>
      <c r="E131" s="13"/>
      <c r="F131" s="13"/>
      <c r="G131" s="11"/>
      <c r="H131" s="14"/>
      <c r="I131" s="14"/>
    </row>
    <row r="132" spans="2:9" x14ac:dyDescent="0.25">
      <c r="B132" s="8"/>
      <c r="C132" s="8"/>
      <c r="D132" s="8"/>
      <c r="E132" s="13"/>
      <c r="F132" s="13"/>
      <c r="G132" s="11"/>
      <c r="H132" s="14"/>
      <c r="I132" s="14"/>
    </row>
    <row r="133" spans="2:9" x14ac:dyDescent="0.25">
      <c r="B133" s="8"/>
      <c r="C133" s="8"/>
      <c r="D133" s="8"/>
      <c r="E133" s="13"/>
      <c r="F133" s="13"/>
      <c r="G133" s="11"/>
      <c r="H133" s="14"/>
      <c r="I133" s="14"/>
    </row>
    <row r="134" spans="2:9" x14ac:dyDescent="0.25">
      <c r="B134" s="8"/>
      <c r="C134" s="8"/>
      <c r="D134" s="8"/>
      <c r="E134" s="13"/>
      <c r="F134" s="13"/>
      <c r="G134" s="11"/>
      <c r="H134" s="14"/>
      <c r="I134" s="14"/>
    </row>
    <row r="135" spans="2:9" x14ac:dyDescent="0.25">
      <c r="B135" s="8"/>
      <c r="C135" s="8"/>
      <c r="D135" s="8"/>
      <c r="E135" s="13"/>
      <c r="F135" s="13"/>
      <c r="G135" s="11"/>
      <c r="H135" s="14"/>
      <c r="I135" s="14"/>
    </row>
    <row r="136" spans="2:9" x14ac:dyDescent="0.25">
      <c r="B136" s="8"/>
      <c r="C136" s="8"/>
      <c r="D136" s="8"/>
      <c r="E136" s="13"/>
      <c r="F136" s="13"/>
      <c r="G136" s="11"/>
      <c r="H136" s="14"/>
      <c r="I136" s="14"/>
    </row>
    <row r="137" spans="2:9" x14ac:dyDescent="0.25">
      <c r="B137" s="8"/>
      <c r="C137" s="8"/>
      <c r="D137" s="8"/>
      <c r="E137" s="13"/>
      <c r="F137" s="13"/>
      <c r="G137" s="11"/>
      <c r="H137" s="14"/>
      <c r="I137" s="14"/>
    </row>
    <row r="138" spans="2:9" x14ac:dyDescent="0.25">
      <c r="B138" s="8"/>
      <c r="C138" s="8"/>
      <c r="D138" s="8"/>
      <c r="E138" s="13"/>
      <c r="F138" s="13"/>
      <c r="G138" s="11"/>
      <c r="H138" s="14"/>
      <c r="I138" s="14"/>
    </row>
    <row r="139" spans="2:9" x14ac:dyDescent="0.25">
      <c r="B139" s="8"/>
      <c r="C139" s="8"/>
      <c r="D139" s="8"/>
      <c r="E139" s="13"/>
      <c r="F139" s="13"/>
      <c r="G139" s="11"/>
      <c r="H139" s="14"/>
      <c r="I139" s="14"/>
    </row>
    <row r="140" spans="2:9" x14ac:dyDescent="0.25">
      <c r="B140" s="8"/>
      <c r="C140" s="8"/>
      <c r="D140" s="8"/>
      <c r="E140" s="13"/>
      <c r="F140" s="13"/>
      <c r="G140" s="11"/>
      <c r="H140" s="14"/>
      <c r="I140" s="14"/>
    </row>
    <row r="141" spans="2:9" x14ac:dyDescent="0.25">
      <c r="B141" s="8"/>
      <c r="C141" s="8"/>
      <c r="D141" s="8"/>
      <c r="E141" s="13"/>
      <c r="F141" s="13"/>
      <c r="G141" s="11"/>
      <c r="H141" s="14"/>
      <c r="I141" s="14"/>
    </row>
    <row r="142" spans="2:9" x14ac:dyDescent="0.25">
      <c r="B142" s="8"/>
      <c r="C142" s="8"/>
      <c r="D142" s="8"/>
      <c r="E142" s="13"/>
      <c r="F142" s="13"/>
      <c r="G142" s="11"/>
      <c r="H142" s="14"/>
      <c r="I142" s="14"/>
    </row>
    <row r="143" spans="2:9" x14ac:dyDescent="0.25">
      <c r="B143" s="8"/>
      <c r="C143" s="8"/>
      <c r="D143" s="8"/>
      <c r="E143" s="13"/>
      <c r="F143" s="13"/>
      <c r="G143" s="11"/>
      <c r="H143" s="14"/>
      <c r="I143" s="14"/>
    </row>
    <row r="144" spans="2:9" x14ac:dyDescent="0.25">
      <c r="B144" s="8"/>
      <c r="C144" s="8"/>
      <c r="D144" s="8"/>
      <c r="E144" s="13"/>
      <c r="F144" s="13"/>
      <c r="G144" s="11"/>
      <c r="H144" s="14"/>
      <c r="I144" s="14"/>
    </row>
    <row r="145" spans="2:9" x14ac:dyDescent="0.25">
      <c r="B145" s="8"/>
      <c r="C145" s="8"/>
      <c r="D145" s="8"/>
      <c r="E145" s="13"/>
      <c r="F145" s="13"/>
      <c r="G145" s="11"/>
      <c r="H145" s="14"/>
      <c r="I145" s="14"/>
    </row>
    <row r="146" spans="2:9" x14ac:dyDescent="0.25">
      <c r="B146" s="8"/>
      <c r="C146" s="8"/>
      <c r="D146" s="8"/>
      <c r="E146" s="13"/>
      <c r="F146" s="13"/>
      <c r="G146" s="11"/>
      <c r="H146" s="14"/>
      <c r="I146" s="14"/>
    </row>
    <row r="147" spans="2:9" x14ac:dyDescent="0.25">
      <c r="B147" s="8"/>
      <c r="C147" s="8"/>
      <c r="D147" s="8"/>
      <c r="E147" s="13"/>
      <c r="F147" s="13"/>
      <c r="G147" s="11"/>
      <c r="H147" s="14"/>
      <c r="I147" s="14"/>
    </row>
    <row r="148" spans="2:9" x14ac:dyDescent="0.25">
      <c r="B148" s="8"/>
      <c r="C148" s="8"/>
      <c r="D148" s="8"/>
      <c r="E148" s="13"/>
      <c r="F148" s="13"/>
      <c r="G148" s="11"/>
      <c r="H148" s="14"/>
      <c r="I148" s="14"/>
    </row>
    <row r="149" spans="2:9" x14ac:dyDescent="0.25">
      <c r="B149" s="8"/>
      <c r="C149" s="8"/>
      <c r="D149" s="8"/>
      <c r="E149" s="13"/>
      <c r="F149" s="13"/>
      <c r="G149" s="11"/>
      <c r="H149" s="14"/>
      <c r="I149" s="14"/>
    </row>
    <row r="150" spans="2:9" x14ac:dyDescent="0.25">
      <c r="B150" s="8"/>
      <c r="C150" s="8"/>
      <c r="D150" s="8"/>
      <c r="E150" s="13"/>
      <c r="F150" s="13"/>
      <c r="G150" s="11"/>
      <c r="H150" s="14"/>
      <c r="I150" s="14"/>
    </row>
    <row r="151" spans="2:9" x14ac:dyDescent="0.25">
      <c r="B151" s="8"/>
      <c r="C151" s="8"/>
      <c r="D151" s="8"/>
      <c r="E151" s="13"/>
      <c r="F151" s="13"/>
      <c r="G151" s="11"/>
      <c r="H151" s="14"/>
      <c r="I151" s="14"/>
    </row>
    <row r="152" spans="2:9" x14ac:dyDescent="0.25">
      <c r="B152" s="8"/>
      <c r="C152" s="8"/>
      <c r="D152" s="8"/>
      <c r="E152" s="13"/>
      <c r="F152" s="13"/>
      <c r="G152" s="11"/>
      <c r="H152" s="14"/>
      <c r="I152" s="14"/>
    </row>
    <row r="153" spans="2:9" x14ac:dyDescent="0.25">
      <c r="B153" s="8"/>
      <c r="C153" s="8"/>
      <c r="D153" s="8"/>
      <c r="E153" s="13"/>
      <c r="F153" s="13"/>
      <c r="G153" s="11"/>
      <c r="H153" s="14"/>
      <c r="I153" s="14"/>
    </row>
    <row r="154" spans="2:9" x14ac:dyDescent="0.25">
      <c r="B154" s="8"/>
      <c r="C154" s="8"/>
      <c r="D154" s="8"/>
      <c r="E154" s="13"/>
      <c r="F154" s="13"/>
      <c r="G154" s="11"/>
      <c r="H154" s="14"/>
      <c r="I154" s="14"/>
    </row>
    <row r="155" spans="2:9" x14ac:dyDescent="0.25">
      <c r="B155" s="8"/>
      <c r="C155" s="8"/>
      <c r="D155" s="8"/>
      <c r="E155" s="13"/>
      <c r="F155" s="13"/>
      <c r="G155" s="11"/>
      <c r="H155" s="14"/>
      <c r="I155" s="14"/>
    </row>
    <row r="156" spans="2:9" x14ac:dyDescent="0.25">
      <c r="B156" s="8"/>
      <c r="C156" s="8"/>
      <c r="D156" s="8"/>
      <c r="E156" s="13"/>
      <c r="F156" s="13"/>
      <c r="G156" s="11"/>
      <c r="H156" s="14"/>
      <c r="I156" s="14"/>
    </row>
    <row r="157" spans="2:9" x14ac:dyDescent="0.25">
      <c r="B157" s="8"/>
      <c r="C157" s="8"/>
      <c r="D157" s="8"/>
      <c r="E157" s="13"/>
      <c r="F157" s="13"/>
      <c r="G157" s="11"/>
      <c r="H157" s="14"/>
      <c r="I157" s="14"/>
    </row>
    <row r="158" spans="2:9" x14ac:dyDescent="0.25">
      <c r="B158" s="8"/>
      <c r="C158" s="8"/>
      <c r="D158" s="8"/>
      <c r="E158" s="13"/>
      <c r="F158" s="13"/>
      <c r="G158" s="11"/>
      <c r="H158" s="14"/>
      <c r="I158" s="14"/>
    </row>
    <row r="159" spans="2:9" x14ac:dyDescent="0.25">
      <c r="B159" s="8"/>
      <c r="C159" s="8"/>
      <c r="D159" s="8"/>
      <c r="E159" s="13"/>
      <c r="F159" s="13"/>
      <c r="G159" s="11"/>
      <c r="H159" s="14"/>
      <c r="I159" s="14"/>
    </row>
    <row r="160" spans="2:9" x14ac:dyDescent="0.25">
      <c r="B160" s="8"/>
      <c r="C160" s="8"/>
      <c r="D160" s="8"/>
      <c r="E160" s="13"/>
      <c r="F160" s="13"/>
      <c r="G160" s="11"/>
      <c r="H160" s="14"/>
      <c r="I160" s="14"/>
    </row>
    <row r="161" spans="2:9" x14ac:dyDescent="0.25">
      <c r="B161" s="8"/>
      <c r="C161" s="8"/>
      <c r="D161" s="8"/>
      <c r="E161" s="13"/>
      <c r="F161" s="13"/>
      <c r="G161" s="11"/>
      <c r="H161" s="14"/>
      <c r="I161" s="14"/>
    </row>
    <row r="162" spans="2:9" x14ac:dyDescent="0.25">
      <c r="B162" s="8"/>
      <c r="C162" s="8"/>
      <c r="D162" s="8"/>
      <c r="E162" s="13"/>
      <c r="F162" s="13"/>
      <c r="G162" s="11"/>
      <c r="H162" s="14"/>
      <c r="I162" s="14"/>
    </row>
    <row r="163" spans="2:9" x14ac:dyDescent="0.25">
      <c r="B163" s="8"/>
      <c r="C163" s="8"/>
      <c r="D163" s="8"/>
      <c r="E163" s="13"/>
      <c r="F163" s="13"/>
      <c r="G163" s="11"/>
      <c r="H163" s="14"/>
      <c r="I163" s="14"/>
    </row>
    <row r="164" spans="2:9" x14ac:dyDescent="0.25">
      <c r="B164" s="8"/>
      <c r="C164" s="8"/>
      <c r="D164" s="8"/>
      <c r="E164" s="13"/>
      <c r="F164" s="13"/>
      <c r="G164" s="11"/>
      <c r="H164" s="14"/>
      <c r="I164" s="14"/>
    </row>
    <row r="165" spans="2:9" x14ac:dyDescent="0.25">
      <c r="B165" s="8"/>
      <c r="C165" s="8"/>
      <c r="D165" s="8"/>
      <c r="E165" s="13"/>
      <c r="F165" s="13"/>
      <c r="G165" s="11"/>
      <c r="H165" s="14"/>
      <c r="I165" s="14"/>
    </row>
    <row r="166" spans="2:9" x14ac:dyDescent="0.25">
      <c r="B166" s="8"/>
      <c r="C166" s="8"/>
      <c r="D166" s="8"/>
      <c r="E166" s="13"/>
      <c r="F166" s="13"/>
      <c r="G166" s="11"/>
      <c r="H166" s="14"/>
      <c r="I166" s="14"/>
    </row>
    <row r="167" spans="2:9" x14ac:dyDescent="0.25">
      <c r="B167" s="8"/>
      <c r="C167" s="8"/>
      <c r="D167" s="8"/>
      <c r="E167" s="13"/>
      <c r="F167" s="13"/>
      <c r="G167" s="11"/>
      <c r="H167" s="14"/>
      <c r="I167" s="14"/>
    </row>
    <row r="168" spans="2:9" x14ac:dyDescent="0.25">
      <c r="B168" s="8"/>
      <c r="C168" s="8"/>
      <c r="D168" s="8"/>
      <c r="E168" s="13"/>
      <c r="F168" s="13"/>
      <c r="G168" s="11"/>
      <c r="H168" s="14"/>
      <c r="I168" s="14"/>
    </row>
    <row r="169" spans="2:9" x14ac:dyDescent="0.25">
      <c r="B169" s="8"/>
      <c r="C169" s="8"/>
      <c r="D169" s="8"/>
      <c r="E169" s="13"/>
      <c r="F169" s="13"/>
      <c r="G169" s="11"/>
      <c r="H169" s="14"/>
      <c r="I169" s="14"/>
    </row>
    <row r="170" spans="2:9" x14ac:dyDescent="0.25">
      <c r="B170" s="8"/>
      <c r="C170" s="8"/>
      <c r="D170" s="8"/>
      <c r="E170" s="13"/>
      <c r="F170" s="13"/>
      <c r="G170" s="11"/>
      <c r="H170" s="14"/>
      <c r="I170" s="14"/>
    </row>
    <row r="171" spans="2:9" x14ac:dyDescent="0.25">
      <c r="B171" s="8"/>
      <c r="C171" s="8"/>
      <c r="D171" s="8"/>
      <c r="E171" s="13"/>
      <c r="F171" s="13"/>
      <c r="G171" s="11"/>
      <c r="H171" s="14"/>
      <c r="I171" s="14"/>
    </row>
    <row r="172" spans="2:9" x14ac:dyDescent="0.25">
      <c r="B172" s="8"/>
      <c r="C172" s="8"/>
      <c r="D172" s="8"/>
      <c r="E172" s="13"/>
      <c r="F172" s="13"/>
      <c r="G172" s="11"/>
      <c r="H172" s="14"/>
      <c r="I172" s="14"/>
    </row>
    <row r="173" spans="2:9" x14ac:dyDescent="0.25">
      <c r="B173" s="8"/>
      <c r="C173" s="8"/>
      <c r="D173" s="8"/>
      <c r="E173" s="13"/>
      <c r="F173" s="13"/>
      <c r="G173" s="11"/>
      <c r="H173" s="14"/>
      <c r="I173" s="14"/>
    </row>
    <row r="174" spans="2:9" x14ac:dyDescent="0.25">
      <c r="B174" s="8"/>
      <c r="C174" s="8"/>
      <c r="D174" s="8"/>
      <c r="E174" s="13"/>
      <c r="F174" s="13"/>
      <c r="G174" s="11"/>
      <c r="H174" s="14"/>
      <c r="I174" s="14"/>
    </row>
    <row r="175" spans="2:9" x14ac:dyDescent="0.25">
      <c r="B175" s="8"/>
      <c r="C175" s="8"/>
      <c r="D175" s="8"/>
      <c r="E175" s="13"/>
      <c r="F175" s="13"/>
      <c r="G175" s="11"/>
      <c r="H175" s="14"/>
      <c r="I175" s="14"/>
    </row>
    <row r="176" spans="2:9" x14ac:dyDescent="0.25">
      <c r="B176" s="8"/>
      <c r="C176" s="8"/>
      <c r="D176" s="8"/>
      <c r="E176" s="13"/>
      <c r="F176" s="13"/>
      <c r="G176" s="11"/>
      <c r="H176" s="14"/>
      <c r="I176" s="14"/>
    </row>
    <row r="177" spans="2:9" x14ac:dyDescent="0.25">
      <c r="B177" s="8"/>
      <c r="C177" s="8"/>
      <c r="D177" s="8"/>
      <c r="E177" s="13"/>
      <c r="F177" s="13"/>
      <c r="G177" s="11"/>
      <c r="H177" s="14"/>
      <c r="I177" s="14"/>
    </row>
    <row r="178" spans="2:9" x14ac:dyDescent="0.25">
      <c r="B178" s="8"/>
      <c r="C178" s="8"/>
      <c r="D178" s="8"/>
      <c r="E178" s="13"/>
      <c r="F178" s="13"/>
      <c r="G178" s="11"/>
      <c r="H178" s="14"/>
      <c r="I178" s="14"/>
    </row>
    <row r="179" spans="2:9" x14ac:dyDescent="0.25">
      <c r="B179" s="8"/>
      <c r="C179" s="8"/>
      <c r="D179" s="8"/>
      <c r="E179" s="13"/>
      <c r="F179" s="13"/>
      <c r="G179" s="11"/>
      <c r="H179" s="14"/>
      <c r="I179" s="14"/>
    </row>
    <row r="180" spans="2:9" x14ac:dyDescent="0.25">
      <c r="B180" s="8"/>
      <c r="C180" s="8"/>
      <c r="D180" s="8"/>
      <c r="E180" s="13"/>
      <c r="F180" s="13"/>
      <c r="G180" s="11"/>
      <c r="H180" s="14"/>
      <c r="I180" s="14"/>
    </row>
    <row r="181" spans="2:9" x14ac:dyDescent="0.25">
      <c r="B181" s="8"/>
      <c r="C181" s="8"/>
      <c r="D181" s="8"/>
      <c r="E181" s="13"/>
      <c r="F181" s="13"/>
      <c r="G181" s="11"/>
      <c r="H181" s="14"/>
      <c r="I181" s="14"/>
    </row>
    <row r="182" spans="2:9" x14ac:dyDescent="0.25">
      <c r="B182" s="8"/>
      <c r="C182" s="8"/>
      <c r="D182" s="8"/>
      <c r="E182" s="13"/>
      <c r="F182" s="13"/>
      <c r="G182" s="11"/>
      <c r="H182" s="14"/>
      <c r="I182" s="14"/>
    </row>
    <row r="183" spans="2:9" x14ac:dyDescent="0.25">
      <c r="B183" s="8"/>
      <c r="C183" s="8"/>
      <c r="D183" s="8"/>
      <c r="E183" s="13"/>
      <c r="F183" s="13"/>
      <c r="G183" s="11"/>
      <c r="H183" s="14"/>
      <c r="I183" s="14"/>
    </row>
    <row r="184" spans="2:9" x14ac:dyDescent="0.25">
      <c r="B184" s="8"/>
      <c r="C184" s="8"/>
      <c r="D184" s="8"/>
      <c r="E184" s="13"/>
      <c r="F184" s="13"/>
      <c r="G184" s="11"/>
      <c r="H184" s="14"/>
      <c r="I184" s="14"/>
    </row>
    <row r="185" spans="2:9" x14ac:dyDescent="0.25">
      <c r="B185" s="8"/>
      <c r="C185" s="8"/>
      <c r="D185" s="8"/>
      <c r="E185" s="13"/>
      <c r="F185" s="13"/>
      <c r="G185" s="11"/>
      <c r="H185" s="14"/>
      <c r="I185" s="14"/>
    </row>
    <row r="186" spans="2:9" x14ac:dyDescent="0.25">
      <c r="B186" s="8"/>
      <c r="C186" s="8"/>
      <c r="D186" s="8"/>
      <c r="E186" s="13"/>
      <c r="F186" s="13"/>
      <c r="G186" s="11"/>
      <c r="H186" s="14"/>
      <c r="I186" s="14"/>
    </row>
    <row r="187" spans="2:9" x14ac:dyDescent="0.25">
      <c r="B187" s="8"/>
      <c r="C187" s="8"/>
      <c r="D187" s="8"/>
      <c r="E187" s="13"/>
      <c r="F187" s="13"/>
      <c r="G187" s="11"/>
      <c r="H187" s="14"/>
      <c r="I187" s="14"/>
    </row>
    <row r="188" spans="2:9" x14ac:dyDescent="0.25">
      <c r="B188" s="8"/>
      <c r="C188" s="8"/>
      <c r="D188" s="8"/>
      <c r="E188" s="13"/>
      <c r="F188" s="13"/>
      <c r="G188" s="11"/>
      <c r="H188" s="14"/>
      <c r="I188" s="14"/>
    </row>
    <row r="189" spans="2:9" x14ac:dyDescent="0.25">
      <c r="B189" s="8"/>
      <c r="C189" s="8"/>
      <c r="D189" s="8"/>
      <c r="E189" s="13"/>
      <c r="F189" s="13"/>
      <c r="G189" s="11"/>
      <c r="H189" s="14"/>
      <c r="I189" s="14"/>
    </row>
    <row r="190" spans="2:9" x14ac:dyDescent="0.25">
      <c r="B190" s="8"/>
      <c r="C190" s="8"/>
      <c r="D190" s="8"/>
      <c r="E190" s="13"/>
      <c r="F190" s="13"/>
      <c r="G190" s="11"/>
      <c r="H190" s="14"/>
      <c r="I190" s="14"/>
    </row>
    <row r="191" spans="2:9" x14ac:dyDescent="0.25">
      <c r="B191" s="8"/>
      <c r="C191" s="8"/>
      <c r="D191" s="8"/>
      <c r="E191" s="13"/>
      <c r="F191" s="13"/>
      <c r="G191" s="11"/>
      <c r="H191" s="14"/>
      <c r="I191" s="14"/>
    </row>
    <row r="192" spans="2:9" x14ac:dyDescent="0.25">
      <c r="B192" s="8"/>
      <c r="C192" s="8"/>
      <c r="D192" s="8"/>
      <c r="E192" s="13"/>
      <c r="F192" s="13"/>
      <c r="G192" s="11"/>
      <c r="H192" s="14"/>
      <c r="I192" s="14"/>
    </row>
    <row r="193" spans="2:9" x14ac:dyDescent="0.25">
      <c r="B193" s="8"/>
      <c r="C193" s="8"/>
      <c r="D193" s="8"/>
      <c r="E193" s="13"/>
      <c r="F193" s="13"/>
      <c r="G193" s="11"/>
      <c r="H193" s="14"/>
      <c r="I193" s="14"/>
    </row>
    <row r="194" spans="2:9" x14ac:dyDescent="0.25">
      <c r="B194" s="8"/>
      <c r="C194" s="8"/>
      <c r="D194" s="8"/>
      <c r="E194" s="13"/>
      <c r="F194" s="13"/>
      <c r="G194" s="11"/>
      <c r="H194" s="14"/>
      <c r="I194" s="14"/>
    </row>
    <row r="195" spans="2:9" x14ac:dyDescent="0.25">
      <c r="B195" s="8"/>
      <c r="C195" s="8"/>
      <c r="D195" s="8"/>
      <c r="E195" s="13"/>
      <c r="F195" s="13"/>
      <c r="G195" s="11"/>
      <c r="H195" s="14"/>
      <c r="I195" s="14"/>
    </row>
    <row r="196" spans="2:9" x14ac:dyDescent="0.25">
      <c r="B196" s="8"/>
      <c r="C196" s="8"/>
      <c r="D196" s="8"/>
      <c r="E196" s="13"/>
      <c r="F196" s="13"/>
      <c r="G196" s="11"/>
      <c r="H196" s="14"/>
      <c r="I196" s="14"/>
    </row>
    <row r="197" spans="2:9" x14ac:dyDescent="0.25">
      <c r="B197" s="8"/>
      <c r="C197" s="8"/>
      <c r="D197" s="8"/>
      <c r="E197" s="13"/>
      <c r="F197" s="13"/>
      <c r="G197" s="11"/>
      <c r="H197" s="14"/>
      <c r="I197" s="14"/>
    </row>
    <row r="198" spans="2:9" x14ac:dyDescent="0.25">
      <c r="B198" s="8"/>
      <c r="C198" s="8"/>
      <c r="D198" s="8"/>
      <c r="E198" s="13"/>
      <c r="F198" s="13"/>
      <c r="G198" s="11"/>
      <c r="H198" s="14"/>
      <c r="I198" s="14"/>
    </row>
    <row r="199" spans="2:9" x14ac:dyDescent="0.25">
      <c r="B199" s="8"/>
      <c r="C199" s="8"/>
      <c r="D199" s="8"/>
      <c r="E199" s="13"/>
      <c r="F199" s="13"/>
      <c r="G199" s="11"/>
      <c r="H199" s="14"/>
      <c r="I199" s="14"/>
    </row>
    <row r="200" spans="2:9" x14ac:dyDescent="0.25">
      <c r="B200" s="8"/>
      <c r="C200" s="8"/>
      <c r="D200" s="8"/>
      <c r="E200" s="13"/>
      <c r="F200" s="13"/>
      <c r="G200" s="11"/>
      <c r="H200" s="14"/>
      <c r="I200" s="14"/>
    </row>
    <row r="201" spans="2:9" x14ac:dyDescent="0.25">
      <c r="B201" s="8"/>
      <c r="C201" s="8"/>
      <c r="D201" s="8"/>
      <c r="E201" s="13"/>
      <c r="F201" s="13"/>
      <c r="G201" s="11"/>
      <c r="H201" s="14"/>
      <c r="I201" s="14"/>
    </row>
    <row r="202" spans="2:9" x14ac:dyDescent="0.25">
      <c r="B202" s="8"/>
      <c r="C202" s="8"/>
      <c r="D202" s="8"/>
      <c r="E202" s="13"/>
      <c r="F202" s="13"/>
      <c r="G202" s="11"/>
      <c r="H202" s="14"/>
      <c r="I202" s="14"/>
    </row>
    <row r="203" spans="2:9" x14ac:dyDescent="0.25">
      <c r="B203" s="8"/>
      <c r="C203" s="8"/>
      <c r="D203" s="8"/>
      <c r="E203" s="13"/>
      <c r="F203" s="13"/>
      <c r="G203" s="11"/>
      <c r="H203" s="14"/>
      <c r="I203" s="14"/>
    </row>
    <row r="204" spans="2:9" x14ac:dyDescent="0.25">
      <c r="B204" s="8"/>
      <c r="C204" s="8"/>
      <c r="D204" s="8"/>
      <c r="E204" s="13"/>
      <c r="F204" s="13"/>
      <c r="G204" s="11"/>
      <c r="H204" s="14"/>
      <c r="I204" s="14"/>
    </row>
  </sheetData>
  <mergeCells count="2">
    <mergeCell ref="A1:I1"/>
    <mergeCell ref="A2:I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6A34A"/>
  </sheetPr>
  <dimension ref="A1:P1004"/>
  <sheetViews>
    <sheetView workbookViewId="0">
      <pane xSplit="2" ySplit="4" topLeftCell="C5" activePane="bottomRight" state="frozen"/>
      <selection pane="bottomRight"/>
    </sheetView>
  </sheetViews>
  <sheetFormatPr defaultRowHeight="15" outlineLevelRow="0" outlineLevelCol="0" x14ac:dyDescent="55"/>
  <cols>
    <col min="1" max="1" width="3" customWidth="1"/>
    <col min="2" max="2" width="13" customWidth="1"/>
    <col min="3" max="3" width="12" customWidth="1"/>
    <col min="4" max="4" width="14" customWidth="1"/>
    <col min="5" max="5" width="28" customWidth="1"/>
    <col min="6" max="6" width="14" customWidth="1"/>
    <col min="7" max="7" width="28" customWidth="1"/>
    <col min="8" max="8" width="10" customWidth="1"/>
    <col min="9" max="9" width="14" customWidth="1"/>
    <col min="10" max="10" width="10" customWidth="1"/>
    <col min="11" max="14" width="14" customWidth="1"/>
    <col min="15" max="15" width="16" customWidth="1"/>
    <col min="16" max="16" width="22" customWidth="1"/>
  </cols>
  <sheetData>
    <row r="1" ht="34" customHeight="1" spans="1:16" x14ac:dyDescent="0.25">
      <c r="A1" s="1" t="s">
        <v>92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ht="20" customHeight="1" spans="1:16" x14ac:dyDescent="0.25">
      <c r="A2" s="2" t="s">
        <v>93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4" ht="30" customHeight="1" spans="1:16" x14ac:dyDescent="0.25">
      <c r="A4" s="9" t="s">
        <v>30</v>
      </c>
      <c r="B4" s="9" t="s">
        <v>94</v>
      </c>
      <c r="C4" s="9" t="s">
        <v>56</v>
      </c>
      <c r="D4" s="9" t="s">
        <v>54</v>
      </c>
      <c r="E4" s="9" t="s">
        <v>95</v>
      </c>
      <c r="F4" s="9" t="s">
        <v>76</v>
      </c>
      <c r="G4" s="9" t="s">
        <v>96</v>
      </c>
      <c r="H4" s="9" t="s">
        <v>97</v>
      </c>
      <c r="I4" s="9" t="s">
        <v>98</v>
      </c>
      <c r="J4" s="9" t="s">
        <v>81</v>
      </c>
      <c r="K4" s="9" t="s">
        <v>99</v>
      </c>
      <c r="L4" s="9" t="s">
        <v>100</v>
      </c>
      <c r="M4" s="9" t="s">
        <v>101</v>
      </c>
      <c r="N4" s="9" t="s">
        <v>42</v>
      </c>
      <c r="O4" s="9" t="s">
        <v>102</v>
      </c>
      <c r="P4" s="9" t="s">
        <v>103</v>
      </c>
    </row>
    <row r="5" spans="2:16" x14ac:dyDescent="0.25">
      <c r="B5" s="15">
        <v>46251.875</v>
      </c>
      <c r="C5" s="8" t="s">
        <v>31</v>
      </c>
      <c r="D5" s="8" t="s">
        <v>59</v>
      </c>
      <c r="E5" s="16">
        <f>IFERROR(IF($D5="","",VLOOKUP($D5,'Cari Kartlar'!$B$5:$C$204,2,FALSE)),"— tanımsız cari —")</f>
      </c>
      <c r="F5" s="8" t="s">
        <v>84</v>
      </c>
      <c r="G5" s="16">
        <f>IFERROR(IF($F5="","",VLOOKUP($F5,'Ürün Kartlar'!$B$5:$C$204,2,FALSE)),"— tanımsız ürün —")</f>
      </c>
      <c r="H5" s="17">
        <v>40</v>
      </c>
      <c r="I5" s="13">
        <f>IFERROR(IF($F5="","",IF($C5="Alış",VLOOKUP($F5,'Ürün Kartlar'!$B$5:$E$204,4,FALSE),VLOOKUP($F5,'Ürün Kartlar'!$B$5:$F$204,5,FALSE))),"")</f>
      </c>
      <c r="J5" s="11">
        <f>IFERROR(IF($F5="",Ayarlar!$C$9,VLOOKUP($F5,'Ürün Kartlar'!$B$5:$G$204,6,FALSE)),Ayarlar!$C$9)</f>
      </c>
      <c r="K5" s="18">
        <f>IF(OR($H5="",$I5=""),0,$H5*$I5)</f>
      </c>
      <c r="L5" s="18">
        <f>$K5*$J5</f>
      </c>
      <c r="M5" s="18">
        <f>$K5+$L5</f>
      </c>
      <c r="N5" s="8" t="s">
        <v>47</v>
      </c>
      <c r="O5" s="8" t="s">
        <v>104</v>
      </c>
      <c r="P5" s="8" t="s">
        <v>105</v>
      </c>
    </row>
    <row r="6" spans="2:16" x14ac:dyDescent="0.25">
      <c r="B6" s="19">
        <v>46259.875</v>
      </c>
      <c r="C6" s="20" t="s">
        <v>35</v>
      </c>
      <c r="D6" s="20" t="s">
        <v>69</v>
      </c>
      <c r="E6" s="16">
        <f>IFERROR(IF($D6="","",VLOOKUP($D6,'Cari Kartlar'!$B$5:$C$204,2,FALSE)),"— tanımsız cari —")</f>
      </c>
      <c r="F6" s="20" t="s">
        <v>87</v>
      </c>
      <c r="G6" s="16">
        <f>IFERROR(IF($F6="","",VLOOKUP($F6,'Ürün Kartlar'!$B$5:$C$204,2,FALSE)),"— tanımsız ürün —")</f>
      </c>
      <c r="H6" s="21">
        <v>120</v>
      </c>
      <c r="I6" s="22">
        <f>IFERROR(IF($F6="","",IF($C6="Alış",VLOOKUP($F6,'Ürün Kartlar'!$B$5:$E$204,4,FALSE),VLOOKUP($F6,'Ürün Kartlar'!$B$5:$F$204,5,FALSE))),"")</f>
      </c>
      <c r="J6" s="23">
        <f>IFERROR(IF($F6="",Ayarlar!$C$9,VLOOKUP($F6,'Ürün Kartlar'!$B$5:$G$204,6,FALSE)),Ayarlar!$C$9)</f>
      </c>
      <c r="K6" s="18">
        <f>IF(OR($H6="",$I6=""),0,$H6*$I6)</f>
      </c>
      <c r="L6" s="18">
        <f>$K6*$J6</f>
      </c>
      <c r="M6" s="18">
        <f>$K6+$L6</f>
      </c>
      <c r="N6" s="20" t="s">
        <v>47</v>
      </c>
      <c r="O6" s="20" t="s">
        <v>106</v>
      </c>
      <c r="P6" s="20" t="s">
        <v>107</v>
      </c>
    </row>
    <row r="7" spans="2:16" x14ac:dyDescent="0.25">
      <c r="B7" s="15">
        <v>46265.875</v>
      </c>
      <c r="C7" s="8" t="s">
        <v>31</v>
      </c>
      <c r="D7" s="8" t="s">
        <v>64</v>
      </c>
      <c r="E7" s="16">
        <f>IFERROR(IF($D7="","",VLOOKUP($D7,'Cari Kartlar'!$B$5:$C$204,2,FALSE)),"— tanımsız cari —")</f>
      </c>
      <c r="F7" s="8" t="s">
        <v>89</v>
      </c>
      <c r="G7" s="16">
        <f>IFERROR(IF($F7="","",VLOOKUP($F7,'Ürün Kartlar'!$B$5:$C$204,2,FALSE)),"— tanımsız ürün —")</f>
      </c>
      <c r="H7" s="17">
        <v>1</v>
      </c>
      <c r="I7" s="13">
        <f>IFERROR(IF($F7="","",IF($C7="Alış",VLOOKUP($F7,'Ürün Kartlar'!$B$5:$E$204,4,FALSE),VLOOKUP($F7,'Ürün Kartlar'!$B$5:$F$204,5,FALSE))),"")</f>
      </c>
      <c r="J7" s="11">
        <f>IFERROR(IF($F7="",Ayarlar!$C$9,VLOOKUP($F7,'Ürün Kartlar'!$B$5:$G$204,6,FALSE)),Ayarlar!$C$9)</f>
      </c>
      <c r="K7" s="18">
        <f>IF(OR($H7="",$I7=""),0,$H7*$I7)</f>
      </c>
      <c r="L7" s="18">
        <f>$K7*$J7</f>
      </c>
      <c r="M7" s="18">
        <f>$K7+$L7</f>
      </c>
      <c r="N7" s="8" t="s">
        <v>51</v>
      </c>
      <c r="O7" s="8" t="s">
        <v>108</v>
      </c>
      <c r="P7" s="8" t="s">
        <v>109</v>
      </c>
    </row>
    <row r="8" spans="2:16" x14ac:dyDescent="0.25">
      <c r="B8" s="19"/>
      <c r="C8" s="20"/>
      <c r="D8" s="20"/>
      <c r="E8" s="16">
        <f>IFERROR(IF($D8="","",VLOOKUP($D8,'Cari Kartlar'!$B$5:$C$204,2,FALSE)),"— tanımsız cari —")</f>
      </c>
      <c r="F8" s="20"/>
      <c r="G8" s="16">
        <f>IFERROR(IF($F8="","",VLOOKUP($F8,'Ürün Kartlar'!$B$5:$C$204,2,FALSE)),"— tanımsız ürün —")</f>
      </c>
      <c r="H8" s="21"/>
      <c r="I8" s="22">
        <f>IFERROR(IF($F8="","",IF($C8="Alış",VLOOKUP($F8,'Ürün Kartlar'!$B$5:$E$204,4,FALSE),VLOOKUP($F8,'Ürün Kartlar'!$B$5:$F$204,5,FALSE))),"")</f>
      </c>
      <c r="J8" s="23">
        <f>IFERROR(IF($F8="",Ayarlar!$C$9,VLOOKUP($F8,'Ürün Kartlar'!$B$5:$G$204,6,FALSE)),Ayarlar!$C$9)</f>
      </c>
      <c r="K8" s="18">
        <f>IF(OR($H8="",$I8=""),0,$H8*$I8)</f>
      </c>
      <c r="L8" s="18">
        <f>$K8*$J8</f>
      </c>
      <c r="M8" s="18">
        <f>$K8+$L8</f>
      </c>
      <c r="N8" s="20"/>
      <c r="O8" s="20"/>
      <c r="P8" s="20"/>
    </row>
    <row r="9" spans="2:16" x14ac:dyDescent="0.25">
      <c r="B9" s="15"/>
      <c r="C9" s="8"/>
      <c r="D9" s="8"/>
      <c r="E9" s="16">
        <f>IFERROR(IF($D9="","",VLOOKUP($D9,'Cari Kartlar'!$B$5:$C$204,2,FALSE)),"— tanımsız cari —")</f>
      </c>
      <c r="F9" s="8"/>
      <c r="G9" s="16">
        <f>IFERROR(IF($F9="","",VLOOKUP($F9,'Ürün Kartlar'!$B$5:$C$204,2,FALSE)),"— tanımsız ürün —")</f>
      </c>
      <c r="H9" s="17"/>
      <c r="I9" s="13">
        <f>IFERROR(IF($F9="","",IF($C9="Alış",VLOOKUP($F9,'Ürün Kartlar'!$B$5:$E$204,4,FALSE),VLOOKUP($F9,'Ürün Kartlar'!$B$5:$F$204,5,FALSE))),"")</f>
      </c>
      <c r="J9" s="11">
        <f>IFERROR(IF($F9="",Ayarlar!$C$9,VLOOKUP($F9,'Ürün Kartlar'!$B$5:$G$204,6,FALSE)),Ayarlar!$C$9)</f>
      </c>
      <c r="K9" s="18">
        <f>IF(OR($H9="",$I9=""),0,$H9*$I9)</f>
      </c>
      <c r="L9" s="18">
        <f>$K9*$J9</f>
      </c>
      <c r="M9" s="18">
        <f>$K9+$L9</f>
      </c>
      <c r="N9" s="8"/>
      <c r="O9" s="8"/>
      <c r="P9" s="8"/>
    </row>
    <row r="10" spans="2:16" x14ac:dyDescent="0.25">
      <c r="B10" s="19"/>
      <c r="C10" s="20"/>
      <c r="D10" s="20"/>
      <c r="E10" s="16">
        <f>IFERROR(IF($D10="","",VLOOKUP($D10,'Cari Kartlar'!$B$5:$C$204,2,FALSE)),"— tanımsız cari —")</f>
      </c>
      <c r="F10" s="20"/>
      <c r="G10" s="16">
        <f>IFERROR(IF($F10="","",VLOOKUP($F10,'Ürün Kartlar'!$B$5:$C$204,2,FALSE)),"— tanımsız ürün —")</f>
      </c>
      <c r="H10" s="21"/>
      <c r="I10" s="22">
        <f>IFERROR(IF($F10="","",IF($C10="Alış",VLOOKUP($F10,'Ürün Kartlar'!$B$5:$E$204,4,FALSE),VLOOKUP($F10,'Ürün Kartlar'!$B$5:$F$204,5,FALSE))),"")</f>
      </c>
      <c r="J10" s="23">
        <f>IFERROR(IF($F10="",Ayarlar!$C$9,VLOOKUP($F10,'Ürün Kartlar'!$B$5:$G$204,6,FALSE)),Ayarlar!$C$9)</f>
      </c>
      <c r="K10" s="18">
        <f>IF(OR($H10="",$I10=""),0,$H10*$I10)</f>
      </c>
      <c r="L10" s="18">
        <f>$K10*$J10</f>
      </c>
      <c r="M10" s="18">
        <f>$K10+$L10</f>
      </c>
      <c r="N10" s="20"/>
      <c r="O10" s="20"/>
      <c r="P10" s="20"/>
    </row>
    <row r="11" spans="2:16" x14ac:dyDescent="0.25">
      <c r="B11" s="15"/>
      <c r="C11" s="8"/>
      <c r="D11" s="8"/>
      <c r="E11" s="16">
        <f>IFERROR(IF($D11="","",VLOOKUP($D11,'Cari Kartlar'!$B$5:$C$204,2,FALSE)),"— tanımsız cari —")</f>
      </c>
      <c r="F11" s="8"/>
      <c r="G11" s="16">
        <f>IFERROR(IF($F11="","",VLOOKUP($F11,'Ürün Kartlar'!$B$5:$C$204,2,FALSE)),"— tanımsız ürün —")</f>
      </c>
      <c r="H11" s="17"/>
      <c r="I11" s="13">
        <f>IFERROR(IF($F11="","",IF($C11="Alış",VLOOKUP($F11,'Ürün Kartlar'!$B$5:$E$204,4,FALSE),VLOOKUP($F11,'Ürün Kartlar'!$B$5:$F$204,5,FALSE))),"")</f>
      </c>
      <c r="J11" s="11">
        <f>IFERROR(IF($F11="",Ayarlar!$C$9,VLOOKUP($F11,'Ürün Kartlar'!$B$5:$G$204,6,FALSE)),Ayarlar!$C$9)</f>
      </c>
      <c r="K11" s="18">
        <f>IF(OR($H11="",$I11=""),0,$H11*$I11)</f>
      </c>
      <c r="L11" s="18">
        <f>$K11*$J11</f>
      </c>
      <c r="M11" s="18">
        <f>$K11+$L11</f>
      </c>
      <c r="N11" s="8"/>
      <c r="O11" s="8"/>
      <c r="P11" s="8"/>
    </row>
    <row r="12" spans="2:16" x14ac:dyDescent="0.25">
      <c r="B12" s="19"/>
      <c r="C12" s="20"/>
      <c r="D12" s="20"/>
      <c r="E12" s="16">
        <f>IFERROR(IF($D12="","",VLOOKUP($D12,'Cari Kartlar'!$B$5:$C$204,2,FALSE)),"— tanımsız cari —")</f>
      </c>
      <c r="F12" s="20"/>
      <c r="G12" s="16">
        <f>IFERROR(IF($F12="","",VLOOKUP($F12,'Ürün Kartlar'!$B$5:$C$204,2,FALSE)),"— tanımsız ürün —")</f>
      </c>
      <c r="H12" s="21"/>
      <c r="I12" s="22">
        <f>IFERROR(IF($F12="","",IF($C12="Alış",VLOOKUP($F12,'Ürün Kartlar'!$B$5:$E$204,4,FALSE),VLOOKUP($F12,'Ürün Kartlar'!$B$5:$F$204,5,FALSE))),"")</f>
      </c>
      <c r="J12" s="23">
        <f>IFERROR(IF($F12="",Ayarlar!$C$9,VLOOKUP($F12,'Ürün Kartlar'!$B$5:$G$204,6,FALSE)),Ayarlar!$C$9)</f>
      </c>
      <c r="K12" s="18">
        <f>IF(OR($H12="",$I12=""),0,$H12*$I12)</f>
      </c>
      <c r="L12" s="18">
        <f>$K12*$J12</f>
      </c>
      <c r="M12" s="18">
        <f>$K12+$L12</f>
      </c>
      <c r="N12" s="20"/>
      <c r="O12" s="20"/>
      <c r="P12" s="20"/>
    </row>
    <row r="13" spans="2:16" x14ac:dyDescent="0.25">
      <c r="B13" s="15"/>
      <c r="C13" s="8"/>
      <c r="D13" s="8"/>
      <c r="E13" s="16">
        <f>IFERROR(IF($D13="","",VLOOKUP($D13,'Cari Kartlar'!$B$5:$C$204,2,FALSE)),"— tanımsız cari —")</f>
      </c>
      <c r="F13" s="8"/>
      <c r="G13" s="16">
        <f>IFERROR(IF($F13="","",VLOOKUP($F13,'Ürün Kartlar'!$B$5:$C$204,2,FALSE)),"— tanımsız ürün —")</f>
      </c>
      <c r="H13" s="17"/>
      <c r="I13" s="13">
        <f>IFERROR(IF($F13="","",IF($C13="Alış",VLOOKUP($F13,'Ürün Kartlar'!$B$5:$E$204,4,FALSE),VLOOKUP($F13,'Ürün Kartlar'!$B$5:$F$204,5,FALSE))),"")</f>
      </c>
      <c r="J13" s="11">
        <f>IFERROR(IF($F13="",Ayarlar!$C$9,VLOOKUP($F13,'Ürün Kartlar'!$B$5:$G$204,6,FALSE)),Ayarlar!$C$9)</f>
      </c>
      <c r="K13" s="18">
        <f>IF(OR($H13="",$I13=""),0,$H13*$I13)</f>
      </c>
      <c r="L13" s="18">
        <f>$K13*$J13</f>
      </c>
      <c r="M13" s="18">
        <f>$K13+$L13</f>
      </c>
      <c r="N13" s="8"/>
      <c r="O13" s="8"/>
      <c r="P13" s="8"/>
    </row>
    <row r="14" spans="2:16" x14ac:dyDescent="0.25">
      <c r="B14" s="19"/>
      <c r="C14" s="20"/>
      <c r="D14" s="20"/>
      <c r="E14" s="16">
        <f>IFERROR(IF($D14="","",VLOOKUP($D14,'Cari Kartlar'!$B$5:$C$204,2,FALSE)),"— tanımsız cari —")</f>
      </c>
      <c r="F14" s="20"/>
      <c r="G14" s="16">
        <f>IFERROR(IF($F14="","",VLOOKUP($F14,'Ürün Kartlar'!$B$5:$C$204,2,FALSE)),"— tanımsız ürün —")</f>
      </c>
      <c r="H14" s="21"/>
      <c r="I14" s="22">
        <f>IFERROR(IF($F14="","",IF($C14="Alış",VLOOKUP($F14,'Ürün Kartlar'!$B$5:$E$204,4,FALSE),VLOOKUP($F14,'Ürün Kartlar'!$B$5:$F$204,5,FALSE))),"")</f>
      </c>
      <c r="J14" s="23">
        <f>IFERROR(IF($F14="",Ayarlar!$C$9,VLOOKUP($F14,'Ürün Kartlar'!$B$5:$G$204,6,FALSE)),Ayarlar!$C$9)</f>
      </c>
      <c r="K14" s="18">
        <f>IF(OR($H14="",$I14=""),0,$H14*$I14)</f>
      </c>
      <c r="L14" s="18">
        <f>$K14*$J14</f>
      </c>
      <c r="M14" s="18">
        <f>$K14+$L14</f>
      </c>
      <c r="N14" s="20"/>
      <c r="O14" s="20"/>
      <c r="P14" s="20"/>
    </row>
    <row r="15" spans="2:16" x14ac:dyDescent="0.25">
      <c r="B15" s="15"/>
      <c r="C15" s="8"/>
      <c r="D15" s="8"/>
      <c r="E15" s="16">
        <f>IFERROR(IF($D15="","",VLOOKUP($D15,'Cari Kartlar'!$B$5:$C$204,2,FALSE)),"— tanımsız cari —")</f>
      </c>
      <c r="F15" s="8"/>
      <c r="G15" s="16">
        <f>IFERROR(IF($F15="","",VLOOKUP($F15,'Ürün Kartlar'!$B$5:$C$204,2,FALSE)),"— tanımsız ürün —")</f>
      </c>
      <c r="H15" s="17"/>
      <c r="I15" s="13">
        <f>IFERROR(IF($F15="","",IF($C15="Alış",VLOOKUP($F15,'Ürün Kartlar'!$B$5:$E$204,4,FALSE),VLOOKUP($F15,'Ürün Kartlar'!$B$5:$F$204,5,FALSE))),"")</f>
      </c>
      <c r="J15" s="11">
        <f>IFERROR(IF($F15="",Ayarlar!$C$9,VLOOKUP($F15,'Ürün Kartlar'!$B$5:$G$204,6,FALSE)),Ayarlar!$C$9)</f>
      </c>
      <c r="K15" s="18">
        <f>IF(OR($H15="",$I15=""),0,$H15*$I15)</f>
      </c>
      <c r="L15" s="18">
        <f>$K15*$J15</f>
      </c>
      <c r="M15" s="18">
        <f>$K15+$L15</f>
      </c>
      <c r="N15" s="8"/>
      <c r="O15" s="8"/>
      <c r="P15" s="8"/>
    </row>
    <row r="16" spans="2:16" x14ac:dyDescent="0.25">
      <c r="B16" s="19"/>
      <c r="C16" s="20"/>
      <c r="D16" s="20"/>
      <c r="E16" s="16">
        <f>IFERROR(IF($D16="","",VLOOKUP($D16,'Cari Kartlar'!$B$5:$C$204,2,FALSE)),"— tanımsız cari —")</f>
      </c>
      <c r="F16" s="20"/>
      <c r="G16" s="16">
        <f>IFERROR(IF($F16="","",VLOOKUP($F16,'Ürün Kartlar'!$B$5:$C$204,2,FALSE)),"— tanımsız ürün —")</f>
      </c>
      <c r="H16" s="21"/>
      <c r="I16" s="22">
        <f>IFERROR(IF($F16="","",IF($C16="Alış",VLOOKUP($F16,'Ürün Kartlar'!$B$5:$E$204,4,FALSE),VLOOKUP($F16,'Ürün Kartlar'!$B$5:$F$204,5,FALSE))),"")</f>
      </c>
      <c r="J16" s="23">
        <f>IFERROR(IF($F16="",Ayarlar!$C$9,VLOOKUP($F16,'Ürün Kartlar'!$B$5:$G$204,6,FALSE)),Ayarlar!$C$9)</f>
      </c>
      <c r="K16" s="18">
        <f>IF(OR($H16="",$I16=""),0,$H16*$I16)</f>
      </c>
      <c r="L16" s="18">
        <f>$K16*$J16</f>
      </c>
      <c r="M16" s="18">
        <f>$K16+$L16</f>
      </c>
      <c r="N16" s="20"/>
      <c r="O16" s="20"/>
      <c r="P16" s="20"/>
    </row>
    <row r="17" spans="2:16" x14ac:dyDescent="0.25">
      <c r="B17" s="15"/>
      <c r="C17" s="8"/>
      <c r="D17" s="8"/>
      <c r="E17" s="16">
        <f>IFERROR(IF($D17="","",VLOOKUP($D17,'Cari Kartlar'!$B$5:$C$204,2,FALSE)),"— tanımsız cari —")</f>
      </c>
      <c r="F17" s="8"/>
      <c r="G17" s="16">
        <f>IFERROR(IF($F17="","",VLOOKUP($F17,'Ürün Kartlar'!$B$5:$C$204,2,FALSE)),"— tanımsız ürün —")</f>
      </c>
      <c r="H17" s="17"/>
      <c r="I17" s="13">
        <f>IFERROR(IF($F17="","",IF($C17="Alış",VLOOKUP($F17,'Ürün Kartlar'!$B$5:$E$204,4,FALSE),VLOOKUP($F17,'Ürün Kartlar'!$B$5:$F$204,5,FALSE))),"")</f>
      </c>
      <c r="J17" s="11">
        <f>IFERROR(IF($F17="",Ayarlar!$C$9,VLOOKUP($F17,'Ürün Kartlar'!$B$5:$G$204,6,FALSE)),Ayarlar!$C$9)</f>
      </c>
      <c r="K17" s="18">
        <f>IF(OR($H17="",$I17=""),0,$H17*$I17)</f>
      </c>
      <c r="L17" s="18">
        <f>$K17*$J17</f>
      </c>
      <c r="M17" s="18">
        <f>$K17+$L17</f>
      </c>
      <c r="N17" s="8"/>
      <c r="O17" s="8"/>
      <c r="P17" s="8"/>
    </row>
    <row r="18" spans="2:16" x14ac:dyDescent="0.25">
      <c r="B18" s="19"/>
      <c r="C18" s="20"/>
      <c r="D18" s="20"/>
      <c r="E18" s="16">
        <f>IFERROR(IF($D18="","",VLOOKUP($D18,'Cari Kartlar'!$B$5:$C$204,2,FALSE)),"— tanımsız cari —")</f>
      </c>
      <c r="F18" s="20"/>
      <c r="G18" s="16">
        <f>IFERROR(IF($F18="","",VLOOKUP($F18,'Ürün Kartlar'!$B$5:$C$204,2,FALSE)),"— tanımsız ürün —")</f>
      </c>
      <c r="H18" s="21"/>
      <c r="I18" s="22">
        <f>IFERROR(IF($F18="","",IF($C18="Alış",VLOOKUP($F18,'Ürün Kartlar'!$B$5:$E$204,4,FALSE),VLOOKUP($F18,'Ürün Kartlar'!$B$5:$F$204,5,FALSE))),"")</f>
      </c>
      <c r="J18" s="23">
        <f>IFERROR(IF($F18="",Ayarlar!$C$9,VLOOKUP($F18,'Ürün Kartlar'!$B$5:$G$204,6,FALSE)),Ayarlar!$C$9)</f>
      </c>
      <c r="K18" s="18">
        <f>IF(OR($H18="",$I18=""),0,$H18*$I18)</f>
      </c>
      <c r="L18" s="18">
        <f>$K18*$J18</f>
      </c>
      <c r="M18" s="18">
        <f>$K18+$L18</f>
      </c>
      <c r="N18" s="20"/>
      <c r="O18" s="20"/>
      <c r="P18" s="20"/>
    </row>
    <row r="19" spans="2:16" x14ac:dyDescent="0.25">
      <c r="B19" s="15"/>
      <c r="C19" s="8"/>
      <c r="D19" s="8"/>
      <c r="E19" s="16">
        <f>IFERROR(IF($D19="","",VLOOKUP($D19,'Cari Kartlar'!$B$5:$C$204,2,FALSE)),"— tanımsız cari —")</f>
      </c>
      <c r="F19" s="8"/>
      <c r="G19" s="16">
        <f>IFERROR(IF($F19="","",VLOOKUP($F19,'Ürün Kartlar'!$B$5:$C$204,2,FALSE)),"— tanımsız ürün —")</f>
      </c>
      <c r="H19" s="17"/>
      <c r="I19" s="13">
        <f>IFERROR(IF($F19="","",IF($C19="Alış",VLOOKUP($F19,'Ürün Kartlar'!$B$5:$E$204,4,FALSE),VLOOKUP($F19,'Ürün Kartlar'!$B$5:$F$204,5,FALSE))),"")</f>
      </c>
      <c r="J19" s="11">
        <f>IFERROR(IF($F19="",Ayarlar!$C$9,VLOOKUP($F19,'Ürün Kartlar'!$B$5:$G$204,6,FALSE)),Ayarlar!$C$9)</f>
      </c>
      <c r="K19" s="18">
        <f>IF(OR($H19="",$I19=""),0,$H19*$I19)</f>
      </c>
      <c r="L19" s="18">
        <f>$K19*$J19</f>
      </c>
      <c r="M19" s="18">
        <f>$K19+$L19</f>
      </c>
      <c r="N19" s="8"/>
      <c r="O19" s="8"/>
      <c r="P19" s="8"/>
    </row>
    <row r="20" spans="2:16" x14ac:dyDescent="0.25">
      <c r="B20" s="19"/>
      <c r="C20" s="20"/>
      <c r="D20" s="20"/>
      <c r="E20" s="16">
        <f>IFERROR(IF($D20="","",VLOOKUP($D20,'Cari Kartlar'!$B$5:$C$204,2,FALSE)),"— tanımsız cari —")</f>
      </c>
      <c r="F20" s="20"/>
      <c r="G20" s="16">
        <f>IFERROR(IF($F20="","",VLOOKUP($F20,'Ürün Kartlar'!$B$5:$C$204,2,FALSE)),"— tanımsız ürün —")</f>
      </c>
      <c r="H20" s="21"/>
      <c r="I20" s="22">
        <f>IFERROR(IF($F20="","",IF($C20="Alış",VLOOKUP($F20,'Ürün Kartlar'!$B$5:$E$204,4,FALSE),VLOOKUP($F20,'Ürün Kartlar'!$B$5:$F$204,5,FALSE))),"")</f>
      </c>
      <c r="J20" s="23">
        <f>IFERROR(IF($F20="",Ayarlar!$C$9,VLOOKUP($F20,'Ürün Kartlar'!$B$5:$G$204,6,FALSE)),Ayarlar!$C$9)</f>
      </c>
      <c r="K20" s="18">
        <f>IF(OR($H20="",$I20=""),0,$H20*$I20)</f>
      </c>
      <c r="L20" s="18">
        <f>$K20*$J20</f>
      </c>
      <c r="M20" s="18">
        <f>$K20+$L20</f>
      </c>
      <c r="N20" s="20"/>
      <c r="O20" s="20"/>
      <c r="P20" s="20"/>
    </row>
    <row r="21" spans="2:16" x14ac:dyDescent="0.25">
      <c r="B21" s="15"/>
      <c r="C21" s="8"/>
      <c r="D21" s="8"/>
      <c r="E21" s="16">
        <f>IFERROR(IF($D21="","",VLOOKUP($D21,'Cari Kartlar'!$B$5:$C$204,2,FALSE)),"— tanımsız cari —")</f>
      </c>
      <c r="F21" s="8"/>
      <c r="G21" s="16">
        <f>IFERROR(IF($F21="","",VLOOKUP($F21,'Ürün Kartlar'!$B$5:$C$204,2,FALSE)),"— tanımsız ürün —")</f>
      </c>
      <c r="H21" s="17"/>
      <c r="I21" s="13">
        <f>IFERROR(IF($F21="","",IF($C21="Alış",VLOOKUP($F21,'Ürün Kartlar'!$B$5:$E$204,4,FALSE),VLOOKUP($F21,'Ürün Kartlar'!$B$5:$F$204,5,FALSE))),"")</f>
      </c>
      <c r="J21" s="11">
        <f>IFERROR(IF($F21="",Ayarlar!$C$9,VLOOKUP($F21,'Ürün Kartlar'!$B$5:$G$204,6,FALSE)),Ayarlar!$C$9)</f>
      </c>
      <c r="K21" s="18">
        <f>IF(OR($H21="",$I21=""),0,$H21*$I21)</f>
      </c>
      <c r="L21" s="18">
        <f>$K21*$J21</f>
      </c>
      <c r="M21" s="18">
        <f>$K21+$L21</f>
      </c>
      <c r="N21" s="8"/>
      <c r="O21" s="8"/>
      <c r="P21" s="8"/>
    </row>
    <row r="22" spans="2:16" x14ac:dyDescent="0.25">
      <c r="B22" s="19"/>
      <c r="C22" s="20"/>
      <c r="D22" s="20"/>
      <c r="E22" s="16">
        <f>IFERROR(IF($D22="","",VLOOKUP($D22,'Cari Kartlar'!$B$5:$C$204,2,FALSE)),"— tanımsız cari —")</f>
      </c>
      <c r="F22" s="20"/>
      <c r="G22" s="16">
        <f>IFERROR(IF($F22="","",VLOOKUP($F22,'Ürün Kartlar'!$B$5:$C$204,2,FALSE)),"— tanımsız ürün —")</f>
      </c>
      <c r="H22" s="21"/>
      <c r="I22" s="22">
        <f>IFERROR(IF($F22="","",IF($C22="Alış",VLOOKUP($F22,'Ürün Kartlar'!$B$5:$E$204,4,FALSE),VLOOKUP($F22,'Ürün Kartlar'!$B$5:$F$204,5,FALSE))),"")</f>
      </c>
      <c r="J22" s="23">
        <f>IFERROR(IF($F22="",Ayarlar!$C$9,VLOOKUP($F22,'Ürün Kartlar'!$B$5:$G$204,6,FALSE)),Ayarlar!$C$9)</f>
      </c>
      <c r="K22" s="18">
        <f>IF(OR($H22="",$I22=""),0,$H22*$I22)</f>
      </c>
      <c r="L22" s="18">
        <f>$K22*$J22</f>
      </c>
      <c r="M22" s="18">
        <f>$K22+$L22</f>
      </c>
      <c r="N22" s="20"/>
      <c r="O22" s="20"/>
      <c r="P22" s="20"/>
    </row>
    <row r="23" spans="2:16" x14ac:dyDescent="0.25">
      <c r="B23" s="15"/>
      <c r="C23" s="8"/>
      <c r="D23" s="8"/>
      <c r="E23" s="16">
        <f>IFERROR(IF($D23="","",VLOOKUP($D23,'Cari Kartlar'!$B$5:$C$204,2,FALSE)),"— tanımsız cari —")</f>
      </c>
      <c r="F23" s="8"/>
      <c r="G23" s="16">
        <f>IFERROR(IF($F23="","",VLOOKUP($F23,'Ürün Kartlar'!$B$5:$C$204,2,FALSE)),"— tanımsız ürün —")</f>
      </c>
      <c r="H23" s="17"/>
      <c r="I23" s="13">
        <f>IFERROR(IF($F23="","",IF($C23="Alış",VLOOKUP($F23,'Ürün Kartlar'!$B$5:$E$204,4,FALSE),VLOOKUP($F23,'Ürün Kartlar'!$B$5:$F$204,5,FALSE))),"")</f>
      </c>
      <c r="J23" s="11">
        <f>IFERROR(IF($F23="",Ayarlar!$C$9,VLOOKUP($F23,'Ürün Kartlar'!$B$5:$G$204,6,FALSE)),Ayarlar!$C$9)</f>
      </c>
      <c r="K23" s="18">
        <f>IF(OR($H23="",$I23=""),0,$H23*$I23)</f>
      </c>
      <c r="L23" s="18">
        <f>$K23*$J23</f>
      </c>
      <c r="M23" s="18">
        <f>$K23+$L23</f>
      </c>
      <c r="N23" s="8"/>
      <c r="O23" s="8"/>
      <c r="P23" s="8"/>
    </row>
    <row r="24" spans="2:16" x14ac:dyDescent="0.25">
      <c r="B24" s="19"/>
      <c r="C24" s="20"/>
      <c r="D24" s="20"/>
      <c r="E24" s="16">
        <f>IFERROR(IF($D24="","",VLOOKUP($D24,'Cari Kartlar'!$B$5:$C$204,2,FALSE)),"— tanımsız cari —")</f>
      </c>
      <c r="F24" s="20"/>
      <c r="G24" s="16">
        <f>IFERROR(IF($F24="","",VLOOKUP($F24,'Ürün Kartlar'!$B$5:$C$204,2,FALSE)),"— tanımsız ürün —")</f>
      </c>
      <c r="H24" s="21"/>
      <c r="I24" s="22">
        <f>IFERROR(IF($F24="","",IF($C24="Alış",VLOOKUP($F24,'Ürün Kartlar'!$B$5:$E$204,4,FALSE),VLOOKUP($F24,'Ürün Kartlar'!$B$5:$F$204,5,FALSE))),"")</f>
      </c>
      <c r="J24" s="23">
        <f>IFERROR(IF($F24="",Ayarlar!$C$9,VLOOKUP($F24,'Ürün Kartlar'!$B$5:$G$204,6,FALSE)),Ayarlar!$C$9)</f>
      </c>
      <c r="K24" s="18">
        <f>IF(OR($H24="",$I24=""),0,$H24*$I24)</f>
      </c>
      <c r="L24" s="18">
        <f>$K24*$J24</f>
      </c>
      <c r="M24" s="18">
        <f>$K24+$L24</f>
      </c>
      <c r="N24" s="20"/>
      <c r="O24" s="20"/>
      <c r="P24" s="20"/>
    </row>
    <row r="25" spans="2:16" x14ac:dyDescent="0.25">
      <c r="B25" s="15"/>
      <c r="C25" s="8"/>
      <c r="D25" s="8"/>
      <c r="E25" s="16">
        <f>IFERROR(IF($D25="","",VLOOKUP($D25,'Cari Kartlar'!$B$5:$C$204,2,FALSE)),"— tanımsız cari —")</f>
      </c>
      <c r="F25" s="8"/>
      <c r="G25" s="16">
        <f>IFERROR(IF($F25="","",VLOOKUP($F25,'Ürün Kartlar'!$B$5:$C$204,2,FALSE)),"— tanımsız ürün —")</f>
      </c>
      <c r="H25" s="17"/>
      <c r="I25" s="13">
        <f>IFERROR(IF($F25="","",IF($C25="Alış",VLOOKUP($F25,'Ürün Kartlar'!$B$5:$E$204,4,FALSE),VLOOKUP($F25,'Ürün Kartlar'!$B$5:$F$204,5,FALSE))),"")</f>
      </c>
      <c r="J25" s="11">
        <f>IFERROR(IF($F25="",Ayarlar!$C$9,VLOOKUP($F25,'Ürün Kartlar'!$B$5:$G$204,6,FALSE)),Ayarlar!$C$9)</f>
      </c>
      <c r="K25" s="18">
        <f>IF(OR($H25="",$I25=""),0,$H25*$I25)</f>
      </c>
      <c r="L25" s="18">
        <f>$K25*$J25</f>
      </c>
      <c r="M25" s="18">
        <f>$K25+$L25</f>
      </c>
      <c r="N25" s="8"/>
      <c r="O25" s="8"/>
      <c r="P25" s="8"/>
    </row>
    <row r="26" spans="2:16" x14ac:dyDescent="0.25">
      <c r="B26" s="19"/>
      <c r="C26" s="20"/>
      <c r="D26" s="20"/>
      <c r="E26" s="16">
        <f>IFERROR(IF($D26="","",VLOOKUP($D26,'Cari Kartlar'!$B$5:$C$204,2,FALSE)),"— tanımsız cari —")</f>
      </c>
      <c r="F26" s="20"/>
      <c r="G26" s="16">
        <f>IFERROR(IF($F26="","",VLOOKUP($F26,'Ürün Kartlar'!$B$5:$C$204,2,FALSE)),"— tanımsız ürün —")</f>
      </c>
      <c r="H26" s="21"/>
      <c r="I26" s="22">
        <f>IFERROR(IF($F26="","",IF($C26="Alış",VLOOKUP($F26,'Ürün Kartlar'!$B$5:$E$204,4,FALSE),VLOOKUP($F26,'Ürün Kartlar'!$B$5:$F$204,5,FALSE))),"")</f>
      </c>
      <c r="J26" s="23">
        <f>IFERROR(IF($F26="",Ayarlar!$C$9,VLOOKUP($F26,'Ürün Kartlar'!$B$5:$G$204,6,FALSE)),Ayarlar!$C$9)</f>
      </c>
      <c r="K26" s="18">
        <f>IF(OR($H26="",$I26=""),0,$H26*$I26)</f>
      </c>
      <c r="L26" s="18">
        <f>$K26*$J26</f>
      </c>
      <c r="M26" s="18">
        <f>$K26+$L26</f>
      </c>
      <c r="N26" s="20"/>
      <c r="O26" s="20"/>
      <c r="P26" s="20"/>
    </row>
    <row r="27" spans="2:16" x14ac:dyDescent="0.25">
      <c r="B27" s="15"/>
      <c r="C27" s="8"/>
      <c r="D27" s="8"/>
      <c r="E27" s="16">
        <f>IFERROR(IF($D27="","",VLOOKUP($D27,'Cari Kartlar'!$B$5:$C$204,2,FALSE)),"— tanımsız cari —")</f>
      </c>
      <c r="F27" s="8"/>
      <c r="G27" s="16">
        <f>IFERROR(IF($F27="","",VLOOKUP($F27,'Ürün Kartlar'!$B$5:$C$204,2,FALSE)),"— tanımsız ürün —")</f>
      </c>
      <c r="H27" s="17"/>
      <c r="I27" s="13">
        <f>IFERROR(IF($F27="","",IF($C27="Alış",VLOOKUP($F27,'Ürün Kartlar'!$B$5:$E$204,4,FALSE),VLOOKUP($F27,'Ürün Kartlar'!$B$5:$F$204,5,FALSE))),"")</f>
      </c>
      <c r="J27" s="11">
        <f>IFERROR(IF($F27="",Ayarlar!$C$9,VLOOKUP($F27,'Ürün Kartlar'!$B$5:$G$204,6,FALSE)),Ayarlar!$C$9)</f>
      </c>
      <c r="K27" s="18">
        <f>IF(OR($H27="",$I27=""),0,$H27*$I27)</f>
      </c>
      <c r="L27" s="18">
        <f>$K27*$J27</f>
      </c>
      <c r="M27" s="18">
        <f>$K27+$L27</f>
      </c>
      <c r="N27" s="8"/>
      <c r="O27" s="8"/>
      <c r="P27" s="8"/>
    </row>
    <row r="28" spans="2:16" x14ac:dyDescent="0.25">
      <c r="B28" s="19"/>
      <c r="C28" s="20"/>
      <c r="D28" s="20"/>
      <c r="E28" s="16">
        <f>IFERROR(IF($D28="","",VLOOKUP($D28,'Cari Kartlar'!$B$5:$C$204,2,FALSE)),"— tanımsız cari —")</f>
      </c>
      <c r="F28" s="20"/>
      <c r="G28" s="16">
        <f>IFERROR(IF($F28="","",VLOOKUP($F28,'Ürün Kartlar'!$B$5:$C$204,2,FALSE)),"— tanımsız ürün —")</f>
      </c>
      <c r="H28" s="21"/>
      <c r="I28" s="22">
        <f>IFERROR(IF($F28="","",IF($C28="Alış",VLOOKUP($F28,'Ürün Kartlar'!$B$5:$E$204,4,FALSE),VLOOKUP($F28,'Ürün Kartlar'!$B$5:$F$204,5,FALSE))),"")</f>
      </c>
      <c r="J28" s="23">
        <f>IFERROR(IF($F28="",Ayarlar!$C$9,VLOOKUP($F28,'Ürün Kartlar'!$B$5:$G$204,6,FALSE)),Ayarlar!$C$9)</f>
      </c>
      <c r="K28" s="18">
        <f>IF(OR($H28="",$I28=""),0,$H28*$I28)</f>
      </c>
      <c r="L28" s="18">
        <f>$K28*$J28</f>
      </c>
      <c r="M28" s="18">
        <f>$K28+$L28</f>
      </c>
      <c r="N28" s="20"/>
      <c r="O28" s="20"/>
      <c r="P28" s="20"/>
    </row>
    <row r="29" spans="2:16" x14ac:dyDescent="0.25">
      <c r="B29" s="15"/>
      <c r="C29" s="8"/>
      <c r="D29" s="8"/>
      <c r="E29" s="16">
        <f>IFERROR(IF($D29="","",VLOOKUP($D29,'Cari Kartlar'!$B$5:$C$204,2,FALSE)),"— tanımsız cari —")</f>
      </c>
      <c r="F29" s="8"/>
      <c r="G29" s="16">
        <f>IFERROR(IF($F29="","",VLOOKUP($F29,'Ürün Kartlar'!$B$5:$C$204,2,FALSE)),"— tanımsız ürün —")</f>
      </c>
      <c r="H29" s="17"/>
      <c r="I29" s="13">
        <f>IFERROR(IF($F29="","",IF($C29="Alış",VLOOKUP($F29,'Ürün Kartlar'!$B$5:$E$204,4,FALSE),VLOOKUP($F29,'Ürün Kartlar'!$B$5:$F$204,5,FALSE))),"")</f>
      </c>
      <c r="J29" s="11">
        <f>IFERROR(IF($F29="",Ayarlar!$C$9,VLOOKUP($F29,'Ürün Kartlar'!$B$5:$G$204,6,FALSE)),Ayarlar!$C$9)</f>
      </c>
      <c r="K29" s="18">
        <f>IF(OR($H29="",$I29=""),0,$H29*$I29)</f>
      </c>
      <c r="L29" s="18">
        <f>$K29*$J29</f>
      </c>
      <c r="M29" s="18">
        <f>$K29+$L29</f>
      </c>
      <c r="N29" s="8"/>
      <c r="O29" s="8"/>
      <c r="P29" s="8"/>
    </row>
    <row r="30" spans="2:16" x14ac:dyDescent="0.25">
      <c r="B30" s="19"/>
      <c r="C30" s="20"/>
      <c r="D30" s="20"/>
      <c r="E30" s="16">
        <f>IFERROR(IF($D30="","",VLOOKUP($D30,'Cari Kartlar'!$B$5:$C$204,2,FALSE)),"— tanımsız cari —")</f>
      </c>
      <c r="F30" s="20"/>
      <c r="G30" s="16">
        <f>IFERROR(IF($F30="","",VLOOKUP($F30,'Ürün Kartlar'!$B$5:$C$204,2,FALSE)),"— tanımsız ürün —")</f>
      </c>
      <c r="H30" s="21"/>
      <c r="I30" s="22">
        <f>IFERROR(IF($F30="","",IF($C30="Alış",VLOOKUP($F30,'Ürün Kartlar'!$B$5:$E$204,4,FALSE),VLOOKUP($F30,'Ürün Kartlar'!$B$5:$F$204,5,FALSE))),"")</f>
      </c>
      <c r="J30" s="23">
        <f>IFERROR(IF($F30="",Ayarlar!$C$9,VLOOKUP($F30,'Ürün Kartlar'!$B$5:$G$204,6,FALSE)),Ayarlar!$C$9)</f>
      </c>
      <c r="K30" s="18">
        <f>IF(OR($H30="",$I30=""),0,$H30*$I30)</f>
      </c>
      <c r="L30" s="18">
        <f>$K30*$J30</f>
      </c>
      <c r="M30" s="18">
        <f>$K30+$L30</f>
      </c>
      <c r="N30" s="20"/>
      <c r="O30" s="20"/>
      <c r="P30" s="20"/>
    </row>
    <row r="31" spans="2:16" x14ac:dyDescent="0.25">
      <c r="B31" s="15"/>
      <c r="C31" s="8"/>
      <c r="D31" s="8"/>
      <c r="E31" s="16">
        <f>IFERROR(IF($D31="","",VLOOKUP($D31,'Cari Kartlar'!$B$5:$C$204,2,FALSE)),"— tanımsız cari —")</f>
      </c>
      <c r="F31" s="8"/>
      <c r="G31" s="16">
        <f>IFERROR(IF($F31="","",VLOOKUP($F31,'Ürün Kartlar'!$B$5:$C$204,2,FALSE)),"— tanımsız ürün —")</f>
      </c>
      <c r="H31" s="17"/>
      <c r="I31" s="13">
        <f>IFERROR(IF($F31="","",IF($C31="Alış",VLOOKUP($F31,'Ürün Kartlar'!$B$5:$E$204,4,FALSE),VLOOKUP($F31,'Ürün Kartlar'!$B$5:$F$204,5,FALSE))),"")</f>
      </c>
      <c r="J31" s="11">
        <f>IFERROR(IF($F31="",Ayarlar!$C$9,VLOOKUP($F31,'Ürün Kartlar'!$B$5:$G$204,6,FALSE)),Ayarlar!$C$9)</f>
      </c>
      <c r="K31" s="18">
        <f>IF(OR($H31="",$I31=""),0,$H31*$I31)</f>
      </c>
      <c r="L31" s="18">
        <f>$K31*$J31</f>
      </c>
      <c r="M31" s="18">
        <f>$K31+$L31</f>
      </c>
      <c r="N31" s="8"/>
      <c r="O31" s="8"/>
      <c r="P31" s="8"/>
    </row>
    <row r="32" spans="2:16" x14ac:dyDescent="0.25">
      <c r="B32" s="19"/>
      <c r="C32" s="20"/>
      <c r="D32" s="20"/>
      <c r="E32" s="16">
        <f>IFERROR(IF($D32="","",VLOOKUP($D32,'Cari Kartlar'!$B$5:$C$204,2,FALSE)),"— tanımsız cari —")</f>
      </c>
      <c r="F32" s="20"/>
      <c r="G32" s="16">
        <f>IFERROR(IF($F32="","",VLOOKUP($F32,'Ürün Kartlar'!$B$5:$C$204,2,FALSE)),"— tanımsız ürün —")</f>
      </c>
      <c r="H32" s="21"/>
      <c r="I32" s="22">
        <f>IFERROR(IF($F32="","",IF($C32="Alış",VLOOKUP($F32,'Ürün Kartlar'!$B$5:$E$204,4,FALSE),VLOOKUP($F32,'Ürün Kartlar'!$B$5:$F$204,5,FALSE))),"")</f>
      </c>
      <c r="J32" s="23">
        <f>IFERROR(IF($F32="",Ayarlar!$C$9,VLOOKUP($F32,'Ürün Kartlar'!$B$5:$G$204,6,FALSE)),Ayarlar!$C$9)</f>
      </c>
      <c r="K32" s="18">
        <f>IF(OR($H32="",$I32=""),0,$H32*$I32)</f>
      </c>
      <c r="L32" s="18">
        <f>$K32*$J32</f>
      </c>
      <c r="M32" s="18">
        <f>$K32+$L32</f>
      </c>
      <c r="N32" s="20"/>
      <c r="O32" s="20"/>
      <c r="P32" s="20"/>
    </row>
    <row r="33" spans="2:16" x14ac:dyDescent="0.25">
      <c r="B33" s="15"/>
      <c r="C33" s="8"/>
      <c r="D33" s="8"/>
      <c r="E33" s="16">
        <f>IFERROR(IF($D33="","",VLOOKUP($D33,'Cari Kartlar'!$B$5:$C$204,2,FALSE)),"— tanımsız cari —")</f>
      </c>
      <c r="F33" s="8"/>
      <c r="G33" s="16">
        <f>IFERROR(IF($F33="","",VLOOKUP($F33,'Ürün Kartlar'!$B$5:$C$204,2,FALSE)),"— tanımsız ürün —")</f>
      </c>
      <c r="H33" s="17"/>
      <c r="I33" s="13">
        <f>IFERROR(IF($F33="","",IF($C33="Alış",VLOOKUP($F33,'Ürün Kartlar'!$B$5:$E$204,4,FALSE),VLOOKUP($F33,'Ürün Kartlar'!$B$5:$F$204,5,FALSE))),"")</f>
      </c>
      <c r="J33" s="11">
        <f>IFERROR(IF($F33="",Ayarlar!$C$9,VLOOKUP($F33,'Ürün Kartlar'!$B$5:$G$204,6,FALSE)),Ayarlar!$C$9)</f>
      </c>
      <c r="K33" s="18">
        <f>IF(OR($H33="",$I33=""),0,$H33*$I33)</f>
      </c>
      <c r="L33" s="18">
        <f>$K33*$J33</f>
      </c>
      <c r="M33" s="18">
        <f>$K33+$L33</f>
      </c>
      <c r="N33" s="8"/>
      <c r="O33" s="8"/>
      <c r="P33" s="8"/>
    </row>
    <row r="34" spans="2:16" x14ac:dyDescent="0.25">
      <c r="B34" s="19"/>
      <c r="C34" s="20"/>
      <c r="D34" s="20"/>
      <c r="E34" s="16">
        <f>IFERROR(IF($D34="","",VLOOKUP($D34,'Cari Kartlar'!$B$5:$C$204,2,FALSE)),"— tanımsız cari —")</f>
      </c>
      <c r="F34" s="20"/>
      <c r="G34" s="16">
        <f>IFERROR(IF($F34="","",VLOOKUP($F34,'Ürün Kartlar'!$B$5:$C$204,2,FALSE)),"— tanımsız ürün —")</f>
      </c>
      <c r="H34" s="21"/>
      <c r="I34" s="22">
        <f>IFERROR(IF($F34="","",IF($C34="Alış",VLOOKUP($F34,'Ürün Kartlar'!$B$5:$E$204,4,FALSE),VLOOKUP($F34,'Ürün Kartlar'!$B$5:$F$204,5,FALSE))),"")</f>
      </c>
      <c r="J34" s="23">
        <f>IFERROR(IF($F34="",Ayarlar!$C$9,VLOOKUP($F34,'Ürün Kartlar'!$B$5:$G$204,6,FALSE)),Ayarlar!$C$9)</f>
      </c>
      <c r="K34" s="18">
        <f>IF(OR($H34="",$I34=""),0,$H34*$I34)</f>
      </c>
      <c r="L34" s="18">
        <f>$K34*$J34</f>
      </c>
      <c r="M34" s="18">
        <f>$K34+$L34</f>
      </c>
      <c r="N34" s="20"/>
      <c r="O34" s="20"/>
      <c r="P34" s="20"/>
    </row>
    <row r="35" spans="2:16" x14ac:dyDescent="0.25">
      <c r="B35" s="15"/>
      <c r="C35" s="8"/>
      <c r="D35" s="8"/>
      <c r="E35" s="16">
        <f>IFERROR(IF($D35="","",VLOOKUP($D35,'Cari Kartlar'!$B$5:$C$204,2,FALSE)),"— tanımsız cari —")</f>
      </c>
      <c r="F35" s="8"/>
      <c r="G35" s="16">
        <f>IFERROR(IF($F35="","",VLOOKUP($F35,'Ürün Kartlar'!$B$5:$C$204,2,FALSE)),"— tanımsız ürün —")</f>
      </c>
      <c r="H35" s="17"/>
      <c r="I35" s="13">
        <f>IFERROR(IF($F35="","",IF($C35="Alış",VLOOKUP($F35,'Ürün Kartlar'!$B$5:$E$204,4,FALSE),VLOOKUP($F35,'Ürün Kartlar'!$B$5:$F$204,5,FALSE))),"")</f>
      </c>
      <c r="J35" s="11">
        <f>IFERROR(IF($F35="",Ayarlar!$C$9,VLOOKUP($F35,'Ürün Kartlar'!$B$5:$G$204,6,FALSE)),Ayarlar!$C$9)</f>
      </c>
      <c r="K35" s="18">
        <f>IF(OR($H35="",$I35=""),0,$H35*$I35)</f>
      </c>
      <c r="L35" s="18">
        <f>$K35*$J35</f>
      </c>
      <c r="M35" s="18">
        <f>$K35+$L35</f>
      </c>
      <c r="N35" s="8"/>
      <c r="O35" s="8"/>
      <c r="P35" s="8"/>
    </row>
    <row r="36" spans="2:16" x14ac:dyDescent="0.25">
      <c r="B36" s="19"/>
      <c r="C36" s="20"/>
      <c r="D36" s="20"/>
      <c r="E36" s="16">
        <f>IFERROR(IF($D36="","",VLOOKUP($D36,'Cari Kartlar'!$B$5:$C$204,2,FALSE)),"— tanımsız cari —")</f>
      </c>
      <c r="F36" s="20"/>
      <c r="G36" s="16">
        <f>IFERROR(IF($F36="","",VLOOKUP($F36,'Ürün Kartlar'!$B$5:$C$204,2,FALSE)),"— tanımsız ürün —")</f>
      </c>
      <c r="H36" s="21"/>
      <c r="I36" s="22">
        <f>IFERROR(IF($F36="","",IF($C36="Alış",VLOOKUP($F36,'Ürün Kartlar'!$B$5:$E$204,4,FALSE),VLOOKUP($F36,'Ürün Kartlar'!$B$5:$F$204,5,FALSE))),"")</f>
      </c>
      <c r="J36" s="23">
        <f>IFERROR(IF($F36="",Ayarlar!$C$9,VLOOKUP($F36,'Ürün Kartlar'!$B$5:$G$204,6,FALSE)),Ayarlar!$C$9)</f>
      </c>
      <c r="K36" s="18">
        <f>IF(OR($H36="",$I36=""),0,$H36*$I36)</f>
      </c>
      <c r="L36" s="18">
        <f>$K36*$J36</f>
      </c>
      <c r="M36" s="18">
        <f>$K36+$L36</f>
      </c>
      <c r="N36" s="20"/>
      <c r="O36" s="20"/>
      <c r="P36" s="20"/>
    </row>
    <row r="37" spans="2:16" x14ac:dyDescent="0.25">
      <c r="B37" s="15"/>
      <c r="C37" s="8"/>
      <c r="D37" s="8"/>
      <c r="E37" s="16">
        <f>IFERROR(IF($D37="","",VLOOKUP($D37,'Cari Kartlar'!$B$5:$C$204,2,FALSE)),"— tanımsız cari —")</f>
      </c>
      <c r="F37" s="8"/>
      <c r="G37" s="16">
        <f>IFERROR(IF($F37="","",VLOOKUP($F37,'Ürün Kartlar'!$B$5:$C$204,2,FALSE)),"— tanımsız ürün —")</f>
      </c>
      <c r="H37" s="17"/>
      <c r="I37" s="13">
        <f>IFERROR(IF($F37="","",IF($C37="Alış",VLOOKUP($F37,'Ürün Kartlar'!$B$5:$E$204,4,FALSE),VLOOKUP($F37,'Ürün Kartlar'!$B$5:$F$204,5,FALSE))),"")</f>
      </c>
      <c r="J37" s="11">
        <f>IFERROR(IF($F37="",Ayarlar!$C$9,VLOOKUP($F37,'Ürün Kartlar'!$B$5:$G$204,6,FALSE)),Ayarlar!$C$9)</f>
      </c>
      <c r="K37" s="18">
        <f>IF(OR($H37="",$I37=""),0,$H37*$I37)</f>
      </c>
      <c r="L37" s="18">
        <f>$K37*$J37</f>
      </c>
      <c r="M37" s="18">
        <f>$K37+$L37</f>
      </c>
      <c r="N37" s="8"/>
      <c r="O37" s="8"/>
      <c r="P37" s="8"/>
    </row>
    <row r="38" spans="2:16" x14ac:dyDescent="0.25">
      <c r="B38" s="19"/>
      <c r="C38" s="20"/>
      <c r="D38" s="20"/>
      <c r="E38" s="16">
        <f>IFERROR(IF($D38="","",VLOOKUP($D38,'Cari Kartlar'!$B$5:$C$204,2,FALSE)),"— tanımsız cari —")</f>
      </c>
      <c r="F38" s="20"/>
      <c r="G38" s="16">
        <f>IFERROR(IF($F38="","",VLOOKUP($F38,'Ürün Kartlar'!$B$5:$C$204,2,FALSE)),"— tanımsız ürün —")</f>
      </c>
      <c r="H38" s="21"/>
      <c r="I38" s="22">
        <f>IFERROR(IF($F38="","",IF($C38="Alış",VLOOKUP($F38,'Ürün Kartlar'!$B$5:$E$204,4,FALSE),VLOOKUP($F38,'Ürün Kartlar'!$B$5:$F$204,5,FALSE))),"")</f>
      </c>
      <c r="J38" s="23">
        <f>IFERROR(IF($F38="",Ayarlar!$C$9,VLOOKUP($F38,'Ürün Kartlar'!$B$5:$G$204,6,FALSE)),Ayarlar!$C$9)</f>
      </c>
      <c r="K38" s="18">
        <f>IF(OR($H38="",$I38=""),0,$H38*$I38)</f>
      </c>
      <c r="L38" s="18">
        <f>$K38*$J38</f>
      </c>
      <c r="M38" s="18">
        <f>$K38+$L38</f>
      </c>
      <c r="N38" s="20"/>
      <c r="O38" s="20"/>
      <c r="P38" s="20"/>
    </row>
    <row r="39" spans="2:16" x14ac:dyDescent="0.25">
      <c r="B39" s="15"/>
      <c r="C39" s="8"/>
      <c r="D39" s="8"/>
      <c r="E39" s="16">
        <f>IFERROR(IF($D39="","",VLOOKUP($D39,'Cari Kartlar'!$B$5:$C$204,2,FALSE)),"— tanımsız cari —")</f>
      </c>
      <c r="F39" s="8"/>
      <c r="G39" s="16">
        <f>IFERROR(IF($F39="","",VLOOKUP($F39,'Ürün Kartlar'!$B$5:$C$204,2,FALSE)),"— tanımsız ürün —")</f>
      </c>
      <c r="H39" s="17"/>
      <c r="I39" s="13">
        <f>IFERROR(IF($F39="","",IF($C39="Alış",VLOOKUP($F39,'Ürün Kartlar'!$B$5:$E$204,4,FALSE),VLOOKUP($F39,'Ürün Kartlar'!$B$5:$F$204,5,FALSE))),"")</f>
      </c>
      <c r="J39" s="11">
        <f>IFERROR(IF($F39="",Ayarlar!$C$9,VLOOKUP($F39,'Ürün Kartlar'!$B$5:$G$204,6,FALSE)),Ayarlar!$C$9)</f>
      </c>
      <c r="K39" s="18">
        <f>IF(OR($H39="",$I39=""),0,$H39*$I39)</f>
      </c>
      <c r="L39" s="18">
        <f>$K39*$J39</f>
      </c>
      <c r="M39" s="18">
        <f>$K39+$L39</f>
      </c>
      <c r="N39" s="8"/>
      <c r="O39" s="8"/>
      <c r="P39" s="8"/>
    </row>
    <row r="40" spans="2:16" x14ac:dyDescent="0.25">
      <c r="B40" s="19"/>
      <c r="C40" s="20"/>
      <c r="D40" s="20"/>
      <c r="E40" s="16">
        <f>IFERROR(IF($D40="","",VLOOKUP($D40,'Cari Kartlar'!$B$5:$C$204,2,FALSE)),"— tanımsız cari —")</f>
      </c>
      <c r="F40" s="20"/>
      <c r="G40" s="16">
        <f>IFERROR(IF($F40="","",VLOOKUP($F40,'Ürün Kartlar'!$B$5:$C$204,2,FALSE)),"— tanımsız ürün —")</f>
      </c>
      <c r="H40" s="21"/>
      <c r="I40" s="22">
        <f>IFERROR(IF($F40="","",IF($C40="Alış",VLOOKUP($F40,'Ürün Kartlar'!$B$5:$E$204,4,FALSE),VLOOKUP($F40,'Ürün Kartlar'!$B$5:$F$204,5,FALSE))),"")</f>
      </c>
      <c r="J40" s="23">
        <f>IFERROR(IF($F40="",Ayarlar!$C$9,VLOOKUP($F40,'Ürün Kartlar'!$B$5:$G$204,6,FALSE)),Ayarlar!$C$9)</f>
      </c>
      <c r="K40" s="18">
        <f>IF(OR($H40="",$I40=""),0,$H40*$I40)</f>
      </c>
      <c r="L40" s="18">
        <f>$K40*$J40</f>
      </c>
      <c r="M40" s="18">
        <f>$K40+$L40</f>
      </c>
      <c r="N40" s="20"/>
      <c r="O40" s="20"/>
      <c r="P40" s="20"/>
    </row>
    <row r="41" spans="2:16" x14ac:dyDescent="0.25">
      <c r="B41" s="15"/>
      <c r="C41" s="8"/>
      <c r="D41" s="8"/>
      <c r="E41" s="16">
        <f>IFERROR(IF($D41="","",VLOOKUP($D41,'Cari Kartlar'!$B$5:$C$204,2,FALSE)),"— tanımsız cari —")</f>
      </c>
      <c r="F41" s="8"/>
      <c r="G41" s="16">
        <f>IFERROR(IF($F41="","",VLOOKUP($F41,'Ürün Kartlar'!$B$5:$C$204,2,FALSE)),"— tanımsız ürün —")</f>
      </c>
      <c r="H41" s="17"/>
      <c r="I41" s="13">
        <f>IFERROR(IF($F41="","",IF($C41="Alış",VLOOKUP($F41,'Ürün Kartlar'!$B$5:$E$204,4,FALSE),VLOOKUP($F41,'Ürün Kartlar'!$B$5:$F$204,5,FALSE))),"")</f>
      </c>
      <c r="J41" s="11">
        <f>IFERROR(IF($F41="",Ayarlar!$C$9,VLOOKUP($F41,'Ürün Kartlar'!$B$5:$G$204,6,FALSE)),Ayarlar!$C$9)</f>
      </c>
      <c r="K41" s="18">
        <f>IF(OR($H41="",$I41=""),0,$H41*$I41)</f>
      </c>
      <c r="L41" s="18">
        <f>$K41*$J41</f>
      </c>
      <c r="M41" s="18">
        <f>$K41+$L41</f>
      </c>
      <c r="N41" s="8"/>
      <c r="O41" s="8"/>
      <c r="P41" s="8"/>
    </row>
    <row r="42" spans="2:16" x14ac:dyDescent="0.25">
      <c r="B42" s="19"/>
      <c r="C42" s="20"/>
      <c r="D42" s="20"/>
      <c r="E42" s="16">
        <f>IFERROR(IF($D42="","",VLOOKUP($D42,'Cari Kartlar'!$B$5:$C$204,2,FALSE)),"— tanımsız cari —")</f>
      </c>
      <c r="F42" s="20"/>
      <c r="G42" s="16">
        <f>IFERROR(IF($F42="","",VLOOKUP($F42,'Ürün Kartlar'!$B$5:$C$204,2,FALSE)),"— tanımsız ürün —")</f>
      </c>
      <c r="H42" s="21"/>
      <c r="I42" s="22">
        <f>IFERROR(IF($F42="","",IF($C42="Alış",VLOOKUP($F42,'Ürün Kartlar'!$B$5:$E$204,4,FALSE),VLOOKUP($F42,'Ürün Kartlar'!$B$5:$F$204,5,FALSE))),"")</f>
      </c>
      <c r="J42" s="23">
        <f>IFERROR(IF($F42="",Ayarlar!$C$9,VLOOKUP($F42,'Ürün Kartlar'!$B$5:$G$204,6,FALSE)),Ayarlar!$C$9)</f>
      </c>
      <c r="K42" s="18">
        <f>IF(OR($H42="",$I42=""),0,$H42*$I42)</f>
      </c>
      <c r="L42" s="18">
        <f>$K42*$J42</f>
      </c>
      <c r="M42" s="18">
        <f>$K42+$L42</f>
      </c>
      <c r="N42" s="20"/>
      <c r="O42" s="20"/>
      <c r="P42" s="20"/>
    </row>
    <row r="43" spans="2:16" x14ac:dyDescent="0.25">
      <c r="B43" s="15"/>
      <c r="C43" s="8"/>
      <c r="D43" s="8"/>
      <c r="E43" s="16">
        <f>IFERROR(IF($D43="","",VLOOKUP($D43,'Cari Kartlar'!$B$5:$C$204,2,FALSE)),"— tanımsız cari —")</f>
      </c>
      <c r="F43" s="8"/>
      <c r="G43" s="16">
        <f>IFERROR(IF($F43="","",VLOOKUP($F43,'Ürün Kartlar'!$B$5:$C$204,2,FALSE)),"— tanımsız ürün —")</f>
      </c>
      <c r="H43" s="17"/>
      <c r="I43" s="13">
        <f>IFERROR(IF($F43="","",IF($C43="Alış",VLOOKUP($F43,'Ürün Kartlar'!$B$5:$E$204,4,FALSE),VLOOKUP($F43,'Ürün Kartlar'!$B$5:$F$204,5,FALSE))),"")</f>
      </c>
      <c r="J43" s="11">
        <f>IFERROR(IF($F43="",Ayarlar!$C$9,VLOOKUP($F43,'Ürün Kartlar'!$B$5:$G$204,6,FALSE)),Ayarlar!$C$9)</f>
      </c>
      <c r="K43" s="18">
        <f>IF(OR($H43="",$I43=""),0,$H43*$I43)</f>
      </c>
      <c r="L43" s="18">
        <f>$K43*$J43</f>
      </c>
      <c r="M43" s="18">
        <f>$K43+$L43</f>
      </c>
      <c r="N43" s="8"/>
      <c r="O43" s="8"/>
      <c r="P43" s="8"/>
    </row>
    <row r="44" spans="2:16" x14ac:dyDescent="0.25">
      <c r="B44" s="19"/>
      <c r="C44" s="20"/>
      <c r="D44" s="20"/>
      <c r="E44" s="16">
        <f>IFERROR(IF($D44="","",VLOOKUP($D44,'Cari Kartlar'!$B$5:$C$204,2,FALSE)),"— tanımsız cari —")</f>
      </c>
      <c r="F44" s="20"/>
      <c r="G44" s="16">
        <f>IFERROR(IF($F44="","",VLOOKUP($F44,'Ürün Kartlar'!$B$5:$C$204,2,FALSE)),"— tanımsız ürün —")</f>
      </c>
      <c r="H44" s="21"/>
      <c r="I44" s="22">
        <f>IFERROR(IF($F44="","",IF($C44="Alış",VLOOKUP($F44,'Ürün Kartlar'!$B$5:$E$204,4,FALSE),VLOOKUP($F44,'Ürün Kartlar'!$B$5:$F$204,5,FALSE))),"")</f>
      </c>
      <c r="J44" s="23">
        <f>IFERROR(IF($F44="",Ayarlar!$C$9,VLOOKUP($F44,'Ürün Kartlar'!$B$5:$G$204,6,FALSE)),Ayarlar!$C$9)</f>
      </c>
      <c r="K44" s="18">
        <f>IF(OR($H44="",$I44=""),0,$H44*$I44)</f>
      </c>
      <c r="L44" s="18">
        <f>$K44*$J44</f>
      </c>
      <c r="M44" s="18">
        <f>$K44+$L44</f>
      </c>
      <c r="N44" s="20"/>
      <c r="O44" s="20"/>
      <c r="P44" s="20"/>
    </row>
    <row r="45" spans="2:16" x14ac:dyDescent="0.25">
      <c r="B45" s="15"/>
      <c r="C45" s="8"/>
      <c r="D45" s="8"/>
      <c r="E45" s="16">
        <f>IFERROR(IF($D45="","",VLOOKUP($D45,'Cari Kartlar'!$B$5:$C$204,2,FALSE)),"— tanımsız cari —")</f>
      </c>
      <c r="F45" s="8"/>
      <c r="G45" s="16">
        <f>IFERROR(IF($F45="","",VLOOKUP($F45,'Ürün Kartlar'!$B$5:$C$204,2,FALSE)),"— tanımsız ürün —")</f>
      </c>
      <c r="H45" s="17"/>
      <c r="I45" s="13">
        <f>IFERROR(IF($F45="","",IF($C45="Alış",VLOOKUP($F45,'Ürün Kartlar'!$B$5:$E$204,4,FALSE),VLOOKUP($F45,'Ürün Kartlar'!$B$5:$F$204,5,FALSE))),"")</f>
      </c>
      <c r="J45" s="11">
        <f>IFERROR(IF($F45="",Ayarlar!$C$9,VLOOKUP($F45,'Ürün Kartlar'!$B$5:$G$204,6,FALSE)),Ayarlar!$C$9)</f>
      </c>
      <c r="K45" s="18">
        <f>IF(OR($H45="",$I45=""),0,$H45*$I45)</f>
      </c>
      <c r="L45" s="18">
        <f>$K45*$J45</f>
      </c>
      <c r="M45" s="18">
        <f>$K45+$L45</f>
      </c>
      <c r="N45" s="8"/>
      <c r="O45" s="8"/>
      <c r="P45" s="8"/>
    </row>
    <row r="46" spans="2:16" x14ac:dyDescent="0.25">
      <c r="B46" s="19"/>
      <c r="C46" s="20"/>
      <c r="D46" s="20"/>
      <c r="E46" s="16">
        <f>IFERROR(IF($D46="","",VLOOKUP($D46,'Cari Kartlar'!$B$5:$C$204,2,FALSE)),"— tanımsız cari —")</f>
      </c>
      <c r="F46" s="20"/>
      <c r="G46" s="16">
        <f>IFERROR(IF($F46="","",VLOOKUP($F46,'Ürün Kartlar'!$B$5:$C$204,2,FALSE)),"— tanımsız ürün —")</f>
      </c>
      <c r="H46" s="21"/>
      <c r="I46" s="22">
        <f>IFERROR(IF($F46="","",IF($C46="Alış",VLOOKUP($F46,'Ürün Kartlar'!$B$5:$E$204,4,FALSE),VLOOKUP($F46,'Ürün Kartlar'!$B$5:$F$204,5,FALSE))),"")</f>
      </c>
      <c r="J46" s="23">
        <f>IFERROR(IF($F46="",Ayarlar!$C$9,VLOOKUP($F46,'Ürün Kartlar'!$B$5:$G$204,6,FALSE)),Ayarlar!$C$9)</f>
      </c>
      <c r="K46" s="18">
        <f>IF(OR($H46="",$I46=""),0,$H46*$I46)</f>
      </c>
      <c r="L46" s="18">
        <f>$K46*$J46</f>
      </c>
      <c r="M46" s="18">
        <f>$K46+$L46</f>
      </c>
      <c r="N46" s="20"/>
      <c r="O46" s="20"/>
      <c r="P46" s="20"/>
    </row>
    <row r="47" spans="2:16" x14ac:dyDescent="0.25">
      <c r="B47" s="15"/>
      <c r="C47" s="8"/>
      <c r="D47" s="8"/>
      <c r="E47" s="16">
        <f>IFERROR(IF($D47="","",VLOOKUP($D47,'Cari Kartlar'!$B$5:$C$204,2,FALSE)),"— tanımsız cari —")</f>
      </c>
      <c r="F47" s="8"/>
      <c r="G47" s="16">
        <f>IFERROR(IF($F47="","",VLOOKUP($F47,'Ürün Kartlar'!$B$5:$C$204,2,FALSE)),"— tanımsız ürün —")</f>
      </c>
      <c r="H47" s="17"/>
      <c r="I47" s="13">
        <f>IFERROR(IF($F47="","",IF($C47="Alış",VLOOKUP($F47,'Ürün Kartlar'!$B$5:$E$204,4,FALSE),VLOOKUP($F47,'Ürün Kartlar'!$B$5:$F$204,5,FALSE))),"")</f>
      </c>
      <c r="J47" s="11">
        <f>IFERROR(IF($F47="",Ayarlar!$C$9,VLOOKUP($F47,'Ürün Kartlar'!$B$5:$G$204,6,FALSE)),Ayarlar!$C$9)</f>
      </c>
      <c r="K47" s="18">
        <f>IF(OR($H47="",$I47=""),0,$H47*$I47)</f>
      </c>
      <c r="L47" s="18">
        <f>$K47*$J47</f>
      </c>
      <c r="M47" s="18">
        <f>$K47+$L47</f>
      </c>
      <c r="N47" s="8"/>
      <c r="O47" s="8"/>
      <c r="P47" s="8"/>
    </row>
    <row r="48" spans="2:16" x14ac:dyDescent="0.25">
      <c r="B48" s="19"/>
      <c r="C48" s="20"/>
      <c r="D48" s="20"/>
      <c r="E48" s="16">
        <f>IFERROR(IF($D48="","",VLOOKUP($D48,'Cari Kartlar'!$B$5:$C$204,2,FALSE)),"— tanımsız cari —")</f>
      </c>
      <c r="F48" s="20"/>
      <c r="G48" s="16">
        <f>IFERROR(IF($F48="","",VLOOKUP($F48,'Ürün Kartlar'!$B$5:$C$204,2,FALSE)),"— tanımsız ürün —")</f>
      </c>
      <c r="H48" s="21"/>
      <c r="I48" s="22">
        <f>IFERROR(IF($F48="","",IF($C48="Alış",VLOOKUP($F48,'Ürün Kartlar'!$B$5:$E$204,4,FALSE),VLOOKUP($F48,'Ürün Kartlar'!$B$5:$F$204,5,FALSE))),"")</f>
      </c>
      <c r="J48" s="23">
        <f>IFERROR(IF($F48="",Ayarlar!$C$9,VLOOKUP($F48,'Ürün Kartlar'!$B$5:$G$204,6,FALSE)),Ayarlar!$C$9)</f>
      </c>
      <c r="K48" s="18">
        <f>IF(OR($H48="",$I48=""),0,$H48*$I48)</f>
      </c>
      <c r="L48" s="18">
        <f>$K48*$J48</f>
      </c>
      <c r="M48" s="18">
        <f>$K48+$L48</f>
      </c>
      <c r="N48" s="20"/>
      <c r="O48" s="20"/>
      <c r="P48" s="20"/>
    </row>
    <row r="49" spans="2:16" x14ac:dyDescent="0.25">
      <c r="B49" s="15"/>
      <c r="C49" s="8"/>
      <c r="D49" s="8"/>
      <c r="E49" s="16">
        <f>IFERROR(IF($D49="","",VLOOKUP($D49,'Cari Kartlar'!$B$5:$C$204,2,FALSE)),"— tanımsız cari —")</f>
      </c>
      <c r="F49" s="8"/>
      <c r="G49" s="16">
        <f>IFERROR(IF($F49="","",VLOOKUP($F49,'Ürün Kartlar'!$B$5:$C$204,2,FALSE)),"— tanımsız ürün —")</f>
      </c>
      <c r="H49" s="17"/>
      <c r="I49" s="13">
        <f>IFERROR(IF($F49="","",IF($C49="Alış",VLOOKUP($F49,'Ürün Kartlar'!$B$5:$E$204,4,FALSE),VLOOKUP($F49,'Ürün Kartlar'!$B$5:$F$204,5,FALSE))),"")</f>
      </c>
      <c r="J49" s="11">
        <f>IFERROR(IF($F49="",Ayarlar!$C$9,VLOOKUP($F49,'Ürün Kartlar'!$B$5:$G$204,6,FALSE)),Ayarlar!$C$9)</f>
      </c>
      <c r="K49" s="18">
        <f>IF(OR($H49="",$I49=""),0,$H49*$I49)</f>
      </c>
      <c r="L49" s="18">
        <f>$K49*$J49</f>
      </c>
      <c r="M49" s="18">
        <f>$K49+$L49</f>
      </c>
      <c r="N49" s="8"/>
      <c r="O49" s="8"/>
      <c r="P49" s="8"/>
    </row>
    <row r="50" spans="2:16" x14ac:dyDescent="0.25">
      <c r="B50" s="19"/>
      <c r="C50" s="20"/>
      <c r="D50" s="20"/>
      <c r="E50" s="16">
        <f>IFERROR(IF($D50="","",VLOOKUP($D50,'Cari Kartlar'!$B$5:$C$204,2,FALSE)),"— tanımsız cari —")</f>
      </c>
      <c r="F50" s="20"/>
      <c r="G50" s="16">
        <f>IFERROR(IF($F50="","",VLOOKUP($F50,'Ürün Kartlar'!$B$5:$C$204,2,FALSE)),"— tanımsız ürün —")</f>
      </c>
      <c r="H50" s="21"/>
      <c r="I50" s="22">
        <f>IFERROR(IF($F50="","",IF($C50="Alış",VLOOKUP($F50,'Ürün Kartlar'!$B$5:$E$204,4,FALSE),VLOOKUP($F50,'Ürün Kartlar'!$B$5:$F$204,5,FALSE))),"")</f>
      </c>
      <c r="J50" s="23">
        <f>IFERROR(IF($F50="",Ayarlar!$C$9,VLOOKUP($F50,'Ürün Kartlar'!$B$5:$G$204,6,FALSE)),Ayarlar!$C$9)</f>
      </c>
      <c r="K50" s="18">
        <f>IF(OR($H50="",$I50=""),0,$H50*$I50)</f>
      </c>
      <c r="L50" s="18">
        <f>$K50*$J50</f>
      </c>
      <c r="M50" s="18">
        <f>$K50+$L50</f>
      </c>
      <c r="N50" s="20"/>
      <c r="O50" s="20"/>
      <c r="P50" s="20"/>
    </row>
    <row r="51" spans="2:16" x14ac:dyDescent="0.25">
      <c r="B51" s="15"/>
      <c r="C51" s="8"/>
      <c r="D51" s="8"/>
      <c r="E51" s="16">
        <f>IFERROR(IF($D51="","",VLOOKUP($D51,'Cari Kartlar'!$B$5:$C$204,2,FALSE)),"— tanımsız cari —")</f>
      </c>
      <c r="F51" s="8"/>
      <c r="G51" s="16">
        <f>IFERROR(IF($F51="","",VLOOKUP($F51,'Ürün Kartlar'!$B$5:$C$204,2,FALSE)),"— tanımsız ürün —")</f>
      </c>
      <c r="H51" s="17"/>
      <c r="I51" s="13">
        <f>IFERROR(IF($F51="","",IF($C51="Alış",VLOOKUP($F51,'Ürün Kartlar'!$B$5:$E$204,4,FALSE),VLOOKUP($F51,'Ürün Kartlar'!$B$5:$F$204,5,FALSE))),"")</f>
      </c>
      <c r="J51" s="11">
        <f>IFERROR(IF($F51="",Ayarlar!$C$9,VLOOKUP($F51,'Ürün Kartlar'!$B$5:$G$204,6,FALSE)),Ayarlar!$C$9)</f>
      </c>
      <c r="K51" s="18">
        <f>IF(OR($H51="",$I51=""),0,$H51*$I51)</f>
      </c>
      <c r="L51" s="18">
        <f>$K51*$J51</f>
      </c>
      <c r="M51" s="18">
        <f>$K51+$L51</f>
      </c>
      <c r="N51" s="8"/>
      <c r="O51" s="8"/>
      <c r="P51" s="8"/>
    </row>
    <row r="52" spans="2:16" x14ac:dyDescent="0.25">
      <c r="B52" s="19"/>
      <c r="C52" s="20"/>
      <c r="D52" s="20"/>
      <c r="E52" s="16">
        <f>IFERROR(IF($D52="","",VLOOKUP($D52,'Cari Kartlar'!$B$5:$C$204,2,FALSE)),"— tanımsız cari —")</f>
      </c>
      <c r="F52" s="20"/>
      <c r="G52" s="16">
        <f>IFERROR(IF($F52="","",VLOOKUP($F52,'Ürün Kartlar'!$B$5:$C$204,2,FALSE)),"— tanımsız ürün —")</f>
      </c>
      <c r="H52" s="21"/>
      <c r="I52" s="22">
        <f>IFERROR(IF($F52="","",IF($C52="Alış",VLOOKUP($F52,'Ürün Kartlar'!$B$5:$E$204,4,FALSE),VLOOKUP($F52,'Ürün Kartlar'!$B$5:$F$204,5,FALSE))),"")</f>
      </c>
      <c r="J52" s="23">
        <f>IFERROR(IF($F52="",Ayarlar!$C$9,VLOOKUP($F52,'Ürün Kartlar'!$B$5:$G$204,6,FALSE)),Ayarlar!$C$9)</f>
      </c>
      <c r="K52" s="18">
        <f>IF(OR($H52="",$I52=""),0,$H52*$I52)</f>
      </c>
      <c r="L52" s="18">
        <f>$K52*$J52</f>
      </c>
      <c r="M52" s="18">
        <f>$K52+$L52</f>
      </c>
      <c r="N52" s="20"/>
      <c r="O52" s="20"/>
      <c r="P52" s="20"/>
    </row>
    <row r="53" spans="2:16" x14ac:dyDescent="0.25">
      <c r="B53" s="15"/>
      <c r="C53" s="8"/>
      <c r="D53" s="8"/>
      <c r="E53" s="16">
        <f>IFERROR(IF($D53="","",VLOOKUP($D53,'Cari Kartlar'!$B$5:$C$204,2,FALSE)),"— tanımsız cari —")</f>
      </c>
      <c r="F53" s="8"/>
      <c r="G53" s="16">
        <f>IFERROR(IF($F53="","",VLOOKUP($F53,'Ürün Kartlar'!$B$5:$C$204,2,FALSE)),"— tanımsız ürün —")</f>
      </c>
      <c r="H53" s="17"/>
      <c r="I53" s="13">
        <f>IFERROR(IF($F53="","",IF($C53="Alış",VLOOKUP($F53,'Ürün Kartlar'!$B$5:$E$204,4,FALSE),VLOOKUP($F53,'Ürün Kartlar'!$B$5:$F$204,5,FALSE))),"")</f>
      </c>
      <c r="J53" s="11">
        <f>IFERROR(IF($F53="",Ayarlar!$C$9,VLOOKUP($F53,'Ürün Kartlar'!$B$5:$G$204,6,FALSE)),Ayarlar!$C$9)</f>
      </c>
      <c r="K53" s="18">
        <f>IF(OR($H53="",$I53=""),0,$H53*$I53)</f>
      </c>
      <c r="L53" s="18">
        <f>$K53*$J53</f>
      </c>
      <c r="M53" s="18">
        <f>$K53+$L53</f>
      </c>
      <c r="N53" s="8"/>
      <c r="O53" s="8"/>
      <c r="P53" s="8"/>
    </row>
    <row r="54" spans="2:16" x14ac:dyDescent="0.25">
      <c r="B54" s="19"/>
      <c r="C54" s="20"/>
      <c r="D54" s="20"/>
      <c r="E54" s="16">
        <f>IFERROR(IF($D54="","",VLOOKUP($D54,'Cari Kartlar'!$B$5:$C$204,2,FALSE)),"— tanımsız cari —")</f>
      </c>
      <c r="F54" s="20"/>
      <c r="G54" s="16">
        <f>IFERROR(IF($F54="","",VLOOKUP($F54,'Ürün Kartlar'!$B$5:$C$204,2,FALSE)),"— tanımsız ürün —")</f>
      </c>
      <c r="H54" s="21"/>
      <c r="I54" s="22">
        <f>IFERROR(IF($F54="","",IF($C54="Alış",VLOOKUP($F54,'Ürün Kartlar'!$B$5:$E$204,4,FALSE),VLOOKUP($F54,'Ürün Kartlar'!$B$5:$F$204,5,FALSE))),"")</f>
      </c>
      <c r="J54" s="23">
        <f>IFERROR(IF($F54="",Ayarlar!$C$9,VLOOKUP($F54,'Ürün Kartlar'!$B$5:$G$204,6,FALSE)),Ayarlar!$C$9)</f>
      </c>
      <c r="K54" s="18">
        <f>IF(OR($H54="",$I54=""),0,$H54*$I54)</f>
      </c>
      <c r="L54" s="18">
        <f>$K54*$J54</f>
      </c>
      <c r="M54" s="18">
        <f>$K54+$L54</f>
      </c>
      <c r="N54" s="20"/>
      <c r="O54" s="20"/>
      <c r="P54" s="20"/>
    </row>
    <row r="55" spans="2:16" x14ac:dyDescent="0.25">
      <c r="B55" s="15"/>
      <c r="C55" s="8"/>
      <c r="D55" s="8"/>
      <c r="E55" s="16">
        <f>IFERROR(IF($D55="","",VLOOKUP($D55,'Cari Kartlar'!$B$5:$C$204,2,FALSE)),"— tanımsız cari —")</f>
      </c>
      <c r="F55" s="8"/>
      <c r="G55" s="16">
        <f>IFERROR(IF($F55="","",VLOOKUP($F55,'Ürün Kartlar'!$B$5:$C$204,2,FALSE)),"— tanımsız ürün —")</f>
      </c>
      <c r="H55" s="17"/>
      <c r="I55" s="13">
        <f>IFERROR(IF($F55="","",IF($C55="Alış",VLOOKUP($F55,'Ürün Kartlar'!$B$5:$E$204,4,FALSE),VLOOKUP($F55,'Ürün Kartlar'!$B$5:$F$204,5,FALSE))),"")</f>
      </c>
      <c r="J55" s="11">
        <f>IFERROR(IF($F55="",Ayarlar!$C$9,VLOOKUP($F55,'Ürün Kartlar'!$B$5:$G$204,6,FALSE)),Ayarlar!$C$9)</f>
      </c>
      <c r="K55" s="18">
        <f>IF(OR($H55="",$I55=""),0,$H55*$I55)</f>
      </c>
      <c r="L55" s="18">
        <f>$K55*$J55</f>
      </c>
      <c r="M55" s="18">
        <f>$K55+$L55</f>
      </c>
      <c r="N55" s="8"/>
      <c r="O55" s="8"/>
      <c r="P55" s="8"/>
    </row>
    <row r="56" spans="2:16" x14ac:dyDescent="0.25">
      <c r="B56" s="19"/>
      <c r="C56" s="20"/>
      <c r="D56" s="20"/>
      <c r="E56" s="16">
        <f>IFERROR(IF($D56="","",VLOOKUP($D56,'Cari Kartlar'!$B$5:$C$204,2,FALSE)),"— tanımsız cari —")</f>
      </c>
      <c r="F56" s="20"/>
      <c r="G56" s="16">
        <f>IFERROR(IF($F56="","",VLOOKUP($F56,'Ürün Kartlar'!$B$5:$C$204,2,FALSE)),"— tanımsız ürün —")</f>
      </c>
      <c r="H56" s="21"/>
      <c r="I56" s="22">
        <f>IFERROR(IF($F56="","",IF($C56="Alış",VLOOKUP($F56,'Ürün Kartlar'!$B$5:$E$204,4,FALSE),VLOOKUP($F56,'Ürün Kartlar'!$B$5:$F$204,5,FALSE))),"")</f>
      </c>
      <c r="J56" s="23">
        <f>IFERROR(IF($F56="",Ayarlar!$C$9,VLOOKUP($F56,'Ürün Kartlar'!$B$5:$G$204,6,FALSE)),Ayarlar!$C$9)</f>
      </c>
      <c r="K56" s="18">
        <f>IF(OR($H56="",$I56=""),0,$H56*$I56)</f>
      </c>
      <c r="L56" s="18">
        <f>$K56*$J56</f>
      </c>
      <c r="M56" s="18">
        <f>$K56+$L56</f>
      </c>
      <c r="N56" s="20"/>
      <c r="O56" s="20"/>
      <c r="P56" s="20"/>
    </row>
    <row r="57" spans="2:16" x14ac:dyDescent="0.25">
      <c r="B57" s="15"/>
      <c r="C57" s="8"/>
      <c r="D57" s="8"/>
      <c r="E57" s="16">
        <f>IFERROR(IF($D57="","",VLOOKUP($D57,'Cari Kartlar'!$B$5:$C$204,2,FALSE)),"— tanımsız cari —")</f>
      </c>
      <c r="F57" s="8"/>
      <c r="G57" s="16">
        <f>IFERROR(IF($F57="","",VLOOKUP($F57,'Ürün Kartlar'!$B$5:$C$204,2,FALSE)),"— tanımsız ürün —")</f>
      </c>
      <c r="H57" s="17"/>
      <c r="I57" s="13">
        <f>IFERROR(IF($F57="","",IF($C57="Alış",VLOOKUP($F57,'Ürün Kartlar'!$B$5:$E$204,4,FALSE),VLOOKUP($F57,'Ürün Kartlar'!$B$5:$F$204,5,FALSE))),"")</f>
      </c>
      <c r="J57" s="11">
        <f>IFERROR(IF($F57="",Ayarlar!$C$9,VLOOKUP($F57,'Ürün Kartlar'!$B$5:$G$204,6,FALSE)),Ayarlar!$C$9)</f>
      </c>
      <c r="K57" s="18">
        <f>IF(OR($H57="",$I57=""),0,$H57*$I57)</f>
      </c>
      <c r="L57" s="18">
        <f>$K57*$J57</f>
      </c>
      <c r="M57" s="18">
        <f>$K57+$L57</f>
      </c>
      <c r="N57" s="8"/>
      <c r="O57" s="8"/>
      <c r="P57" s="8"/>
    </row>
    <row r="58" spans="2:16" x14ac:dyDescent="0.25">
      <c r="B58" s="19"/>
      <c r="C58" s="20"/>
      <c r="D58" s="20"/>
      <c r="E58" s="16">
        <f>IFERROR(IF($D58="","",VLOOKUP($D58,'Cari Kartlar'!$B$5:$C$204,2,FALSE)),"— tanımsız cari —")</f>
      </c>
      <c r="F58" s="20"/>
      <c r="G58" s="16">
        <f>IFERROR(IF($F58="","",VLOOKUP($F58,'Ürün Kartlar'!$B$5:$C$204,2,FALSE)),"— tanımsız ürün —")</f>
      </c>
      <c r="H58" s="21"/>
      <c r="I58" s="22">
        <f>IFERROR(IF($F58="","",IF($C58="Alış",VLOOKUP($F58,'Ürün Kartlar'!$B$5:$E$204,4,FALSE),VLOOKUP($F58,'Ürün Kartlar'!$B$5:$F$204,5,FALSE))),"")</f>
      </c>
      <c r="J58" s="23">
        <f>IFERROR(IF($F58="",Ayarlar!$C$9,VLOOKUP($F58,'Ürün Kartlar'!$B$5:$G$204,6,FALSE)),Ayarlar!$C$9)</f>
      </c>
      <c r="K58" s="18">
        <f>IF(OR($H58="",$I58=""),0,$H58*$I58)</f>
      </c>
      <c r="L58" s="18">
        <f>$K58*$J58</f>
      </c>
      <c r="M58" s="18">
        <f>$K58+$L58</f>
      </c>
      <c r="N58" s="20"/>
      <c r="O58" s="20"/>
      <c r="P58" s="20"/>
    </row>
    <row r="59" spans="2:16" x14ac:dyDescent="0.25">
      <c r="B59" s="15"/>
      <c r="C59" s="8"/>
      <c r="D59" s="8"/>
      <c r="E59" s="16">
        <f>IFERROR(IF($D59="","",VLOOKUP($D59,'Cari Kartlar'!$B$5:$C$204,2,FALSE)),"— tanımsız cari —")</f>
      </c>
      <c r="F59" s="8"/>
      <c r="G59" s="16">
        <f>IFERROR(IF($F59="","",VLOOKUP($F59,'Ürün Kartlar'!$B$5:$C$204,2,FALSE)),"— tanımsız ürün —")</f>
      </c>
      <c r="H59" s="17"/>
      <c r="I59" s="13">
        <f>IFERROR(IF($F59="","",IF($C59="Alış",VLOOKUP($F59,'Ürün Kartlar'!$B$5:$E$204,4,FALSE),VLOOKUP($F59,'Ürün Kartlar'!$B$5:$F$204,5,FALSE))),"")</f>
      </c>
      <c r="J59" s="11">
        <f>IFERROR(IF($F59="",Ayarlar!$C$9,VLOOKUP($F59,'Ürün Kartlar'!$B$5:$G$204,6,FALSE)),Ayarlar!$C$9)</f>
      </c>
      <c r="K59" s="18">
        <f>IF(OR($H59="",$I59=""),0,$H59*$I59)</f>
      </c>
      <c r="L59" s="18">
        <f>$K59*$J59</f>
      </c>
      <c r="M59" s="18">
        <f>$K59+$L59</f>
      </c>
      <c r="N59" s="8"/>
      <c r="O59" s="8"/>
      <c r="P59" s="8"/>
    </row>
    <row r="60" spans="2:16" x14ac:dyDescent="0.25">
      <c r="B60" s="19"/>
      <c r="C60" s="20"/>
      <c r="D60" s="20"/>
      <c r="E60" s="16">
        <f>IFERROR(IF($D60="","",VLOOKUP($D60,'Cari Kartlar'!$B$5:$C$204,2,FALSE)),"— tanımsız cari —")</f>
      </c>
      <c r="F60" s="20"/>
      <c r="G60" s="16">
        <f>IFERROR(IF($F60="","",VLOOKUP($F60,'Ürün Kartlar'!$B$5:$C$204,2,FALSE)),"— tanımsız ürün —")</f>
      </c>
      <c r="H60" s="21"/>
      <c r="I60" s="22">
        <f>IFERROR(IF($F60="","",IF($C60="Alış",VLOOKUP($F60,'Ürün Kartlar'!$B$5:$E$204,4,FALSE),VLOOKUP($F60,'Ürün Kartlar'!$B$5:$F$204,5,FALSE))),"")</f>
      </c>
      <c r="J60" s="23">
        <f>IFERROR(IF($F60="",Ayarlar!$C$9,VLOOKUP($F60,'Ürün Kartlar'!$B$5:$G$204,6,FALSE)),Ayarlar!$C$9)</f>
      </c>
      <c r="K60" s="18">
        <f>IF(OR($H60="",$I60=""),0,$H60*$I60)</f>
      </c>
      <c r="L60" s="18">
        <f>$K60*$J60</f>
      </c>
      <c r="M60" s="18">
        <f>$K60+$L60</f>
      </c>
      <c r="N60" s="20"/>
      <c r="O60" s="20"/>
      <c r="P60" s="20"/>
    </row>
    <row r="61" spans="2:16" x14ac:dyDescent="0.25">
      <c r="B61" s="15"/>
      <c r="C61" s="8"/>
      <c r="D61" s="8"/>
      <c r="E61" s="16">
        <f>IFERROR(IF($D61="","",VLOOKUP($D61,'Cari Kartlar'!$B$5:$C$204,2,FALSE)),"— tanımsız cari —")</f>
      </c>
      <c r="F61" s="8"/>
      <c r="G61" s="16">
        <f>IFERROR(IF($F61="","",VLOOKUP($F61,'Ürün Kartlar'!$B$5:$C$204,2,FALSE)),"— tanımsız ürün —")</f>
      </c>
      <c r="H61" s="17"/>
      <c r="I61" s="13">
        <f>IFERROR(IF($F61="","",IF($C61="Alış",VLOOKUP($F61,'Ürün Kartlar'!$B$5:$E$204,4,FALSE),VLOOKUP($F61,'Ürün Kartlar'!$B$5:$F$204,5,FALSE))),"")</f>
      </c>
      <c r="J61" s="11">
        <f>IFERROR(IF($F61="",Ayarlar!$C$9,VLOOKUP($F61,'Ürün Kartlar'!$B$5:$G$204,6,FALSE)),Ayarlar!$C$9)</f>
      </c>
      <c r="K61" s="18">
        <f>IF(OR($H61="",$I61=""),0,$H61*$I61)</f>
      </c>
      <c r="L61" s="18">
        <f>$K61*$J61</f>
      </c>
      <c r="M61" s="18">
        <f>$K61+$L61</f>
      </c>
      <c r="N61" s="8"/>
      <c r="O61" s="8"/>
      <c r="P61" s="8"/>
    </row>
    <row r="62" spans="2:16" x14ac:dyDescent="0.25">
      <c r="B62" s="19"/>
      <c r="C62" s="20"/>
      <c r="D62" s="20"/>
      <c r="E62" s="16">
        <f>IFERROR(IF($D62="","",VLOOKUP($D62,'Cari Kartlar'!$B$5:$C$204,2,FALSE)),"— tanımsız cari —")</f>
      </c>
      <c r="F62" s="20"/>
      <c r="G62" s="16">
        <f>IFERROR(IF($F62="","",VLOOKUP($F62,'Ürün Kartlar'!$B$5:$C$204,2,FALSE)),"— tanımsız ürün —")</f>
      </c>
      <c r="H62" s="21"/>
      <c r="I62" s="22">
        <f>IFERROR(IF($F62="","",IF($C62="Alış",VLOOKUP($F62,'Ürün Kartlar'!$B$5:$E$204,4,FALSE),VLOOKUP($F62,'Ürün Kartlar'!$B$5:$F$204,5,FALSE))),"")</f>
      </c>
      <c r="J62" s="23">
        <f>IFERROR(IF($F62="",Ayarlar!$C$9,VLOOKUP($F62,'Ürün Kartlar'!$B$5:$G$204,6,FALSE)),Ayarlar!$C$9)</f>
      </c>
      <c r="K62" s="18">
        <f>IF(OR($H62="",$I62=""),0,$H62*$I62)</f>
      </c>
      <c r="L62" s="18">
        <f>$K62*$J62</f>
      </c>
      <c r="M62" s="18">
        <f>$K62+$L62</f>
      </c>
      <c r="N62" s="20"/>
      <c r="O62" s="20"/>
      <c r="P62" s="20"/>
    </row>
    <row r="63" spans="2:16" x14ac:dyDescent="0.25">
      <c r="B63" s="15"/>
      <c r="C63" s="8"/>
      <c r="D63" s="8"/>
      <c r="E63" s="16">
        <f>IFERROR(IF($D63="","",VLOOKUP($D63,'Cari Kartlar'!$B$5:$C$204,2,FALSE)),"— tanımsız cari —")</f>
      </c>
      <c r="F63" s="8"/>
      <c r="G63" s="16">
        <f>IFERROR(IF($F63="","",VLOOKUP($F63,'Ürün Kartlar'!$B$5:$C$204,2,FALSE)),"— tanımsız ürün —")</f>
      </c>
      <c r="H63" s="17"/>
      <c r="I63" s="13">
        <f>IFERROR(IF($F63="","",IF($C63="Alış",VLOOKUP($F63,'Ürün Kartlar'!$B$5:$E$204,4,FALSE),VLOOKUP($F63,'Ürün Kartlar'!$B$5:$F$204,5,FALSE))),"")</f>
      </c>
      <c r="J63" s="11">
        <f>IFERROR(IF($F63="",Ayarlar!$C$9,VLOOKUP($F63,'Ürün Kartlar'!$B$5:$G$204,6,FALSE)),Ayarlar!$C$9)</f>
      </c>
      <c r="K63" s="18">
        <f>IF(OR($H63="",$I63=""),0,$H63*$I63)</f>
      </c>
      <c r="L63" s="18">
        <f>$K63*$J63</f>
      </c>
      <c r="M63" s="18">
        <f>$K63+$L63</f>
      </c>
      <c r="N63" s="8"/>
      <c r="O63" s="8"/>
      <c r="P63" s="8"/>
    </row>
    <row r="64" spans="2:16" x14ac:dyDescent="0.25">
      <c r="B64" s="19"/>
      <c r="C64" s="20"/>
      <c r="D64" s="20"/>
      <c r="E64" s="16">
        <f>IFERROR(IF($D64="","",VLOOKUP($D64,'Cari Kartlar'!$B$5:$C$204,2,FALSE)),"— tanımsız cari —")</f>
      </c>
      <c r="F64" s="20"/>
      <c r="G64" s="16">
        <f>IFERROR(IF($F64="","",VLOOKUP($F64,'Ürün Kartlar'!$B$5:$C$204,2,FALSE)),"— tanımsız ürün —")</f>
      </c>
      <c r="H64" s="21"/>
      <c r="I64" s="22">
        <f>IFERROR(IF($F64="","",IF($C64="Alış",VLOOKUP($F64,'Ürün Kartlar'!$B$5:$E$204,4,FALSE),VLOOKUP($F64,'Ürün Kartlar'!$B$5:$F$204,5,FALSE))),"")</f>
      </c>
      <c r="J64" s="23">
        <f>IFERROR(IF($F64="",Ayarlar!$C$9,VLOOKUP($F64,'Ürün Kartlar'!$B$5:$G$204,6,FALSE)),Ayarlar!$C$9)</f>
      </c>
      <c r="K64" s="18">
        <f>IF(OR($H64="",$I64=""),0,$H64*$I64)</f>
      </c>
      <c r="L64" s="18">
        <f>$K64*$J64</f>
      </c>
      <c r="M64" s="18">
        <f>$K64+$L64</f>
      </c>
      <c r="N64" s="20"/>
      <c r="O64" s="20"/>
      <c r="P64" s="20"/>
    </row>
    <row r="65" spans="2:16" x14ac:dyDescent="0.25">
      <c r="B65" s="15"/>
      <c r="C65" s="8"/>
      <c r="D65" s="8"/>
      <c r="E65" s="16">
        <f>IFERROR(IF($D65="","",VLOOKUP($D65,'Cari Kartlar'!$B$5:$C$204,2,FALSE)),"— tanımsız cari —")</f>
      </c>
      <c r="F65" s="8"/>
      <c r="G65" s="16">
        <f>IFERROR(IF($F65="","",VLOOKUP($F65,'Ürün Kartlar'!$B$5:$C$204,2,FALSE)),"— tanımsız ürün —")</f>
      </c>
      <c r="H65" s="17"/>
      <c r="I65" s="13">
        <f>IFERROR(IF($F65="","",IF($C65="Alış",VLOOKUP($F65,'Ürün Kartlar'!$B$5:$E$204,4,FALSE),VLOOKUP($F65,'Ürün Kartlar'!$B$5:$F$204,5,FALSE))),"")</f>
      </c>
      <c r="J65" s="11">
        <f>IFERROR(IF($F65="",Ayarlar!$C$9,VLOOKUP($F65,'Ürün Kartlar'!$B$5:$G$204,6,FALSE)),Ayarlar!$C$9)</f>
      </c>
      <c r="K65" s="18">
        <f>IF(OR($H65="",$I65=""),0,$H65*$I65)</f>
      </c>
      <c r="L65" s="18">
        <f>$K65*$J65</f>
      </c>
      <c r="M65" s="18">
        <f>$K65+$L65</f>
      </c>
      <c r="N65" s="8"/>
      <c r="O65" s="8"/>
      <c r="P65" s="8"/>
    </row>
    <row r="66" spans="2:16" x14ac:dyDescent="0.25">
      <c r="B66" s="19"/>
      <c r="C66" s="20"/>
      <c r="D66" s="20"/>
      <c r="E66" s="16">
        <f>IFERROR(IF($D66="","",VLOOKUP($D66,'Cari Kartlar'!$B$5:$C$204,2,FALSE)),"— tanımsız cari —")</f>
      </c>
      <c r="F66" s="20"/>
      <c r="G66" s="16">
        <f>IFERROR(IF($F66="","",VLOOKUP($F66,'Ürün Kartlar'!$B$5:$C$204,2,FALSE)),"— tanımsız ürün —")</f>
      </c>
      <c r="H66" s="21"/>
      <c r="I66" s="22">
        <f>IFERROR(IF($F66="","",IF($C66="Alış",VLOOKUP($F66,'Ürün Kartlar'!$B$5:$E$204,4,FALSE),VLOOKUP($F66,'Ürün Kartlar'!$B$5:$F$204,5,FALSE))),"")</f>
      </c>
      <c r="J66" s="23">
        <f>IFERROR(IF($F66="",Ayarlar!$C$9,VLOOKUP($F66,'Ürün Kartlar'!$B$5:$G$204,6,FALSE)),Ayarlar!$C$9)</f>
      </c>
      <c r="K66" s="18">
        <f>IF(OR($H66="",$I66=""),0,$H66*$I66)</f>
      </c>
      <c r="L66" s="18">
        <f>$K66*$J66</f>
      </c>
      <c r="M66" s="18">
        <f>$K66+$L66</f>
      </c>
      <c r="N66" s="20"/>
      <c r="O66" s="20"/>
      <c r="P66" s="20"/>
    </row>
    <row r="67" spans="2:16" x14ac:dyDescent="0.25">
      <c r="B67" s="15"/>
      <c r="C67" s="8"/>
      <c r="D67" s="8"/>
      <c r="E67" s="16">
        <f>IFERROR(IF($D67="","",VLOOKUP($D67,'Cari Kartlar'!$B$5:$C$204,2,FALSE)),"— tanımsız cari —")</f>
      </c>
      <c r="F67" s="8"/>
      <c r="G67" s="16">
        <f>IFERROR(IF($F67="","",VLOOKUP($F67,'Ürün Kartlar'!$B$5:$C$204,2,FALSE)),"— tanımsız ürün —")</f>
      </c>
      <c r="H67" s="17"/>
      <c r="I67" s="13">
        <f>IFERROR(IF($F67="","",IF($C67="Alış",VLOOKUP($F67,'Ürün Kartlar'!$B$5:$E$204,4,FALSE),VLOOKUP($F67,'Ürün Kartlar'!$B$5:$F$204,5,FALSE))),"")</f>
      </c>
      <c r="J67" s="11">
        <f>IFERROR(IF($F67="",Ayarlar!$C$9,VLOOKUP($F67,'Ürün Kartlar'!$B$5:$G$204,6,FALSE)),Ayarlar!$C$9)</f>
      </c>
      <c r="K67" s="18">
        <f>IF(OR($H67="",$I67=""),0,$H67*$I67)</f>
      </c>
      <c r="L67" s="18">
        <f>$K67*$J67</f>
      </c>
      <c r="M67" s="18">
        <f>$K67+$L67</f>
      </c>
      <c r="N67" s="8"/>
      <c r="O67" s="8"/>
      <c r="P67" s="8"/>
    </row>
    <row r="68" spans="2:16" x14ac:dyDescent="0.25">
      <c r="B68" s="19"/>
      <c r="C68" s="20"/>
      <c r="D68" s="20"/>
      <c r="E68" s="16">
        <f>IFERROR(IF($D68="","",VLOOKUP($D68,'Cari Kartlar'!$B$5:$C$204,2,FALSE)),"— tanımsız cari —")</f>
      </c>
      <c r="F68" s="20"/>
      <c r="G68" s="16">
        <f>IFERROR(IF($F68="","",VLOOKUP($F68,'Ürün Kartlar'!$B$5:$C$204,2,FALSE)),"— tanımsız ürün —")</f>
      </c>
      <c r="H68" s="21"/>
      <c r="I68" s="22">
        <f>IFERROR(IF($F68="","",IF($C68="Alış",VLOOKUP($F68,'Ürün Kartlar'!$B$5:$E$204,4,FALSE),VLOOKUP($F68,'Ürün Kartlar'!$B$5:$F$204,5,FALSE))),"")</f>
      </c>
      <c r="J68" s="23">
        <f>IFERROR(IF($F68="",Ayarlar!$C$9,VLOOKUP($F68,'Ürün Kartlar'!$B$5:$G$204,6,FALSE)),Ayarlar!$C$9)</f>
      </c>
      <c r="K68" s="18">
        <f>IF(OR($H68="",$I68=""),0,$H68*$I68)</f>
      </c>
      <c r="L68" s="18">
        <f>$K68*$J68</f>
      </c>
      <c r="M68" s="18">
        <f>$K68+$L68</f>
      </c>
      <c r="N68" s="20"/>
      <c r="O68" s="20"/>
      <c r="P68" s="20"/>
    </row>
    <row r="69" spans="2:16" x14ac:dyDescent="0.25">
      <c r="B69" s="15"/>
      <c r="C69" s="8"/>
      <c r="D69" s="8"/>
      <c r="E69" s="16">
        <f>IFERROR(IF($D69="","",VLOOKUP($D69,'Cari Kartlar'!$B$5:$C$204,2,FALSE)),"— tanımsız cari —")</f>
      </c>
      <c r="F69" s="8"/>
      <c r="G69" s="16">
        <f>IFERROR(IF($F69="","",VLOOKUP($F69,'Ürün Kartlar'!$B$5:$C$204,2,FALSE)),"— tanımsız ürün —")</f>
      </c>
      <c r="H69" s="17"/>
      <c r="I69" s="13">
        <f>IFERROR(IF($F69="","",IF($C69="Alış",VLOOKUP($F69,'Ürün Kartlar'!$B$5:$E$204,4,FALSE),VLOOKUP($F69,'Ürün Kartlar'!$B$5:$F$204,5,FALSE))),"")</f>
      </c>
      <c r="J69" s="11">
        <f>IFERROR(IF($F69="",Ayarlar!$C$9,VLOOKUP($F69,'Ürün Kartlar'!$B$5:$G$204,6,FALSE)),Ayarlar!$C$9)</f>
      </c>
      <c r="K69" s="18">
        <f>IF(OR($H69="",$I69=""),0,$H69*$I69)</f>
      </c>
      <c r="L69" s="18">
        <f>$K69*$J69</f>
      </c>
      <c r="M69" s="18">
        <f>$K69+$L69</f>
      </c>
      <c r="N69" s="8"/>
      <c r="O69" s="8"/>
      <c r="P69" s="8"/>
    </row>
    <row r="70" spans="2:16" x14ac:dyDescent="0.25">
      <c r="B70" s="19"/>
      <c r="C70" s="20"/>
      <c r="D70" s="20"/>
      <c r="E70" s="16">
        <f>IFERROR(IF($D70="","",VLOOKUP($D70,'Cari Kartlar'!$B$5:$C$204,2,FALSE)),"— tanımsız cari —")</f>
      </c>
      <c r="F70" s="20"/>
      <c r="G70" s="16">
        <f>IFERROR(IF($F70="","",VLOOKUP($F70,'Ürün Kartlar'!$B$5:$C$204,2,FALSE)),"— tanımsız ürün —")</f>
      </c>
      <c r="H70" s="21"/>
      <c r="I70" s="22">
        <f>IFERROR(IF($F70="","",IF($C70="Alış",VLOOKUP($F70,'Ürün Kartlar'!$B$5:$E$204,4,FALSE),VLOOKUP($F70,'Ürün Kartlar'!$B$5:$F$204,5,FALSE))),"")</f>
      </c>
      <c r="J70" s="23">
        <f>IFERROR(IF($F70="",Ayarlar!$C$9,VLOOKUP($F70,'Ürün Kartlar'!$B$5:$G$204,6,FALSE)),Ayarlar!$C$9)</f>
      </c>
      <c r="K70" s="18">
        <f>IF(OR($H70="",$I70=""),0,$H70*$I70)</f>
      </c>
      <c r="L70" s="18">
        <f>$K70*$J70</f>
      </c>
      <c r="M70" s="18">
        <f>$K70+$L70</f>
      </c>
      <c r="N70" s="20"/>
      <c r="O70" s="20"/>
      <c r="P70" s="20"/>
    </row>
    <row r="71" spans="2:16" x14ac:dyDescent="0.25">
      <c r="B71" s="15"/>
      <c r="C71" s="8"/>
      <c r="D71" s="8"/>
      <c r="E71" s="16">
        <f>IFERROR(IF($D71="","",VLOOKUP($D71,'Cari Kartlar'!$B$5:$C$204,2,FALSE)),"— tanımsız cari —")</f>
      </c>
      <c r="F71" s="8"/>
      <c r="G71" s="16">
        <f>IFERROR(IF($F71="","",VLOOKUP($F71,'Ürün Kartlar'!$B$5:$C$204,2,FALSE)),"— tanımsız ürün —")</f>
      </c>
      <c r="H71" s="17"/>
      <c r="I71" s="13">
        <f>IFERROR(IF($F71="","",IF($C71="Alış",VLOOKUP($F71,'Ürün Kartlar'!$B$5:$E$204,4,FALSE),VLOOKUP($F71,'Ürün Kartlar'!$B$5:$F$204,5,FALSE))),"")</f>
      </c>
      <c r="J71" s="11">
        <f>IFERROR(IF($F71="",Ayarlar!$C$9,VLOOKUP($F71,'Ürün Kartlar'!$B$5:$G$204,6,FALSE)),Ayarlar!$C$9)</f>
      </c>
      <c r="K71" s="18">
        <f>IF(OR($H71="",$I71=""),0,$H71*$I71)</f>
      </c>
      <c r="L71" s="18">
        <f>$K71*$J71</f>
      </c>
      <c r="M71" s="18">
        <f>$K71+$L71</f>
      </c>
      <c r="N71" s="8"/>
      <c r="O71" s="8"/>
      <c r="P71" s="8"/>
    </row>
    <row r="72" spans="2:16" x14ac:dyDescent="0.25">
      <c r="B72" s="19"/>
      <c r="C72" s="20"/>
      <c r="D72" s="20"/>
      <c r="E72" s="16">
        <f>IFERROR(IF($D72="","",VLOOKUP($D72,'Cari Kartlar'!$B$5:$C$204,2,FALSE)),"— tanımsız cari —")</f>
      </c>
      <c r="F72" s="20"/>
      <c r="G72" s="16">
        <f>IFERROR(IF($F72="","",VLOOKUP($F72,'Ürün Kartlar'!$B$5:$C$204,2,FALSE)),"— tanımsız ürün —")</f>
      </c>
      <c r="H72" s="21"/>
      <c r="I72" s="22">
        <f>IFERROR(IF($F72="","",IF($C72="Alış",VLOOKUP($F72,'Ürün Kartlar'!$B$5:$E$204,4,FALSE),VLOOKUP($F72,'Ürün Kartlar'!$B$5:$F$204,5,FALSE))),"")</f>
      </c>
      <c r="J72" s="23">
        <f>IFERROR(IF($F72="",Ayarlar!$C$9,VLOOKUP($F72,'Ürün Kartlar'!$B$5:$G$204,6,FALSE)),Ayarlar!$C$9)</f>
      </c>
      <c r="K72" s="18">
        <f>IF(OR($H72="",$I72=""),0,$H72*$I72)</f>
      </c>
      <c r="L72" s="18">
        <f>$K72*$J72</f>
      </c>
      <c r="M72" s="18">
        <f>$K72+$L72</f>
      </c>
      <c r="N72" s="20"/>
      <c r="O72" s="20"/>
      <c r="P72" s="20"/>
    </row>
    <row r="73" spans="2:16" x14ac:dyDescent="0.25">
      <c r="B73" s="15"/>
      <c r="C73" s="8"/>
      <c r="D73" s="8"/>
      <c r="E73" s="16">
        <f>IFERROR(IF($D73="","",VLOOKUP($D73,'Cari Kartlar'!$B$5:$C$204,2,FALSE)),"— tanımsız cari —")</f>
      </c>
      <c r="F73" s="8"/>
      <c r="G73" s="16">
        <f>IFERROR(IF($F73="","",VLOOKUP($F73,'Ürün Kartlar'!$B$5:$C$204,2,FALSE)),"— tanımsız ürün —")</f>
      </c>
      <c r="H73" s="17"/>
      <c r="I73" s="13">
        <f>IFERROR(IF($F73="","",IF($C73="Alış",VLOOKUP($F73,'Ürün Kartlar'!$B$5:$E$204,4,FALSE),VLOOKUP($F73,'Ürün Kartlar'!$B$5:$F$204,5,FALSE))),"")</f>
      </c>
      <c r="J73" s="11">
        <f>IFERROR(IF($F73="",Ayarlar!$C$9,VLOOKUP($F73,'Ürün Kartlar'!$B$5:$G$204,6,FALSE)),Ayarlar!$C$9)</f>
      </c>
      <c r="K73" s="18">
        <f>IF(OR($H73="",$I73=""),0,$H73*$I73)</f>
      </c>
      <c r="L73" s="18">
        <f>$K73*$J73</f>
      </c>
      <c r="M73" s="18">
        <f>$K73+$L73</f>
      </c>
      <c r="N73" s="8"/>
      <c r="O73" s="8"/>
      <c r="P73" s="8"/>
    </row>
    <row r="74" spans="2:16" x14ac:dyDescent="0.25">
      <c r="B74" s="19"/>
      <c r="C74" s="20"/>
      <c r="D74" s="20"/>
      <c r="E74" s="16">
        <f>IFERROR(IF($D74="","",VLOOKUP($D74,'Cari Kartlar'!$B$5:$C$204,2,FALSE)),"— tanımsız cari —")</f>
      </c>
      <c r="F74" s="20"/>
      <c r="G74" s="16">
        <f>IFERROR(IF($F74="","",VLOOKUP($F74,'Ürün Kartlar'!$B$5:$C$204,2,FALSE)),"— tanımsız ürün —")</f>
      </c>
      <c r="H74" s="21"/>
      <c r="I74" s="22">
        <f>IFERROR(IF($F74="","",IF($C74="Alış",VLOOKUP($F74,'Ürün Kartlar'!$B$5:$E$204,4,FALSE),VLOOKUP($F74,'Ürün Kartlar'!$B$5:$F$204,5,FALSE))),"")</f>
      </c>
      <c r="J74" s="23">
        <f>IFERROR(IF($F74="",Ayarlar!$C$9,VLOOKUP($F74,'Ürün Kartlar'!$B$5:$G$204,6,FALSE)),Ayarlar!$C$9)</f>
      </c>
      <c r="K74" s="18">
        <f>IF(OR($H74="",$I74=""),0,$H74*$I74)</f>
      </c>
      <c r="L74" s="18">
        <f>$K74*$J74</f>
      </c>
      <c r="M74" s="18">
        <f>$K74+$L74</f>
      </c>
      <c r="N74" s="20"/>
      <c r="O74" s="20"/>
      <c r="P74" s="20"/>
    </row>
    <row r="75" spans="2:16" x14ac:dyDescent="0.25">
      <c r="B75" s="15"/>
      <c r="C75" s="8"/>
      <c r="D75" s="8"/>
      <c r="E75" s="16">
        <f>IFERROR(IF($D75="","",VLOOKUP($D75,'Cari Kartlar'!$B$5:$C$204,2,FALSE)),"— tanımsız cari —")</f>
      </c>
      <c r="F75" s="8"/>
      <c r="G75" s="16">
        <f>IFERROR(IF($F75="","",VLOOKUP($F75,'Ürün Kartlar'!$B$5:$C$204,2,FALSE)),"— tanımsız ürün —")</f>
      </c>
      <c r="H75" s="17"/>
      <c r="I75" s="13">
        <f>IFERROR(IF($F75="","",IF($C75="Alış",VLOOKUP($F75,'Ürün Kartlar'!$B$5:$E$204,4,FALSE),VLOOKUP($F75,'Ürün Kartlar'!$B$5:$F$204,5,FALSE))),"")</f>
      </c>
      <c r="J75" s="11">
        <f>IFERROR(IF($F75="",Ayarlar!$C$9,VLOOKUP($F75,'Ürün Kartlar'!$B$5:$G$204,6,FALSE)),Ayarlar!$C$9)</f>
      </c>
      <c r="K75" s="18">
        <f>IF(OR($H75="",$I75=""),0,$H75*$I75)</f>
      </c>
      <c r="L75" s="18">
        <f>$K75*$J75</f>
      </c>
      <c r="M75" s="18">
        <f>$K75+$L75</f>
      </c>
      <c r="N75" s="8"/>
      <c r="O75" s="8"/>
      <c r="P75" s="8"/>
    </row>
    <row r="76" spans="2:16" x14ac:dyDescent="0.25">
      <c r="B76" s="19"/>
      <c r="C76" s="20"/>
      <c r="D76" s="20"/>
      <c r="E76" s="16">
        <f>IFERROR(IF($D76="","",VLOOKUP($D76,'Cari Kartlar'!$B$5:$C$204,2,FALSE)),"— tanımsız cari —")</f>
      </c>
      <c r="F76" s="20"/>
      <c r="G76" s="16">
        <f>IFERROR(IF($F76="","",VLOOKUP($F76,'Ürün Kartlar'!$B$5:$C$204,2,FALSE)),"— tanımsız ürün —")</f>
      </c>
      <c r="H76" s="21"/>
      <c r="I76" s="22">
        <f>IFERROR(IF($F76="","",IF($C76="Alış",VLOOKUP($F76,'Ürün Kartlar'!$B$5:$E$204,4,FALSE),VLOOKUP($F76,'Ürün Kartlar'!$B$5:$F$204,5,FALSE))),"")</f>
      </c>
      <c r="J76" s="23">
        <f>IFERROR(IF($F76="",Ayarlar!$C$9,VLOOKUP($F76,'Ürün Kartlar'!$B$5:$G$204,6,FALSE)),Ayarlar!$C$9)</f>
      </c>
      <c r="K76" s="18">
        <f>IF(OR($H76="",$I76=""),0,$H76*$I76)</f>
      </c>
      <c r="L76" s="18">
        <f>$K76*$J76</f>
      </c>
      <c r="M76" s="18">
        <f>$K76+$L76</f>
      </c>
      <c r="N76" s="20"/>
      <c r="O76" s="20"/>
      <c r="P76" s="20"/>
    </row>
    <row r="77" spans="2:16" x14ac:dyDescent="0.25">
      <c r="B77" s="15"/>
      <c r="C77" s="8"/>
      <c r="D77" s="8"/>
      <c r="E77" s="16">
        <f>IFERROR(IF($D77="","",VLOOKUP($D77,'Cari Kartlar'!$B$5:$C$204,2,FALSE)),"— tanımsız cari —")</f>
      </c>
      <c r="F77" s="8"/>
      <c r="G77" s="16">
        <f>IFERROR(IF($F77="","",VLOOKUP($F77,'Ürün Kartlar'!$B$5:$C$204,2,FALSE)),"— tanımsız ürün —")</f>
      </c>
      <c r="H77" s="17"/>
      <c r="I77" s="13">
        <f>IFERROR(IF($F77="","",IF($C77="Alış",VLOOKUP($F77,'Ürün Kartlar'!$B$5:$E$204,4,FALSE),VLOOKUP($F77,'Ürün Kartlar'!$B$5:$F$204,5,FALSE))),"")</f>
      </c>
      <c r="J77" s="11">
        <f>IFERROR(IF($F77="",Ayarlar!$C$9,VLOOKUP($F77,'Ürün Kartlar'!$B$5:$G$204,6,FALSE)),Ayarlar!$C$9)</f>
      </c>
      <c r="K77" s="18">
        <f>IF(OR($H77="",$I77=""),0,$H77*$I77)</f>
      </c>
      <c r="L77" s="18">
        <f>$K77*$J77</f>
      </c>
      <c r="M77" s="18">
        <f>$K77+$L77</f>
      </c>
      <c r="N77" s="8"/>
      <c r="O77" s="8"/>
      <c r="P77" s="8"/>
    </row>
    <row r="78" spans="2:16" x14ac:dyDescent="0.25">
      <c r="B78" s="19"/>
      <c r="C78" s="20"/>
      <c r="D78" s="20"/>
      <c r="E78" s="16">
        <f>IFERROR(IF($D78="","",VLOOKUP($D78,'Cari Kartlar'!$B$5:$C$204,2,FALSE)),"— tanımsız cari —")</f>
      </c>
      <c r="F78" s="20"/>
      <c r="G78" s="16">
        <f>IFERROR(IF($F78="","",VLOOKUP($F78,'Ürün Kartlar'!$B$5:$C$204,2,FALSE)),"— tanımsız ürün —")</f>
      </c>
      <c r="H78" s="21"/>
      <c r="I78" s="22">
        <f>IFERROR(IF($F78="","",IF($C78="Alış",VLOOKUP($F78,'Ürün Kartlar'!$B$5:$E$204,4,FALSE),VLOOKUP($F78,'Ürün Kartlar'!$B$5:$F$204,5,FALSE))),"")</f>
      </c>
      <c r="J78" s="23">
        <f>IFERROR(IF($F78="",Ayarlar!$C$9,VLOOKUP($F78,'Ürün Kartlar'!$B$5:$G$204,6,FALSE)),Ayarlar!$C$9)</f>
      </c>
      <c r="K78" s="18">
        <f>IF(OR($H78="",$I78=""),0,$H78*$I78)</f>
      </c>
      <c r="L78" s="18">
        <f>$K78*$J78</f>
      </c>
      <c r="M78" s="18">
        <f>$K78+$L78</f>
      </c>
      <c r="N78" s="20"/>
      <c r="O78" s="20"/>
      <c r="P78" s="20"/>
    </row>
    <row r="79" spans="2:16" x14ac:dyDescent="0.25">
      <c r="B79" s="15"/>
      <c r="C79" s="8"/>
      <c r="D79" s="8"/>
      <c r="E79" s="16">
        <f>IFERROR(IF($D79="","",VLOOKUP($D79,'Cari Kartlar'!$B$5:$C$204,2,FALSE)),"— tanımsız cari —")</f>
      </c>
      <c r="F79" s="8"/>
      <c r="G79" s="16">
        <f>IFERROR(IF($F79="","",VLOOKUP($F79,'Ürün Kartlar'!$B$5:$C$204,2,FALSE)),"— tanımsız ürün —")</f>
      </c>
      <c r="H79" s="17"/>
      <c r="I79" s="13">
        <f>IFERROR(IF($F79="","",IF($C79="Alış",VLOOKUP($F79,'Ürün Kartlar'!$B$5:$E$204,4,FALSE),VLOOKUP($F79,'Ürün Kartlar'!$B$5:$F$204,5,FALSE))),"")</f>
      </c>
      <c r="J79" s="11">
        <f>IFERROR(IF($F79="",Ayarlar!$C$9,VLOOKUP($F79,'Ürün Kartlar'!$B$5:$G$204,6,FALSE)),Ayarlar!$C$9)</f>
      </c>
      <c r="K79" s="18">
        <f>IF(OR($H79="",$I79=""),0,$H79*$I79)</f>
      </c>
      <c r="L79" s="18">
        <f>$K79*$J79</f>
      </c>
      <c r="M79" s="18">
        <f>$K79+$L79</f>
      </c>
      <c r="N79" s="8"/>
      <c r="O79" s="8"/>
      <c r="P79" s="8"/>
    </row>
    <row r="80" spans="2:16" x14ac:dyDescent="0.25">
      <c r="B80" s="19"/>
      <c r="C80" s="20"/>
      <c r="D80" s="20"/>
      <c r="E80" s="16">
        <f>IFERROR(IF($D80="","",VLOOKUP($D80,'Cari Kartlar'!$B$5:$C$204,2,FALSE)),"— tanımsız cari —")</f>
      </c>
      <c r="F80" s="20"/>
      <c r="G80" s="16">
        <f>IFERROR(IF($F80="","",VLOOKUP($F80,'Ürün Kartlar'!$B$5:$C$204,2,FALSE)),"— tanımsız ürün —")</f>
      </c>
      <c r="H80" s="21"/>
      <c r="I80" s="22">
        <f>IFERROR(IF($F80="","",IF($C80="Alış",VLOOKUP($F80,'Ürün Kartlar'!$B$5:$E$204,4,FALSE),VLOOKUP($F80,'Ürün Kartlar'!$B$5:$F$204,5,FALSE))),"")</f>
      </c>
      <c r="J80" s="23">
        <f>IFERROR(IF($F80="",Ayarlar!$C$9,VLOOKUP($F80,'Ürün Kartlar'!$B$5:$G$204,6,FALSE)),Ayarlar!$C$9)</f>
      </c>
      <c r="K80" s="18">
        <f>IF(OR($H80="",$I80=""),0,$H80*$I80)</f>
      </c>
      <c r="L80" s="18">
        <f>$K80*$J80</f>
      </c>
      <c r="M80" s="18">
        <f>$K80+$L80</f>
      </c>
      <c r="N80" s="20"/>
      <c r="O80" s="20"/>
      <c r="P80" s="20"/>
    </row>
    <row r="81" spans="2:16" x14ac:dyDescent="0.25">
      <c r="B81" s="15"/>
      <c r="C81" s="8"/>
      <c r="D81" s="8"/>
      <c r="E81" s="16">
        <f>IFERROR(IF($D81="","",VLOOKUP($D81,'Cari Kartlar'!$B$5:$C$204,2,FALSE)),"— tanımsız cari —")</f>
      </c>
      <c r="F81" s="8"/>
      <c r="G81" s="16">
        <f>IFERROR(IF($F81="","",VLOOKUP($F81,'Ürün Kartlar'!$B$5:$C$204,2,FALSE)),"— tanımsız ürün —")</f>
      </c>
      <c r="H81" s="17"/>
      <c r="I81" s="13">
        <f>IFERROR(IF($F81="","",IF($C81="Alış",VLOOKUP($F81,'Ürün Kartlar'!$B$5:$E$204,4,FALSE),VLOOKUP($F81,'Ürün Kartlar'!$B$5:$F$204,5,FALSE))),"")</f>
      </c>
      <c r="J81" s="11">
        <f>IFERROR(IF($F81="",Ayarlar!$C$9,VLOOKUP($F81,'Ürün Kartlar'!$B$5:$G$204,6,FALSE)),Ayarlar!$C$9)</f>
      </c>
      <c r="K81" s="18">
        <f>IF(OR($H81="",$I81=""),0,$H81*$I81)</f>
      </c>
      <c r="L81" s="18">
        <f>$K81*$J81</f>
      </c>
      <c r="M81" s="18">
        <f>$K81+$L81</f>
      </c>
      <c r="N81" s="8"/>
      <c r="O81" s="8"/>
      <c r="P81" s="8"/>
    </row>
    <row r="82" spans="2:16" x14ac:dyDescent="0.25">
      <c r="B82" s="19"/>
      <c r="C82" s="20"/>
      <c r="D82" s="20"/>
      <c r="E82" s="16">
        <f>IFERROR(IF($D82="","",VLOOKUP($D82,'Cari Kartlar'!$B$5:$C$204,2,FALSE)),"— tanımsız cari —")</f>
      </c>
      <c r="F82" s="20"/>
      <c r="G82" s="16">
        <f>IFERROR(IF($F82="","",VLOOKUP($F82,'Ürün Kartlar'!$B$5:$C$204,2,FALSE)),"— tanımsız ürün —")</f>
      </c>
      <c r="H82" s="21"/>
      <c r="I82" s="22">
        <f>IFERROR(IF($F82="","",IF($C82="Alış",VLOOKUP($F82,'Ürün Kartlar'!$B$5:$E$204,4,FALSE),VLOOKUP($F82,'Ürün Kartlar'!$B$5:$F$204,5,FALSE))),"")</f>
      </c>
      <c r="J82" s="23">
        <f>IFERROR(IF($F82="",Ayarlar!$C$9,VLOOKUP($F82,'Ürün Kartlar'!$B$5:$G$204,6,FALSE)),Ayarlar!$C$9)</f>
      </c>
      <c r="K82" s="18">
        <f>IF(OR($H82="",$I82=""),0,$H82*$I82)</f>
      </c>
      <c r="L82" s="18">
        <f>$K82*$J82</f>
      </c>
      <c r="M82" s="18">
        <f>$K82+$L82</f>
      </c>
      <c r="N82" s="20"/>
      <c r="O82" s="20"/>
      <c r="P82" s="20"/>
    </row>
    <row r="83" spans="2:16" x14ac:dyDescent="0.25">
      <c r="B83" s="15"/>
      <c r="C83" s="8"/>
      <c r="D83" s="8"/>
      <c r="E83" s="16">
        <f>IFERROR(IF($D83="","",VLOOKUP($D83,'Cari Kartlar'!$B$5:$C$204,2,FALSE)),"— tanımsız cari —")</f>
      </c>
      <c r="F83" s="8"/>
      <c r="G83" s="16">
        <f>IFERROR(IF($F83="","",VLOOKUP($F83,'Ürün Kartlar'!$B$5:$C$204,2,FALSE)),"— tanımsız ürün —")</f>
      </c>
      <c r="H83" s="17"/>
      <c r="I83" s="13">
        <f>IFERROR(IF($F83="","",IF($C83="Alış",VLOOKUP($F83,'Ürün Kartlar'!$B$5:$E$204,4,FALSE),VLOOKUP($F83,'Ürün Kartlar'!$B$5:$F$204,5,FALSE))),"")</f>
      </c>
      <c r="J83" s="11">
        <f>IFERROR(IF($F83="",Ayarlar!$C$9,VLOOKUP($F83,'Ürün Kartlar'!$B$5:$G$204,6,FALSE)),Ayarlar!$C$9)</f>
      </c>
      <c r="K83" s="18">
        <f>IF(OR($H83="",$I83=""),0,$H83*$I83)</f>
      </c>
      <c r="L83" s="18">
        <f>$K83*$J83</f>
      </c>
      <c r="M83" s="18">
        <f>$K83+$L83</f>
      </c>
      <c r="N83" s="8"/>
      <c r="O83" s="8"/>
      <c r="P83" s="8"/>
    </row>
    <row r="84" spans="2:16" x14ac:dyDescent="0.25">
      <c r="B84" s="19"/>
      <c r="C84" s="20"/>
      <c r="D84" s="20"/>
      <c r="E84" s="16">
        <f>IFERROR(IF($D84="","",VLOOKUP($D84,'Cari Kartlar'!$B$5:$C$204,2,FALSE)),"— tanımsız cari —")</f>
      </c>
      <c r="F84" s="20"/>
      <c r="G84" s="16">
        <f>IFERROR(IF($F84="","",VLOOKUP($F84,'Ürün Kartlar'!$B$5:$C$204,2,FALSE)),"— tanımsız ürün —")</f>
      </c>
      <c r="H84" s="21"/>
      <c r="I84" s="22">
        <f>IFERROR(IF($F84="","",IF($C84="Alış",VLOOKUP($F84,'Ürün Kartlar'!$B$5:$E$204,4,FALSE),VLOOKUP($F84,'Ürün Kartlar'!$B$5:$F$204,5,FALSE))),"")</f>
      </c>
      <c r="J84" s="23">
        <f>IFERROR(IF($F84="",Ayarlar!$C$9,VLOOKUP($F84,'Ürün Kartlar'!$B$5:$G$204,6,FALSE)),Ayarlar!$C$9)</f>
      </c>
      <c r="K84" s="18">
        <f>IF(OR($H84="",$I84=""),0,$H84*$I84)</f>
      </c>
      <c r="L84" s="18">
        <f>$K84*$J84</f>
      </c>
      <c r="M84" s="18">
        <f>$K84+$L84</f>
      </c>
      <c r="N84" s="20"/>
      <c r="O84" s="20"/>
      <c r="P84" s="20"/>
    </row>
    <row r="85" spans="2:16" x14ac:dyDescent="0.25">
      <c r="B85" s="15"/>
      <c r="C85" s="8"/>
      <c r="D85" s="8"/>
      <c r="E85" s="16">
        <f>IFERROR(IF($D85="","",VLOOKUP($D85,'Cari Kartlar'!$B$5:$C$204,2,FALSE)),"— tanımsız cari —")</f>
      </c>
      <c r="F85" s="8"/>
      <c r="G85" s="16">
        <f>IFERROR(IF($F85="","",VLOOKUP($F85,'Ürün Kartlar'!$B$5:$C$204,2,FALSE)),"— tanımsız ürün —")</f>
      </c>
      <c r="H85" s="17"/>
      <c r="I85" s="13">
        <f>IFERROR(IF($F85="","",IF($C85="Alış",VLOOKUP($F85,'Ürün Kartlar'!$B$5:$E$204,4,FALSE),VLOOKUP($F85,'Ürün Kartlar'!$B$5:$F$204,5,FALSE))),"")</f>
      </c>
      <c r="J85" s="11">
        <f>IFERROR(IF($F85="",Ayarlar!$C$9,VLOOKUP($F85,'Ürün Kartlar'!$B$5:$G$204,6,FALSE)),Ayarlar!$C$9)</f>
      </c>
      <c r="K85" s="18">
        <f>IF(OR($H85="",$I85=""),0,$H85*$I85)</f>
      </c>
      <c r="L85" s="18">
        <f>$K85*$J85</f>
      </c>
      <c r="M85" s="18">
        <f>$K85+$L85</f>
      </c>
      <c r="N85" s="8"/>
      <c r="O85" s="8"/>
      <c r="P85" s="8"/>
    </row>
    <row r="86" spans="2:16" x14ac:dyDescent="0.25">
      <c r="B86" s="19"/>
      <c r="C86" s="20"/>
      <c r="D86" s="20"/>
      <c r="E86" s="16">
        <f>IFERROR(IF($D86="","",VLOOKUP($D86,'Cari Kartlar'!$B$5:$C$204,2,FALSE)),"— tanımsız cari —")</f>
      </c>
      <c r="F86" s="20"/>
      <c r="G86" s="16">
        <f>IFERROR(IF($F86="","",VLOOKUP($F86,'Ürün Kartlar'!$B$5:$C$204,2,FALSE)),"— tanımsız ürün —")</f>
      </c>
      <c r="H86" s="21"/>
      <c r="I86" s="22">
        <f>IFERROR(IF($F86="","",IF($C86="Alış",VLOOKUP($F86,'Ürün Kartlar'!$B$5:$E$204,4,FALSE),VLOOKUP($F86,'Ürün Kartlar'!$B$5:$F$204,5,FALSE))),"")</f>
      </c>
      <c r="J86" s="23">
        <f>IFERROR(IF($F86="",Ayarlar!$C$9,VLOOKUP($F86,'Ürün Kartlar'!$B$5:$G$204,6,FALSE)),Ayarlar!$C$9)</f>
      </c>
      <c r="K86" s="18">
        <f>IF(OR($H86="",$I86=""),0,$H86*$I86)</f>
      </c>
      <c r="L86" s="18">
        <f>$K86*$J86</f>
      </c>
      <c r="M86" s="18">
        <f>$K86+$L86</f>
      </c>
      <c r="N86" s="20"/>
      <c r="O86" s="20"/>
      <c r="P86" s="20"/>
    </row>
    <row r="87" spans="2:16" x14ac:dyDescent="0.25">
      <c r="B87" s="15"/>
      <c r="C87" s="8"/>
      <c r="D87" s="8"/>
      <c r="E87" s="16">
        <f>IFERROR(IF($D87="","",VLOOKUP($D87,'Cari Kartlar'!$B$5:$C$204,2,FALSE)),"— tanımsız cari —")</f>
      </c>
      <c r="F87" s="8"/>
      <c r="G87" s="16">
        <f>IFERROR(IF($F87="","",VLOOKUP($F87,'Ürün Kartlar'!$B$5:$C$204,2,FALSE)),"— tanımsız ürün —")</f>
      </c>
      <c r="H87" s="17"/>
      <c r="I87" s="13">
        <f>IFERROR(IF($F87="","",IF($C87="Alış",VLOOKUP($F87,'Ürün Kartlar'!$B$5:$E$204,4,FALSE),VLOOKUP($F87,'Ürün Kartlar'!$B$5:$F$204,5,FALSE))),"")</f>
      </c>
      <c r="J87" s="11">
        <f>IFERROR(IF($F87="",Ayarlar!$C$9,VLOOKUP($F87,'Ürün Kartlar'!$B$5:$G$204,6,FALSE)),Ayarlar!$C$9)</f>
      </c>
      <c r="K87" s="18">
        <f>IF(OR($H87="",$I87=""),0,$H87*$I87)</f>
      </c>
      <c r="L87" s="18">
        <f>$K87*$J87</f>
      </c>
      <c r="M87" s="18">
        <f>$K87+$L87</f>
      </c>
      <c r="N87" s="8"/>
      <c r="O87" s="8"/>
      <c r="P87" s="8"/>
    </row>
    <row r="88" spans="2:16" x14ac:dyDescent="0.25">
      <c r="B88" s="19"/>
      <c r="C88" s="20"/>
      <c r="D88" s="20"/>
      <c r="E88" s="16">
        <f>IFERROR(IF($D88="","",VLOOKUP($D88,'Cari Kartlar'!$B$5:$C$204,2,FALSE)),"— tanımsız cari —")</f>
      </c>
      <c r="F88" s="20"/>
      <c r="G88" s="16">
        <f>IFERROR(IF($F88="","",VLOOKUP($F88,'Ürün Kartlar'!$B$5:$C$204,2,FALSE)),"— tanımsız ürün —")</f>
      </c>
      <c r="H88" s="21"/>
      <c r="I88" s="22">
        <f>IFERROR(IF($F88="","",IF($C88="Alış",VLOOKUP($F88,'Ürün Kartlar'!$B$5:$E$204,4,FALSE),VLOOKUP($F88,'Ürün Kartlar'!$B$5:$F$204,5,FALSE))),"")</f>
      </c>
      <c r="J88" s="23">
        <f>IFERROR(IF($F88="",Ayarlar!$C$9,VLOOKUP($F88,'Ürün Kartlar'!$B$5:$G$204,6,FALSE)),Ayarlar!$C$9)</f>
      </c>
      <c r="K88" s="18">
        <f>IF(OR($H88="",$I88=""),0,$H88*$I88)</f>
      </c>
      <c r="L88" s="18">
        <f>$K88*$J88</f>
      </c>
      <c r="M88" s="18">
        <f>$K88+$L88</f>
      </c>
      <c r="N88" s="20"/>
      <c r="O88" s="20"/>
      <c r="P88" s="20"/>
    </row>
    <row r="89" spans="2:16" x14ac:dyDescent="0.25">
      <c r="B89" s="15"/>
      <c r="C89" s="8"/>
      <c r="D89" s="8"/>
      <c r="E89" s="16">
        <f>IFERROR(IF($D89="","",VLOOKUP($D89,'Cari Kartlar'!$B$5:$C$204,2,FALSE)),"— tanımsız cari —")</f>
      </c>
      <c r="F89" s="8"/>
      <c r="G89" s="16">
        <f>IFERROR(IF($F89="","",VLOOKUP($F89,'Ürün Kartlar'!$B$5:$C$204,2,FALSE)),"— tanımsız ürün —")</f>
      </c>
      <c r="H89" s="17"/>
      <c r="I89" s="13">
        <f>IFERROR(IF($F89="","",IF($C89="Alış",VLOOKUP($F89,'Ürün Kartlar'!$B$5:$E$204,4,FALSE),VLOOKUP($F89,'Ürün Kartlar'!$B$5:$F$204,5,FALSE))),"")</f>
      </c>
      <c r="J89" s="11">
        <f>IFERROR(IF($F89="",Ayarlar!$C$9,VLOOKUP($F89,'Ürün Kartlar'!$B$5:$G$204,6,FALSE)),Ayarlar!$C$9)</f>
      </c>
      <c r="K89" s="18">
        <f>IF(OR($H89="",$I89=""),0,$H89*$I89)</f>
      </c>
      <c r="L89" s="18">
        <f>$K89*$J89</f>
      </c>
      <c r="M89" s="18">
        <f>$K89+$L89</f>
      </c>
      <c r="N89" s="8"/>
      <c r="O89" s="8"/>
      <c r="P89" s="8"/>
    </row>
    <row r="90" spans="2:16" x14ac:dyDescent="0.25">
      <c r="B90" s="19"/>
      <c r="C90" s="20"/>
      <c r="D90" s="20"/>
      <c r="E90" s="16">
        <f>IFERROR(IF($D90="","",VLOOKUP($D90,'Cari Kartlar'!$B$5:$C$204,2,FALSE)),"— tanımsız cari —")</f>
      </c>
      <c r="F90" s="20"/>
      <c r="G90" s="16">
        <f>IFERROR(IF($F90="","",VLOOKUP($F90,'Ürün Kartlar'!$B$5:$C$204,2,FALSE)),"— tanımsız ürün —")</f>
      </c>
      <c r="H90" s="21"/>
      <c r="I90" s="22">
        <f>IFERROR(IF($F90="","",IF($C90="Alış",VLOOKUP($F90,'Ürün Kartlar'!$B$5:$E$204,4,FALSE),VLOOKUP($F90,'Ürün Kartlar'!$B$5:$F$204,5,FALSE))),"")</f>
      </c>
      <c r="J90" s="23">
        <f>IFERROR(IF($F90="",Ayarlar!$C$9,VLOOKUP($F90,'Ürün Kartlar'!$B$5:$G$204,6,FALSE)),Ayarlar!$C$9)</f>
      </c>
      <c r="K90" s="18">
        <f>IF(OR($H90="",$I90=""),0,$H90*$I90)</f>
      </c>
      <c r="L90" s="18">
        <f>$K90*$J90</f>
      </c>
      <c r="M90" s="18">
        <f>$K90+$L90</f>
      </c>
      <c r="N90" s="20"/>
      <c r="O90" s="20"/>
      <c r="P90" s="20"/>
    </row>
    <row r="91" spans="2:16" x14ac:dyDescent="0.25">
      <c r="B91" s="15"/>
      <c r="C91" s="8"/>
      <c r="D91" s="8"/>
      <c r="E91" s="16">
        <f>IFERROR(IF($D91="","",VLOOKUP($D91,'Cari Kartlar'!$B$5:$C$204,2,FALSE)),"— tanımsız cari —")</f>
      </c>
      <c r="F91" s="8"/>
      <c r="G91" s="16">
        <f>IFERROR(IF($F91="","",VLOOKUP($F91,'Ürün Kartlar'!$B$5:$C$204,2,FALSE)),"— tanımsız ürün —")</f>
      </c>
      <c r="H91" s="17"/>
      <c r="I91" s="13">
        <f>IFERROR(IF($F91="","",IF($C91="Alış",VLOOKUP($F91,'Ürün Kartlar'!$B$5:$E$204,4,FALSE),VLOOKUP($F91,'Ürün Kartlar'!$B$5:$F$204,5,FALSE))),"")</f>
      </c>
      <c r="J91" s="11">
        <f>IFERROR(IF($F91="",Ayarlar!$C$9,VLOOKUP($F91,'Ürün Kartlar'!$B$5:$G$204,6,FALSE)),Ayarlar!$C$9)</f>
      </c>
      <c r="K91" s="18">
        <f>IF(OR($H91="",$I91=""),0,$H91*$I91)</f>
      </c>
      <c r="L91" s="18">
        <f>$K91*$J91</f>
      </c>
      <c r="M91" s="18">
        <f>$K91+$L91</f>
      </c>
      <c r="N91" s="8"/>
      <c r="O91" s="8"/>
      <c r="P91" s="8"/>
    </row>
    <row r="92" spans="2:16" x14ac:dyDescent="0.25">
      <c r="B92" s="19"/>
      <c r="C92" s="20"/>
      <c r="D92" s="20"/>
      <c r="E92" s="16">
        <f>IFERROR(IF($D92="","",VLOOKUP($D92,'Cari Kartlar'!$B$5:$C$204,2,FALSE)),"— tanımsız cari —")</f>
      </c>
      <c r="F92" s="20"/>
      <c r="G92" s="16">
        <f>IFERROR(IF($F92="","",VLOOKUP($F92,'Ürün Kartlar'!$B$5:$C$204,2,FALSE)),"— tanımsız ürün —")</f>
      </c>
      <c r="H92" s="21"/>
      <c r="I92" s="22">
        <f>IFERROR(IF($F92="","",IF($C92="Alış",VLOOKUP($F92,'Ürün Kartlar'!$B$5:$E$204,4,FALSE),VLOOKUP($F92,'Ürün Kartlar'!$B$5:$F$204,5,FALSE))),"")</f>
      </c>
      <c r="J92" s="23">
        <f>IFERROR(IF($F92="",Ayarlar!$C$9,VLOOKUP($F92,'Ürün Kartlar'!$B$5:$G$204,6,FALSE)),Ayarlar!$C$9)</f>
      </c>
      <c r="K92" s="18">
        <f>IF(OR($H92="",$I92=""),0,$H92*$I92)</f>
      </c>
      <c r="L92" s="18">
        <f>$K92*$J92</f>
      </c>
      <c r="M92" s="18">
        <f>$K92+$L92</f>
      </c>
      <c r="N92" s="20"/>
      <c r="O92" s="20"/>
      <c r="P92" s="20"/>
    </row>
    <row r="93" spans="2:16" x14ac:dyDescent="0.25">
      <c r="B93" s="15"/>
      <c r="C93" s="8"/>
      <c r="D93" s="8"/>
      <c r="E93" s="16">
        <f>IFERROR(IF($D93="","",VLOOKUP($D93,'Cari Kartlar'!$B$5:$C$204,2,FALSE)),"— tanımsız cari —")</f>
      </c>
      <c r="F93" s="8"/>
      <c r="G93" s="16">
        <f>IFERROR(IF($F93="","",VLOOKUP($F93,'Ürün Kartlar'!$B$5:$C$204,2,FALSE)),"— tanımsız ürün —")</f>
      </c>
      <c r="H93" s="17"/>
      <c r="I93" s="13">
        <f>IFERROR(IF($F93="","",IF($C93="Alış",VLOOKUP($F93,'Ürün Kartlar'!$B$5:$E$204,4,FALSE),VLOOKUP($F93,'Ürün Kartlar'!$B$5:$F$204,5,FALSE))),"")</f>
      </c>
      <c r="J93" s="11">
        <f>IFERROR(IF($F93="",Ayarlar!$C$9,VLOOKUP($F93,'Ürün Kartlar'!$B$5:$G$204,6,FALSE)),Ayarlar!$C$9)</f>
      </c>
      <c r="K93" s="18">
        <f>IF(OR($H93="",$I93=""),0,$H93*$I93)</f>
      </c>
      <c r="L93" s="18">
        <f>$K93*$J93</f>
      </c>
      <c r="M93" s="18">
        <f>$K93+$L93</f>
      </c>
      <c r="N93" s="8"/>
      <c r="O93" s="8"/>
      <c r="P93" s="8"/>
    </row>
    <row r="94" spans="2:16" x14ac:dyDescent="0.25">
      <c r="B94" s="19"/>
      <c r="C94" s="20"/>
      <c r="D94" s="20"/>
      <c r="E94" s="16">
        <f>IFERROR(IF($D94="","",VLOOKUP($D94,'Cari Kartlar'!$B$5:$C$204,2,FALSE)),"— tanımsız cari —")</f>
      </c>
      <c r="F94" s="20"/>
      <c r="G94" s="16">
        <f>IFERROR(IF($F94="","",VLOOKUP($F94,'Ürün Kartlar'!$B$5:$C$204,2,FALSE)),"— tanımsız ürün —")</f>
      </c>
      <c r="H94" s="21"/>
      <c r="I94" s="22">
        <f>IFERROR(IF($F94="","",IF($C94="Alış",VLOOKUP($F94,'Ürün Kartlar'!$B$5:$E$204,4,FALSE),VLOOKUP($F94,'Ürün Kartlar'!$B$5:$F$204,5,FALSE))),"")</f>
      </c>
      <c r="J94" s="23">
        <f>IFERROR(IF($F94="",Ayarlar!$C$9,VLOOKUP($F94,'Ürün Kartlar'!$B$5:$G$204,6,FALSE)),Ayarlar!$C$9)</f>
      </c>
      <c r="K94" s="18">
        <f>IF(OR($H94="",$I94=""),0,$H94*$I94)</f>
      </c>
      <c r="L94" s="18">
        <f>$K94*$J94</f>
      </c>
      <c r="M94" s="18">
        <f>$K94+$L94</f>
      </c>
      <c r="N94" s="20"/>
      <c r="O94" s="20"/>
      <c r="P94" s="20"/>
    </row>
    <row r="95" spans="2:16" x14ac:dyDescent="0.25">
      <c r="B95" s="15"/>
      <c r="C95" s="8"/>
      <c r="D95" s="8"/>
      <c r="E95" s="16">
        <f>IFERROR(IF($D95="","",VLOOKUP($D95,'Cari Kartlar'!$B$5:$C$204,2,FALSE)),"— tanımsız cari —")</f>
      </c>
      <c r="F95" s="8"/>
      <c r="G95" s="16">
        <f>IFERROR(IF($F95="","",VLOOKUP($F95,'Ürün Kartlar'!$B$5:$C$204,2,FALSE)),"— tanımsız ürün —")</f>
      </c>
      <c r="H95" s="17"/>
      <c r="I95" s="13">
        <f>IFERROR(IF($F95="","",IF($C95="Alış",VLOOKUP($F95,'Ürün Kartlar'!$B$5:$E$204,4,FALSE),VLOOKUP($F95,'Ürün Kartlar'!$B$5:$F$204,5,FALSE))),"")</f>
      </c>
      <c r="J95" s="11">
        <f>IFERROR(IF($F95="",Ayarlar!$C$9,VLOOKUP($F95,'Ürün Kartlar'!$B$5:$G$204,6,FALSE)),Ayarlar!$C$9)</f>
      </c>
      <c r="K95" s="18">
        <f>IF(OR($H95="",$I95=""),0,$H95*$I95)</f>
      </c>
      <c r="L95" s="18">
        <f>$K95*$J95</f>
      </c>
      <c r="M95" s="18">
        <f>$K95+$L95</f>
      </c>
      <c r="N95" s="8"/>
      <c r="O95" s="8"/>
      <c r="P95" s="8"/>
    </row>
    <row r="96" spans="2:16" x14ac:dyDescent="0.25">
      <c r="B96" s="19"/>
      <c r="C96" s="20"/>
      <c r="D96" s="20"/>
      <c r="E96" s="16">
        <f>IFERROR(IF($D96="","",VLOOKUP($D96,'Cari Kartlar'!$B$5:$C$204,2,FALSE)),"— tanımsız cari —")</f>
      </c>
      <c r="F96" s="20"/>
      <c r="G96" s="16">
        <f>IFERROR(IF($F96="","",VLOOKUP($F96,'Ürün Kartlar'!$B$5:$C$204,2,FALSE)),"— tanımsız ürün —")</f>
      </c>
      <c r="H96" s="21"/>
      <c r="I96" s="22">
        <f>IFERROR(IF($F96="","",IF($C96="Alış",VLOOKUP($F96,'Ürün Kartlar'!$B$5:$E$204,4,FALSE),VLOOKUP($F96,'Ürün Kartlar'!$B$5:$F$204,5,FALSE))),"")</f>
      </c>
      <c r="J96" s="23">
        <f>IFERROR(IF($F96="",Ayarlar!$C$9,VLOOKUP($F96,'Ürün Kartlar'!$B$5:$G$204,6,FALSE)),Ayarlar!$C$9)</f>
      </c>
      <c r="K96" s="18">
        <f>IF(OR($H96="",$I96=""),0,$H96*$I96)</f>
      </c>
      <c r="L96" s="18">
        <f>$K96*$J96</f>
      </c>
      <c r="M96" s="18">
        <f>$K96+$L96</f>
      </c>
      <c r="N96" s="20"/>
      <c r="O96" s="20"/>
      <c r="P96" s="20"/>
    </row>
    <row r="97" spans="2:16" x14ac:dyDescent="0.25">
      <c r="B97" s="15"/>
      <c r="C97" s="8"/>
      <c r="D97" s="8"/>
      <c r="E97" s="16">
        <f>IFERROR(IF($D97="","",VLOOKUP($D97,'Cari Kartlar'!$B$5:$C$204,2,FALSE)),"— tanımsız cari —")</f>
      </c>
      <c r="F97" s="8"/>
      <c r="G97" s="16">
        <f>IFERROR(IF($F97="","",VLOOKUP($F97,'Ürün Kartlar'!$B$5:$C$204,2,FALSE)),"— tanımsız ürün —")</f>
      </c>
      <c r="H97" s="17"/>
      <c r="I97" s="13">
        <f>IFERROR(IF($F97="","",IF($C97="Alış",VLOOKUP($F97,'Ürün Kartlar'!$B$5:$E$204,4,FALSE),VLOOKUP($F97,'Ürün Kartlar'!$B$5:$F$204,5,FALSE))),"")</f>
      </c>
      <c r="J97" s="11">
        <f>IFERROR(IF($F97="",Ayarlar!$C$9,VLOOKUP($F97,'Ürün Kartlar'!$B$5:$G$204,6,FALSE)),Ayarlar!$C$9)</f>
      </c>
      <c r="K97" s="18">
        <f>IF(OR($H97="",$I97=""),0,$H97*$I97)</f>
      </c>
      <c r="L97" s="18">
        <f>$K97*$J97</f>
      </c>
      <c r="M97" s="18">
        <f>$K97+$L97</f>
      </c>
      <c r="N97" s="8"/>
      <c r="O97" s="8"/>
      <c r="P97" s="8"/>
    </row>
    <row r="98" spans="2:16" x14ac:dyDescent="0.25">
      <c r="B98" s="19"/>
      <c r="C98" s="20"/>
      <c r="D98" s="20"/>
      <c r="E98" s="16">
        <f>IFERROR(IF($D98="","",VLOOKUP($D98,'Cari Kartlar'!$B$5:$C$204,2,FALSE)),"— tanımsız cari —")</f>
      </c>
      <c r="F98" s="20"/>
      <c r="G98" s="16">
        <f>IFERROR(IF($F98="","",VLOOKUP($F98,'Ürün Kartlar'!$B$5:$C$204,2,FALSE)),"— tanımsız ürün —")</f>
      </c>
      <c r="H98" s="21"/>
      <c r="I98" s="22">
        <f>IFERROR(IF($F98="","",IF($C98="Alış",VLOOKUP($F98,'Ürün Kartlar'!$B$5:$E$204,4,FALSE),VLOOKUP($F98,'Ürün Kartlar'!$B$5:$F$204,5,FALSE))),"")</f>
      </c>
      <c r="J98" s="23">
        <f>IFERROR(IF($F98="",Ayarlar!$C$9,VLOOKUP($F98,'Ürün Kartlar'!$B$5:$G$204,6,FALSE)),Ayarlar!$C$9)</f>
      </c>
      <c r="K98" s="18">
        <f>IF(OR($H98="",$I98=""),0,$H98*$I98)</f>
      </c>
      <c r="L98" s="18">
        <f>$K98*$J98</f>
      </c>
      <c r="M98" s="18">
        <f>$K98+$L98</f>
      </c>
      <c r="N98" s="20"/>
      <c r="O98" s="20"/>
      <c r="P98" s="20"/>
    </row>
    <row r="99" spans="2:16" x14ac:dyDescent="0.25">
      <c r="B99" s="15"/>
      <c r="C99" s="8"/>
      <c r="D99" s="8"/>
      <c r="E99" s="16">
        <f>IFERROR(IF($D99="","",VLOOKUP($D99,'Cari Kartlar'!$B$5:$C$204,2,FALSE)),"— tanımsız cari —")</f>
      </c>
      <c r="F99" s="8"/>
      <c r="G99" s="16">
        <f>IFERROR(IF($F99="","",VLOOKUP($F99,'Ürün Kartlar'!$B$5:$C$204,2,FALSE)),"— tanımsız ürün —")</f>
      </c>
      <c r="H99" s="17"/>
      <c r="I99" s="13">
        <f>IFERROR(IF($F99="","",IF($C99="Alış",VLOOKUP($F99,'Ürün Kartlar'!$B$5:$E$204,4,FALSE),VLOOKUP($F99,'Ürün Kartlar'!$B$5:$F$204,5,FALSE))),"")</f>
      </c>
      <c r="J99" s="11">
        <f>IFERROR(IF($F99="",Ayarlar!$C$9,VLOOKUP($F99,'Ürün Kartlar'!$B$5:$G$204,6,FALSE)),Ayarlar!$C$9)</f>
      </c>
      <c r="K99" s="18">
        <f>IF(OR($H99="",$I99=""),0,$H99*$I99)</f>
      </c>
      <c r="L99" s="18">
        <f>$K99*$J99</f>
      </c>
      <c r="M99" s="18">
        <f>$K99+$L99</f>
      </c>
      <c r="N99" s="8"/>
      <c r="O99" s="8"/>
      <c r="P99" s="8"/>
    </row>
    <row r="100" spans="2:16" x14ac:dyDescent="0.25">
      <c r="B100" s="19"/>
      <c r="C100" s="20"/>
      <c r="D100" s="20"/>
      <c r="E100" s="16">
        <f>IFERROR(IF($D100="","",VLOOKUP($D100,'Cari Kartlar'!$B$5:$C$204,2,FALSE)),"— tanımsız cari —")</f>
      </c>
      <c r="F100" s="20"/>
      <c r="G100" s="16">
        <f>IFERROR(IF($F100="","",VLOOKUP($F100,'Ürün Kartlar'!$B$5:$C$204,2,FALSE)),"— tanımsız ürün —")</f>
      </c>
      <c r="H100" s="21"/>
      <c r="I100" s="22">
        <f>IFERROR(IF($F100="","",IF($C100="Alış",VLOOKUP($F100,'Ürün Kartlar'!$B$5:$E$204,4,FALSE),VLOOKUP($F100,'Ürün Kartlar'!$B$5:$F$204,5,FALSE))),"")</f>
      </c>
      <c r="J100" s="23">
        <f>IFERROR(IF($F100="",Ayarlar!$C$9,VLOOKUP($F100,'Ürün Kartlar'!$B$5:$G$204,6,FALSE)),Ayarlar!$C$9)</f>
      </c>
      <c r="K100" s="18">
        <f>IF(OR($H100="",$I100=""),0,$H100*$I100)</f>
      </c>
      <c r="L100" s="18">
        <f>$K100*$J100</f>
      </c>
      <c r="M100" s="18">
        <f>$K100+$L100</f>
      </c>
      <c r="N100" s="20"/>
      <c r="O100" s="20"/>
      <c r="P100" s="20"/>
    </row>
    <row r="101" spans="2:16" x14ac:dyDescent="0.25">
      <c r="B101" s="15"/>
      <c r="C101" s="8"/>
      <c r="D101" s="8"/>
      <c r="E101" s="16">
        <f>IFERROR(IF($D101="","",VLOOKUP($D101,'Cari Kartlar'!$B$5:$C$204,2,FALSE)),"— tanımsız cari —")</f>
      </c>
      <c r="F101" s="8"/>
      <c r="G101" s="16">
        <f>IFERROR(IF($F101="","",VLOOKUP($F101,'Ürün Kartlar'!$B$5:$C$204,2,FALSE)),"— tanımsız ürün —")</f>
      </c>
      <c r="H101" s="17"/>
      <c r="I101" s="13">
        <f>IFERROR(IF($F101="","",IF($C101="Alış",VLOOKUP($F101,'Ürün Kartlar'!$B$5:$E$204,4,FALSE),VLOOKUP($F101,'Ürün Kartlar'!$B$5:$F$204,5,FALSE))),"")</f>
      </c>
      <c r="J101" s="11">
        <f>IFERROR(IF($F101="",Ayarlar!$C$9,VLOOKUP($F101,'Ürün Kartlar'!$B$5:$G$204,6,FALSE)),Ayarlar!$C$9)</f>
      </c>
      <c r="K101" s="18">
        <f>IF(OR($H101="",$I101=""),0,$H101*$I101)</f>
      </c>
      <c r="L101" s="18">
        <f>$K101*$J101</f>
      </c>
      <c r="M101" s="18">
        <f>$K101+$L101</f>
      </c>
      <c r="N101" s="8"/>
      <c r="O101" s="8"/>
      <c r="P101" s="8"/>
    </row>
    <row r="102" spans="2:16" x14ac:dyDescent="0.25">
      <c r="B102" s="19"/>
      <c r="C102" s="20"/>
      <c r="D102" s="20"/>
      <c r="E102" s="16">
        <f>IFERROR(IF($D102="","",VLOOKUP($D102,'Cari Kartlar'!$B$5:$C$204,2,FALSE)),"— tanımsız cari —")</f>
      </c>
      <c r="F102" s="20"/>
      <c r="G102" s="16">
        <f>IFERROR(IF($F102="","",VLOOKUP($F102,'Ürün Kartlar'!$B$5:$C$204,2,FALSE)),"— tanımsız ürün —")</f>
      </c>
      <c r="H102" s="21"/>
      <c r="I102" s="22">
        <f>IFERROR(IF($F102="","",IF($C102="Alış",VLOOKUP($F102,'Ürün Kartlar'!$B$5:$E$204,4,FALSE),VLOOKUP($F102,'Ürün Kartlar'!$B$5:$F$204,5,FALSE))),"")</f>
      </c>
      <c r="J102" s="23">
        <f>IFERROR(IF($F102="",Ayarlar!$C$9,VLOOKUP($F102,'Ürün Kartlar'!$B$5:$G$204,6,FALSE)),Ayarlar!$C$9)</f>
      </c>
      <c r="K102" s="18">
        <f>IF(OR($H102="",$I102=""),0,$H102*$I102)</f>
      </c>
      <c r="L102" s="18">
        <f>$K102*$J102</f>
      </c>
      <c r="M102" s="18">
        <f>$K102+$L102</f>
      </c>
      <c r="N102" s="20"/>
      <c r="O102" s="20"/>
      <c r="P102" s="20"/>
    </row>
    <row r="103" spans="2:16" x14ac:dyDescent="0.25">
      <c r="B103" s="15"/>
      <c r="C103" s="8"/>
      <c r="D103" s="8"/>
      <c r="E103" s="16">
        <f>IFERROR(IF($D103="","",VLOOKUP($D103,'Cari Kartlar'!$B$5:$C$204,2,FALSE)),"— tanımsız cari —")</f>
      </c>
      <c r="F103" s="8"/>
      <c r="G103" s="16">
        <f>IFERROR(IF($F103="","",VLOOKUP($F103,'Ürün Kartlar'!$B$5:$C$204,2,FALSE)),"— tanımsız ürün —")</f>
      </c>
      <c r="H103" s="17"/>
      <c r="I103" s="13">
        <f>IFERROR(IF($F103="","",IF($C103="Alış",VLOOKUP($F103,'Ürün Kartlar'!$B$5:$E$204,4,FALSE),VLOOKUP($F103,'Ürün Kartlar'!$B$5:$F$204,5,FALSE))),"")</f>
      </c>
      <c r="J103" s="11">
        <f>IFERROR(IF($F103="",Ayarlar!$C$9,VLOOKUP($F103,'Ürün Kartlar'!$B$5:$G$204,6,FALSE)),Ayarlar!$C$9)</f>
      </c>
      <c r="K103" s="18">
        <f>IF(OR($H103="",$I103=""),0,$H103*$I103)</f>
      </c>
      <c r="L103" s="18">
        <f>$K103*$J103</f>
      </c>
      <c r="M103" s="18">
        <f>$K103+$L103</f>
      </c>
      <c r="N103" s="8"/>
      <c r="O103" s="8"/>
      <c r="P103" s="8"/>
    </row>
    <row r="104" spans="2:16" x14ac:dyDescent="0.25">
      <c r="B104" s="19"/>
      <c r="C104" s="20"/>
      <c r="D104" s="20"/>
      <c r="E104" s="16">
        <f>IFERROR(IF($D104="","",VLOOKUP($D104,'Cari Kartlar'!$B$5:$C$204,2,FALSE)),"— tanımsız cari —")</f>
      </c>
      <c r="F104" s="20"/>
      <c r="G104" s="16">
        <f>IFERROR(IF($F104="","",VLOOKUP($F104,'Ürün Kartlar'!$B$5:$C$204,2,FALSE)),"— tanımsız ürün —")</f>
      </c>
      <c r="H104" s="21"/>
      <c r="I104" s="22">
        <f>IFERROR(IF($F104="","",IF($C104="Alış",VLOOKUP($F104,'Ürün Kartlar'!$B$5:$E$204,4,FALSE),VLOOKUP($F104,'Ürün Kartlar'!$B$5:$F$204,5,FALSE))),"")</f>
      </c>
      <c r="J104" s="23">
        <f>IFERROR(IF($F104="",Ayarlar!$C$9,VLOOKUP($F104,'Ürün Kartlar'!$B$5:$G$204,6,FALSE)),Ayarlar!$C$9)</f>
      </c>
      <c r="K104" s="18">
        <f>IF(OR($H104="",$I104=""),0,$H104*$I104)</f>
      </c>
      <c r="L104" s="18">
        <f>$K104*$J104</f>
      </c>
      <c r="M104" s="18">
        <f>$K104+$L104</f>
      </c>
      <c r="N104" s="20"/>
      <c r="O104" s="20"/>
      <c r="P104" s="20"/>
    </row>
    <row r="105" spans="2:16" x14ac:dyDescent="0.25">
      <c r="B105" s="15"/>
      <c r="C105" s="8"/>
      <c r="D105" s="8"/>
      <c r="E105" s="16">
        <f>IFERROR(IF($D105="","",VLOOKUP($D105,'Cari Kartlar'!$B$5:$C$204,2,FALSE)),"— tanımsız cari —")</f>
      </c>
      <c r="F105" s="8"/>
      <c r="G105" s="16">
        <f>IFERROR(IF($F105="","",VLOOKUP($F105,'Ürün Kartlar'!$B$5:$C$204,2,FALSE)),"— tanımsız ürün —")</f>
      </c>
      <c r="H105" s="17"/>
      <c r="I105" s="13">
        <f>IFERROR(IF($F105="","",IF($C105="Alış",VLOOKUP($F105,'Ürün Kartlar'!$B$5:$E$204,4,FALSE),VLOOKUP($F105,'Ürün Kartlar'!$B$5:$F$204,5,FALSE))),"")</f>
      </c>
      <c r="J105" s="11">
        <f>IFERROR(IF($F105="",Ayarlar!$C$9,VLOOKUP($F105,'Ürün Kartlar'!$B$5:$G$204,6,FALSE)),Ayarlar!$C$9)</f>
      </c>
      <c r="K105" s="18">
        <f>IF(OR($H105="",$I105=""),0,$H105*$I105)</f>
      </c>
      <c r="L105" s="18">
        <f>$K105*$J105</f>
      </c>
      <c r="M105" s="18">
        <f>$K105+$L105</f>
      </c>
      <c r="N105" s="8"/>
      <c r="O105" s="8"/>
      <c r="P105" s="8"/>
    </row>
    <row r="106" spans="2:16" x14ac:dyDescent="0.25">
      <c r="B106" s="19"/>
      <c r="C106" s="20"/>
      <c r="D106" s="20"/>
      <c r="E106" s="16">
        <f>IFERROR(IF($D106="","",VLOOKUP($D106,'Cari Kartlar'!$B$5:$C$204,2,FALSE)),"— tanımsız cari —")</f>
      </c>
      <c r="F106" s="20"/>
      <c r="G106" s="16">
        <f>IFERROR(IF($F106="","",VLOOKUP($F106,'Ürün Kartlar'!$B$5:$C$204,2,FALSE)),"— tanımsız ürün —")</f>
      </c>
      <c r="H106" s="21"/>
      <c r="I106" s="22">
        <f>IFERROR(IF($F106="","",IF($C106="Alış",VLOOKUP($F106,'Ürün Kartlar'!$B$5:$E$204,4,FALSE),VLOOKUP($F106,'Ürün Kartlar'!$B$5:$F$204,5,FALSE))),"")</f>
      </c>
      <c r="J106" s="23">
        <f>IFERROR(IF($F106="",Ayarlar!$C$9,VLOOKUP($F106,'Ürün Kartlar'!$B$5:$G$204,6,FALSE)),Ayarlar!$C$9)</f>
      </c>
      <c r="K106" s="18">
        <f>IF(OR($H106="",$I106=""),0,$H106*$I106)</f>
      </c>
      <c r="L106" s="18">
        <f>$K106*$J106</f>
      </c>
      <c r="M106" s="18">
        <f>$K106+$L106</f>
      </c>
      <c r="N106" s="20"/>
      <c r="O106" s="20"/>
      <c r="P106" s="20"/>
    </row>
    <row r="107" spans="2:16" x14ac:dyDescent="0.25">
      <c r="B107" s="15"/>
      <c r="C107" s="8"/>
      <c r="D107" s="8"/>
      <c r="E107" s="16">
        <f>IFERROR(IF($D107="","",VLOOKUP($D107,'Cari Kartlar'!$B$5:$C$204,2,FALSE)),"— tanımsız cari —")</f>
      </c>
      <c r="F107" s="8"/>
      <c r="G107" s="16">
        <f>IFERROR(IF($F107="","",VLOOKUP($F107,'Ürün Kartlar'!$B$5:$C$204,2,FALSE)),"— tanımsız ürün —")</f>
      </c>
      <c r="H107" s="17"/>
      <c r="I107" s="13">
        <f>IFERROR(IF($F107="","",IF($C107="Alış",VLOOKUP($F107,'Ürün Kartlar'!$B$5:$E$204,4,FALSE),VLOOKUP($F107,'Ürün Kartlar'!$B$5:$F$204,5,FALSE))),"")</f>
      </c>
      <c r="J107" s="11">
        <f>IFERROR(IF($F107="",Ayarlar!$C$9,VLOOKUP($F107,'Ürün Kartlar'!$B$5:$G$204,6,FALSE)),Ayarlar!$C$9)</f>
      </c>
      <c r="K107" s="18">
        <f>IF(OR($H107="",$I107=""),0,$H107*$I107)</f>
      </c>
      <c r="L107" s="18">
        <f>$K107*$J107</f>
      </c>
      <c r="M107" s="18">
        <f>$K107+$L107</f>
      </c>
      <c r="N107" s="8"/>
      <c r="O107" s="8"/>
      <c r="P107" s="8"/>
    </row>
    <row r="108" spans="2:16" x14ac:dyDescent="0.25">
      <c r="B108" s="19"/>
      <c r="C108" s="20"/>
      <c r="D108" s="20"/>
      <c r="E108" s="16">
        <f>IFERROR(IF($D108="","",VLOOKUP($D108,'Cari Kartlar'!$B$5:$C$204,2,FALSE)),"— tanımsız cari —")</f>
      </c>
      <c r="F108" s="20"/>
      <c r="G108" s="16">
        <f>IFERROR(IF($F108="","",VLOOKUP($F108,'Ürün Kartlar'!$B$5:$C$204,2,FALSE)),"— tanımsız ürün —")</f>
      </c>
      <c r="H108" s="21"/>
      <c r="I108" s="22">
        <f>IFERROR(IF($F108="","",IF($C108="Alış",VLOOKUP($F108,'Ürün Kartlar'!$B$5:$E$204,4,FALSE),VLOOKUP($F108,'Ürün Kartlar'!$B$5:$F$204,5,FALSE))),"")</f>
      </c>
      <c r="J108" s="23">
        <f>IFERROR(IF($F108="",Ayarlar!$C$9,VLOOKUP($F108,'Ürün Kartlar'!$B$5:$G$204,6,FALSE)),Ayarlar!$C$9)</f>
      </c>
      <c r="K108" s="18">
        <f>IF(OR($H108="",$I108=""),0,$H108*$I108)</f>
      </c>
      <c r="L108" s="18">
        <f>$K108*$J108</f>
      </c>
      <c r="M108" s="18">
        <f>$K108+$L108</f>
      </c>
      <c r="N108" s="20"/>
      <c r="O108" s="20"/>
      <c r="P108" s="20"/>
    </row>
    <row r="109" spans="2:16" x14ac:dyDescent="0.25">
      <c r="B109" s="15"/>
      <c r="C109" s="8"/>
      <c r="D109" s="8"/>
      <c r="E109" s="16">
        <f>IFERROR(IF($D109="","",VLOOKUP($D109,'Cari Kartlar'!$B$5:$C$204,2,FALSE)),"— tanımsız cari —")</f>
      </c>
      <c r="F109" s="8"/>
      <c r="G109" s="16">
        <f>IFERROR(IF($F109="","",VLOOKUP($F109,'Ürün Kartlar'!$B$5:$C$204,2,FALSE)),"— tanımsız ürün —")</f>
      </c>
      <c r="H109" s="17"/>
      <c r="I109" s="13">
        <f>IFERROR(IF($F109="","",IF($C109="Alış",VLOOKUP($F109,'Ürün Kartlar'!$B$5:$E$204,4,FALSE),VLOOKUP($F109,'Ürün Kartlar'!$B$5:$F$204,5,FALSE))),"")</f>
      </c>
      <c r="J109" s="11">
        <f>IFERROR(IF($F109="",Ayarlar!$C$9,VLOOKUP($F109,'Ürün Kartlar'!$B$5:$G$204,6,FALSE)),Ayarlar!$C$9)</f>
      </c>
      <c r="K109" s="18">
        <f>IF(OR($H109="",$I109=""),0,$H109*$I109)</f>
      </c>
      <c r="L109" s="18">
        <f>$K109*$J109</f>
      </c>
      <c r="M109" s="18">
        <f>$K109+$L109</f>
      </c>
      <c r="N109" s="8"/>
      <c r="O109" s="8"/>
      <c r="P109" s="8"/>
    </row>
    <row r="110" spans="2:16" x14ac:dyDescent="0.25">
      <c r="B110" s="19"/>
      <c r="C110" s="20"/>
      <c r="D110" s="20"/>
      <c r="E110" s="16">
        <f>IFERROR(IF($D110="","",VLOOKUP($D110,'Cari Kartlar'!$B$5:$C$204,2,FALSE)),"— tanımsız cari —")</f>
      </c>
      <c r="F110" s="20"/>
      <c r="G110" s="16">
        <f>IFERROR(IF($F110="","",VLOOKUP($F110,'Ürün Kartlar'!$B$5:$C$204,2,FALSE)),"— tanımsız ürün —")</f>
      </c>
      <c r="H110" s="21"/>
      <c r="I110" s="22">
        <f>IFERROR(IF($F110="","",IF($C110="Alış",VLOOKUP($F110,'Ürün Kartlar'!$B$5:$E$204,4,FALSE),VLOOKUP($F110,'Ürün Kartlar'!$B$5:$F$204,5,FALSE))),"")</f>
      </c>
      <c r="J110" s="23">
        <f>IFERROR(IF($F110="",Ayarlar!$C$9,VLOOKUP($F110,'Ürün Kartlar'!$B$5:$G$204,6,FALSE)),Ayarlar!$C$9)</f>
      </c>
      <c r="K110" s="18">
        <f>IF(OR($H110="",$I110=""),0,$H110*$I110)</f>
      </c>
      <c r="L110" s="18">
        <f>$K110*$J110</f>
      </c>
      <c r="M110" s="18">
        <f>$K110+$L110</f>
      </c>
      <c r="N110" s="20"/>
      <c r="O110" s="20"/>
      <c r="P110" s="20"/>
    </row>
    <row r="111" spans="2:16" x14ac:dyDescent="0.25">
      <c r="B111" s="15"/>
      <c r="C111" s="8"/>
      <c r="D111" s="8"/>
      <c r="E111" s="16">
        <f>IFERROR(IF($D111="","",VLOOKUP($D111,'Cari Kartlar'!$B$5:$C$204,2,FALSE)),"— tanımsız cari —")</f>
      </c>
      <c r="F111" s="8"/>
      <c r="G111" s="16">
        <f>IFERROR(IF($F111="","",VLOOKUP($F111,'Ürün Kartlar'!$B$5:$C$204,2,FALSE)),"— tanımsız ürün —")</f>
      </c>
      <c r="H111" s="17"/>
      <c r="I111" s="13">
        <f>IFERROR(IF($F111="","",IF($C111="Alış",VLOOKUP($F111,'Ürün Kartlar'!$B$5:$E$204,4,FALSE),VLOOKUP($F111,'Ürün Kartlar'!$B$5:$F$204,5,FALSE))),"")</f>
      </c>
      <c r="J111" s="11">
        <f>IFERROR(IF($F111="",Ayarlar!$C$9,VLOOKUP($F111,'Ürün Kartlar'!$B$5:$G$204,6,FALSE)),Ayarlar!$C$9)</f>
      </c>
      <c r="K111" s="18">
        <f>IF(OR($H111="",$I111=""),0,$H111*$I111)</f>
      </c>
      <c r="L111" s="18">
        <f>$K111*$J111</f>
      </c>
      <c r="M111" s="18">
        <f>$K111+$L111</f>
      </c>
      <c r="N111" s="8"/>
      <c r="O111" s="8"/>
      <c r="P111" s="8"/>
    </row>
    <row r="112" spans="2:16" x14ac:dyDescent="0.25">
      <c r="B112" s="19"/>
      <c r="C112" s="20"/>
      <c r="D112" s="20"/>
      <c r="E112" s="16">
        <f>IFERROR(IF($D112="","",VLOOKUP($D112,'Cari Kartlar'!$B$5:$C$204,2,FALSE)),"— tanımsız cari —")</f>
      </c>
      <c r="F112" s="20"/>
      <c r="G112" s="16">
        <f>IFERROR(IF($F112="","",VLOOKUP($F112,'Ürün Kartlar'!$B$5:$C$204,2,FALSE)),"— tanımsız ürün —")</f>
      </c>
      <c r="H112" s="21"/>
      <c r="I112" s="22">
        <f>IFERROR(IF($F112="","",IF($C112="Alış",VLOOKUP($F112,'Ürün Kartlar'!$B$5:$E$204,4,FALSE),VLOOKUP($F112,'Ürün Kartlar'!$B$5:$F$204,5,FALSE))),"")</f>
      </c>
      <c r="J112" s="23">
        <f>IFERROR(IF($F112="",Ayarlar!$C$9,VLOOKUP($F112,'Ürün Kartlar'!$B$5:$G$204,6,FALSE)),Ayarlar!$C$9)</f>
      </c>
      <c r="K112" s="18">
        <f>IF(OR($H112="",$I112=""),0,$H112*$I112)</f>
      </c>
      <c r="L112" s="18">
        <f>$K112*$J112</f>
      </c>
      <c r="M112" s="18">
        <f>$K112+$L112</f>
      </c>
      <c r="N112" s="20"/>
      <c r="O112" s="20"/>
      <c r="P112" s="20"/>
    </row>
    <row r="113" spans="2:16" x14ac:dyDescent="0.25">
      <c r="B113" s="15"/>
      <c r="C113" s="8"/>
      <c r="D113" s="8"/>
      <c r="E113" s="16">
        <f>IFERROR(IF($D113="","",VLOOKUP($D113,'Cari Kartlar'!$B$5:$C$204,2,FALSE)),"— tanımsız cari —")</f>
      </c>
      <c r="F113" s="8"/>
      <c r="G113" s="16">
        <f>IFERROR(IF($F113="","",VLOOKUP($F113,'Ürün Kartlar'!$B$5:$C$204,2,FALSE)),"— tanımsız ürün —")</f>
      </c>
      <c r="H113" s="17"/>
      <c r="I113" s="13">
        <f>IFERROR(IF($F113="","",IF($C113="Alış",VLOOKUP($F113,'Ürün Kartlar'!$B$5:$E$204,4,FALSE),VLOOKUP($F113,'Ürün Kartlar'!$B$5:$F$204,5,FALSE))),"")</f>
      </c>
      <c r="J113" s="11">
        <f>IFERROR(IF($F113="",Ayarlar!$C$9,VLOOKUP($F113,'Ürün Kartlar'!$B$5:$G$204,6,FALSE)),Ayarlar!$C$9)</f>
      </c>
      <c r="K113" s="18">
        <f>IF(OR($H113="",$I113=""),0,$H113*$I113)</f>
      </c>
      <c r="L113" s="18">
        <f>$K113*$J113</f>
      </c>
      <c r="M113" s="18">
        <f>$K113+$L113</f>
      </c>
      <c r="N113" s="8"/>
      <c r="O113" s="8"/>
      <c r="P113" s="8"/>
    </row>
    <row r="114" spans="2:16" x14ac:dyDescent="0.25">
      <c r="B114" s="19"/>
      <c r="C114" s="20"/>
      <c r="D114" s="20"/>
      <c r="E114" s="16">
        <f>IFERROR(IF($D114="","",VLOOKUP($D114,'Cari Kartlar'!$B$5:$C$204,2,FALSE)),"— tanımsız cari —")</f>
      </c>
      <c r="F114" s="20"/>
      <c r="G114" s="16">
        <f>IFERROR(IF($F114="","",VLOOKUP($F114,'Ürün Kartlar'!$B$5:$C$204,2,FALSE)),"— tanımsız ürün —")</f>
      </c>
      <c r="H114" s="21"/>
      <c r="I114" s="22">
        <f>IFERROR(IF($F114="","",IF($C114="Alış",VLOOKUP($F114,'Ürün Kartlar'!$B$5:$E$204,4,FALSE),VLOOKUP($F114,'Ürün Kartlar'!$B$5:$F$204,5,FALSE))),"")</f>
      </c>
      <c r="J114" s="23">
        <f>IFERROR(IF($F114="",Ayarlar!$C$9,VLOOKUP($F114,'Ürün Kartlar'!$B$5:$G$204,6,FALSE)),Ayarlar!$C$9)</f>
      </c>
      <c r="K114" s="18">
        <f>IF(OR($H114="",$I114=""),0,$H114*$I114)</f>
      </c>
      <c r="L114" s="18">
        <f>$K114*$J114</f>
      </c>
      <c r="M114" s="18">
        <f>$K114+$L114</f>
      </c>
      <c r="N114" s="20"/>
      <c r="O114" s="20"/>
      <c r="P114" s="20"/>
    </row>
    <row r="115" spans="2:16" x14ac:dyDescent="0.25">
      <c r="B115" s="15"/>
      <c r="C115" s="8"/>
      <c r="D115" s="8"/>
      <c r="E115" s="16">
        <f>IFERROR(IF($D115="","",VLOOKUP($D115,'Cari Kartlar'!$B$5:$C$204,2,FALSE)),"— tanımsız cari —")</f>
      </c>
      <c r="F115" s="8"/>
      <c r="G115" s="16">
        <f>IFERROR(IF($F115="","",VLOOKUP($F115,'Ürün Kartlar'!$B$5:$C$204,2,FALSE)),"— tanımsız ürün —")</f>
      </c>
      <c r="H115" s="17"/>
      <c r="I115" s="13">
        <f>IFERROR(IF($F115="","",IF($C115="Alış",VLOOKUP($F115,'Ürün Kartlar'!$B$5:$E$204,4,FALSE),VLOOKUP($F115,'Ürün Kartlar'!$B$5:$F$204,5,FALSE))),"")</f>
      </c>
      <c r="J115" s="11">
        <f>IFERROR(IF($F115="",Ayarlar!$C$9,VLOOKUP($F115,'Ürün Kartlar'!$B$5:$G$204,6,FALSE)),Ayarlar!$C$9)</f>
      </c>
      <c r="K115" s="18">
        <f>IF(OR($H115="",$I115=""),0,$H115*$I115)</f>
      </c>
      <c r="L115" s="18">
        <f>$K115*$J115</f>
      </c>
      <c r="M115" s="18">
        <f>$K115+$L115</f>
      </c>
      <c r="N115" s="8"/>
      <c r="O115" s="8"/>
      <c r="P115" s="8"/>
    </row>
    <row r="116" spans="2:16" x14ac:dyDescent="0.25">
      <c r="B116" s="19"/>
      <c r="C116" s="20"/>
      <c r="D116" s="20"/>
      <c r="E116" s="16">
        <f>IFERROR(IF($D116="","",VLOOKUP($D116,'Cari Kartlar'!$B$5:$C$204,2,FALSE)),"— tanımsız cari —")</f>
      </c>
      <c r="F116" s="20"/>
      <c r="G116" s="16">
        <f>IFERROR(IF($F116="","",VLOOKUP($F116,'Ürün Kartlar'!$B$5:$C$204,2,FALSE)),"— tanımsız ürün —")</f>
      </c>
      <c r="H116" s="21"/>
      <c r="I116" s="22">
        <f>IFERROR(IF($F116="","",IF($C116="Alış",VLOOKUP($F116,'Ürün Kartlar'!$B$5:$E$204,4,FALSE),VLOOKUP($F116,'Ürün Kartlar'!$B$5:$F$204,5,FALSE))),"")</f>
      </c>
      <c r="J116" s="23">
        <f>IFERROR(IF($F116="",Ayarlar!$C$9,VLOOKUP($F116,'Ürün Kartlar'!$B$5:$G$204,6,FALSE)),Ayarlar!$C$9)</f>
      </c>
      <c r="K116" s="18">
        <f>IF(OR($H116="",$I116=""),0,$H116*$I116)</f>
      </c>
      <c r="L116" s="18">
        <f>$K116*$J116</f>
      </c>
      <c r="M116" s="18">
        <f>$K116+$L116</f>
      </c>
      <c r="N116" s="20"/>
      <c r="O116" s="20"/>
      <c r="P116" s="20"/>
    </row>
    <row r="117" spans="2:16" x14ac:dyDescent="0.25">
      <c r="B117" s="15"/>
      <c r="C117" s="8"/>
      <c r="D117" s="8"/>
      <c r="E117" s="16">
        <f>IFERROR(IF($D117="","",VLOOKUP($D117,'Cari Kartlar'!$B$5:$C$204,2,FALSE)),"— tanımsız cari —")</f>
      </c>
      <c r="F117" s="8"/>
      <c r="G117" s="16">
        <f>IFERROR(IF($F117="","",VLOOKUP($F117,'Ürün Kartlar'!$B$5:$C$204,2,FALSE)),"— tanımsız ürün —")</f>
      </c>
      <c r="H117" s="17"/>
      <c r="I117" s="13">
        <f>IFERROR(IF($F117="","",IF($C117="Alış",VLOOKUP($F117,'Ürün Kartlar'!$B$5:$E$204,4,FALSE),VLOOKUP($F117,'Ürün Kartlar'!$B$5:$F$204,5,FALSE))),"")</f>
      </c>
      <c r="J117" s="11">
        <f>IFERROR(IF($F117="",Ayarlar!$C$9,VLOOKUP($F117,'Ürün Kartlar'!$B$5:$G$204,6,FALSE)),Ayarlar!$C$9)</f>
      </c>
      <c r="K117" s="18">
        <f>IF(OR($H117="",$I117=""),0,$H117*$I117)</f>
      </c>
      <c r="L117" s="18">
        <f>$K117*$J117</f>
      </c>
      <c r="M117" s="18">
        <f>$K117+$L117</f>
      </c>
      <c r="N117" s="8"/>
      <c r="O117" s="8"/>
      <c r="P117" s="8"/>
    </row>
    <row r="118" spans="2:16" x14ac:dyDescent="0.25">
      <c r="B118" s="19"/>
      <c r="C118" s="20"/>
      <c r="D118" s="20"/>
      <c r="E118" s="16">
        <f>IFERROR(IF($D118="","",VLOOKUP($D118,'Cari Kartlar'!$B$5:$C$204,2,FALSE)),"— tanımsız cari —")</f>
      </c>
      <c r="F118" s="20"/>
      <c r="G118" s="16">
        <f>IFERROR(IF($F118="","",VLOOKUP($F118,'Ürün Kartlar'!$B$5:$C$204,2,FALSE)),"— tanımsız ürün —")</f>
      </c>
      <c r="H118" s="21"/>
      <c r="I118" s="22">
        <f>IFERROR(IF($F118="","",IF($C118="Alış",VLOOKUP($F118,'Ürün Kartlar'!$B$5:$E$204,4,FALSE),VLOOKUP($F118,'Ürün Kartlar'!$B$5:$F$204,5,FALSE))),"")</f>
      </c>
      <c r="J118" s="23">
        <f>IFERROR(IF($F118="",Ayarlar!$C$9,VLOOKUP($F118,'Ürün Kartlar'!$B$5:$G$204,6,FALSE)),Ayarlar!$C$9)</f>
      </c>
      <c r="K118" s="18">
        <f>IF(OR($H118="",$I118=""),0,$H118*$I118)</f>
      </c>
      <c r="L118" s="18">
        <f>$K118*$J118</f>
      </c>
      <c r="M118" s="18">
        <f>$K118+$L118</f>
      </c>
      <c r="N118" s="20"/>
      <c r="O118" s="20"/>
      <c r="P118" s="20"/>
    </row>
    <row r="119" spans="2:16" x14ac:dyDescent="0.25">
      <c r="B119" s="15"/>
      <c r="C119" s="8"/>
      <c r="D119" s="8"/>
      <c r="E119" s="16">
        <f>IFERROR(IF($D119="","",VLOOKUP($D119,'Cari Kartlar'!$B$5:$C$204,2,FALSE)),"— tanımsız cari —")</f>
      </c>
      <c r="F119" s="8"/>
      <c r="G119" s="16">
        <f>IFERROR(IF($F119="","",VLOOKUP($F119,'Ürün Kartlar'!$B$5:$C$204,2,FALSE)),"— tanımsız ürün —")</f>
      </c>
      <c r="H119" s="17"/>
      <c r="I119" s="13">
        <f>IFERROR(IF($F119="","",IF($C119="Alış",VLOOKUP($F119,'Ürün Kartlar'!$B$5:$E$204,4,FALSE),VLOOKUP($F119,'Ürün Kartlar'!$B$5:$F$204,5,FALSE))),"")</f>
      </c>
      <c r="J119" s="11">
        <f>IFERROR(IF($F119="",Ayarlar!$C$9,VLOOKUP($F119,'Ürün Kartlar'!$B$5:$G$204,6,FALSE)),Ayarlar!$C$9)</f>
      </c>
      <c r="K119" s="18">
        <f>IF(OR($H119="",$I119=""),0,$H119*$I119)</f>
      </c>
      <c r="L119" s="18">
        <f>$K119*$J119</f>
      </c>
      <c r="M119" s="18">
        <f>$K119+$L119</f>
      </c>
      <c r="N119" s="8"/>
      <c r="O119" s="8"/>
      <c r="P119" s="8"/>
    </row>
    <row r="120" spans="2:16" x14ac:dyDescent="0.25">
      <c r="B120" s="19"/>
      <c r="C120" s="20"/>
      <c r="D120" s="20"/>
      <c r="E120" s="16">
        <f>IFERROR(IF($D120="","",VLOOKUP($D120,'Cari Kartlar'!$B$5:$C$204,2,FALSE)),"— tanımsız cari —")</f>
      </c>
      <c r="F120" s="20"/>
      <c r="G120" s="16">
        <f>IFERROR(IF($F120="","",VLOOKUP($F120,'Ürün Kartlar'!$B$5:$C$204,2,FALSE)),"— tanımsız ürün —")</f>
      </c>
      <c r="H120" s="21"/>
      <c r="I120" s="22">
        <f>IFERROR(IF($F120="","",IF($C120="Alış",VLOOKUP($F120,'Ürün Kartlar'!$B$5:$E$204,4,FALSE),VLOOKUP($F120,'Ürün Kartlar'!$B$5:$F$204,5,FALSE))),"")</f>
      </c>
      <c r="J120" s="23">
        <f>IFERROR(IF($F120="",Ayarlar!$C$9,VLOOKUP($F120,'Ürün Kartlar'!$B$5:$G$204,6,FALSE)),Ayarlar!$C$9)</f>
      </c>
      <c r="K120" s="18">
        <f>IF(OR($H120="",$I120=""),0,$H120*$I120)</f>
      </c>
      <c r="L120" s="18">
        <f>$K120*$J120</f>
      </c>
      <c r="M120" s="18">
        <f>$K120+$L120</f>
      </c>
      <c r="N120" s="20"/>
      <c r="O120" s="20"/>
      <c r="P120" s="20"/>
    </row>
    <row r="121" spans="2:16" x14ac:dyDescent="0.25">
      <c r="B121" s="15"/>
      <c r="C121" s="8"/>
      <c r="D121" s="8"/>
      <c r="E121" s="16">
        <f>IFERROR(IF($D121="","",VLOOKUP($D121,'Cari Kartlar'!$B$5:$C$204,2,FALSE)),"— tanımsız cari —")</f>
      </c>
      <c r="F121" s="8"/>
      <c r="G121" s="16">
        <f>IFERROR(IF($F121="","",VLOOKUP($F121,'Ürün Kartlar'!$B$5:$C$204,2,FALSE)),"— tanımsız ürün —")</f>
      </c>
      <c r="H121" s="17"/>
      <c r="I121" s="13">
        <f>IFERROR(IF($F121="","",IF($C121="Alış",VLOOKUP($F121,'Ürün Kartlar'!$B$5:$E$204,4,FALSE),VLOOKUP($F121,'Ürün Kartlar'!$B$5:$F$204,5,FALSE))),"")</f>
      </c>
      <c r="J121" s="11">
        <f>IFERROR(IF($F121="",Ayarlar!$C$9,VLOOKUP($F121,'Ürün Kartlar'!$B$5:$G$204,6,FALSE)),Ayarlar!$C$9)</f>
      </c>
      <c r="K121" s="18">
        <f>IF(OR($H121="",$I121=""),0,$H121*$I121)</f>
      </c>
      <c r="L121" s="18">
        <f>$K121*$J121</f>
      </c>
      <c r="M121" s="18">
        <f>$K121+$L121</f>
      </c>
      <c r="N121" s="8"/>
      <c r="O121" s="8"/>
      <c r="P121" s="8"/>
    </row>
    <row r="122" spans="2:16" x14ac:dyDescent="0.25">
      <c r="B122" s="19"/>
      <c r="C122" s="20"/>
      <c r="D122" s="20"/>
      <c r="E122" s="16">
        <f>IFERROR(IF($D122="","",VLOOKUP($D122,'Cari Kartlar'!$B$5:$C$204,2,FALSE)),"— tanımsız cari —")</f>
      </c>
      <c r="F122" s="20"/>
      <c r="G122" s="16">
        <f>IFERROR(IF($F122="","",VLOOKUP($F122,'Ürün Kartlar'!$B$5:$C$204,2,FALSE)),"— tanımsız ürün —")</f>
      </c>
      <c r="H122" s="21"/>
      <c r="I122" s="22">
        <f>IFERROR(IF($F122="","",IF($C122="Alış",VLOOKUP($F122,'Ürün Kartlar'!$B$5:$E$204,4,FALSE),VLOOKUP($F122,'Ürün Kartlar'!$B$5:$F$204,5,FALSE))),"")</f>
      </c>
      <c r="J122" s="23">
        <f>IFERROR(IF($F122="",Ayarlar!$C$9,VLOOKUP($F122,'Ürün Kartlar'!$B$5:$G$204,6,FALSE)),Ayarlar!$C$9)</f>
      </c>
      <c r="K122" s="18">
        <f>IF(OR($H122="",$I122=""),0,$H122*$I122)</f>
      </c>
      <c r="L122" s="18">
        <f>$K122*$J122</f>
      </c>
      <c r="M122" s="18">
        <f>$K122+$L122</f>
      </c>
      <c r="N122" s="20"/>
      <c r="O122" s="20"/>
      <c r="P122" s="20"/>
    </row>
    <row r="123" spans="2:16" x14ac:dyDescent="0.25">
      <c r="B123" s="15"/>
      <c r="C123" s="8"/>
      <c r="D123" s="8"/>
      <c r="E123" s="16">
        <f>IFERROR(IF($D123="","",VLOOKUP($D123,'Cari Kartlar'!$B$5:$C$204,2,FALSE)),"— tanımsız cari —")</f>
      </c>
      <c r="F123" s="8"/>
      <c r="G123" s="16">
        <f>IFERROR(IF($F123="","",VLOOKUP($F123,'Ürün Kartlar'!$B$5:$C$204,2,FALSE)),"— tanımsız ürün —")</f>
      </c>
      <c r="H123" s="17"/>
      <c r="I123" s="13">
        <f>IFERROR(IF($F123="","",IF($C123="Alış",VLOOKUP($F123,'Ürün Kartlar'!$B$5:$E$204,4,FALSE),VLOOKUP($F123,'Ürün Kartlar'!$B$5:$F$204,5,FALSE))),"")</f>
      </c>
      <c r="J123" s="11">
        <f>IFERROR(IF($F123="",Ayarlar!$C$9,VLOOKUP($F123,'Ürün Kartlar'!$B$5:$G$204,6,FALSE)),Ayarlar!$C$9)</f>
      </c>
      <c r="K123" s="18">
        <f>IF(OR($H123="",$I123=""),0,$H123*$I123)</f>
      </c>
      <c r="L123" s="18">
        <f>$K123*$J123</f>
      </c>
      <c r="M123" s="18">
        <f>$K123+$L123</f>
      </c>
      <c r="N123" s="8"/>
      <c r="O123" s="8"/>
      <c r="P123" s="8"/>
    </row>
    <row r="124" spans="2:16" x14ac:dyDescent="0.25">
      <c r="B124" s="19"/>
      <c r="C124" s="20"/>
      <c r="D124" s="20"/>
      <c r="E124" s="16">
        <f>IFERROR(IF($D124="","",VLOOKUP($D124,'Cari Kartlar'!$B$5:$C$204,2,FALSE)),"— tanımsız cari —")</f>
      </c>
      <c r="F124" s="20"/>
      <c r="G124" s="16">
        <f>IFERROR(IF($F124="","",VLOOKUP($F124,'Ürün Kartlar'!$B$5:$C$204,2,FALSE)),"— tanımsız ürün —")</f>
      </c>
      <c r="H124" s="21"/>
      <c r="I124" s="22">
        <f>IFERROR(IF($F124="","",IF($C124="Alış",VLOOKUP($F124,'Ürün Kartlar'!$B$5:$E$204,4,FALSE),VLOOKUP($F124,'Ürün Kartlar'!$B$5:$F$204,5,FALSE))),"")</f>
      </c>
      <c r="J124" s="23">
        <f>IFERROR(IF($F124="",Ayarlar!$C$9,VLOOKUP($F124,'Ürün Kartlar'!$B$5:$G$204,6,FALSE)),Ayarlar!$C$9)</f>
      </c>
      <c r="K124" s="18">
        <f>IF(OR($H124="",$I124=""),0,$H124*$I124)</f>
      </c>
      <c r="L124" s="18">
        <f>$K124*$J124</f>
      </c>
      <c r="M124" s="18">
        <f>$K124+$L124</f>
      </c>
      <c r="N124" s="20"/>
      <c r="O124" s="20"/>
      <c r="P124" s="20"/>
    </row>
    <row r="125" spans="2:16" x14ac:dyDescent="0.25">
      <c r="B125" s="15"/>
      <c r="C125" s="8"/>
      <c r="D125" s="8"/>
      <c r="E125" s="16">
        <f>IFERROR(IF($D125="","",VLOOKUP($D125,'Cari Kartlar'!$B$5:$C$204,2,FALSE)),"— tanımsız cari —")</f>
      </c>
      <c r="F125" s="8"/>
      <c r="G125" s="16">
        <f>IFERROR(IF($F125="","",VLOOKUP($F125,'Ürün Kartlar'!$B$5:$C$204,2,FALSE)),"— tanımsız ürün —")</f>
      </c>
      <c r="H125" s="17"/>
      <c r="I125" s="13">
        <f>IFERROR(IF($F125="","",IF($C125="Alış",VLOOKUP($F125,'Ürün Kartlar'!$B$5:$E$204,4,FALSE),VLOOKUP($F125,'Ürün Kartlar'!$B$5:$F$204,5,FALSE))),"")</f>
      </c>
      <c r="J125" s="11">
        <f>IFERROR(IF($F125="",Ayarlar!$C$9,VLOOKUP($F125,'Ürün Kartlar'!$B$5:$G$204,6,FALSE)),Ayarlar!$C$9)</f>
      </c>
      <c r="K125" s="18">
        <f>IF(OR($H125="",$I125=""),0,$H125*$I125)</f>
      </c>
      <c r="L125" s="18">
        <f>$K125*$J125</f>
      </c>
      <c r="M125" s="18">
        <f>$K125+$L125</f>
      </c>
      <c r="N125" s="8"/>
      <c r="O125" s="8"/>
      <c r="P125" s="8"/>
    </row>
    <row r="126" spans="2:16" x14ac:dyDescent="0.25">
      <c r="B126" s="19"/>
      <c r="C126" s="20"/>
      <c r="D126" s="20"/>
      <c r="E126" s="16">
        <f>IFERROR(IF($D126="","",VLOOKUP($D126,'Cari Kartlar'!$B$5:$C$204,2,FALSE)),"— tanımsız cari —")</f>
      </c>
      <c r="F126" s="20"/>
      <c r="G126" s="16">
        <f>IFERROR(IF($F126="","",VLOOKUP($F126,'Ürün Kartlar'!$B$5:$C$204,2,FALSE)),"— tanımsız ürün —")</f>
      </c>
      <c r="H126" s="21"/>
      <c r="I126" s="22">
        <f>IFERROR(IF($F126="","",IF($C126="Alış",VLOOKUP($F126,'Ürün Kartlar'!$B$5:$E$204,4,FALSE),VLOOKUP($F126,'Ürün Kartlar'!$B$5:$F$204,5,FALSE))),"")</f>
      </c>
      <c r="J126" s="23">
        <f>IFERROR(IF($F126="",Ayarlar!$C$9,VLOOKUP($F126,'Ürün Kartlar'!$B$5:$G$204,6,FALSE)),Ayarlar!$C$9)</f>
      </c>
      <c r="K126" s="18">
        <f>IF(OR($H126="",$I126=""),0,$H126*$I126)</f>
      </c>
      <c r="L126" s="18">
        <f>$K126*$J126</f>
      </c>
      <c r="M126" s="18">
        <f>$K126+$L126</f>
      </c>
      <c r="N126" s="20"/>
      <c r="O126" s="20"/>
      <c r="P126" s="20"/>
    </row>
    <row r="127" spans="2:16" x14ac:dyDescent="0.25">
      <c r="B127" s="15"/>
      <c r="C127" s="8"/>
      <c r="D127" s="8"/>
      <c r="E127" s="16">
        <f>IFERROR(IF($D127="","",VLOOKUP($D127,'Cari Kartlar'!$B$5:$C$204,2,FALSE)),"— tanımsız cari —")</f>
      </c>
      <c r="F127" s="8"/>
      <c r="G127" s="16">
        <f>IFERROR(IF($F127="","",VLOOKUP($F127,'Ürün Kartlar'!$B$5:$C$204,2,FALSE)),"— tanımsız ürün —")</f>
      </c>
      <c r="H127" s="17"/>
      <c r="I127" s="13">
        <f>IFERROR(IF($F127="","",IF($C127="Alış",VLOOKUP($F127,'Ürün Kartlar'!$B$5:$E$204,4,FALSE),VLOOKUP($F127,'Ürün Kartlar'!$B$5:$F$204,5,FALSE))),"")</f>
      </c>
      <c r="J127" s="11">
        <f>IFERROR(IF($F127="",Ayarlar!$C$9,VLOOKUP($F127,'Ürün Kartlar'!$B$5:$G$204,6,FALSE)),Ayarlar!$C$9)</f>
      </c>
      <c r="K127" s="18">
        <f>IF(OR($H127="",$I127=""),0,$H127*$I127)</f>
      </c>
      <c r="L127" s="18">
        <f>$K127*$J127</f>
      </c>
      <c r="M127" s="18">
        <f>$K127+$L127</f>
      </c>
      <c r="N127" s="8"/>
      <c r="O127" s="8"/>
      <c r="P127" s="8"/>
    </row>
    <row r="128" spans="2:16" x14ac:dyDescent="0.25">
      <c r="B128" s="19"/>
      <c r="C128" s="20"/>
      <c r="D128" s="20"/>
      <c r="E128" s="16">
        <f>IFERROR(IF($D128="","",VLOOKUP($D128,'Cari Kartlar'!$B$5:$C$204,2,FALSE)),"— tanımsız cari —")</f>
      </c>
      <c r="F128" s="20"/>
      <c r="G128" s="16">
        <f>IFERROR(IF($F128="","",VLOOKUP($F128,'Ürün Kartlar'!$B$5:$C$204,2,FALSE)),"— tanımsız ürün —")</f>
      </c>
      <c r="H128" s="21"/>
      <c r="I128" s="22">
        <f>IFERROR(IF($F128="","",IF($C128="Alış",VLOOKUP($F128,'Ürün Kartlar'!$B$5:$E$204,4,FALSE),VLOOKUP($F128,'Ürün Kartlar'!$B$5:$F$204,5,FALSE))),"")</f>
      </c>
      <c r="J128" s="23">
        <f>IFERROR(IF($F128="",Ayarlar!$C$9,VLOOKUP($F128,'Ürün Kartlar'!$B$5:$G$204,6,FALSE)),Ayarlar!$C$9)</f>
      </c>
      <c r="K128" s="18">
        <f>IF(OR($H128="",$I128=""),0,$H128*$I128)</f>
      </c>
      <c r="L128" s="18">
        <f>$K128*$J128</f>
      </c>
      <c r="M128" s="18">
        <f>$K128+$L128</f>
      </c>
      <c r="N128" s="20"/>
      <c r="O128" s="20"/>
      <c r="P128" s="20"/>
    </row>
    <row r="129" spans="2:16" x14ac:dyDescent="0.25">
      <c r="B129" s="15"/>
      <c r="C129" s="8"/>
      <c r="D129" s="8"/>
      <c r="E129" s="16">
        <f>IFERROR(IF($D129="","",VLOOKUP($D129,'Cari Kartlar'!$B$5:$C$204,2,FALSE)),"— tanımsız cari —")</f>
      </c>
      <c r="F129" s="8"/>
      <c r="G129" s="16">
        <f>IFERROR(IF($F129="","",VLOOKUP($F129,'Ürün Kartlar'!$B$5:$C$204,2,FALSE)),"— tanımsız ürün —")</f>
      </c>
      <c r="H129" s="17"/>
      <c r="I129" s="13">
        <f>IFERROR(IF($F129="","",IF($C129="Alış",VLOOKUP($F129,'Ürün Kartlar'!$B$5:$E$204,4,FALSE),VLOOKUP($F129,'Ürün Kartlar'!$B$5:$F$204,5,FALSE))),"")</f>
      </c>
      <c r="J129" s="11">
        <f>IFERROR(IF($F129="",Ayarlar!$C$9,VLOOKUP($F129,'Ürün Kartlar'!$B$5:$G$204,6,FALSE)),Ayarlar!$C$9)</f>
      </c>
      <c r="K129" s="18">
        <f>IF(OR($H129="",$I129=""),0,$H129*$I129)</f>
      </c>
      <c r="L129" s="18">
        <f>$K129*$J129</f>
      </c>
      <c r="M129" s="18">
        <f>$K129+$L129</f>
      </c>
      <c r="N129" s="8"/>
      <c r="O129" s="8"/>
      <c r="P129" s="8"/>
    </row>
    <row r="130" spans="2:16" x14ac:dyDescent="0.25">
      <c r="B130" s="19"/>
      <c r="C130" s="20"/>
      <c r="D130" s="20"/>
      <c r="E130" s="16">
        <f>IFERROR(IF($D130="","",VLOOKUP($D130,'Cari Kartlar'!$B$5:$C$204,2,FALSE)),"— tanımsız cari —")</f>
      </c>
      <c r="F130" s="20"/>
      <c r="G130" s="16">
        <f>IFERROR(IF($F130="","",VLOOKUP($F130,'Ürün Kartlar'!$B$5:$C$204,2,FALSE)),"— tanımsız ürün —")</f>
      </c>
      <c r="H130" s="21"/>
      <c r="I130" s="22">
        <f>IFERROR(IF($F130="","",IF($C130="Alış",VLOOKUP($F130,'Ürün Kartlar'!$B$5:$E$204,4,FALSE),VLOOKUP($F130,'Ürün Kartlar'!$B$5:$F$204,5,FALSE))),"")</f>
      </c>
      <c r="J130" s="23">
        <f>IFERROR(IF($F130="",Ayarlar!$C$9,VLOOKUP($F130,'Ürün Kartlar'!$B$5:$G$204,6,FALSE)),Ayarlar!$C$9)</f>
      </c>
      <c r="K130" s="18">
        <f>IF(OR($H130="",$I130=""),0,$H130*$I130)</f>
      </c>
      <c r="L130" s="18">
        <f>$K130*$J130</f>
      </c>
      <c r="M130" s="18">
        <f>$K130+$L130</f>
      </c>
      <c r="N130" s="20"/>
      <c r="O130" s="20"/>
      <c r="P130" s="20"/>
    </row>
    <row r="131" spans="2:16" x14ac:dyDescent="0.25">
      <c r="B131" s="15"/>
      <c r="C131" s="8"/>
      <c r="D131" s="8"/>
      <c r="E131" s="16">
        <f>IFERROR(IF($D131="","",VLOOKUP($D131,'Cari Kartlar'!$B$5:$C$204,2,FALSE)),"— tanımsız cari —")</f>
      </c>
      <c r="F131" s="8"/>
      <c r="G131" s="16">
        <f>IFERROR(IF($F131="","",VLOOKUP($F131,'Ürün Kartlar'!$B$5:$C$204,2,FALSE)),"— tanımsız ürün —")</f>
      </c>
      <c r="H131" s="17"/>
      <c r="I131" s="13">
        <f>IFERROR(IF($F131="","",IF($C131="Alış",VLOOKUP($F131,'Ürün Kartlar'!$B$5:$E$204,4,FALSE),VLOOKUP($F131,'Ürün Kartlar'!$B$5:$F$204,5,FALSE))),"")</f>
      </c>
      <c r="J131" s="11">
        <f>IFERROR(IF($F131="",Ayarlar!$C$9,VLOOKUP($F131,'Ürün Kartlar'!$B$5:$G$204,6,FALSE)),Ayarlar!$C$9)</f>
      </c>
      <c r="K131" s="18">
        <f>IF(OR($H131="",$I131=""),0,$H131*$I131)</f>
      </c>
      <c r="L131" s="18">
        <f>$K131*$J131</f>
      </c>
      <c r="M131" s="18">
        <f>$K131+$L131</f>
      </c>
      <c r="N131" s="8"/>
      <c r="O131" s="8"/>
      <c r="P131" s="8"/>
    </row>
    <row r="132" spans="2:16" x14ac:dyDescent="0.25">
      <c r="B132" s="19"/>
      <c r="C132" s="20"/>
      <c r="D132" s="20"/>
      <c r="E132" s="16">
        <f>IFERROR(IF($D132="","",VLOOKUP($D132,'Cari Kartlar'!$B$5:$C$204,2,FALSE)),"— tanımsız cari —")</f>
      </c>
      <c r="F132" s="20"/>
      <c r="G132" s="16">
        <f>IFERROR(IF($F132="","",VLOOKUP($F132,'Ürün Kartlar'!$B$5:$C$204,2,FALSE)),"— tanımsız ürün —")</f>
      </c>
      <c r="H132" s="21"/>
      <c r="I132" s="22">
        <f>IFERROR(IF($F132="","",IF($C132="Alış",VLOOKUP($F132,'Ürün Kartlar'!$B$5:$E$204,4,FALSE),VLOOKUP($F132,'Ürün Kartlar'!$B$5:$F$204,5,FALSE))),"")</f>
      </c>
      <c r="J132" s="23">
        <f>IFERROR(IF($F132="",Ayarlar!$C$9,VLOOKUP($F132,'Ürün Kartlar'!$B$5:$G$204,6,FALSE)),Ayarlar!$C$9)</f>
      </c>
      <c r="K132" s="18">
        <f>IF(OR($H132="",$I132=""),0,$H132*$I132)</f>
      </c>
      <c r="L132" s="18">
        <f>$K132*$J132</f>
      </c>
      <c r="M132" s="18">
        <f>$K132+$L132</f>
      </c>
      <c r="N132" s="20"/>
      <c r="O132" s="20"/>
      <c r="P132" s="20"/>
    </row>
    <row r="133" spans="2:16" x14ac:dyDescent="0.25">
      <c r="B133" s="15"/>
      <c r="C133" s="8"/>
      <c r="D133" s="8"/>
      <c r="E133" s="16">
        <f>IFERROR(IF($D133="","",VLOOKUP($D133,'Cari Kartlar'!$B$5:$C$204,2,FALSE)),"— tanımsız cari —")</f>
      </c>
      <c r="F133" s="8"/>
      <c r="G133" s="16">
        <f>IFERROR(IF($F133="","",VLOOKUP($F133,'Ürün Kartlar'!$B$5:$C$204,2,FALSE)),"— tanımsız ürün —")</f>
      </c>
      <c r="H133" s="17"/>
      <c r="I133" s="13">
        <f>IFERROR(IF($F133="","",IF($C133="Alış",VLOOKUP($F133,'Ürün Kartlar'!$B$5:$E$204,4,FALSE),VLOOKUP($F133,'Ürün Kartlar'!$B$5:$F$204,5,FALSE))),"")</f>
      </c>
      <c r="J133" s="11">
        <f>IFERROR(IF($F133="",Ayarlar!$C$9,VLOOKUP($F133,'Ürün Kartlar'!$B$5:$G$204,6,FALSE)),Ayarlar!$C$9)</f>
      </c>
      <c r="K133" s="18">
        <f>IF(OR($H133="",$I133=""),0,$H133*$I133)</f>
      </c>
      <c r="L133" s="18">
        <f>$K133*$J133</f>
      </c>
      <c r="M133" s="18">
        <f>$K133+$L133</f>
      </c>
      <c r="N133" s="8"/>
      <c r="O133" s="8"/>
      <c r="P133" s="8"/>
    </row>
    <row r="134" spans="2:16" x14ac:dyDescent="0.25">
      <c r="B134" s="19"/>
      <c r="C134" s="20"/>
      <c r="D134" s="20"/>
      <c r="E134" s="16">
        <f>IFERROR(IF($D134="","",VLOOKUP($D134,'Cari Kartlar'!$B$5:$C$204,2,FALSE)),"— tanımsız cari —")</f>
      </c>
      <c r="F134" s="20"/>
      <c r="G134" s="16">
        <f>IFERROR(IF($F134="","",VLOOKUP($F134,'Ürün Kartlar'!$B$5:$C$204,2,FALSE)),"— tanımsız ürün —")</f>
      </c>
      <c r="H134" s="21"/>
      <c r="I134" s="22">
        <f>IFERROR(IF($F134="","",IF($C134="Alış",VLOOKUP($F134,'Ürün Kartlar'!$B$5:$E$204,4,FALSE),VLOOKUP($F134,'Ürün Kartlar'!$B$5:$F$204,5,FALSE))),"")</f>
      </c>
      <c r="J134" s="23">
        <f>IFERROR(IF($F134="",Ayarlar!$C$9,VLOOKUP($F134,'Ürün Kartlar'!$B$5:$G$204,6,FALSE)),Ayarlar!$C$9)</f>
      </c>
      <c r="K134" s="18">
        <f>IF(OR($H134="",$I134=""),0,$H134*$I134)</f>
      </c>
      <c r="L134" s="18">
        <f>$K134*$J134</f>
      </c>
      <c r="M134" s="18">
        <f>$K134+$L134</f>
      </c>
      <c r="N134" s="20"/>
      <c r="O134" s="20"/>
      <c r="P134" s="20"/>
    </row>
    <row r="135" spans="2:16" x14ac:dyDescent="0.25">
      <c r="B135" s="15"/>
      <c r="C135" s="8"/>
      <c r="D135" s="8"/>
      <c r="E135" s="16">
        <f>IFERROR(IF($D135="","",VLOOKUP($D135,'Cari Kartlar'!$B$5:$C$204,2,FALSE)),"— tanımsız cari —")</f>
      </c>
      <c r="F135" s="8"/>
      <c r="G135" s="16">
        <f>IFERROR(IF($F135="","",VLOOKUP($F135,'Ürün Kartlar'!$B$5:$C$204,2,FALSE)),"— tanımsız ürün —")</f>
      </c>
      <c r="H135" s="17"/>
      <c r="I135" s="13">
        <f>IFERROR(IF($F135="","",IF($C135="Alış",VLOOKUP($F135,'Ürün Kartlar'!$B$5:$E$204,4,FALSE),VLOOKUP($F135,'Ürün Kartlar'!$B$5:$F$204,5,FALSE))),"")</f>
      </c>
      <c r="J135" s="11">
        <f>IFERROR(IF($F135="",Ayarlar!$C$9,VLOOKUP($F135,'Ürün Kartlar'!$B$5:$G$204,6,FALSE)),Ayarlar!$C$9)</f>
      </c>
      <c r="K135" s="18">
        <f>IF(OR($H135="",$I135=""),0,$H135*$I135)</f>
      </c>
      <c r="L135" s="18">
        <f>$K135*$J135</f>
      </c>
      <c r="M135" s="18">
        <f>$K135+$L135</f>
      </c>
      <c r="N135" s="8"/>
      <c r="O135" s="8"/>
      <c r="P135" s="8"/>
    </row>
    <row r="136" spans="2:16" x14ac:dyDescent="0.25">
      <c r="B136" s="19"/>
      <c r="C136" s="20"/>
      <c r="D136" s="20"/>
      <c r="E136" s="16">
        <f>IFERROR(IF($D136="","",VLOOKUP($D136,'Cari Kartlar'!$B$5:$C$204,2,FALSE)),"— tanımsız cari —")</f>
      </c>
      <c r="F136" s="20"/>
      <c r="G136" s="16">
        <f>IFERROR(IF($F136="","",VLOOKUP($F136,'Ürün Kartlar'!$B$5:$C$204,2,FALSE)),"— tanımsız ürün —")</f>
      </c>
      <c r="H136" s="21"/>
      <c r="I136" s="22">
        <f>IFERROR(IF($F136="","",IF($C136="Alış",VLOOKUP($F136,'Ürün Kartlar'!$B$5:$E$204,4,FALSE),VLOOKUP($F136,'Ürün Kartlar'!$B$5:$F$204,5,FALSE))),"")</f>
      </c>
      <c r="J136" s="23">
        <f>IFERROR(IF($F136="",Ayarlar!$C$9,VLOOKUP($F136,'Ürün Kartlar'!$B$5:$G$204,6,FALSE)),Ayarlar!$C$9)</f>
      </c>
      <c r="K136" s="18">
        <f>IF(OR($H136="",$I136=""),0,$H136*$I136)</f>
      </c>
      <c r="L136" s="18">
        <f>$K136*$J136</f>
      </c>
      <c r="M136" s="18">
        <f>$K136+$L136</f>
      </c>
      <c r="N136" s="20"/>
      <c r="O136" s="20"/>
      <c r="P136" s="20"/>
    </row>
    <row r="137" spans="2:16" x14ac:dyDescent="0.25">
      <c r="B137" s="15"/>
      <c r="C137" s="8"/>
      <c r="D137" s="8"/>
      <c r="E137" s="16">
        <f>IFERROR(IF($D137="","",VLOOKUP($D137,'Cari Kartlar'!$B$5:$C$204,2,FALSE)),"— tanımsız cari —")</f>
      </c>
      <c r="F137" s="8"/>
      <c r="G137" s="16">
        <f>IFERROR(IF($F137="","",VLOOKUP($F137,'Ürün Kartlar'!$B$5:$C$204,2,FALSE)),"— tanımsız ürün —")</f>
      </c>
      <c r="H137" s="17"/>
      <c r="I137" s="13">
        <f>IFERROR(IF($F137="","",IF($C137="Alış",VLOOKUP($F137,'Ürün Kartlar'!$B$5:$E$204,4,FALSE),VLOOKUP($F137,'Ürün Kartlar'!$B$5:$F$204,5,FALSE))),"")</f>
      </c>
      <c r="J137" s="11">
        <f>IFERROR(IF($F137="",Ayarlar!$C$9,VLOOKUP($F137,'Ürün Kartlar'!$B$5:$G$204,6,FALSE)),Ayarlar!$C$9)</f>
      </c>
      <c r="K137" s="18">
        <f>IF(OR($H137="",$I137=""),0,$H137*$I137)</f>
      </c>
      <c r="L137" s="18">
        <f>$K137*$J137</f>
      </c>
      <c r="M137" s="18">
        <f>$K137+$L137</f>
      </c>
      <c r="N137" s="8"/>
      <c r="O137" s="8"/>
      <c r="P137" s="8"/>
    </row>
    <row r="138" spans="2:16" x14ac:dyDescent="0.25">
      <c r="B138" s="19"/>
      <c r="C138" s="20"/>
      <c r="D138" s="20"/>
      <c r="E138" s="16">
        <f>IFERROR(IF($D138="","",VLOOKUP($D138,'Cari Kartlar'!$B$5:$C$204,2,FALSE)),"— tanımsız cari —")</f>
      </c>
      <c r="F138" s="20"/>
      <c r="G138" s="16">
        <f>IFERROR(IF($F138="","",VLOOKUP($F138,'Ürün Kartlar'!$B$5:$C$204,2,FALSE)),"— tanımsız ürün —")</f>
      </c>
      <c r="H138" s="21"/>
      <c r="I138" s="22">
        <f>IFERROR(IF($F138="","",IF($C138="Alış",VLOOKUP($F138,'Ürün Kartlar'!$B$5:$E$204,4,FALSE),VLOOKUP($F138,'Ürün Kartlar'!$B$5:$F$204,5,FALSE))),"")</f>
      </c>
      <c r="J138" s="23">
        <f>IFERROR(IF($F138="",Ayarlar!$C$9,VLOOKUP($F138,'Ürün Kartlar'!$B$5:$G$204,6,FALSE)),Ayarlar!$C$9)</f>
      </c>
      <c r="K138" s="18">
        <f>IF(OR($H138="",$I138=""),0,$H138*$I138)</f>
      </c>
      <c r="L138" s="18">
        <f>$K138*$J138</f>
      </c>
      <c r="M138" s="18">
        <f>$K138+$L138</f>
      </c>
      <c r="N138" s="20"/>
      <c r="O138" s="20"/>
      <c r="P138" s="20"/>
    </row>
    <row r="139" spans="2:16" x14ac:dyDescent="0.25">
      <c r="B139" s="15"/>
      <c r="C139" s="8"/>
      <c r="D139" s="8"/>
      <c r="E139" s="16">
        <f>IFERROR(IF($D139="","",VLOOKUP($D139,'Cari Kartlar'!$B$5:$C$204,2,FALSE)),"— tanımsız cari —")</f>
      </c>
      <c r="F139" s="8"/>
      <c r="G139" s="16">
        <f>IFERROR(IF($F139="","",VLOOKUP($F139,'Ürün Kartlar'!$B$5:$C$204,2,FALSE)),"— tanımsız ürün —")</f>
      </c>
      <c r="H139" s="17"/>
      <c r="I139" s="13">
        <f>IFERROR(IF($F139="","",IF($C139="Alış",VLOOKUP($F139,'Ürün Kartlar'!$B$5:$E$204,4,FALSE),VLOOKUP($F139,'Ürün Kartlar'!$B$5:$F$204,5,FALSE))),"")</f>
      </c>
      <c r="J139" s="11">
        <f>IFERROR(IF($F139="",Ayarlar!$C$9,VLOOKUP($F139,'Ürün Kartlar'!$B$5:$G$204,6,FALSE)),Ayarlar!$C$9)</f>
      </c>
      <c r="K139" s="18">
        <f>IF(OR($H139="",$I139=""),0,$H139*$I139)</f>
      </c>
      <c r="L139" s="18">
        <f>$K139*$J139</f>
      </c>
      <c r="M139" s="18">
        <f>$K139+$L139</f>
      </c>
      <c r="N139" s="8"/>
      <c r="O139" s="8"/>
      <c r="P139" s="8"/>
    </row>
    <row r="140" spans="2:16" x14ac:dyDescent="0.25">
      <c r="B140" s="19"/>
      <c r="C140" s="20"/>
      <c r="D140" s="20"/>
      <c r="E140" s="16">
        <f>IFERROR(IF($D140="","",VLOOKUP($D140,'Cari Kartlar'!$B$5:$C$204,2,FALSE)),"— tanımsız cari —")</f>
      </c>
      <c r="F140" s="20"/>
      <c r="G140" s="16">
        <f>IFERROR(IF($F140="","",VLOOKUP($F140,'Ürün Kartlar'!$B$5:$C$204,2,FALSE)),"— tanımsız ürün —")</f>
      </c>
      <c r="H140" s="21"/>
      <c r="I140" s="22">
        <f>IFERROR(IF($F140="","",IF($C140="Alış",VLOOKUP($F140,'Ürün Kartlar'!$B$5:$E$204,4,FALSE),VLOOKUP($F140,'Ürün Kartlar'!$B$5:$F$204,5,FALSE))),"")</f>
      </c>
      <c r="J140" s="23">
        <f>IFERROR(IF($F140="",Ayarlar!$C$9,VLOOKUP($F140,'Ürün Kartlar'!$B$5:$G$204,6,FALSE)),Ayarlar!$C$9)</f>
      </c>
      <c r="K140" s="18">
        <f>IF(OR($H140="",$I140=""),0,$H140*$I140)</f>
      </c>
      <c r="L140" s="18">
        <f>$K140*$J140</f>
      </c>
      <c r="M140" s="18">
        <f>$K140+$L140</f>
      </c>
      <c r="N140" s="20"/>
      <c r="O140" s="20"/>
      <c r="P140" s="20"/>
    </row>
    <row r="141" spans="2:16" x14ac:dyDescent="0.25">
      <c r="B141" s="15"/>
      <c r="C141" s="8"/>
      <c r="D141" s="8"/>
      <c r="E141" s="16">
        <f>IFERROR(IF($D141="","",VLOOKUP($D141,'Cari Kartlar'!$B$5:$C$204,2,FALSE)),"— tanımsız cari —")</f>
      </c>
      <c r="F141" s="8"/>
      <c r="G141" s="16">
        <f>IFERROR(IF($F141="","",VLOOKUP($F141,'Ürün Kartlar'!$B$5:$C$204,2,FALSE)),"— tanımsız ürün —")</f>
      </c>
      <c r="H141" s="17"/>
      <c r="I141" s="13">
        <f>IFERROR(IF($F141="","",IF($C141="Alış",VLOOKUP($F141,'Ürün Kartlar'!$B$5:$E$204,4,FALSE),VLOOKUP($F141,'Ürün Kartlar'!$B$5:$F$204,5,FALSE))),"")</f>
      </c>
      <c r="J141" s="11">
        <f>IFERROR(IF($F141="",Ayarlar!$C$9,VLOOKUP($F141,'Ürün Kartlar'!$B$5:$G$204,6,FALSE)),Ayarlar!$C$9)</f>
      </c>
      <c r="K141" s="18">
        <f>IF(OR($H141="",$I141=""),0,$H141*$I141)</f>
      </c>
      <c r="L141" s="18">
        <f>$K141*$J141</f>
      </c>
      <c r="M141" s="18">
        <f>$K141+$L141</f>
      </c>
      <c r="N141" s="8"/>
      <c r="O141" s="8"/>
      <c r="P141" s="8"/>
    </row>
    <row r="142" spans="2:16" x14ac:dyDescent="0.25">
      <c r="B142" s="19"/>
      <c r="C142" s="20"/>
      <c r="D142" s="20"/>
      <c r="E142" s="16">
        <f>IFERROR(IF($D142="","",VLOOKUP($D142,'Cari Kartlar'!$B$5:$C$204,2,FALSE)),"— tanımsız cari —")</f>
      </c>
      <c r="F142" s="20"/>
      <c r="G142" s="16">
        <f>IFERROR(IF($F142="","",VLOOKUP($F142,'Ürün Kartlar'!$B$5:$C$204,2,FALSE)),"— tanımsız ürün —")</f>
      </c>
      <c r="H142" s="21"/>
      <c r="I142" s="22">
        <f>IFERROR(IF($F142="","",IF($C142="Alış",VLOOKUP($F142,'Ürün Kartlar'!$B$5:$E$204,4,FALSE),VLOOKUP($F142,'Ürün Kartlar'!$B$5:$F$204,5,FALSE))),"")</f>
      </c>
      <c r="J142" s="23">
        <f>IFERROR(IF($F142="",Ayarlar!$C$9,VLOOKUP($F142,'Ürün Kartlar'!$B$5:$G$204,6,FALSE)),Ayarlar!$C$9)</f>
      </c>
      <c r="K142" s="18">
        <f>IF(OR($H142="",$I142=""),0,$H142*$I142)</f>
      </c>
      <c r="L142" s="18">
        <f>$K142*$J142</f>
      </c>
      <c r="M142" s="18">
        <f>$K142+$L142</f>
      </c>
      <c r="N142" s="20"/>
      <c r="O142" s="20"/>
      <c r="P142" s="20"/>
    </row>
    <row r="143" spans="2:16" x14ac:dyDescent="0.25">
      <c r="B143" s="15"/>
      <c r="C143" s="8"/>
      <c r="D143" s="8"/>
      <c r="E143" s="16">
        <f>IFERROR(IF($D143="","",VLOOKUP($D143,'Cari Kartlar'!$B$5:$C$204,2,FALSE)),"— tanımsız cari —")</f>
      </c>
      <c r="F143" s="8"/>
      <c r="G143" s="16">
        <f>IFERROR(IF($F143="","",VLOOKUP($F143,'Ürün Kartlar'!$B$5:$C$204,2,FALSE)),"— tanımsız ürün —")</f>
      </c>
      <c r="H143" s="17"/>
      <c r="I143" s="13">
        <f>IFERROR(IF($F143="","",IF($C143="Alış",VLOOKUP($F143,'Ürün Kartlar'!$B$5:$E$204,4,FALSE),VLOOKUP($F143,'Ürün Kartlar'!$B$5:$F$204,5,FALSE))),"")</f>
      </c>
      <c r="J143" s="11">
        <f>IFERROR(IF($F143="",Ayarlar!$C$9,VLOOKUP($F143,'Ürün Kartlar'!$B$5:$G$204,6,FALSE)),Ayarlar!$C$9)</f>
      </c>
      <c r="K143" s="18">
        <f>IF(OR($H143="",$I143=""),0,$H143*$I143)</f>
      </c>
      <c r="L143" s="18">
        <f>$K143*$J143</f>
      </c>
      <c r="M143" s="18">
        <f>$K143+$L143</f>
      </c>
      <c r="N143" s="8"/>
      <c r="O143" s="8"/>
      <c r="P143" s="8"/>
    </row>
    <row r="144" spans="2:16" x14ac:dyDescent="0.25">
      <c r="B144" s="19"/>
      <c r="C144" s="20"/>
      <c r="D144" s="20"/>
      <c r="E144" s="16">
        <f>IFERROR(IF($D144="","",VLOOKUP($D144,'Cari Kartlar'!$B$5:$C$204,2,FALSE)),"— tanımsız cari —")</f>
      </c>
      <c r="F144" s="20"/>
      <c r="G144" s="16">
        <f>IFERROR(IF($F144="","",VLOOKUP($F144,'Ürün Kartlar'!$B$5:$C$204,2,FALSE)),"— tanımsız ürün —")</f>
      </c>
      <c r="H144" s="21"/>
      <c r="I144" s="22">
        <f>IFERROR(IF($F144="","",IF($C144="Alış",VLOOKUP($F144,'Ürün Kartlar'!$B$5:$E$204,4,FALSE),VLOOKUP($F144,'Ürün Kartlar'!$B$5:$F$204,5,FALSE))),"")</f>
      </c>
      <c r="J144" s="23">
        <f>IFERROR(IF($F144="",Ayarlar!$C$9,VLOOKUP($F144,'Ürün Kartlar'!$B$5:$G$204,6,FALSE)),Ayarlar!$C$9)</f>
      </c>
      <c r="K144" s="18">
        <f>IF(OR($H144="",$I144=""),0,$H144*$I144)</f>
      </c>
      <c r="L144" s="18">
        <f>$K144*$J144</f>
      </c>
      <c r="M144" s="18">
        <f>$K144+$L144</f>
      </c>
      <c r="N144" s="20"/>
      <c r="O144" s="20"/>
      <c r="P144" s="20"/>
    </row>
    <row r="145" spans="2:16" x14ac:dyDescent="0.25">
      <c r="B145" s="15"/>
      <c r="C145" s="8"/>
      <c r="D145" s="8"/>
      <c r="E145" s="16">
        <f>IFERROR(IF($D145="","",VLOOKUP($D145,'Cari Kartlar'!$B$5:$C$204,2,FALSE)),"— tanımsız cari —")</f>
      </c>
      <c r="F145" s="8"/>
      <c r="G145" s="16">
        <f>IFERROR(IF($F145="","",VLOOKUP($F145,'Ürün Kartlar'!$B$5:$C$204,2,FALSE)),"— tanımsız ürün —")</f>
      </c>
      <c r="H145" s="17"/>
      <c r="I145" s="13">
        <f>IFERROR(IF($F145="","",IF($C145="Alış",VLOOKUP($F145,'Ürün Kartlar'!$B$5:$E$204,4,FALSE),VLOOKUP($F145,'Ürün Kartlar'!$B$5:$F$204,5,FALSE))),"")</f>
      </c>
      <c r="J145" s="11">
        <f>IFERROR(IF($F145="",Ayarlar!$C$9,VLOOKUP($F145,'Ürün Kartlar'!$B$5:$G$204,6,FALSE)),Ayarlar!$C$9)</f>
      </c>
      <c r="K145" s="18">
        <f>IF(OR($H145="",$I145=""),0,$H145*$I145)</f>
      </c>
      <c r="L145" s="18">
        <f>$K145*$J145</f>
      </c>
      <c r="M145" s="18">
        <f>$K145+$L145</f>
      </c>
      <c r="N145" s="8"/>
      <c r="O145" s="8"/>
      <c r="P145" s="8"/>
    </row>
    <row r="146" spans="2:16" x14ac:dyDescent="0.25">
      <c r="B146" s="19"/>
      <c r="C146" s="20"/>
      <c r="D146" s="20"/>
      <c r="E146" s="16">
        <f>IFERROR(IF($D146="","",VLOOKUP($D146,'Cari Kartlar'!$B$5:$C$204,2,FALSE)),"— tanımsız cari —")</f>
      </c>
      <c r="F146" s="20"/>
      <c r="G146" s="16">
        <f>IFERROR(IF($F146="","",VLOOKUP($F146,'Ürün Kartlar'!$B$5:$C$204,2,FALSE)),"— tanımsız ürün —")</f>
      </c>
      <c r="H146" s="21"/>
      <c r="I146" s="22">
        <f>IFERROR(IF($F146="","",IF($C146="Alış",VLOOKUP($F146,'Ürün Kartlar'!$B$5:$E$204,4,FALSE),VLOOKUP($F146,'Ürün Kartlar'!$B$5:$F$204,5,FALSE))),"")</f>
      </c>
      <c r="J146" s="23">
        <f>IFERROR(IF($F146="",Ayarlar!$C$9,VLOOKUP($F146,'Ürün Kartlar'!$B$5:$G$204,6,FALSE)),Ayarlar!$C$9)</f>
      </c>
      <c r="K146" s="18">
        <f>IF(OR($H146="",$I146=""),0,$H146*$I146)</f>
      </c>
      <c r="L146" s="18">
        <f>$K146*$J146</f>
      </c>
      <c r="M146" s="18">
        <f>$K146+$L146</f>
      </c>
      <c r="N146" s="20"/>
      <c r="O146" s="20"/>
      <c r="P146" s="20"/>
    </row>
    <row r="147" spans="2:16" x14ac:dyDescent="0.25">
      <c r="B147" s="15"/>
      <c r="C147" s="8"/>
      <c r="D147" s="8"/>
      <c r="E147" s="16">
        <f>IFERROR(IF($D147="","",VLOOKUP($D147,'Cari Kartlar'!$B$5:$C$204,2,FALSE)),"— tanımsız cari —")</f>
      </c>
      <c r="F147" s="8"/>
      <c r="G147" s="16">
        <f>IFERROR(IF($F147="","",VLOOKUP($F147,'Ürün Kartlar'!$B$5:$C$204,2,FALSE)),"— tanımsız ürün —")</f>
      </c>
      <c r="H147" s="17"/>
      <c r="I147" s="13">
        <f>IFERROR(IF($F147="","",IF($C147="Alış",VLOOKUP($F147,'Ürün Kartlar'!$B$5:$E$204,4,FALSE),VLOOKUP($F147,'Ürün Kartlar'!$B$5:$F$204,5,FALSE))),"")</f>
      </c>
      <c r="J147" s="11">
        <f>IFERROR(IF($F147="",Ayarlar!$C$9,VLOOKUP($F147,'Ürün Kartlar'!$B$5:$G$204,6,FALSE)),Ayarlar!$C$9)</f>
      </c>
      <c r="K147" s="18">
        <f>IF(OR($H147="",$I147=""),0,$H147*$I147)</f>
      </c>
      <c r="L147" s="18">
        <f>$K147*$J147</f>
      </c>
      <c r="M147" s="18">
        <f>$K147+$L147</f>
      </c>
      <c r="N147" s="8"/>
      <c r="O147" s="8"/>
      <c r="P147" s="8"/>
    </row>
    <row r="148" spans="2:16" x14ac:dyDescent="0.25">
      <c r="B148" s="19"/>
      <c r="C148" s="20"/>
      <c r="D148" s="20"/>
      <c r="E148" s="16">
        <f>IFERROR(IF($D148="","",VLOOKUP($D148,'Cari Kartlar'!$B$5:$C$204,2,FALSE)),"— tanımsız cari —")</f>
      </c>
      <c r="F148" s="20"/>
      <c r="G148" s="16">
        <f>IFERROR(IF($F148="","",VLOOKUP($F148,'Ürün Kartlar'!$B$5:$C$204,2,FALSE)),"— tanımsız ürün —")</f>
      </c>
      <c r="H148" s="21"/>
      <c r="I148" s="22">
        <f>IFERROR(IF($F148="","",IF($C148="Alış",VLOOKUP($F148,'Ürün Kartlar'!$B$5:$E$204,4,FALSE),VLOOKUP($F148,'Ürün Kartlar'!$B$5:$F$204,5,FALSE))),"")</f>
      </c>
      <c r="J148" s="23">
        <f>IFERROR(IF($F148="",Ayarlar!$C$9,VLOOKUP($F148,'Ürün Kartlar'!$B$5:$G$204,6,FALSE)),Ayarlar!$C$9)</f>
      </c>
      <c r="K148" s="18">
        <f>IF(OR($H148="",$I148=""),0,$H148*$I148)</f>
      </c>
      <c r="L148" s="18">
        <f>$K148*$J148</f>
      </c>
      <c r="M148" s="18">
        <f>$K148+$L148</f>
      </c>
      <c r="N148" s="20"/>
      <c r="O148" s="20"/>
      <c r="P148" s="20"/>
    </row>
    <row r="149" spans="2:16" x14ac:dyDescent="0.25">
      <c r="B149" s="15"/>
      <c r="C149" s="8"/>
      <c r="D149" s="8"/>
      <c r="E149" s="16">
        <f>IFERROR(IF($D149="","",VLOOKUP($D149,'Cari Kartlar'!$B$5:$C$204,2,FALSE)),"— tanımsız cari —")</f>
      </c>
      <c r="F149" s="8"/>
      <c r="G149" s="16">
        <f>IFERROR(IF($F149="","",VLOOKUP($F149,'Ürün Kartlar'!$B$5:$C$204,2,FALSE)),"— tanımsız ürün —")</f>
      </c>
      <c r="H149" s="17"/>
      <c r="I149" s="13">
        <f>IFERROR(IF($F149="","",IF($C149="Alış",VLOOKUP($F149,'Ürün Kartlar'!$B$5:$E$204,4,FALSE),VLOOKUP($F149,'Ürün Kartlar'!$B$5:$F$204,5,FALSE))),"")</f>
      </c>
      <c r="J149" s="11">
        <f>IFERROR(IF($F149="",Ayarlar!$C$9,VLOOKUP($F149,'Ürün Kartlar'!$B$5:$G$204,6,FALSE)),Ayarlar!$C$9)</f>
      </c>
      <c r="K149" s="18">
        <f>IF(OR($H149="",$I149=""),0,$H149*$I149)</f>
      </c>
      <c r="L149" s="18">
        <f>$K149*$J149</f>
      </c>
      <c r="M149" s="18">
        <f>$K149+$L149</f>
      </c>
      <c r="N149" s="8"/>
      <c r="O149" s="8"/>
      <c r="P149" s="8"/>
    </row>
    <row r="150" spans="2:16" x14ac:dyDescent="0.25">
      <c r="B150" s="19"/>
      <c r="C150" s="20"/>
      <c r="D150" s="20"/>
      <c r="E150" s="16">
        <f>IFERROR(IF($D150="","",VLOOKUP($D150,'Cari Kartlar'!$B$5:$C$204,2,FALSE)),"— tanımsız cari —")</f>
      </c>
      <c r="F150" s="20"/>
      <c r="G150" s="16">
        <f>IFERROR(IF($F150="","",VLOOKUP($F150,'Ürün Kartlar'!$B$5:$C$204,2,FALSE)),"— tanımsız ürün —")</f>
      </c>
      <c r="H150" s="21"/>
      <c r="I150" s="22">
        <f>IFERROR(IF($F150="","",IF($C150="Alış",VLOOKUP($F150,'Ürün Kartlar'!$B$5:$E$204,4,FALSE),VLOOKUP($F150,'Ürün Kartlar'!$B$5:$F$204,5,FALSE))),"")</f>
      </c>
      <c r="J150" s="23">
        <f>IFERROR(IF($F150="",Ayarlar!$C$9,VLOOKUP($F150,'Ürün Kartlar'!$B$5:$G$204,6,FALSE)),Ayarlar!$C$9)</f>
      </c>
      <c r="K150" s="18">
        <f>IF(OR($H150="",$I150=""),0,$H150*$I150)</f>
      </c>
      <c r="L150" s="18">
        <f>$K150*$J150</f>
      </c>
      <c r="M150" s="18">
        <f>$K150+$L150</f>
      </c>
      <c r="N150" s="20"/>
      <c r="O150" s="20"/>
      <c r="P150" s="20"/>
    </row>
    <row r="151" spans="2:16" x14ac:dyDescent="0.25">
      <c r="B151" s="15"/>
      <c r="C151" s="8"/>
      <c r="D151" s="8"/>
      <c r="E151" s="16">
        <f>IFERROR(IF($D151="","",VLOOKUP($D151,'Cari Kartlar'!$B$5:$C$204,2,FALSE)),"— tanımsız cari —")</f>
      </c>
      <c r="F151" s="8"/>
      <c r="G151" s="16">
        <f>IFERROR(IF($F151="","",VLOOKUP($F151,'Ürün Kartlar'!$B$5:$C$204,2,FALSE)),"— tanımsız ürün —")</f>
      </c>
      <c r="H151" s="17"/>
      <c r="I151" s="13">
        <f>IFERROR(IF($F151="","",IF($C151="Alış",VLOOKUP($F151,'Ürün Kartlar'!$B$5:$E$204,4,FALSE),VLOOKUP($F151,'Ürün Kartlar'!$B$5:$F$204,5,FALSE))),"")</f>
      </c>
      <c r="J151" s="11">
        <f>IFERROR(IF($F151="",Ayarlar!$C$9,VLOOKUP($F151,'Ürün Kartlar'!$B$5:$G$204,6,FALSE)),Ayarlar!$C$9)</f>
      </c>
      <c r="K151" s="18">
        <f>IF(OR($H151="",$I151=""),0,$H151*$I151)</f>
      </c>
      <c r="L151" s="18">
        <f>$K151*$J151</f>
      </c>
      <c r="M151" s="18">
        <f>$K151+$L151</f>
      </c>
      <c r="N151" s="8"/>
      <c r="O151" s="8"/>
      <c r="P151" s="8"/>
    </row>
    <row r="152" spans="2:16" x14ac:dyDescent="0.25">
      <c r="B152" s="19"/>
      <c r="C152" s="20"/>
      <c r="D152" s="20"/>
      <c r="E152" s="16">
        <f>IFERROR(IF($D152="","",VLOOKUP($D152,'Cari Kartlar'!$B$5:$C$204,2,FALSE)),"— tanımsız cari —")</f>
      </c>
      <c r="F152" s="20"/>
      <c r="G152" s="16">
        <f>IFERROR(IF($F152="","",VLOOKUP($F152,'Ürün Kartlar'!$B$5:$C$204,2,FALSE)),"— tanımsız ürün —")</f>
      </c>
      <c r="H152" s="21"/>
      <c r="I152" s="22">
        <f>IFERROR(IF($F152="","",IF($C152="Alış",VLOOKUP($F152,'Ürün Kartlar'!$B$5:$E$204,4,FALSE),VLOOKUP($F152,'Ürün Kartlar'!$B$5:$F$204,5,FALSE))),"")</f>
      </c>
      <c r="J152" s="23">
        <f>IFERROR(IF($F152="",Ayarlar!$C$9,VLOOKUP($F152,'Ürün Kartlar'!$B$5:$G$204,6,FALSE)),Ayarlar!$C$9)</f>
      </c>
      <c r="K152" s="18">
        <f>IF(OR($H152="",$I152=""),0,$H152*$I152)</f>
      </c>
      <c r="L152" s="18">
        <f>$K152*$J152</f>
      </c>
      <c r="M152" s="18">
        <f>$K152+$L152</f>
      </c>
      <c r="N152" s="20"/>
      <c r="O152" s="20"/>
      <c r="P152" s="20"/>
    </row>
    <row r="153" spans="2:16" x14ac:dyDescent="0.25">
      <c r="B153" s="15"/>
      <c r="C153" s="8"/>
      <c r="D153" s="8"/>
      <c r="E153" s="16">
        <f>IFERROR(IF($D153="","",VLOOKUP($D153,'Cari Kartlar'!$B$5:$C$204,2,FALSE)),"— tanımsız cari —")</f>
      </c>
      <c r="F153" s="8"/>
      <c r="G153" s="16">
        <f>IFERROR(IF($F153="","",VLOOKUP($F153,'Ürün Kartlar'!$B$5:$C$204,2,FALSE)),"— tanımsız ürün —")</f>
      </c>
      <c r="H153" s="17"/>
      <c r="I153" s="13">
        <f>IFERROR(IF($F153="","",IF($C153="Alış",VLOOKUP($F153,'Ürün Kartlar'!$B$5:$E$204,4,FALSE),VLOOKUP($F153,'Ürün Kartlar'!$B$5:$F$204,5,FALSE))),"")</f>
      </c>
      <c r="J153" s="11">
        <f>IFERROR(IF($F153="",Ayarlar!$C$9,VLOOKUP($F153,'Ürün Kartlar'!$B$5:$G$204,6,FALSE)),Ayarlar!$C$9)</f>
      </c>
      <c r="K153" s="18">
        <f>IF(OR($H153="",$I153=""),0,$H153*$I153)</f>
      </c>
      <c r="L153" s="18">
        <f>$K153*$J153</f>
      </c>
      <c r="M153" s="18">
        <f>$K153+$L153</f>
      </c>
      <c r="N153" s="8"/>
      <c r="O153" s="8"/>
      <c r="P153" s="8"/>
    </row>
    <row r="154" spans="2:16" x14ac:dyDescent="0.25">
      <c r="B154" s="19"/>
      <c r="C154" s="20"/>
      <c r="D154" s="20"/>
      <c r="E154" s="16">
        <f>IFERROR(IF($D154="","",VLOOKUP($D154,'Cari Kartlar'!$B$5:$C$204,2,FALSE)),"— tanımsız cari —")</f>
      </c>
      <c r="F154" s="20"/>
      <c r="G154" s="16">
        <f>IFERROR(IF($F154="","",VLOOKUP($F154,'Ürün Kartlar'!$B$5:$C$204,2,FALSE)),"— tanımsız ürün —")</f>
      </c>
      <c r="H154" s="21"/>
      <c r="I154" s="22">
        <f>IFERROR(IF($F154="","",IF($C154="Alış",VLOOKUP($F154,'Ürün Kartlar'!$B$5:$E$204,4,FALSE),VLOOKUP($F154,'Ürün Kartlar'!$B$5:$F$204,5,FALSE))),"")</f>
      </c>
      <c r="J154" s="23">
        <f>IFERROR(IF($F154="",Ayarlar!$C$9,VLOOKUP($F154,'Ürün Kartlar'!$B$5:$G$204,6,FALSE)),Ayarlar!$C$9)</f>
      </c>
      <c r="K154" s="18">
        <f>IF(OR($H154="",$I154=""),0,$H154*$I154)</f>
      </c>
      <c r="L154" s="18">
        <f>$K154*$J154</f>
      </c>
      <c r="M154" s="18">
        <f>$K154+$L154</f>
      </c>
      <c r="N154" s="20"/>
      <c r="O154" s="20"/>
      <c r="P154" s="20"/>
    </row>
    <row r="155" spans="2:16" x14ac:dyDescent="0.25">
      <c r="B155" s="15"/>
      <c r="C155" s="8"/>
      <c r="D155" s="8"/>
      <c r="E155" s="16">
        <f>IFERROR(IF($D155="","",VLOOKUP($D155,'Cari Kartlar'!$B$5:$C$204,2,FALSE)),"— tanımsız cari —")</f>
      </c>
      <c r="F155" s="8"/>
      <c r="G155" s="16">
        <f>IFERROR(IF($F155="","",VLOOKUP($F155,'Ürün Kartlar'!$B$5:$C$204,2,FALSE)),"— tanımsız ürün —")</f>
      </c>
      <c r="H155" s="17"/>
      <c r="I155" s="13">
        <f>IFERROR(IF($F155="","",IF($C155="Alış",VLOOKUP($F155,'Ürün Kartlar'!$B$5:$E$204,4,FALSE),VLOOKUP($F155,'Ürün Kartlar'!$B$5:$F$204,5,FALSE))),"")</f>
      </c>
      <c r="J155" s="11">
        <f>IFERROR(IF($F155="",Ayarlar!$C$9,VLOOKUP($F155,'Ürün Kartlar'!$B$5:$G$204,6,FALSE)),Ayarlar!$C$9)</f>
      </c>
      <c r="K155" s="18">
        <f>IF(OR($H155="",$I155=""),0,$H155*$I155)</f>
      </c>
      <c r="L155" s="18">
        <f>$K155*$J155</f>
      </c>
      <c r="M155" s="18">
        <f>$K155+$L155</f>
      </c>
      <c r="N155" s="8"/>
      <c r="O155" s="8"/>
      <c r="P155" s="8"/>
    </row>
    <row r="156" spans="2:16" x14ac:dyDescent="0.25">
      <c r="B156" s="19"/>
      <c r="C156" s="20"/>
      <c r="D156" s="20"/>
      <c r="E156" s="16">
        <f>IFERROR(IF($D156="","",VLOOKUP($D156,'Cari Kartlar'!$B$5:$C$204,2,FALSE)),"— tanımsız cari —")</f>
      </c>
      <c r="F156" s="20"/>
      <c r="G156" s="16">
        <f>IFERROR(IF($F156="","",VLOOKUP($F156,'Ürün Kartlar'!$B$5:$C$204,2,FALSE)),"— tanımsız ürün —")</f>
      </c>
      <c r="H156" s="21"/>
      <c r="I156" s="22">
        <f>IFERROR(IF($F156="","",IF($C156="Alış",VLOOKUP($F156,'Ürün Kartlar'!$B$5:$E$204,4,FALSE),VLOOKUP($F156,'Ürün Kartlar'!$B$5:$F$204,5,FALSE))),"")</f>
      </c>
      <c r="J156" s="23">
        <f>IFERROR(IF($F156="",Ayarlar!$C$9,VLOOKUP($F156,'Ürün Kartlar'!$B$5:$G$204,6,FALSE)),Ayarlar!$C$9)</f>
      </c>
      <c r="K156" s="18">
        <f>IF(OR($H156="",$I156=""),0,$H156*$I156)</f>
      </c>
      <c r="L156" s="18">
        <f>$K156*$J156</f>
      </c>
      <c r="M156" s="18">
        <f>$K156+$L156</f>
      </c>
      <c r="N156" s="20"/>
      <c r="O156" s="20"/>
      <c r="P156" s="20"/>
    </row>
    <row r="157" spans="2:16" x14ac:dyDescent="0.25">
      <c r="B157" s="15"/>
      <c r="C157" s="8"/>
      <c r="D157" s="8"/>
      <c r="E157" s="16">
        <f>IFERROR(IF($D157="","",VLOOKUP($D157,'Cari Kartlar'!$B$5:$C$204,2,FALSE)),"— tanımsız cari —")</f>
      </c>
      <c r="F157" s="8"/>
      <c r="G157" s="16">
        <f>IFERROR(IF($F157="","",VLOOKUP($F157,'Ürün Kartlar'!$B$5:$C$204,2,FALSE)),"— tanımsız ürün —")</f>
      </c>
      <c r="H157" s="17"/>
      <c r="I157" s="13">
        <f>IFERROR(IF($F157="","",IF($C157="Alış",VLOOKUP($F157,'Ürün Kartlar'!$B$5:$E$204,4,FALSE),VLOOKUP($F157,'Ürün Kartlar'!$B$5:$F$204,5,FALSE))),"")</f>
      </c>
      <c r="J157" s="11">
        <f>IFERROR(IF($F157="",Ayarlar!$C$9,VLOOKUP($F157,'Ürün Kartlar'!$B$5:$G$204,6,FALSE)),Ayarlar!$C$9)</f>
      </c>
      <c r="K157" s="18">
        <f>IF(OR($H157="",$I157=""),0,$H157*$I157)</f>
      </c>
      <c r="L157" s="18">
        <f>$K157*$J157</f>
      </c>
      <c r="M157" s="18">
        <f>$K157+$L157</f>
      </c>
      <c r="N157" s="8"/>
      <c r="O157" s="8"/>
      <c r="P157" s="8"/>
    </row>
    <row r="158" spans="2:16" x14ac:dyDescent="0.25">
      <c r="B158" s="19"/>
      <c r="C158" s="20"/>
      <c r="D158" s="20"/>
      <c r="E158" s="16">
        <f>IFERROR(IF($D158="","",VLOOKUP($D158,'Cari Kartlar'!$B$5:$C$204,2,FALSE)),"— tanımsız cari —")</f>
      </c>
      <c r="F158" s="20"/>
      <c r="G158" s="16">
        <f>IFERROR(IF($F158="","",VLOOKUP($F158,'Ürün Kartlar'!$B$5:$C$204,2,FALSE)),"— tanımsız ürün —")</f>
      </c>
      <c r="H158" s="21"/>
      <c r="I158" s="22">
        <f>IFERROR(IF($F158="","",IF($C158="Alış",VLOOKUP($F158,'Ürün Kartlar'!$B$5:$E$204,4,FALSE),VLOOKUP($F158,'Ürün Kartlar'!$B$5:$F$204,5,FALSE))),"")</f>
      </c>
      <c r="J158" s="23">
        <f>IFERROR(IF($F158="",Ayarlar!$C$9,VLOOKUP($F158,'Ürün Kartlar'!$B$5:$G$204,6,FALSE)),Ayarlar!$C$9)</f>
      </c>
      <c r="K158" s="18">
        <f>IF(OR($H158="",$I158=""),0,$H158*$I158)</f>
      </c>
      <c r="L158" s="18">
        <f>$K158*$J158</f>
      </c>
      <c r="M158" s="18">
        <f>$K158+$L158</f>
      </c>
      <c r="N158" s="20"/>
      <c r="O158" s="20"/>
      <c r="P158" s="20"/>
    </row>
    <row r="159" spans="2:16" x14ac:dyDescent="0.25">
      <c r="B159" s="15"/>
      <c r="C159" s="8"/>
      <c r="D159" s="8"/>
      <c r="E159" s="16">
        <f>IFERROR(IF($D159="","",VLOOKUP($D159,'Cari Kartlar'!$B$5:$C$204,2,FALSE)),"— tanımsız cari —")</f>
      </c>
      <c r="F159" s="8"/>
      <c r="G159" s="16">
        <f>IFERROR(IF($F159="","",VLOOKUP($F159,'Ürün Kartlar'!$B$5:$C$204,2,FALSE)),"— tanımsız ürün —")</f>
      </c>
      <c r="H159" s="17"/>
      <c r="I159" s="13">
        <f>IFERROR(IF($F159="","",IF($C159="Alış",VLOOKUP($F159,'Ürün Kartlar'!$B$5:$E$204,4,FALSE),VLOOKUP($F159,'Ürün Kartlar'!$B$5:$F$204,5,FALSE))),"")</f>
      </c>
      <c r="J159" s="11">
        <f>IFERROR(IF($F159="",Ayarlar!$C$9,VLOOKUP($F159,'Ürün Kartlar'!$B$5:$G$204,6,FALSE)),Ayarlar!$C$9)</f>
      </c>
      <c r="K159" s="18">
        <f>IF(OR($H159="",$I159=""),0,$H159*$I159)</f>
      </c>
      <c r="L159" s="18">
        <f>$K159*$J159</f>
      </c>
      <c r="M159" s="18">
        <f>$K159+$L159</f>
      </c>
      <c r="N159" s="8"/>
      <c r="O159" s="8"/>
      <c r="P159" s="8"/>
    </row>
    <row r="160" spans="2:16" x14ac:dyDescent="0.25">
      <c r="B160" s="19"/>
      <c r="C160" s="20"/>
      <c r="D160" s="20"/>
      <c r="E160" s="16">
        <f>IFERROR(IF($D160="","",VLOOKUP($D160,'Cari Kartlar'!$B$5:$C$204,2,FALSE)),"— tanımsız cari —")</f>
      </c>
      <c r="F160" s="20"/>
      <c r="G160" s="16">
        <f>IFERROR(IF($F160="","",VLOOKUP($F160,'Ürün Kartlar'!$B$5:$C$204,2,FALSE)),"— tanımsız ürün —")</f>
      </c>
      <c r="H160" s="21"/>
      <c r="I160" s="22">
        <f>IFERROR(IF($F160="","",IF($C160="Alış",VLOOKUP($F160,'Ürün Kartlar'!$B$5:$E$204,4,FALSE),VLOOKUP($F160,'Ürün Kartlar'!$B$5:$F$204,5,FALSE))),"")</f>
      </c>
      <c r="J160" s="23">
        <f>IFERROR(IF($F160="",Ayarlar!$C$9,VLOOKUP($F160,'Ürün Kartlar'!$B$5:$G$204,6,FALSE)),Ayarlar!$C$9)</f>
      </c>
      <c r="K160" s="18">
        <f>IF(OR($H160="",$I160=""),0,$H160*$I160)</f>
      </c>
      <c r="L160" s="18">
        <f>$K160*$J160</f>
      </c>
      <c r="M160" s="18">
        <f>$K160+$L160</f>
      </c>
      <c r="N160" s="20"/>
      <c r="O160" s="20"/>
      <c r="P160" s="20"/>
    </row>
    <row r="161" spans="2:16" x14ac:dyDescent="0.25">
      <c r="B161" s="15"/>
      <c r="C161" s="8"/>
      <c r="D161" s="8"/>
      <c r="E161" s="16">
        <f>IFERROR(IF($D161="","",VLOOKUP($D161,'Cari Kartlar'!$B$5:$C$204,2,FALSE)),"— tanımsız cari —")</f>
      </c>
      <c r="F161" s="8"/>
      <c r="G161" s="16">
        <f>IFERROR(IF($F161="","",VLOOKUP($F161,'Ürün Kartlar'!$B$5:$C$204,2,FALSE)),"— tanımsız ürün —")</f>
      </c>
      <c r="H161" s="17"/>
      <c r="I161" s="13">
        <f>IFERROR(IF($F161="","",IF($C161="Alış",VLOOKUP($F161,'Ürün Kartlar'!$B$5:$E$204,4,FALSE),VLOOKUP($F161,'Ürün Kartlar'!$B$5:$F$204,5,FALSE))),"")</f>
      </c>
      <c r="J161" s="11">
        <f>IFERROR(IF($F161="",Ayarlar!$C$9,VLOOKUP($F161,'Ürün Kartlar'!$B$5:$G$204,6,FALSE)),Ayarlar!$C$9)</f>
      </c>
      <c r="K161" s="18">
        <f>IF(OR($H161="",$I161=""),0,$H161*$I161)</f>
      </c>
      <c r="L161" s="18">
        <f>$K161*$J161</f>
      </c>
      <c r="M161" s="18">
        <f>$K161+$L161</f>
      </c>
      <c r="N161" s="8"/>
      <c r="O161" s="8"/>
      <c r="P161" s="8"/>
    </row>
    <row r="162" spans="2:16" x14ac:dyDescent="0.25">
      <c r="B162" s="19"/>
      <c r="C162" s="20"/>
      <c r="D162" s="20"/>
      <c r="E162" s="16">
        <f>IFERROR(IF($D162="","",VLOOKUP($D162,'Cari Kartlar'!$B$5:$C$204,2,FALSE)),"— tanımsız cari —")</f>
      </c>
      <c r="F162" s="20"/>
      <c r="G162" s="16">
        <f>IFERROR(IF($F162="","",VLOOKUP($F162,'Ürün Kartlar'!$B$5:$C$204,2,FALSE)),"— tanımsız ürün —")</f>
      </c>
      <c r="H162" s="21"/>
      <c r="I162" s="22">
        <f>IFERROR(IF($F162="","",IF($C162="Alış",VLOOKUP($F162,'Ürün Kartlar'!$B$5:$E$204,4,FALSE),VLOOKUP($F162,'Ürün Kartlar'!$B$5:$F$204,5,FALSE))),"")</f>
      </c>
      <c r="J162" s="23">
        <f>IFERROR(IF($F162="",Ayarlar!$C$9,VLOOKUP($F162,'Ürün Kartlar'!$B$5:$G$204,6,FALSE)),Ayarlar!$C$9)</f>
      </c>
      <c r="K162" s="18">
        <f>IF(OR($H162="",$I162=""),0,$H162*$I162)</f>
      </c>
      <c r="L162" s="18">
        <f>$K162*$J162</f>
      </c>
      <c r="M162" s="18">
        <f>$K162+$L162</f>
      </c>
      <c r="N162" s="20"/>
      <c r="O162" s="20"/>
      <c r="P162" s="20"/>
    </row>
    <row r="163" spans="2:16" x14ac:dyDescent="0.25">
      <c r="B163" s="15"/>
      <c r="C163" s="8"/>
      <c r="D163" s="8"/>
      <c r="E163" s="16">
        <f>IFERROR(IF($D163="","",VLOOKUP($D163,'Cari Kartlar'!$B$5:$C$204,2,FALSE)),"— tanımsız cari —")</f>
      </c>
      <c r="F163" s="8"/>
      <c r="G163" s="16">
        <f>IFERROR(IF($F163="","",VLOOKUP($F163,'Ürün Kartlar'!$B$5:$C$204,2,FALSE)),"— tanımsız ürün —")</f>
      </c>
      <c r="H163" s="17"/>
      <c r="I163" s="13">
        <f>IFERROR(IF($F163="","",IF($C163="Alış",VLOOKUP($F163,'Ürün Kartlar'!$B$5:$E$204,4,FALSE),VLOOKUP($F163,'Ürün Kartlar'!$B$5:$F$204,5,FALSE))),"")</f>
      </c>
      <c r="J163" s="11">
        <f>IFERROR(IF($F163="",Ayarlar!$C$9,VLOOKUP($F163,'Ürün Kartlar'!$B$5:$G$204,6,FALSE)),Ayarlar!$C$9)</f>
      </c>
      <c r="K163" s="18">
        <f>IF(OR($H163="",$I163=""),0,$H163*$I163)</f>
      </c>
      <c r="L163" s="18">
        <f>$K163*$J163</f>
      </c>
      <c r="M163" s="18">
        <f>$K163+$L163</f>
      </c>
      <c r="N163" s="8"/>
      <c r="O163" s="8"/>
      <c r="P163" s="8"/>
    </row>
    <row r="164" spans="2:16" x14ac:dyDescent="0.25">
      <c r="B164" s="19"/>
      <c r="C164" s="20"/>
      <c r="D164" s="20"/>
      <c r="E164" s="16">
        <f>IFERROR(IF($D164="","",VLOOKUP($D164,'Cari Kartlar'!$B$5:$C$204,2,FALSE)),"— tanımsız cari —")</f>
      </c>
      <c r="F164" s="20"/>
      <c r="G164" s="16">
        <f>IFERROR(IF($F164="","",VLOOKUP($F164,'Ürün Kartlar'!$B$5:$C$204,2,FALSE)),"— tanımsız ürün —")</f>
      </c>
      <c r="H164" s="21"/>
      <c r="I164" s="22">
        <f>IFERROR(IF($F164="","",IF($C164="Alış",VLOOKUP($F164,'Ürün Kartlar'!$B$5:$E$204,4,FALSE),VLOOKUP($F164,'Ürün Kartlar'!$B$5:$F$204,5,FALSE))),"")</f>
      </c>
      <c r="J164" s="23">
        <f>IFERROR(IF($F164="",Ayarlar!$C$9,VLOOKUP($F164,'Ürün Kartlar'!$B$5:$G$204,6,FALSE)),Ayarlar!$C$9)</f>
      </c>
      <c r="K164" s="18">
        <f>IF(OR($H164="",$I164=""),0,$H164*$I164)</f>
      </c>
      <c r="L164" s="18">
        <f>$K164*$J164</f>
      </c>
      <c r="M164" s="18">
        <f>$K164+$L164</f>
      </c>
      <c r="N164" s="20"/>
      <c r="O164" s="20"/>
      <c r="P164" s="20"/>
    </row>
    <row r="165" spans="2:16" x14ac:dyDescent="0.25">
      <c r="B165" s="15"/>
      <c r="C165" s="8"/>
      <c r="D165" s="8"/>
      <c r="E165" s="16">
        <f>IFERROR(IF($D165="","",VLOOKUP($D165,'Cari Kartlar'!$B$5:$C$204,2,FALSE)),"— tanımsız cari —")</f>
      </c>
      <c r="F165" s="8"/>
      <c r="G165" s="16">
        <f>IFERROR(IF($F165="","",VLOOKUP($F165,'Ürün Kartlar'!$B$5:$C$204,2,FALSE)),"— tanımsız ürün —")</f>
      </c>
      <c r="H165" s="17"/>
      <c r="I165" s="13">
        <f>IFERROR(IF($F165="","",IF($C165="Alış",VLOOKUP($F165,'Ürün Kartlar'!$B$5:$E$204,4,FALSE),VLOOKUP($F165,'Ürün Kartlar'!$B$5:$F$204,5,FALSE))),"")</f>
      </c>
      <c r="J165" s="11">
        <f>IFERROR(IF($F165="",Ayarlar!$C$9,VLOOKUP($F165,'Ürün Kartlar'!$B$5:$G$204,6,FALSE)),Ayarlar!$C$9)</f>
      </c>
      <c r="K165" s="18">
        <f>IF(OR($H165="",$I165=""),0,$H165*$I165)</f>
      </c>
      <c r="L165" s="18">
        <f>$K165*$J165</f>
      </c>
      <c r="M165" s="18">
        <f>$K165+$L165</f>
      </c>
      <c r="N165" s="8"/>
      <c r="O165" s="8"/>
      <c r="P165" s="8"/>
    </row>
    <row r="166" spans="2:16" x14ac:dyDescent="0.25">
      <c r="B166" s="19"/>
      <c r="C166" s="20"/>
      <c r="D166" s="20"/>
      <c r="E166" s="16">
        <f>IFERROR(IF($D166="","",VLOOKUP($D166,'Cari Kartlar'!$B$5:$C$204,2,FALSE)),"— tanımsız cari —")</f>
      </c>
      <c r="F166" s="20"/>
      <c r="G166" s="16">
        <f>IFERROR(IF($F166="","",VLOOKUP($F166,'Ürün Kartlar'!$B$5:$C$204,2,FALSE)),"— tanımsız ürün —")</f>
      </c>
      <c r="H166" s="21"/>
      <c r="I166" s="22">
        <f>IFERROR(IF($F166="","",IF($C166="Alış",VLOOKUP($F166,'Ürün Kartlar'!$B$5:$E$204,4,FALSE),VLOOKUP($F166,'Ürün Kartlar'!$B$5:$F$204,5,FALSE))),"")</f>
      </c>
      <c r="J166" s="23">
        <f>IFERROR(IF($F166="",Ayarlar!$C$9,VLOOKUP($F166,'Ürün Kartlar'!$B$5:$G$204,6,FALSE)),Ayarlar!$C$9)</f>
      </c>
      <c r="K166" s="18">
        <f>IF(OR($H166="",$I166=""),0,$H166*$I166)</f>
      </c>
      <c r="L166" s="18">
        <f>$K166*$J166</f>
      </c>
      <c r="M166" s="18">
        <f>$K166+$L166</f>
      </c>
      <c r="N166" s="20"/>
      <c r="O166" s="20"/>
      <c r="P166" s="20"/>
    </row>
    <row r="167" spans="2:16" x14ac:dyDescent="0.25">
      <c r="B167" s="15"/>
      <c r="C167" s="8"/>
      <c r="D167" s="8"/>
      <c r="E167" s="16">
        <f>IFERROR(IF($D167="","",VLOOKUP($D167,'Cari Kartlar'!$B$5:$C$204,2,FALSE)),"— tanımsız cari —")</f>
      </c>
      <c r="F167" s="8"/>
      <c r="G167" s="16">
        <f>IFERROR(IF($F167="","",VLOOKUP($F167,'Ürün Kartlar'!$B$5:$C$204,2,FALSE)),"— tanımsız ürün —")</f>
      </c>
      <c r="H167" s="17"/>
      <c r="I167" s="13">
        <f>IFERROR(IF($F167="","",IF($C167="Alış",VLOOKUP($F167,'Ürün Kartlar'!$B$5:$E$204,4,FALSE),VLOOKUP($F167,'Ürün Kartlar'!$B$5:$F$204,5,FALSE))),"")</f>
      </c>
      <c r="J167" s="11">
        <f>IFERROR(IF($F167="",Ayarlar!$C$9,VLOOKUP($F167,'Ürün Kartlar'!$B$5:$G$204,6,FALSE)),Ayarlar!$C$9)</f>
      </c>
      <c r="K167" s="18">
        <f>IF(OR($H167="",$I167=""),0,$H167*$I167)</f>
      </c>
      <c r="L167" s="18">
        <f>$K167*$J167</f>
      </c>
      <c r="M167" s="18">
        <f>$K167+$L167</f>
      </c>
      <c r="N167" s="8"/>
      <c r="O167" s="8"/>
      <c r="P167" s="8"/>
    </row>
    <row r="168" spans="2:16" x14ac:dyDescent="0.25">
      <c r="B168" s="19"/>
      <c r="C168" s="20"/>
      <c r="D168" s="20"/>
      <c r="E168" s="16">
        <f>IFERROR(IF($D168="","",VLOOKUP($D168,'Cari Kartlar'!$B$5:$C$204,2,FALSE)),"— tanımsız cari —")</f>
      </c>
      <c r="F168" s="20"/>
      <c r="G168" s="16">
        <f>IFERROR(IF($F168="","",VLOOKUP($F168,'Ürün Kartlar'!$B$5:$C$204,2,FALSE)),"— tanımsız ürün —")</f>
      </c>
      <c r="H168" s="21"/>
      <c r="I168" s="22">
        <f>IFERROR(IF($F168="","",IF($C168="Alış",VLOOKUP($F168,'Ürün Kartlar'!$B$5:$E$204,4,FALSE),VLOOKUP($F168,'Ürün Kartlar'!$B$5:$F$204,5,FALSE))),"")</f>
      </c>
      <c r="J168" s="23">
        <f>IFERROR(IF($F168="",Ayarlar!$C$9,VLOOKUP($F168,'Ürün Kartlar'!$B$5:$G$204,6,FALSE)),Ayarlar!$C$9)</f>
      </c>
      <c r="K168" s="18">
        <f>IF(OR($H168="",$I168=""),0,$H168*$I168)</f>
      </c>
      <c r="L168" s="18">
        <f>$K168*$J168</f>
      </c>
      <c r="M168" s="18">
        <f>$K168+$L168</f>
      </c>
      <c r="N168" s="20"/>
      <c r="O168" s="20"/>
      <c r="P168" s="20"/>
    </row>
    <row r="169" spans="2:16" x14ac:dyDescent="0.25">
      <c r="B169" s="15"/>
      <c r="C169" s="8"/>
      <c r="D169" s="8"/>
      <c r="E169" s="16">
        <f>IFERROR(IF($D169="","",VLOOKUP($D169,'Cari Kartlar'!$B$5:$C$204,2,FALSE)),"— tanımsız cari —")</f>
      </c>
      <c r="F169" s="8"/>
      <c r="G169" s="16">
        <f>IFERROR(IF($F169="","",VLOOKUP($F169,'Ürün Kartlar'!$B$5:$C$204,2,FALSE)),"— tanımsız ürün —")</f>
      </c>
      <c r="H169" s="17"/>
      <c r="I169" s="13">
        <f>IFERROR(IF($F169="","",IF($C169="Alış",VLOOKUP($F169,'Ürün Kartlar'!$B$5:$E$204,4,FALSE),VLOOKUP($F169,'Ürün Kartlar'!$B$5:$F$204,5,FALSE))),"")</f>
      </c>
      <c r="J169" s="11">
        <f>IFERROR(IF($F169="",Ayarlar!$C$9,VLOOKUP($F169,'Ürün Kartlar'!$B$5:$G$204,6,FALSE)),Ayarlar!$C$9)</f>
      </c>
      <c r="K169" s="18">
        <f>IF(OR($H169="",$I169=""),0,$H169*$I169)</f>
      </c>
      <c r="L169" s="18">
        <f>$K169*$J169</f>
      </c>
      <c r="M169" s="18">
        <f>$K169+$L169</f>
      </c>
      <c r="N169" s="8"/>
      <c r="O169" s="8"/>
      <c r="P169" s="8"/>
    </row>
    <row r="170" spans="2:16" x14ac:dyDescent="0.25">
      <c r="B170" s="19"/>
      <c r="C170" s="20"/>
      <c r="D170" s="20"/>
      <c r="E170" s="16">
        <f>IFERROR(IF($D170="","",VLOOKUP($D170,'Cari Kartlar'!$B$5:$C$204,2,FALSE)),"— tanımsız cari —")</f>
      </c>
      <c r="F170" s="20"/>
      <c r="G170" s="16">
        <f>IFERROR(IF($F170="","",VLOOKUP($F170,'Ürün Kartlar'!$B$5:$C$204,2,FALSE)),"— tanımsız ürün —")</f>
      </c>
      <c r="H170" s="21"/>
      <c r="I170" s="22">
        <f>IFERROR(IF($F170="","",IF($C170="Alış",VLOOKUP($F170,'Ürün Kartlar'!$B$5:$E$204,4,FALSE),VLOOKUP($F170,'Ürün Kartlar'!$B$5:$F$204,5,FALSE))),"")</f>
      </c>
      <c r="J170" s="23">
        <f>IFERROR(IF($F170="",Ayarlar!$C$9,VLOOKUP($F170,'Ürün Kartlar'!$B$5:$G$204,6,FALSE)),Ayarlar!$C$9)</f>
      </c>
      <c r="K170" s="18">
        <f>IF(OR($H170="",$I170=""),0,$H170*$I170)</f>
      </c>
      <c r="L170" s="18">
        <f>$K170*$J170</f>
      </c>
      <c r="M170" s="18">
        <f>$K170+$L170</f>
      </c>
      <c r="N170" s="20"/>
      <c r="O170" s="20"/>
      <c r="P170" s="20"/>
    </row>
    <row r="171" spans="2:16" x14ac:dyDescent="0.25">
      <c r="B171" s="15"/>
      <c r="C171" s="8"/>
      <c r="D171" s="8"/>
      <c r="E171" s="16">
        <f>IFERROR(IF($D171="","",VLOOKUP($D171,'Cari Kartlar'!$B$5:$C$204,2,FALSE)),"— tanımsız cari —")</f>
      </c>
      <c r="F171" s="8"/>
      <c r="G171" s="16">
        <f>IFERROR(IF($F171="","",VLOOKUP($F171,'Ürün Kartlar'!$B$5:$C$204,2,FALSE)),"— tanımsız ürün —")</f>
      </c>
      <c r="H171" s="17"/>
      <c r="I171" s="13">
        <f>IFERROR(IF($F171="","",IF($C171="Alış",VLOOKUP($F171,'Ürün Kartlar'!$B$5:$E$204,4,FALSE),VLOOKUP($F171,'Ürün Kartlar'!$B$5:$F$204,5,FALSE))),"")</f>
      </c>
      <c r="J171" s="11">
        <f>IFERROR(IF($F171="",Ayarlar!$C$9,VLOOKUP($F171,'Ürün Kartlar'!$B$5:$G$204,6,FALSE)),Ayarlar!$C$9)</f>
      </c>
      <c r="K171" s="18">
        <f>IF(OR($H171="",$I171=""),0,$H171*$I171)</f>
      </c>
      <c r="L171" s="18">
        <f>$K171*$J171</f>
      </c>
      <c r="M171" s="18">
        <f>$K171+$L171</f>
      </c>
      <c r="N171" s="8"/>
      <c r="O171" s="8"/>
      <c r="P171" s="8"/>
    </row>
    <row r="172" spans="2:16" x14ac:dyDescent="0.25">
      <c r="B172" s="19"/>
      <c r="C172" s="20"/>
      <c r="D172" s="20"/>
      <c r="E172" s="16">
        <f>IFERROR(IF($D172="","",VLOOKUP($D172,'Cari Kartlar'!$B$5:$C$204,2,FALSE)),"— tanımsız cari —")</f>
      </c>
      <c r="F172" s="20"/>
      <c r="G172" s="16">
        <f>IFERROR(IF($F172="","",VLOOKUP($F172,'Ürün Kartlar'!$B$5:$C$204,2,FALSE)),"— tanımsız ürün —")</f>
      </c>
      <c r="H172" s="21"/>
      <c r="I172" s="22">
        <f>IFERROR(IF($F172="","",IF($C172="Alış",VLOOKUP($F172,'Ürün Kartlar'!$B$5:$E$204,4,FALSE),VLOOKUP($F172,'Ürün Kartlar'!$B$5:$F$204,5,FALSE))),"")</f>
      </c>
      <c r="J172" s="23">
        <f>IFERROR(IF($F172="",Ayarlar!$C$9,VLOOKUP($F172,'Ürün Kartlar'!$B$5:$G$204,6,FALSE)),Ayarlar!$C$9)</f>
      </c>
      <c r="K172" s="18">
        <f>IF(OR($H172="",$I172=""),0,$H172*$I172)</f>
      </c>
      <c r="L172" s="18">
        <f>$K172*$J172</f>
      </c>
      <c r="M172" s="18">
        <f>$K172+$L172</f>
      </c>
      <c r="N172" s="20"/>
      <c r="O172" s="20"/>
      <c r="P172" s="20"/>
    </row>
    <row r="173" spans="2:16" x14ac:dyDescent="0.25">
      <c r="B173" s="15"/>
      <c r="C173" s="8"/>
      <c r="D173" s="8"/>
      <c r="E173" s="16">
        <f>IFERROR(IF($D173="","",VLOOKUP($D173,'Cari Kartlar'!$B$5:$C$204,2,FALSE)),"— tanımsız cari —")</f>
      </c>
      <c r="F173" s="8"/>
      <c r="G173" s="16">
        <f>IFERROR(IF($F173="","",VLOOKUP($F173,'Ürün Kartlar'!$B$5:$C$204,2,FALSE)),"— tanımsız ürün —")</f>
      </c>
      <c r="H173" s="17"/>
      <c r="I173" s="13">
        <f>IFERROR(IF($F173="","",IF($C173="Alış",VLOOKUP($F173,'Ürün Kartlar'!$B$5:$E$204,4,FALSE),VLOOKUP($F173,'Ürün Kartlar'!$B$5:$F$204,5,FALSE))),"")</f>
      </c>
      <c r="J173" s="11">
        <f>IFERROR(IF($F173="",Ayarlar!$C$9,VLOOKUP($F173,'Ürün Kartlar'!$B$5:$G$204,6,FALSE)),Ayarlar!$C$9)</f>
      </c>
      <c r="K173" s="18">
        <f>IF(OR($H173="",$I173=""),0,$H173*$I173)</f>
      </c>
      <c r="L173" s="18">
        <f>$K173*$J173</f>
      </c>
      <c r="M173" s="18">
        <f>$K173+$L173</f>
      </c>
      <c r="N173" s="8"/>
      <c r="O173" s="8"/>
      <c r="P173" s="8"/>
    </row>
    <row r="174" spans="2:16" x14ac:dyDescent="0.25">
      <c r="B174" s="19"/>
      <c r="C174" s="20"/>
      <c r="D174" s="20"/>
      <c r="E174" s="16">
        <f>IFERROR(IF($D174="","",VLOOKUP($D174,'Cari Kartlar'!$B$5:$C$204,2,FALSE)),"— tanımsız cari —")</f>
      </c>
      <c r="F174" s="20"/>
      <c r="G174" s="16">
        <f>IFERROR(IF($F174="","",VLOOKUP($F174,'Ürün Kartlar'!$B$5:$C$204,2,FALSE)),"— tanımsız ürün —")</f>
      </c>
      <c r="H174" s="21"/>
      <c r="I174" s="22">
        <f>IFERROR(IF($F174="","",IF($C174="Alış",VLOOKUP($F174,'Ürün Kartlar'!$B$5:$E$204,4,FALSE),VLOOKUP($F174,'Ürün Kartlar'!$B$5:$F$204,5,FALSE))),"")</f>
      </c>
      <c r="J174" s="23">
        <f>IFERROR(IF($F174="",Ayarlar!$C$9,VLOOKUP($F174,'Ürün Kartlar'!$B$5:$G$204,6,FALSE)),Ayarlar!$C$9)</f>
      </c>
      <c r="K174" s="18">
        <f>IF(OR($H174="",$I174=""),0,$H174*$I174)</f>
      </c>
      <c r="L174" s="18">
        <f>$K174*$J174</f>
      </c>
      <c r="M174" s="18">
        <f>$K174+$L174</f>
      </c>
      <c r="N174" s="20"/>
      <c r="O174" s="20"/>
      <c r="P174" s="20"/>
    </row>
    <row r="175" spans="2:16" x14ac:dyDescent="0.25">
      <c r="B175" s="15"/>
      <c r="C175" s="8"/>
      <c r="D175" s="8"/>
      <c r="E175" s="16">
        <f>IFERROR(IF($D175="","",VLOOKUP($D175,'Cari Kartlar'!$B$5:$C$204,2,FALSE)),"— tanımsız cari —")</f>
      </c>
      <c r="F175" s="8"/>
      <c r="G175" s="16">
        <f>IFERROR(IF($F175="","",VLOOKUP($F175,'Ürün Kartlar'!$B$5:$C$204,2,FALSE)),"— tanımsız ürün —")</f>
      </c>
      <c r="H175" s="17"/>
      <c r="I175" s="13">
        <f>IFERROR(IF($F175="","",IF($C175="Alış",VLOOKUP($F175,'Ürün Kartlar'!$B$5:$E$204,4,FALSE),VLOOKUP($F175,'Ürün Kartlar'!$B$5:$F$204,5,FALSE))),"")</f>
      </c>
      <c r="J175" s="11">
        <f>IFERROR(IF($F175="",Ayarlar!$C$9,VLOOKUP($F175,'Ürün Kartlar'!$B$5:$G$204,6,FALSE)),Ayarlar!$C$9)</f>
      </c>
      <c r="K175" s="18">
        <f>IF(OR($H175="",$I175=""),0,$H175*$I175)</f>
      </c>
      <c r="L175" s="18">
        <f>$K175*$J175</f>
      </c>
      <c r="M175" s="18">
        <f>$K175+$L175</f>
      </c>
      <c r="N175" s="8"/>
      <c r="O175" s="8"/>
      <c r="P175" s="8"/>
    </row>
    <row r="176" spans="2:16" x14ac:dyDescent="0.25">
      <c r="B176" s="19"/>
      <c r="C176" s="20"/>
      <c r="D176" s="20"/>
      <c r="E176" s="16">
        <f>IFERROR(IF($D176="","",VLOOKUP($D176,'Cari Kartlar'!$B$5:$C$204,2,FALSE)),"— tanımsız cari —")</f>
      </c>
      <c r="F176" s="20"/>
      <c r="G176" s="16">
        <f>IFERROR(IF($F176="","",VLOOKUP($F176,'Ürün Kartlar'!$B$5:$C$204,2,FALSE)),"— tanımsız ürün —")</f>
      </c>
      <c r="H176" s="21"/>
      <c r="I176" s="22">
        <f>IFERROR(IF($F176="","",IF($C176="Alış",VLOOKUP($F176,'Ürün Kartlar'!$B$5:$E$204,4,FALSE),VLOOKUP($F176,'Ürün Kartlar'!$B$5:$F$204,5,FALSE))),"")</f>
      </c>
      <c r="J176" s="23">
        <f>IFERROR(IF($F176="",Ayarlar!$C$9,VLOOKUP($F176,'Ürün Kartlar'!$B$5:$G$204,6,FALSE)),Ayarlar!$C$9)</f>
      </c>
      <c r="K176" s="18">
        <f>IF(OR($H176="",$I176=""),0,$H176*$I176)</f>
      </c>
      <c r="L176" s="18">
        <f>$K176*$J176</f>
      </c>
      <c r="M176" s="18">
        <f>$K176+$L176</f>
      </c>
      <c r="N176" s="20"/>
      <c r="O176" s="20"/>
      <c r="P176" s="20"/>
    </row>
    <row r="177" spans="2:16" x14ac:dyDescent="0.25">
      <c r="B177" s="15"/>
      <c r="C177" s="8"/>
      <c r="D177" s="8"/>
      <c r="E177" s="16">
        <f>IFERROR(IF($D177="","",VLOOKUP($D177,'Cari Kartlar'!$B$5:$C$204,2,FALSE)),"— tanımsız cari —")</f>
      </c>
      <c r="F177" s="8"/>
      <c r="G177" s="16">
        <f>IFERROR(IF($F177="","",VLOOKUP($F177,'Ürün Kartlar'!$B$5:$C$204,2,FALSE)),"— tanımsız ürün —")</f>
      </c>
      <c r="H177" s="17"/>
      <c r="I177" s="13">
        <f>IFERROR(IF($F177="","",IF($C177="Alış",VLOOKUP($F177,'Ürün Kartlar'!$B$5:$E$204,4,FALSE),VLOOKUP($F177,'Ürün Kartlar'!$B$5:$F$204,5,FALSE))),"")</f>
      </c>
      <c r="J177" s="11">
        <f>IFERROR(IF($F177="",Ayarlar!$C$9,VLOOKUP($F177,'Ürün Kartlar'!$B$5:$G$204,6,FALSE)),Ayarlar!$C$9)</f>
      </c>
      <c r="K177" s="18">
        <f>IF(OR($H177="",$I177=""),0,$H177*$I177)</f>
      </c>
      <c r="L177" s="18">
        <f>$K177*$J177</f>
      </c>
      <c r="M177" s="18">
        <f>$K177+$L177</f>
      </c>
      <c r="N177" s="8"/>
      <c r="O177" s="8"/>
      <c r="P177" s="8"/>
    </row>
    <row r="178" spans="2:16" x14ac:dyDescent="0.25">
      <c r="B178" s="19"/>
      <c r="C178" s="20"/>
      <c r="D178" s="20"/>
      <c r="E178" s="16">
        <f>IFERROR(IF($D178="","",VLOOKUP($D178,'Cari Kartlar'!$B$5:$C$204,2,FALSE)),"— tanımsız cari —")</f>
      </c>
      <c r="F178" s="20"/>
      <c r="G178" s="16">
        <f>IFERROR(IF($F178="","",VLOOKUP($F178,'Ürün Kartlar'!$B$5:$C$204,2,FALSE)),"— tanımsız ürün —")</f>
      </c>
      <c r="H178" s="21"/>
      <c r="I178" s="22">
        <f>IFERROR(IF($F178="","",IF($C178="Alış",VLOOKUP($F178,'Ürün Kartlar'!$B$5:$E$204,4,FALSE),VLOOKUP($F178,'Ürün Kartlar'!$B$5:$F$204,5,FALSE))),"")</f>
      </c>
      <c r="J178" s="23">
        <f>IFERROR(IF($F178="",Ayarlar!$C$9,VLOOKUP($F178,'Ürün Kartlar'!$B$5:$G$204,6,FALSE)),Ayarlar!$C$9)</f>
      </c>
      <c r="K178" s="18">
        <f>IF(OR($H178="",$I178=""),0,$H178*$I178)</f>
      </c>
      <c r="L178" s="18">
        <f>$K178*$J178</f>
      </c>
      <c r="M178" s="18">
        <f>$K178+$L178</f>
      </c>
      <c r="N178" s="20"/>
      <c r="O178" s="20"/>
      <c r="P178" s="20"/>
    </row>
    <row r="179" spans="2:16" x14ac:dyDescent="0.25">
      <c r="B179" s="15"/>
      <c r="C179" s="8"/>
      <c r="D179" s="8"/>
      <c r="E179" s="16">
        <f>IFERROR(IF($D179="","",VLOOKUP($D179,'Cari Kartlar'!$B$5:$C$204,2,FALSE)),"— tanımsız cari —")</f>
      </c>
      <c r="F179" s="8"/>
      <c r="G179" s="16">
        <f>IFERROR(IF($F179="","",VLOOKUP($F179,'Ürün Kartlar'!$B$5:$C$204,2,FALSE)),"— tanımsız ürün —")</f>
      </c>
      <c r="H179" s="17"/>
      <c r="I179" s="13">
        <f>IFERROR(IF($F179="","",IF($C179="Alış",VLOOKUP($F179,'Ürün Kartlar'!$B$5:$E$204,4,FALSE),VLOOKUP($F179,'Ürün Kartlar'!$B$5:$F$204,5,FALSE))),"")</f>
      </c>
      <c r="J179" s="11">
        <f>IFERROR(IF($F179="",Ayarlar!$C$9,VLOOKUP($F179,'Ürün Kartlar'!$B$5:$G$204,6,FALSE)),Ayarlar!$C$9)</f>
      </c>
      <c r="K179" s="18">
        <f>IF(OR($H179="",$I179=""),0,$H179*$I179)</f>
      </c>
      <c r="L179" s="18">
        <f>$K179*$J179</f>
      </c>
      <c r="M179" s="18">
        <f>$K179+$L179</f>
      </c>
      <c r="N179" s="8"/>
      <c r="O179" s="8"/>
      <c r="P179" s="8"/>
    </row>
    <row r="180" spans="2:16" x14ac:dyDescent="0.25">
      <c r="B180" s="19"/>
      <c r="C180" s="20"/>
      <c r="D180" s="20"/>
      <c r="E180" s="16">
        <f>IFERROR(IF($D180="","",VLOOKUP($D180,'Cari Kartlar'!$B$5:$C$204,2,FALSE)),"— tanımsız cari —")</f>
      </c>
      <c r="F180" s="20"/>
      <c r="G180" s="16">
        <f>IFERROR(IF($F180="","",VLOOKUP($F180,'Ürün Kartlar'!$B$5:$C$204,2,FALSE)),"— tanımsız ürün —")</f>
      </c>
      <c r="H180" s="21"/>
      <c r="I180" s="22">
        <f>IFERROR(IF($F180="","",IF($C180="Alış",VLOOKUP($F180,'Ürün Kartlar'!$B$5:$E$204,4,FALSE),VLOOKUP($F180,'Ürün Kartlar'!$B$5:$F$204,5,FALSE))),"")</f>
      </c>
      <c r="J180" s="23">
        <f>IFERROR(IF($F180="",Ayarlar!$C$9,VLOOKUP($F180,'Ürün Kartlar'!$B$5:$G$204,6,FALSE)),Ayarlar!$C$9)</f>
      </c>
      <c r="K180" s="18">
        <f>IF(OR($H180="",$I180=""),0,$H180*$I180)</f>
      </c>
      <c r="L180" s="18">
        <f>$K180*$J180</f>
      </c>
      <c r="M180" s="18">
        <f>$K180+$L180</f>
      </c>
      <c r="N180" s="20"/>
      <c r="O180" s="20"/>
      <c r="P180" s="20"/>
    </row>
    <row r="181" spans="2:16" x14ac:dyDescent="0.25">
      <c r="B181" s="15"/>
      <c r="C181" s="8"/>
      <c r="D181" s="8"/>
      <c r="E181" s="16">
        <f>IFERROR(IF($D181="","",VLOOKUP($D181,'Cari Kartlar'!$B$5:$C$204,2,FALSE)),"— tanımsız cari —")</f>
      </c>
      <c r="F181" s="8"/>
      <c r="G181" s="16">
        <f>IFERROR(IF($F181="","",VLOOKUP($F181,'Ürün Kartlar'!$B$5:$C$204,2,FALSE)),"— tanımsız ürün —")</f>
      </c>
      <c r="H181" s="17"/>
      <c r="I181" s="13">
        <f>IFERROR(IF($F181="","",IF($C181="Alış",VLOOKUP($F181,'Ürün Kartlar'!$B$5:$E$204,4,FALSE),VLOOKUP($F181,'Ürün Kartlar'!$B$5:$F$204,5,FALSE))),"")</f>
      </c>
      <c r="J181" s="11">
        <f>IFERROR(IF($F181="",Ayarlar!$C$9,VLOOKUP($F181,'Ürün Kartlar'!$B$5:$G$204,6,FALSE)),Ayarlar!$C$9)</f>
      </c>
      <c r="K181" s="18">
        <f>IF(OR($H181="",$I181=""),0,$H181*$I181)</f>
      </c>
      <c r="L181" s="18">
        <f>$K181*$J181</f>
      </c>
      <c r="M181" s="18">
        <f>$K181+$L181</f>
      </c>
      <c r="N181" s="8"/>
      <c r="O181" s="8"/>
      <c r="P181" s="8"/>
    </row>
    <row r="182" spans="2:16" x14ac:dyDescent="0.25">
      <c r="B182" s="19"/>
      <c r="C182" s="20"/>
      <c r="D182" s="20"/>
      <c r="E182" s="16">
        <f>IFERROR(IF($D182="","",VLOOKUP($D182,'Cari Kartlar'!$B$5:$C$204,2,FALSE)),"— tanımsız cari —")</f>
      </c>
      <c r="F182" s="20"/>
      <c r="G182" s="16">
        <f>IFERROR(IF($F182="","",VLOOKUP($F182,'Ürün Kartlar'!$B$5:$C$204,2,FALSE)),"— tanımsız ürün —")</f>
      </c>
      <c r="H182" s="21"/>
      <c r="I182" s="22">
        <f>IFERROR(IF($F182="","",IF($C182="Alış",VLOOKUP($F182,'Ürün Kartlar'!$B$5:$E$204,4,FALSE),VLOOKUP($F182,'Ürün Kartlar'!$B$5:$F$204,5,FALSE))),"")</f>
      </c>
      <c r="J182" s="23">
        <f>IFERROR(IF($F182="",Ayarlar!$C$9,VLOOKUP($F182,'Ürün Kartlar'!$B$5:$G$204,6,FALSE)),Ayarlar!$C$9)</f>
      </c>
      <c r="K182" s="18">
        <f>IF(OR($H182="",$I182=""),0,$H182*$I182)</f>
      </c>
      <c r="L182" s="18">
        <f>$K182*$J182</f>
      </c>
      <c r="M182" s="18">
        <f>$K182+$L182</f>
      </c>
      <c r="N182" s="20"/>
      <c r="O182" s="20"/>
      <c r="P182" s="20"/>
    </row>
    <row r="183" spans="2:16" x14ac:dyDescent="0.25">
      <c r="B183" s="15"/>
      <c r="C183" s="8"/>
      <c r="D183" s="8"/>
      <c r="E183" s="16">
        <f>IFERROR(IF($D183="","",VLOOKUP($D183,'Cari Kartlar'!$B$5:$C$204,2,FALSE)),"— tanımsız cari —")</f>
      </c>
      <c r="F183" s="8"/>
      <c r="G183" s="16">
        <f>IFERROR(IF($F183="","",VLOOKUP($F183,'Ürün Kartlar'!$B$5:$C$204,2,FALSE)),"— tanımsız ürün —")</f>
      </c>
      <c r="H183" s="17"/>
      <c r="I183" s="13">
        <f>IFERROR(IF($F183="","",IF($C183="Alış",VLOOKUP($F183,'Ürün Kartlar'!$B$5:$E$204,4,FALSE),VLOOKUP($F183,'Ürün Kartlar'!$B$5:$F$204,5,FALSE))),"")</f>
      </c>
      <c r="J183" s="11">
        <f>IFERROR(IF($F183="",Ayarlar!$C$9,VLOOKUP($F183,'Ürün Kartlar'!$B$5:$G$204,6,FALSE)),Ayarlar!$C$9)</f>
      </c>
      <c r="K183" s="18">
        <f>IF(OR($H183="",$I183=""),0,$H183*$I183)</f>
      </c>
      <c r="L183" s="18">
        <f>$K183*$J183</f>
      </c>
      <c r="M183" s="18">
        <f>$K183+$L183</f>
      </c>
      <c r="N183" s="8"/>
      <c r="O183" s="8"/>
      <c r="P183" s="8"/>
    </row>
    <row r="184" spans="2:16" x14ac:dyDescent="0.25">
      <c r="B184" s="19"/>
      <c r="C184" s="20"/>
      <c r="D184" s="20"/>
      <c r="E184" s="16">
        <f>IFERROR(IF($D184="","",VLOOKUP($D184,'Cari Kartlar'!$B$5:$C$204,2,FALSE)),"— tanımsız cari —")</f>
      </c>
      <c r="F184" s="20"/>
      <c r="G184" s="16">
        <f>IFERROR(IF($F184="","",VLOOKUP($F184,'Ürün Kartlar'!$B$5:$C$204,2,FALSE)),"— tanımsız ürün —")</f>
      </c>
      <c r="H184" s="21"/>
      <c r="I184" s="22">
        <f>IFERROR(IF($F184="","",IF($C184="Alış",VLOOKUP($F184,'Ürün Kartlar'!$B$5:$E$204,4,FALSE),VLOOKUP($F184,'Ürün Kartlar'!$B$5:$F$204,5,FALSE))),"")</f>
      </c>
      <c r="J184" s="23">
        <f>IFERROR(IF($F184="",Ayarlar!$C$9,VLOOKUP($F184,'Ürün Kartlar'!$B$5:$G$204,6,FALSE)),Ayarlar!$C$9)</f>
      </c>
      <c r="K184" s="18">
        <f>IF(OR($H184="",$I184=""),0,$H184*$I184)</f>
      </c>
      <c r="L184" s="18">
        <f>$K184*$J184</f>
      </c>
      <c r="M184" s="18">
        <f>$K184+$L184</f>
      </c>
      <c r="N184" s="20"/>
      <c r="O184" s="20"/>
      <c r="P184" s="20"/>
    </row>
    <row r="185" spans="2:16" x14ac:dyDescent="0.25">
      <c r="B185" s="15"/>
      <c r="C185" s="8"/>
      <c r="D185" s="8"/>
      <c r="E185" s="16">
        <f>IFERROR(IF($D185="","",VLOOKUP($D185,'Cari Kartlar'!$B$5:$C$204,2,FALSE)),"— tanımsız cari —")</f>
      </c>
      <c r="F185" s="8"/>
      <c r="G185" s="16">
        <f>IFERROR(IF($F185="","",VLOOKUP($F185,'Ürün Kartlar'!$B$5:$C$204,2,FALSE)),"— tanımsız ürün —")</f>
      </c>
      <c r="H185" s="17"/>
      <c r="I185" s="13">
        <f>IFERROR(IF($F185="","",IF($C185="Alış",VLOOKUP($F185,'Ürün Kartlar'!$B$5:$E$204,4,FALSE),VLOOKUP($F185,'Ürün Kartlar'!$B$5:$F$204,5,FALSE))),"")</f>
      </c>
      <c r="J185" s="11">
        <f>IFERROR(IF($F185="",Ayarlar!$C$9,VLOOKUP($F185,'Ürün Kartlar'!$B$5:$G$204,6,FALSE)),Ayarlar!$C$9)</f>
      </c>
      <c r="K185" s="18">
        <f>IF(OR($H185="",$I185=""),0,$H185*$I185)</f>
      </c>
      <c r="L185" s="18">
        <f>$K185*$J185</f>
      </c>
      <c r="M185" s="18">
        <f>$K185+$L185</f>
      </c>
      <c r="N185" s="8"/>
      <c r="O185" s="8"/>
      <c r="P185" s="8"/>
    </row>
    <row r="186" spans="2:16" x14ac:dyDescent="0.25">
      <c r="B186" s="19"/>
      <c r="C186" s="20"/>
      <c r="D186" s="20"/>
      <c r="E186" s="16">
        <f>IFERROR(IF($D186="","",VLOOKUP($D186,'Cari Kartlar'!$B$5:$C$204,2,FALSE)),"— tanımsız cari —")</f>
      </c>
      <c r="F186" s="20"/>
      <c r="G186" s="16">
        <f>IFERROR(IF($F186="","",VLOOKUP($F186,'Ürün Kartlar'!$B$5:$C$204,2,FALSE)),"— tanımsız ürün —")</f>
      </c>
      <c r="H186" s="21"/>
      <c r="I186" s="22">
        <f>IFERROR(IF($F186="","",IF($C186="Alış",VLOOKUP($F186,'Ürün Kartlar'!$B$5:$E$204,4,FALSE),VLOOKUP($F186,'Ürün Kartlar'!$B$5:$F$204,5,FALSE))),"")</f>
      </c>
      <c r="J186" s="23">
        <f>IFERROR(IF($F186="",Ayarlar!$C$9,VLOOKUP($F186,'Ürün Kartlar'!$B$5:$G$204,6,FALSE)),Ayarlar!$C$9)</f>
      </c>
      <c r="K186" s="18">
        <f>IF(OR($H186="",$I186=""),0,$H186*$I186)</f>
      </c>
      <c r="L186" s="18">
        <f>$K186*$J186</f>
      </c>
      <c r="M186" s="18">
        <f>$K186+$L186</f>
      </c>
      <c r="N186" s="20"/>
      <c r="O186" s="20"/>
      <c r="P186" s="20"/>
    </row>
    <row r="187" spans="2:16" x14ac:dyDescent="0.25">
      <c r="B187" s="15"/>
      <c r="C187" s="8"/>
      <c r="D187" s="8"/>
      <c r="E187" s="16">
        <f>IFERROR(IF($D187="","",VLOOKUP($D187,'Cari Kartlar'!$B$5:$C$204,2,FALSE)),"— tanımsız cari —")</f>
      </c>
      <c r="F187" s="8"/>
      <c r="G187" s="16">
        <f>IFERROR(IF($F187="","",VLOOKUP($F187,'Ürün Kartlar'!$B$5:$C$204,2,FALSE)),"— tanımsız ürün —")</f>
      </c>
      <c r="H187" s="17"/>
      <c r="I187" s="13">
        <f>IFERROR(IF($F187="","",IF($C187="Alış",VLOOKUP($F187,'Ürün Kartlar'!$B$5:$E$204,4,FALSE),VLOOKUP($F187,'Ürün Kartlar'!$B$5:$F$204,5,FALSE))),"")</f>
      </c>
      <c r="J187" s="11">
        <f>IFERROR(IF($F187="",Ayarlar!$C$9,VLOOKUP($F187,'Ürün Kartlar'!$B$5:$G$204,6,FALSE)),Ayarlar!$C$9)</f>
      </c>
      <c r="K187" s="18">
        <f>IF(OR($H187="",$I187=""),0,$H187*$I187)</f>
      </c>
      <c r="L187" s="18">
        <f>$K187*$J187</f>
      </c>
      <c r="M187" s="18">
        <f>$K187+$L187</f>
      </c>
      <c r="N187" s="8"/>
      <c r="O187" s="8"/>
      <c r="P187" s="8"/>
    </row>
    <row r="188" spans="2:16" x14ac:dyDescent="0.25">
      <c r="B188" s="19"/>
      <c r="C188" s="20"/>
      <c r="D188" s="20"/>
      <c r="E188" s="16">
        <f>IFERROR(IF($D188="","",VLOOKUP($D188,'Cari Kartlar'!$B$5:$C$204,2,FALSE)),"— tanımsız cari —")</f>
      </c>
      <c r="F188" s="20"/>
      <c r="G188" s="16">
        <f>IFERROR(IF($F188="","",VLOOKUP($F188,'Ürün Kartlar'!$B$5:$C$204,2,FALSE)),"— tanımsız ürün —")</f>
      </c>
      <c r="H188" s="21"/>
      <c r="I188" s="22">
        <f>IFERROR(IF($F188="","",IF($C188="Alış",VLOOKUP($F188,'Ürün Kartlar'!$B$5:$E$204,4,FALSE),VLOOKUP($F188,'Ürün Kartlar'!$B$5:$F$204,5,FALSE))),"")</f>
      </c>
      <c r="J188" s="23">
        <f>IFERROR(IF($F188="",Ayarlar!$C$9,VLOOKUP($F188,'Ürün Kartlar'!$B$5:$G$204,6,FALSE)),Ayarlar!$C$9)</f>
      </c>
      <c r="K188" s="18">
        <f>IF(OR($H188="",$I188=""),0,$H188*$I188)</f>
      </c>
      <c r="L188" s="18">
        <f>$K188*$J188</f>
      </c>
      <c r="M188" s="18">
        <f>$K188+$L188</f>
      </c>
      <c r="N188" s="20"/>
      <c r="O188" s="20"/>
      <c r="P188" s="20"/>
    </row>
    <row r="189" spans="2:16" x14ac:dyDescent="0.25">
      <c r="B189" s="15"/>
      <c r="C189" s="8"/>
      <c r="D189" s="8"/>
      <c r="E189" s="16">
        <f>IFERROR(IF($D189="","",VLOOKUP($D189,'Cari Kartlar'!$B$5:$C$204,2,FALSE)),"— tanımsız cari —")</f>
      </c>
      <c r="F189" s="8"/>
      <c r="G189" s="16">
        <f>IFERROR(IF($F189="","",VLOOKUP($F189,'Ürün Kartlar'!$B$5:$C$204,2,FALSE)),"— tanımsız ürün —")</f>
      </c>
      <c r="H189" s="17"/>
      <c r="I189" s="13">
        <f>IFERROR(IF($F189="","",IF($C189="Alış",VLOOKUP($F189,'Ürün Kartlar'!$B$5:$E$204,4,FALSE),VLOOKUP($F189,'Ürün Kartlar'!$B$5:$F$204,5,FALSE))),"")</f>
      </c>
      <c r="J189" s="11">
        <f>IFERROR(IF($F189="",Ayarlar!$C$9,VLOOKUP($F189,'Ürün Kartlar'!$B$5:$G$204,6,FALSE)),Ayarlar!$C$9)</f>
      </c>
      <c r="K189" s="18">
        <f>IF(OR($H189="",$I189=""),0,$H189*$I189)</f>
      </c>
      <c r="L189" s="18">
        <f>$K189*$J189</f>
      </c>
      <c r="M189" s="18">
        <f>$K189+$L189</f>
      </c>
      <c r="N189" s="8"/>
      <c r="O189" s="8"/>
      <c r="P189" s="8"/>
    </row>
    <row r="190" spans="2:16" x14ac:dyDescent="0.25">
      <c r="B190" s="19"/>
      <c r="C190" s="20"/>
      <c r="D190" s="20"/>
      <c r="E190" s="16">
        <f>IFERROR(IF($D190="","",VLOOKUP($D190,'Cari Kartlar'!$B$5:$C$204,2,FALSE)),"— tanımsız cari —")</f>
      </c>
      <c r="F190" s="20"/>
      <c r="G190" s="16">
        <f>IFERROR(IF($F190="","",VLOOKUP($F190,'Ürün Kartlar'!$B$5:$C$204,2,FALSE)),"— tanımsız ürün —")</f>
      </c>
      <c r="H190" s="21"/>
      <c r="I190" s="22">
        <f>IFERROR(IF($F190="","",IF($C190="Alış",VLOOKUP($F190,'Ürün Kartlar'!$B$5:$E$204,4,FALSE),VLOOKUP($F190,'Ürün Kartlar'!$B$5:$F$204,5,FALSE))),"")</f>
      </c>
      <c r="J190" s="23">
        <f>IFERROR(IF($F190="",Ayarlar!$C$9,VLOOKUP($F190,'Ürün Kartlar'!$B$5:$G$204,6,FALSE)),Ayarlar!$C$9)</f>
      </c>
      <c r="K190" s="18">
        <f>IF(OR($H190="",$I190=""),0,$H190*$I190)</f>
      </c>
      <c r="L190" s="18">
        <f>$K190*$J190</f>
      </c>
      <c r="M190" s="18">
        <f>$K190+$L190</f>
      </c>
      <c r="N190" s="20"/>
      <c r="O190" s="20"/>
      <c r="P190" s="20"/>
    </row>
    <row r="191" spans="2:16" x14ac:dyDescent="0.25">
      <c r="B191" s="15"/>
      <c r="C191" s="8"/>
      <c r="D191" s="8"/>
      <c r="E191" s="16">
        <f>IFERROR(IF($D191="","",VLOOKUP($D191,'Cari Kartlar'!$B$5:$C$204,2,FALSE)),"— tanımsız cari —")</f>
      </c>
      <c r="F191" s="8"/>
      <c r="G191" s="16">
        <f>IFERROR(IF($F191="","",VLOOKUP($F191,'Ürün Kartlar'!$B$5:$C$204,2,FALSE)),"— tanımsız ürün —")</f>
      </c>
      <c r="H191" s="17"/>
      <c r="I191" s="13">
        <f>IFERROR(IF($F191="","",IF($C191="Alış",VLOOKUP($F191,'Ürün Kartlar'!$B$5:$E$204,4,FALSE),VLOOKUP($F191,'Ürün Kartlar'!$B$5:$F$204,5,FALSE))),"")</f>
      </c>
      <c r="J191" s="11">
        <f>IFERROR(IF($F191="",Ayarlar!$C$9,VLOOKUP($F191,'Ürün Kartlar'!$B$5:$G$204,6,FALSE)),Ayarlar!$C$9)</f>
      </c>
      <c r="K191" s="18">
        <f>IF(OR($H191="",$I191=""),0,$H191*$I191)</f>
      </c>
      <c r="L191" s="18">
        <f>$K191*$J191</f>
      </c>
      <c r="M191" s="18">
        <f>$K191+$L191</f>
      </c>
      <c r="N191" s="8"/>
      <c r="O191" s="8"/>
      <c r="P191" s="8"/>
    </row>
    <row r="192" spans="2:16" x14ac:dyDescent="0.25">
      <c r="B192" s="19"/>
      <c r="C192" s="20"/>
      <c r="D192" s="20"/>
      <c r="E192" s="16">
        <f>IFERROR(IF($D192="","",VLOOKUP($D192,'Cari Kartlar'!$B$5:$C$204,2,FALSE)),"— tanımsız cari —")</f>
      </c>
      <c r="F192" s="20"/>
      <c r="G192" s="16">
        <f>IFERROR(IF($F192="","",VLOOKUP($F192,'Ürün Kartlar'!$B$5:$C$204,2,FALSE)),"— tanımsız ürün —")</f>
      </c>
      <c r="H192" s="21"/>
      <c r="I192" s="22">
        <f>IFERROR(IF($F192="","",IF($C192="Alış",VLOOKUP($F192,'Ürün Kartlar'!$B$5:$E$204,4,FALSE),VLOOKUP($F192,'Ürün Kartlar'!$B$5:$F$204,5,FALSE))),"")</f>
      </c>
      <c r="J192" s="23">
        <f>IFERROR(IF($F192="",Ayarlar!$C$9,VLOOKUP($F192,'Ürün Kartlar'!$B$5:$G$204,6,FALSE)),Ayarlar!$C$9)</f>
      </c>
      <c r="K192" s="18">
        <f>IF(OR($H192="",$I192=""),0,$H192*$I192)</f>
      </c>
      <c r="L192" s="18">
        <f>$K192*$J192</f>
      </c>
      <c r="M192" s="18">
        <f>$K192+$L192</f>
      </c>
      <c r="N192" s="20"/>
      <c r="O192" s="20"/>
      <c r="P192" s="20"/>
    </row>
    <row r="193" spans="2:16" x14ac:dyDescent="0.25">
      <c r="B193" s="15"/>
      <c r="C193" s="8"/>
      <c r="D193" s="8"/>
      <c r="E193" s="16">
        <f>IFERROR(IF($D193="","",VLOOKUP($D193,'Cari Kartlar'!$B$5:$C$204,2,FALSE)),"— tanımsız cari —")</f>
      </c>
      <c r="F193" s="8"/>
      <c r="G193" s="16">
        <f>IFERROR(IF($F193="","",VLOOKUP($F193,'Ürün Kartlar'!$B$5:$C$204,2,FALSE)),"— tanımsız ürün —")</f>
      </c>
      <c r="H193" s="17"/>
      <c r="I193" s="13">
        <f>IFERROR(IF($F193="","",IF($C193="Alış",VLOOKUP($F193,'Ürün Kartlar'!$B$5:$E$204,4,FALSE),VLOOKUP($F193,'Ürün Kartlar'!$B$5:$F$204,5,FALSE))),"")</f>
      </c>
      <c r="J193" s="11">
        <f>IFERROR(IF($F193="",Ayarlar!$C$9,VLOOKUP($F193,'Ürün Kartlar'!$B$5:$G$204,6,FALSE)),Ayarlar!$C$9)</f>
      </c>
      <c r="K193" s="18">
        <f>IF(OR($H193="",$I193=""),0,$H193*$I193)</f>
      </c>
      <c r="L193" s="18">
        <f>$K193*$J193</f>
      </c>
      <c r="M193" s="18">
        <f>$K193+$L193</f>
      </c>
      <c r="N193" s="8"/>
      <c r="O193" s="8"/>
      <c r="P193" s="8"/>
    </row>
    <row r="194" spans="2:16" x14ac:dyDescent="0.25">
      <c r="B194" s="19"/>
      <c r="C194" s="20"/>
      <c r="D194" s="20"/>
      <c r="E194" s="16">
        <f>IFERROR(IF($D194="","",VLOOKUP($D194,'Cari Kartlar'!$B$5:$C$204,2,FALSE)),"— tanımsız cari —")</f>
      </c>
      <c r="F194" s="20"/>
      <c r="G194" s="16">
        <f>IFERROR(IF($F194="","",VLOOKUP($F194,'Ürün Kartlar'!$B$5:$C$204,2,FALSE)),"— tanımsız ürün —")</f>
      </c>
      <c r="H194" s="21"/>
      <c r="I194" s="22">
        <f>IFERROR(IF($F194="","",IF($C194="Alış",VLOOKUP($F194,'Ürün Kartlar'!$B$5:$E$204,4,FALSE),VLOOKUP($F194,'Ürün Kartlar'!$B$5:$F$204,5,FALSE))),"")</f>
      </c>
      <c r="J194" s="23">
        <f>IFERROR(IF($F194="",Ayarlar!$C$9,VLOOKUP($F194,'Ürün Kartlar'!$B$5:$G$204,6,FALSE)),Ayarlar!$C$9)</f>
      </c>
      <c r="K194" s="18">
        <f>IF(OR($H194="",$I194=""),0,$H194*$I194)</f>
      </c>
      <c r="L194" s="18">
        <f>$K194*$J194</f>
      </c>
      <c r="M194" s="18">
        <f>$K194+$L194</f>
      </c>
      <c r="N194" s="20"/>
      <c r="O194" s="20"/>
      <c r="P194" s="20"/>
    </row>
    <row r="195" spans="2:16" x14ac:dyDescent="0.25">
      <c r="B195" s="15"/>
      <c r="C195" s="8"/>
      <c r="D195" s="8"/>
      <c r="E195" s="16">
        <f>IFERROR(IF($D195="","",VLOOKUP($D195,'Cari Kartlar'!$B$5:$C$204,2,FALSE)),"— tanımsız cari —")</f>
      </c>
      <c r="F195" s="8"/>
      <c r="G195" s="16">
        <f>IFERROR(IF($F195="","",VLOOKUP($F195,'Ürün Kartlar'!$B$5:$C$204,2,FALSE)),"— tanımsız ürün —")</f>
      </c>
      <c r="H195" s="17"/>
      <c r="I195" s="13">
        <f>IFERROR(IF($F195="","",IF($C195="Alış",VLOOKUP($F195,'Ürün Kartlar'!$B$5:$E$204,4,FALSE),VLOOKUP($F195,'Ürün Kartlar'!$B$5:$F$204,5,FALSE))),"")</f>
      </c>
      <c r="J195" s="11">
        <f>IFERROR(IF($F195="",Ayarlar!$C$9,VLOOKUP($F195,'Ürün Kartlar'!$B$5:$G$204,6,FALSE)),Ayarlar!$C$9)</f>
      </c>
      <c r="K195" s="18">
        <f>IF(OR($H195="",$I195=""),0,$H195*$I195)</f>
      </c>
      <c r="L195" s="18">
        <f>$K195*$J195</f>
      </c>
      <c r="M195" s="18">
        <f>$K195+$L195</f>
      </c>
      <c r="N195" s="8"/>
      <c r="O195" s="8"/>
      <c r="P195" s="8"/>
    </row>
    <row r="196" spans="2:16" x14ac:dyDescent="0.25">
      <c r="B196" s="19"/>
      <c r="C196" s="20"/>
      <c r="D196" s="20"/>
      <c r="E196" s="16">
        <f>IFERROR(IF($D196="","",VLOOKUP($D196,'Cari Kartlar'!$B$5:$C$204,2,FALSE)),"— tanımsız cari —")</f>
      </c>
      <c r="F196" s="20"/>
      <c r="G196" s="16">
        <f>IFERROR(IF($F196="","",VLOOKUP($F196,'Ürün Kartlar'!$B$5:$C$204,2,FALSE)),"— tanımsız ürün —")</f>
      </c>
      <c r="H196" s="21"/>
      <c r="I196" s="22">
        <f>IFERROR(IF($F196="","",IF($C196="Alış",VLOOKUP($F196,'Ürün Kartlar'!$B$5:$E$204,4,FALSE),VLOOKUP($F196,'Ürün Kartlar'!$B$5:$F$204,5,FALSE))),"")</f>
      </c>
      <c r="J196" s="23">
        <f>IFERROR(IF($F196="",Ayarlar!$C$9,VLOOKUP($F196,'Ürün Kartlar'!$B$5:$G$204,6,FALSE)),Ayarlar!$C$9)</f>
      </c>
      <c r="K196" s="18">
        <f>IF(OR($H196="",$I196=""),0,$H196*$I196)</f>
      </c>
      <c r="L196" s="18">
        <f>$K196*$J196</f>
      </c>
      <c r="M196" s="18">
        <f>$K196+$L196</f>
      </c>
      <c r="N196" s="20"/>
      <c r="O196" s="20"/>
      <c r="P196" s="20"/>
    </row>
    <row r="197" spans="2:16" x14ac:dyDescent="0.25">
      <c r="B197" s="15"/>
      <c r="C197" s="8"/>
      <c r="D197" s="8"/>
      <c r="E197" s="16">
        <f>IFERROR(IF($D197="","",VLOOKUP($D197,'Cari Kartlar'!$B$5:$C$204,2,FALSE)),"— tanımsız cari —")</f>
      </c>
      <c r="F197" s="8"/>
      <c r="G197" s="16">
        <f>IFERROR(IF($F197="","",VLOOKUP($F197,'Ürün Kartlar'!$B$5:$C$204,2,FALSE)),"— tanımsız ürün —")</f>
      </c>
      <c r="H197" s="17"/>
      <c r="I197" s="13">
        <f>IFERROR(IF($F197="","",IF($C197="Alış",VLOOKUP($F197,'Ürün Kartlar'!$B$5:$E$204,4,FALSE),VLOOKUP($F197,'Ürün Kartlar'!$B$5:$F$204,5,FALSE))),"")</f>
      </c>
      <c r="J197" s="11">
        <f>IFERROR(IF($F197="",Ayarlar!$C$9,VLOOKUP($F197,'Ürün Kartlar'!$B$5:$G$204,6,FALSE)),Ayarlar!$C$9)</f>
      </c>
      <c r="K197" s="18">
        <f>IF(OR($H197="",$I197=""),0,$H197*$I197)</f>
      </c>
      <c r="L197" s="18">
        <f>$K197*$J197</f>
      </c>
      <c r="M197" s="18">
        <f>$K197+$L197</f>
      </c>
      <c r="N197" s="8"/>
      <c r="O197" s="8"/>
      <c r="P197" s="8"/>
    </row>
    <row r="198" spans="2:16" x14ac:dyDescent="0.25">
      <c r="B198" s="19"/>
      <c r="C198" s="20"/>
      <c r="D198" s="20"/>
      <c r="E198" s="16">
        <f>IFERROR(IF($D198="","",VLOOKUP($D198,'Cari Kartlar'!$B$5:$C$204,2,FALSE)),"— tanımsız cari —")</f>
      </c>
      <c r="F198" s="20"/>
      <c r="G198" s="16">
        <f>IFERROR(IF($F198="","",VLOOKUP($F198,'Ürün Kartlar'!$B$5:$C$204,2,FALSE)),"— tanımsız ürün —")</f>
      </c>
      <c r="H198" s="21"/>
      <c r="I198" s="22">
        <f>IFERROR(IF($F198="","",IF($C198="Alış",VLOOKUP($F198,'Ürün Kartlar'!$B$5:$E$204,4,FALSE),VLOOKUP($F198,'Ürün Kartlar'!$B$5:$F$204,5,FALSE))),"")</f>
      </c>
      <c r="J198" s="23">
        <f>IFERROR(IF($F198="",Ayarlar!$C$9,VLOOKUP($F198,'Ürün Kartlar'!$B$5:$G$204,6,FALSE)),Ayarlar!$C$9)</f>
      </c>
      <c r="K198" s="18">
        <f>IF(OR($H198="",$I198=""),0,$H198*$I198)</f>
      </c>
      <c r="L198" s="18">
        <f>$K198*$J198</f>
      </c>
      <c r="M198" s="18">
        <f>$K198+$L198</f>
      </c>
      <c r="N198" s="20"/>
      <c r="O198" s="20"/>
      <c r="P198" s="20"/>
    </row>
    <row r="199" spans="2:16" x14ac:dyDescent="0.25">
      <c r="B199" s="15"/>
      <c r="C199" s="8"/>
      <c r="D199" s="8"/>
      <c r="E199" s="16">
        <f>IFERROR(IF($D199="","",VLOOKUP($D199,'Cari Kartlar'!$B$5:$C$204,2,FALSE)),"— tanımsız cari —")</f>
      </c>
      <c r="F199" s="8"/>
      <c r="G199" s="16">
        <f>IFERROR(IF($F199="","",VLOOKUP($F199,'Ürün Kartlar'!$B$5:$C$204,2,FALSE)),"— tanımsız ürün —")</f>
      </c>
      <c r="H199" s="17"/>
      <c r="I199" s="13">
        <f>IFERROR(IF($F199="","",IF($C199="Alış",VLOOKUP($F199,'Ürün Kartlar'!$B$5:$E$204,4,FALSE),VLOOKUP($F199,'Ürün Kartlar'!$B$5:$F$204,5,FALSE))),"")</f>
      </c>
      <c r="J199" s="11">
        <f>IFERROR(IF($F199="",Ayarlar!$C$9,VLOOKUP($F199,'Ürün Kartlar'!$B$5:$G$204,6,FALSE)),Ayarlar!$C$9)</f>
      </c>
      <c r="K199" s="18">
        <f>IF(OR($H199="",$I199=""),0,$H199*$I199)</f>
      </c>
      <c r="L199" s="18">
        <f>$K199*$J199</f>
      </c>
      <c r="M199" s="18">
        <f>$K199+$L199</f>
      </c>
      <c r="N199" s="8"/>
      <c r="O199" s="8"/>
      <c r="P199" s="8"/>
    </row>
    <row r="200" spans="2:16" x14ac:dyDescent="0.25">
      <c r="B200" s="19"/>
      <c r="C200" s="20"/>
      <c r="D200" s="20"/>
      <c r="E200" s="16">
        <f>IFERROR(IF($D200="","",VLOOKUP($D200,'Cari Kartlar'!$B$5:$C$204,2,FALSE)),"— tanımsız cari —")</f>
      </c>
      <c r="F200" s="20"/>
      <c r="G200" s="16">
        <f>IFERROR(IF($F200="","",VLOOKUP($F200,'Ürün Kartlar'!$B$5:$C$204,2,FALSE)),"— tanımsız ürün —")</f>
      </c>
      <c r="H200" s="21"/>
      <c r="I200" s="22">
        <f>IFERROR(IF($F200="","",IF($C200="Alış",VLOOKUP($F200,'Ürün Kartlar'!$B$5:$E$204,4,FALSE),VLOOKUP($F200,'Ürün Kartlar'!$B$5:$F$204,5,FALSE))),"")</f>
      </c>
      <c r="J200" s="23">
        <f>IFERROR(IF($F200="",Ayarlar!$C$9,VLOOKUP($F200,'Ürün Kartlar'!$B$5:$G$204,6,FALSE)),Ayarlar!$C$9)</f>
      </c>
      <c r="K200" s="18">
        <f>IF(OR($H200="",$I200=""),0,$H200*$I200)</f>
      </c>
      <c r="L200" s="18">
        <f>$K200*$J200</f>
      </c>
      <c r="M200" s="18">
        <f>$K200+$L200</f>
      </c>
      <c r="N200" s="20"/>
      <c r="O200" s="20"/>
      <c r="P200" s="20"/>
    </row>
    <row r="201" spans="2:16" x14ac:dyDescent="0.25">
      <c r="B201" s="15"/>
      <c r="C201" s="8"/>
      <c r="D201" s="8"/>
      <c r="E201" s="16">
        <f>IFERROR(IF($D201="","",VLOOKUP($D201,'Cari Kartlar'!$B$5:$C$204,2,FALSE)),"— tanımsız cari —")</f>
      </c>
      <c r="F201" s="8"/>
      <c r="G201" s="16">
        <f>IFERROR(IF($F201="","",VLOOKUP($F201,'Ürün Kartlar'!$B$5:$C$204,2,FALSE)),"— tanımsız ürün —")</f>
      </c>
      <c r="H201" s="17"/>
      <c r="I201" s="13">
        <f>IFERROR(IF($F201="","",IF($C201="Alış",VLOOKUP($F201,'Ürün Kartlar'!$B$5:$E$204,4,FALSE),VLOOKUP($F201,'Ürün Kartlar'!$B$5:$F$204,5,FALSE))),"")</f>
      </c>
      <c r="J201" s="11">
        <f>IFERROR(IF($F201="",Ayarlar!$C$9,VLOOKUP($F201,'Ürün Kartlar'!$B$5:$G$204,6,FALSE)),Ayarlar!$C$9)</f>
      </c>
      <c r="K201" s="18">
        <f>IF(OR($H201="",$I201=""),0,$H201*$I201)</f>
      </c>
      <c r="L201" s="18">
        <f>$K201*$J201</f>
      </c>
      <c r="M201" s="18">
        <f>$K201+$L201</f>
      </c>
      <c r="N201" s="8"/>
      <c r="O201" s="8"/>
      <c r="P201" s="8"/>
    </row>
    <row r="202" spans="2:16" x14ac:dyDescent="0.25">
      <c r="B202" s="19"/>
      <c r="C202" s="20"/>
      <c r="D202" s="20"/>
      <c r="E202" s="16">
        <f>IFERROR(IF($D202="","",VLOOKUP($D202,'Cari Kartlar'!$B$5:$C$204,2,FALSE)),"— tanımsız cari —")</f>
      </c>
      <c r="F202" s="20"/>
      <c r="G202" s="16">
        <f>IFERROR(IF($F202="","",VLOOKUP($F202,'Ürün Kartlar'!$B$5:$C$204,2,FALSE)),"— tanımsız ürün —")</f>
      </c>
      <c r="H202" s="21"/>
      <c r="I202" s="22">
        <f>IFERROR(IF($F202="","",IF($C202="Alış",VLOOKUP($F202,'Ürün Kartlar'!$B$5:$E$204,4,FALSE),VLOOKUP($F202,'Ürün Kartlar'!$B$5:$F$204,5,FALSE))),"")</f>
      </c>
      <c r="J202" s="23">
        <f>IFERROR(IF($F202="",Ayarlar!$C$9,VLOOKUP($F202,'Ürün Kartlar'!$B$5:$G$204,6,FALSE)),Ayarlar!$C$9)</f>
      </c>
      <c r="K202" s="18">
        <f>IF(OR($H202="",$I202=""),0,$H202*$I202)</f>
      </c>
      <c r="L202" s="18">
        <f>$K202*$J202</f>
      </c>
      <c r="M202" s="18">
        <f>$K202+$L202</f>
      </c>
      <c r="N202" s="20"/>
      <c r="O202" s="20"/>
      <c r="P202" s="20"/>
    </row>
    <row r="203" spans="2:16" x14ac:dyDescent="0.25">
      <c r="B203" s="15"/>
      <c r="C203" s="8"/>
      <c r="D203" s="8"/>
      <c r="E203" s="16">
        <f>IFERROR(IF($D203="","",VLOOKUP($D203,'Cari Kartlar'!$B$5:$C$204,2,FALSE)),"— tanımsız cari —")</f>
      </c>
      <c r="F203" s="8"/>
      <c r="G203" s="16">
        <f>IFERROR(IF($F203="","",VLOOKUP($F203,'Ürün Kartlar'!$B$5:$C$204,2,FALSE)),"— tanımsız ürün —")</f>
      </c>
      <c r="H203" s="17"/>
      <c r="I203" s="13">
        <f>IFERROR(IF($F203="","",IF($C203="Alış",VLOOKUP($F203,'Ürün Kartlar'!$B$5:$E$204,4,FALSE),VLOOKUP($F203,'Ürün Kartlar'!$B$5:$F$204,5,FALSE))),"")</f>
      </c>
      <c r="J203" s="11">
        <f>IFERROR(IF($F203="",Ayarlar!$C$9,VLOOKUP($F203,'Ürün Kartlar'!$B$5:$G$204,6,FALSE)),Ayarlar!$C$9)</f>
      </c>
      <c r="K203" s="18">
        <f>IF(OR($H203="",$I203=""),0,$H203*$I203)</f>
      </c>
      <c r="L203" s="18">
        <f>$K203*$J203</f>
      </c>
      <c r="M203" s="18">
        <f>$K203+$L203</f>
      </c>
      <c r="N203" s="8"/>
      <c r="O203" s="8"/>
      <c r="P203" s="8"/>
    </row>
    <row r="204" spans="2:16" x14ac:dyDescent="0.25">
      <c r="B204" s="19"/>
      <c r="C204" s="20"/>
      <c r="D204" s="20"/>
      <c r="E204" s="16">
        <f>IFERROR(IF($D204="","",VLOOKUP($D204,'Cari Kartlar'!$B$5:$C$204,2,FALSE)),"— tanımsız cari —")</f>
      </c>
      <c r="F204" s="20"/>
      <c r="G204" s="16">
        <f>IFERROR(IF($F204="","",VLOOKUP($F204,'Ürün Kartlar'!$B$5:$C$204,2,FALSE)),"— tanımsız ürün —")</f>
      </c>
      <c r="H204" s="21"/>
      <c r="I204" s="22">
        <f>IFERROR(IF($F204="","",IF($C204="Alış",VLOOKUP($F204,'Ürün Kartlar'!$B$5:$E$204,4,FALSE),VLOOKUP($F204,'Ürün Kartlar'!$B$5:$F$204,5,FALSE))),"")</f>
      </c>
      <c r="J204" s="23">
        <f>IFERROR(IF($F204="",Ayarlar!$C$9,VLOOKUP($F204,'Ürün Kartlar'!$B$5:$G$204,6,FALSE)),Ayarlar!$C$9)</f>
      </c>
      <c r="K204" s="18">
        <f>IF(OR($H204="",$I204=""),0,$H204*$I204)</f>
      </c>
      <c r="L204" s="18">
        <f>$K204*$J204</f>
      </c>
      <c r="M204" s="18">
        <f>$K204+$L204</f>
      </c>
      <c r="N204" s="20"/>
      <c r="O204" s="20"/>
      <c r="P204" s="20"/>
    </row>
    <row r="205" spans="2:16" x14ac:dyDescent="0.25">
      <c r="B205" s="15"/>
      <c r="C205" s="8"/>
      <c r="D205" s="8"/>
      <c r="E205" s="16">
        <f>IFERROR(IF($D205="","",VLOOKUP($D205,'Cari Kartlar'!$B$5:$C$204,2,FALSE)),"— tanımsız cari —")</f>
      </c>
      <c r="F205" s="8"/>
      <c r="G205" s="16">
        <f>IFERROR(IF($F205="","",VLOOKUP($F205,'Ürün Kartlar'!$B$5:$C$204,2,FALSE)),"— tanımsız ürün —")</f>
      </c>
      <c r="H205" s="17"/>
      <c r="I205" s="13">
        <f>IFERROR(IF($F205="","",IF($C205="Alış",VLOOKUP($F205,'Ürün Kartlar'!$B$5:$E$204,4,FALSE),VLOOKUP($F205,'Ürün Kartlar'!$B$5:$F$204,5,FALSE))),"")</f>
      </c>
      <c r="J205" s="11">
        <f>IFERROR(IF($F205="",Ayarlar!$C$9,VLOOKUP($F205,'Ürün Kartlar'!$B$5:$G$204,6,FALSE)),Ayarlar!$C$9)</f>
      </c>
      <c r="K205" s="18">
        <f>IF(OR($H205="",$I205=""),0,$H205*$I205)</f>
      </c>
      <c r="L205" s="18">
        <f>$K205*$J205</f>
      </c>
      <c r="M205" s="18">
        <f>$K205+$L205</f>
      </c>
      <c r="N205" s="8"/>
      <c r="O205" s="8"/>
      <c r="P205" s="8"/>
    </row>
    <row r="206" spans="2:16" x14ac:dyDescent="0.25">
      <c r="B206" s="19"/>
      <c r="C206" s="20"/>
      <c r="D206" s="20"/>
      <c r="E206" s="16">
        <f>IFERROR(IF($D206="","",VLOOKUP($D206,'Cari Kartlar'!$B$5:$C$204,2,FALSE)),"— tanımsız cari —")</f>
      </c>
      <c r="F206" s="20"/>
      <c r="G206" s="16">
        <f>IFERROR(IF($F206="","",VLOOKUP($F206,'Ürün Kartlar'!$B$5:$C$204,2,FALSE)),"— tanımsız ürün —")</f>
      </c>
      <c r="H206" s="21"/>
      <c r="I206" s="22">
        <f>IFERROR(IF($F206="","",IF($C206="Alış",VLOOKUP($F206,'Ürün Kartlar'!$B$5:$E$204,4,FALSE),VLOOKUP($F206,'Ürün Kartlar'!$B$5:$F$204,5,FALSE))),"")</f>
      </c>
      <c r="J206" s="23">
        <f>IFERROR(IF($F206="",Ayarlar!$C$9,VLOOKUP($F206,'Ürün Kartlar'!$B$5:$G$204,6,FALSE)),Ayarlar!$C$9)</f>
      </c>
      <c r="K206" s="18">
        <f>IF(OR($H206="",$I206=""),0,$H206*$I206)</f>
      </c>
      <c r="L206" s="18">
        <f>$K206*$J206</f>
      </c>
      <c r="M206" s="18">
        <f>$K206+$L206</f>
      </c>
      <c r="N206" s="20"/>
      <c r="O206" s="20"/>
      <c r="P206" s="20"/>
    </row>
    <row r="207" spans="2:16" x14ac:dyDescent="0.25">
      <c r="B207" s="15"/>
      <c r="C207" s="8"/>
      <c r="D207" s="8"/>
      <c r="E207" s="16">
        <f>IFERROR(IF($D207="","",VLOOKUP($D207,'Cari Kartlar'!$B$5:$C$204,2,FALSE)),"— tanımsız cari —")</f>
      </c>
      <c r="F207" s="8"/>
      <c r="G207" s="16">
        <f>IFERROR(IF($F207="","",VLOOKUP($F207,'Ürün Kartlar'!$B$5:$C$204,2,FALSE)),"— tanımsız ürün —")</f>
      </c>
      <c r="H207" s="17"/>
      <c r="I207" s="13">
        <f>IFERROR(IF($F207="","",IF($C207="Alış",VLOOKUP($F207,'Ürün Kartlar'!$B$5:$E$204,4,FALSE),VLOOKUP($F207,'Ürün Kartlar'!$B$5:$F$204,5,FALSE))),"")</f>
      </c>
      <c r="J207" s="11">
        <f>IFERROR(IF($F207="",Ayarlar!$C$9,VLOOKUP($F207,'Ürün Kartlar'!$B$5:$G$204,6,FALSE)),Ayarlar!$C$9)</f>
      </c>
      <c r="K207" s="18">
        <f>IF(OR($H207="",$I207=""),0,$H207*$I207)</f>
      </c>
      <c r="L207" s="18">
        <f>$K207*$J207</f>
      </c>
      <c r="M207" s="18">
        <f>$K207+$L207</f>
      </c>
      <c r="N207" s="8"/>
      <c r="O207" s="8"/>
      <c r="P207" s="8"/>
    </row>
    <row r="208" spans="2:16" x14ac:dyDescent="0.25">
      <c r="B208" s="19"/>
      <c r="C208" s="20"/>
      <c r="D208" s="20"/>
      <c r="E208" s="16">
        <f>IFERROR(IF($D208="","",VLOOKUP($D208,'Cari Kartlar'!$B$5:$C$204,2,FALSE)),"— tanımsız cari —")</f>
      </c>
      <c r="F208" s="20"/>
      <c r="G208" s="16">
        <f>IFERROR(IF($F208="","",VLOOKUP($F208,'Ürün Kartlar'!$B$5:$C$204,2,FALSE)),"— tanımsız ürün —")</f>
      </c>
      <c r="H208" s="21"/>
      <c r="I208" s="22">
        <f>IFERROR(IF($F208="","",IF($C208="Alış",VLOOKUP($F208,'Ürün Kartlar'!$B$5:$E$204,4,FALSE),VLOOKUP($F208,'Ürün Kartlar'!$B$5:$F$204,5,FALSE))),"")</f>
      </c>
      <c r="J208" s="23">
        <f>IFERROR(IF($F208="",Ayarlar!$C$9,VLOOKUP($F208,'Ürün Kartlar'!$B$5:$G$204,6,FALSE)),Ayarlar!$C$9)</f>
      </c>
      <c r="K208" s="18">
        <f>IF(OR($H208="",$I208=""),0,$H208*$I208)</f>
      </c>
      <c r="L208" s="18">
        <f>$K208*$J208</f>
      </c>
      <c r="M208" s="18">
        <f>$K208+$L208</f>
      </c>
      <c r="N208" s="20"/>
      <c r="O208" s="20"/>
      <c r="P208" s="20"/>
    </row>
    <row r="209" spans="2:16" x14ac:dyDescent="0.25">
      <c r="B209" s="15"/>
      <c r="C209" s="8"/>
      <c r="D209" s="8"/>
      <c r="E209" s="16">
        <f>IFERROR(IF($D209="","",VLOOKUP($D209,'Cari Kartlar'!$B$5:$C$204,2,FALSE)),"— tanımsız cari —")</f>
      </c>
      <c r="F209" s="8"/>
      <c r="G209" s="16">
        <f>IFERROR(IF($F209="","",VLOOKUP($F209,'Ürün Kartlar'!$B$5:$C$204,2,FALSE)),"— tanımsız ürün —")</f>
      </c>
      <c r="H209" s="17"/>
      <c r="I209" s="13">
        <f>IFERROR(IF($F209="","",IF($C209="Alış",VLOOKUP($F209,'Ürün Kartlar'!$B$5:$E$204,4,FALSE),VLOOKUP($F209,'Ürün Kartlar'!$B$5:$F$204,5,FALSE))),"")</f>
      </c>
      <c r="J209" s="11">
        <f>IFERROR(IF($F209="",Ayarlar!$C$9,VLOOKUP($F209,'Ürün Kartlar'!$B$5:$G$204,6,FALSE)),Ayarlar!$C$9)</f>
      </c>
      <c r="K209" s="18">
        <f>IF(OR($H209="",$I209=""),0,$H209*$I209)</f>
      </c>
      <c r="L209" s="18">
        <f>$K209*$J209</f>
      </c>
      <c r="M209" s="18">
        <f>$K209+$L209</f>
      </c>
      <c r="N209" s="8"/>
      <c r="O209" s="8"/>
      <c r="P209" s="8"/>
    </row>
    <row r="210" spans="2:16" x14ac:dyDescent="0.25">
      <c r="B210" s="19"/>
      <c r="C210" s="20"/>
      <c r="D210" s="20"/>
      <c r="E210" s="16">
        <f>IFERROR(IF($D210="","",VLOOKUP($D210,'Cari Kartlar'!$B$5:$C$204,2,FALSE)),"— tanımsız cari —")</f>
      </c>
      <c r="F210" s="20"/>
      <c r="G210" s="16">
        <f>IFERROR(IF($F210="","",VLOOKUP($F210,'Ürün Kartlar'!$B$5:$C$204,2,FALSE)),"— tanımsız ürün —")</f>
      </c>
      <c r="H210" s="21"/>
      <c r="I210" s="22">
        <f>IFERROR(IF($F210="","",IF($C210="Alış",VLOOKUP($F210,'Ürün Kartlar'!$B$5:$E$204,4,FALSE),VLOOKUP($F210,'Ürün Kartlar'!$B$5:$F$204,5,FALSE))),"")</f>
      </c>
      <c r="J210" s="23">
        <f>IFERROR(IF($F210="",Ayarlar!$C$9,VLOOKUP($F210,'Ürün Kartlar'!$B$5:$G$204,6,FALSE)),Ayarlar!$C$9)</f>
      </c>
      <c r="K210" s="18">
        <f>IF(OR($H210="",$I210=""),0,$H210*$I210)</f>
      </c>
      <c r="L210" s="18">
        <f>$K210*$J210</f>
      </c>
      <c r="M210" s="18">
        <f>$K210+$L210</f>
      </c>
      <c r="N210" s="20"/>
      <c r="O210" s="20"/>
      <c r="P210" s="20"/>
    </row>
    <row r="211" spans="2:16" x14ac:dyDescent="0.25">
      <c r="B211" s="15"/>
      <c r="C211" s="8"/>
      <c r="D211" s="8"/>
      <c r="E211" s="16">
        <f>IFERROR(IF($D211="","",VLOOKUP($D211,'Cari Kartlar'!$B$5:$C$204,2,FALSE)),"— tanımsız cari —")</f>
      </c>
      <c r="F211" s="8"/>
      <c r="G211" s="16">
        <f>IFERROR(IF($F211="","",VLOOKUP($F211,'Ürün Kartlar'!$B$5:$C$204,2,FALSE)),"— tanımsız ürün —")</f>
      </c>
      <c r="H211" s="17"/>
      <c r="I211" s="13">
        <f>IFERROR(IF($F211="","",IF($C211="Alış",VLOOKUP($F211,'Ürün Kartlar'!$B$5:$E$204,4,FALSE),VLOOKUP($F211,'Ürün Kartlar'!$B$5:$F$204,5,FALSE))),"")</f>
      </c>
      <c r="J211" s="11">
        <f>IFERROR(IF($F211="",Ayarlar!$C$9,VLOOKUP($F211,'Ürün Kartlar'!$B$5:$G$204,6,FALSE)),Ayarlar!$C$9)</f>
      </c>
      <c r="K211" s="18">
        <f>IF(OR($H211="",$I211=""),0,$H211*$I211)</f>
      </c>
      <c r="L211" s="18">
        <f>$K211*$J211</f>
      </c>
      <c r="M211" s="18">
        <f>$K211+$L211</f>
      </c>
      <c r="N211" s="8"/>
      <c r="O211" s="8"/>
      <c r="P211" s="8"/>
    </row>
    <row r="212" spans="2:16" x14ac:dyDescent="0.25">
      <c r="B212" s="19"/>
      <c r="C212" s="20"/>
      <c r="D212" s="20"/>
      <c r="E212" s="16">
        <f>IFERROR(IF($D212="","",VLOOKUP($D212,'Cari Kartlar'!$B$5:$C$204,2,FALSE)),"— tanımsız cari —")</f>
      </c>
      <c r="F212" s="20"/>
      <c r="G212" s="16">
        <f>IFERROR(IF($F212="","",VLOOKUP($F212,'Ürün Kartlar'!$B$5:$C$204,2,FALSE)),"— tanımsız ürün —")</f>
      </c>
      <c r="H212" s="21"/>
      <c r="I212" s="22">
        <f>IFERROR(IF($F212="","",IF($C212="Alış",VLOOKUP($F212,'Ürün Kartlar'!$B$5:$E$204,4,FALSE),VLOOKUP($F212,'Ürün Kartlar'!$B$5:$F$204,5,FALSE))),"")</f>
      </c>
      <c r="J212" s="23">
        <f>IFERROR(IF($F212="",Ayarlar!$C$9,VLOOKUP($F212,'Ürün Kartlar'!$B$5:$G$204,6,FALSE)),Ayarlar!$C$9)</f>
      </c>
      <c r="K212" s="18">
        <f>IF(OR($H212="",$I212=""),0,$H212*$I212)</f>
      </c>
      <c r="L212" s="18">
        <f>$K212*$J212</f>
      </c>
      <c r="M212" s="18">
        <f>$K212+$L212</f>
      </c>
      <c r="N212" s="20"/>
      <c r="O212" s="20"/>
      <c r="P212" s="20"/>
    </row>
    <row r="213" spans="2:16" x14ac:dyDescent="0.25">
      <c r="B213" s="15"/>
      <c r="C213" s="8"/>
      <c r="D213" s="8"/>
      <c r="E213" s="16">
        <f>IFERROR(IF($D213="","",VLOOKUP($D213,'Cari Kartlar'!$B$5:$C$204,2,FALSE)),"— tanımsız cari —")</f>
      </c>
      <c r="F213" s="8"/>
      <c r="G213" s="16">
        <f>IFERROR(IF($F213="","",VLOOKUP($F213,'Ürün Kartlar'!$B$5:$C$204,2,FALSE)),"— tanımsız ürün —")</f>
      </c>
      <c r="H213" s="17"/>
      <c r="I213" s="13">
        <f>IFERROR(IF($F213="","",IF($C213="Alış",VLOOKUP($F213,'Ürün Kartlar'!$B$5:$E$204,4,FALSE),VLOOKUP($F213,'Ürün Kartlar'!$B$5:$F$204,5,FALSE))),"")</f>
      </c>
      <c r="J213" s="11">
        <f>IFERROR(IF($F213="",Ayarlar!$C$9,VLOOKUP($F213,'Ürün Kartlar'!$B$5:$G$204,6,FALSE)),Ayarlar!$C$9)</f>
      </c>
      <c r="K213" s="18">
        <f>IF(OR($H213="",$I213=""),0,$H213*$I213)</f>
      </c>
      <c r="L213" s="18">
        <f>$K213*$J213</f>
      </c>
      <c r="M213" s="18">
        <f>$K213+$L213</f>
      </c>
      <c r="N213" s="8"/>
      <c r="O213" s="8"/>
      <c r="P213" s="8"/>
    </row>
    <row r="214" spans="2:16" x14ac:dyDescent="0.25">
      <c r="B214" s="19"/>
      <c r="C214" s="20"/>
      <c r="D214" s="20"/>
      <c r="E214" s="16">
        <f>IFERROR(IF($D214="","",VLOOKUP($D214,'Cari Kartlar'!$B$5:$C$204,2,FALSE)),"— tanımsız cari —")</f>
      </c>
      <c r="F214" s="20"/>
      <c r="G214" s="16">
        <f>IFERROR(IF($F214="","",VLOOKUP($F214,'Ürün Kartlar'!$B$5:$C$204,2,FALSE)),"— tanımsız ürün —")</f>
      </c>
      <c r="H214" s="21"/>
      <c r="I214" s="22">
        <f>IFERROR(IF($F214="","",IF($C214="Alış",VLOOKUP($F214,'Ürün Kartlar'!$B$5:$E$204,4,FALSE),VLOOKUP($F214,'Ürün Kartlar'!$B$5:$F$204,5,FALSE))),"")</f>
      </c>
      <c r="J214" s="23">
        <f>IFERROR(IF($F214="",Ayarlar!$C$9,VLOOKUP($F214,'Ürün Kartlar'!$B$5:$G$204,6,FALSE)),Ayarlar!$C$9)</f>
      </c>
      <c r="K214" s="18">
        <f>IF(OR($H214="",$I214=""),0,$H214*$I214)</f>
      </c>
      <c r="L214" s="18">
        <f>$K214*$J214</f>
      </c>
      <c r="M214" s="18">
        <f>$K214+$L214</f>
      </c>
      <c r="N214" s="20"/>
      <c r="O214" s="20"/>
      <c r="P214" s="20"/>
    </row>
    <row r="215" spans="2:16" x14ac:dyDescent="0.25">
      <c r="B215" s="15"/>
      <c r="C215" s="8"/>
      <c r="D215" s="8"/>
      <c r="E215" s="16">
        <f>IFERROR(IF($D215="","",VLOOKUP($D215,'Cari Kartlar'!$B$5:$C$204,2,FALSE)),"— tanımsız cari —")</f>
      </c>
      <c r="F215" s="8"/>
      <c r="G215" s="16">
        <f>IFERROR(IF($F215="","",VLOOKUP($F215,'Ürün Kartlar'!$B$5:$C$204,2,FALSE)),"— tanımsız ürün —")</f>
      </c>
      <c r="H215" s="17"/>
      <c r="I215" s="13">
        <f>IFERROR(IF($F215="","",IF($C215="Alış",VLOOKUP($F215,'Ürün Kartlar'!$B$5:$E$204,4,FALSE),VLOOKUP($F215,'Ürün Kartlar'!$B$5:$F$204,5,FALSE))),"")</f>
      </c>
      <c r="J215" s="11">
        <f>IFERROR(IF($F215="",Ayarlar!$C$9,VLOOKUP($F215,'Ürün Kartlar'!$B$5:$G$204,6,FALSE)),Ayarlar!$C$9)</f>
      </c>
      <c r="K215" s="18">
        <f>IF(OR($H215="",$I215=""),0,$H215*$I215)</f>
      </c>
      <c r="L215" s="18">
        <f>$K215*$J215</f>
      </c>
      <c r="M215" s="18">
        <f>$K215+$L215</f>
      </c>
      <c r="N215" s="8"/>
      <c r="O215" s="8"/>
      <c r="P215" s="8"/>
    </row>
    <row r="216" spans="2:16" x14ac:dyDescent="0.25">
      <c r="B216" s="19"/>
      <c r="C216" s="20"/>
      <c r="D216" s="20"/>
      <c r="E216" s="16">
        <f>IFERROR(IF($D216="","",VLOOKUP($D216,'Cari Kartlar'!$B$5:$C$204,2,FALSE)),"— tanımsız cari —")</f>
      </c>
      <c r="F216" s="20"/>
      <c r="G216" s="16">
        <f>IFERROR(IF($F216="","",VLOOKUP($F216,'Ürün Kartlar'!$B$5:$C$204,2,FALSE)),"— tanımsız ürün —")</f>
      </c>
      <c r="H216" s="21"/>
      <c r="I216" s="22">
        <f>IFERROR(IF($F216="","",IF($C216="Alış",VLOOKUP($F216,'Ürün Kartlar'!$B$5:$E$204,4,FALSE),VLOOKUP($F216,'Ürün Kartlar'!$B$5:$F$204,5,FALSE))),"")</f>
      </c>
      <c r="J216" s="23">
        <f>IFERROR(IF($F216="",Ayarlar!$C$9,VLOOKUP($F216,'Ürün Kartlar'!$B$5:$G$204,6,FALSE)),Ayarlar!$C$9)</f>
      </c>
      <c r="K216" s="18">
        <f>IF(OR($H216="",$I216=""),0,$H216*$I216)</f>
      </c>
      <c r="L216" s="18">
        <f>$K216*$J216</f>
      </c>
      <c r="M216" s="18">
        <f>$K216+$L216</f>
      </c>
      <c r="N216" s="20"/>
      <c r="O216" s="20"/>
      <c r="P216" s="20"/>
    </row>
    <row r="217" spans="2:16" x14ac:dyDescent="0.25">
      <c r="B217" s="15"/>
      <c r="C217" s="8"/>
      <c r="D217" s="8"/>
      <c r="E217" s="16">
        <f>IFERROR(IF($D217="","",VLOOKUP($D217,'Cari Kartlar'!$B$5:$C$204,2,FALSE)),"— tanımsız cari —")</f>
      </c>
      <c r="F217" s="8"/>
      <c r="G217" s="16">
        <f>IFERROR(IF($F217="","",VLOOKUP($F217,'Ürün Kartlar'!$B$5:$C$204,2,FALSE)),"— tanımsız ürün —")</f>
      </c>
      <c r="H217" s="17"/>
      <c r="I217" s="13">
        <f>IFERROR(IF($F217="","",IF($C217="Alış",VLOOKUP($F217,'Ürün Kartlar'!$B$5:$E$204,4,FALSE),VLOOKUP($F217,'Ürün Kartlar'!$B$5:$F$204,5,FALSE))),"")</f>
      </c>
      <c r="J217" s="11">
        <f>IFERROR(IF($F217="",Ayarlar!$C$9,VLOOKUP($F217,'Ürün Kartlar'!$B$5:$G$204,6,FALSE)),Ayarlar!$C$9)</f>
      </c>
      <c r="K217" s="18">
        <f>IF(OR($H217="",$I217=""),0,$H217*$I217)</f>
      </c>
      <c r="L217" s="18">
        <f>$K217*$J217</f>
      </c>
      <c r="M217" s="18">
        <f>$K217+$L217</f>
      </c>
      <c r="N217" s="8"/>
      <c r="O217" s="8"/>
      <c r="P217" s="8"/>
    </row>
    <row r="218" spans="2:16" x14ac:dyDescent="0.25">
      <c r="B218" s="19"/>
      <c r="C218" s="20"/>
      <c r="D218" s="20"/>
      <c r="E218" s="16">
        <f>IFERROR(IF($D218="","",VLOOKUP($D218,'Cari Kartlar'!$B$5:$C$204,2,FALSE)),"— tanımsız cari —")</f>
      </c>
      <c r="F218" s="20"/>
      <c r="G218" s="16">
        <f>IFERROR(IF($F218="","",VLOOKUP($F218,'Ürün Kartlar'!$B$5:$C$204,2,FALSE)),"— tanımsız ürün —")</f>
      </c>
      <c r="H218" s="21"/>
      <c r="I218" s="22">
        <f>IFERROR(IF($F218="","",IF($C218="Alış",VLOOKUP($F218,'Ürün Kartlar'!$B$5:$E$204,4,FALSE),VLOOKUP($F218,'Ürün Kartlar'!$B$5:$F$204,5,FALSE))),"")</f>
      </c>
      <c r="J218" s="23">
        <f>IFERROR(IF($F218="",Ayarlar!$C$9,VLOOKUP($F218,'Ürün Kartlar'!$B$5:$G$204,6,FALSE)),Ayarlar!$C$9)</f>
      </c>
      <c r="K218" s="18">
        <f>IF(OR($H218="",$I218=""),0,$H218*$I218)</f>
      </c>
      <c r="L218" s="18">
        <f>$K218*$J218</f>
      </c>
      <c r="M218" s="18">
        <f>$K218+$L218</f>
      </c>
      <c r="N218" s="20"/>
      <c r="O218" s="20"/>
      <c r="P218" s="20"/>
    </row>
    <row r="219" spans="2:16" x14ac:dyDescent="0.25">
      <c r="B219" s="15"/>
      <c r="C219" s="8"/>
      <c r="D219" s="8"/>
      <c r="E219" s="16">
        <f>IFERROR(IF($D219="","",VLOOKUP($D219,'Cari Kartlar'!$B$5:$C$204,2,FALSE)),"— tanımsız cari —")</f>
      </c>
      <c r="F219" s="8"/>
      <c r="G219" s="16">
        <f>IFERROR(IF($F219="","",VLOOKUP($F219,'Ürün Kartlar'!$B$5:$C$204,2,FALSE)),"— tanımsız ürün —")</f>
      </c>
      <c r="H219" s="17"/>
      <c r="I219" s="13">
        <f>IFERROR(IF($F219="","",IF($C219="Alış",VLOOKUP($F219,'Ürün Kartlar'!$B$5:$E$204,4,FALSE),VLOOKUP($F219,'Ürün Kartlar'!$B$5:$F$204,5,FALSE))),"")</f>
      </c>
      <c r="J219" s="11">
        <f>IFERROR(IF($F219="",Ayarlar!$C$9,VLOOKUP($F219,'Ürün Kartlar'!$B$5:$G$204,6,FALSE)),Ayarlar!$C$9)</f>
      </c>
      <c r="K219" s="18">
        <f>IF(OR($H219="",$I219=""),0,$H219*$I219)</f>
      </c>
      <c r="L219" s="18">
        <f>$K219*$J219</f>
      </c>
      <c r="M219" s="18">
        <f>$K219+$L219</f>
      </c>
      <c r="N219" s="8"/>
      <c r="O219" s="8"/>
      <c r="P219" s="8"/>
    </row>
    <row r="220" spans="2:16" x14ac:dyDescent="0.25">
      <c r="B220" s="19"/>
      <c r="C220" s="20"/>
      <c r="D220" s="20"/>
      <c r="E220" s="16">
        <f>IFERROR(IF($D220="","",VLOOKUP($D220,'Cari Kartlar'!$B$5:$C$204,2,FALSE)),"— tanımsız cari —")</f>
      </c>
      <c r="F220" s="20"/>
      <c r="G220" s="16">
        <f>IFERROR(IF($F220="","",VLOOKUP($F220,'Ürün Kartlar'!$B$5:$C$204,2,FALSE)),"— tanımsız ürün —")</f>
      </c>
      <c r="H220" s="21"/>
      <c r="I220" s="22">
        <f>IFERROR(IF($F220="","",IF($C220="Alış",VLOOKUP($F220,'Ürün Kartlar'!$B$5:$E$204,4,FALSE),VLOOKUP($F220,'Ürün Kartlar'!$B$5:$F$204,5,FALSE))),"")</f>
      </c>
      <c r="J220" s="23">
        <f>IFERROR(IF($F220="",Ayarlar!$C$9,VLOOKUP($F220,'Ürün Kartlar'!$B$5:$G$204,6,FALSE)),Ayarlar!$C$9)</f>
      </c>
      <c r="K220" s="18">
        <f>IF(OR($H220="",$I220=""),0,$H220*$I220)</f>
      </c>
      <c r="L220" s="18">
        <f>$K220*$J220</f>
      </c>
      <c r="M220" s="18">
        <f>$K220+$L220</f>
      </c>
      <c r="N220" s="20"/>
      <c r="O220" s="20"/>
      <c r="P220" s="20"/>
    </row>
    <row r="221" spans="2:16" x14ac:dyDescent="0.25">
      <c r="B221" s="15"/>
      <c r="C221" s="8"/>
      <c r="D221" s="8"/>
      <c r="E221" s="16">
        <f>IFERROR(IF($D221="","",VLOOKUP($D221,'Cari Kartlar'!$B$5:$C$204,2,FALSE)),"— tanımsız cari —")</f>
      </c>
      <c r="F221" s="8"/>
      <c r="G221" s="16">
        <f>IFERROR(IF($F221="","",VLOOKUP($F221,'Ürün Kartlar'!$B$5:$C$204,2,FALSE)),"— tanımsız ürün —")</f>
      </c>
      <c r="H221" s="17"/>
      <c r="I221" s="13">
        <f>IFERROR(IF($F221="","",IF($C221="Alış",VLOOKUP($F221,'Ürün Kartlar'!$B$5:$E$204,4,FALSE),VLOOKUP($F221,'Ürün Kartlar'!$B$5:$F$204,5,FALSE))),"")</f>
      </c>
      <c r="J221" s="11">
        <f>IFERROR(IF($F221="",Ayarlar!$C$9,VLOOKUP($F221,'Ürün Kartlar'!$B$5:$G$204,6,FALSE)),Ayarlar!$C$9)</f>
      </c>
      <c r="K221" s="18">
        <f>IF(OR($H221="",$I221=""),0,$H221*$I221)</f>
      </c>
      <c r="L221" s="18">
        <f>$K221*$J221</f>
      </c>
      <c r="M221" s="18">
        <f>$K221+$L221</f>
      </c>
      <c r="N221" s="8"/>
      <c r="O221" s="8"/>
      <c r="P221" s="8"/>
    </row>
    <row r="222" spans="2:16" x14ac:dyDescent="0.25">
      <c r="B222" s="19"/>
      <c r="C222" s="20"/>
      <c r="D222" s="20"/>
      <c r="E222" s="16">
        <f>IFERROR(IF($D222="","",VLOOKUP($D222,'Cari Kartlar'!$B$5:$C$204,2,FALSE)),"— tanımsız cari —")</f>
      </c>
      <c r="F222" s="20"/>
      <c r="G222" s="16">
        <f>IFERROR(IF($F222="","",VLOOKUP($F222,'Ürün Kartlar'!$B$5:$C$204,2,FALSE)),"— tanımsız ürün —")</f>
      </c>
      <c r="H222" s="21"/>
      <c r="I222" s="22">
        <f>IFERROR(IF($F222="","",IF($C222="Alış",VLOOKUP($F222,'Ürün Kartlar'!$B$5:$E$204,4,FALSE),VLOOKUP($F222,'Ürün Kartlar'!$B$5:$F$204,5,FALSE))),"")</f>
      </c>
      <c r="J222" s="23">
        <f>IFERROR(IF($F222="",Ayarlar!$C$9,VLOOKUP($F222,'Ürün Kartlar'!$B$5:$G$204,6,FALSE)),Ayarlar!$C$9)</f>
      </c>
      <c r="K222" s="18">
        <f>IF(OR($H222="",$I222=""),0,$H222*$I222)</f>
      </c>
      <c r="L222" s="18">
        <f>$K222*$J222</f>
      </c>
      <c r="M222" s="18">
        <f>$K222+$L222</f>
      </c>
      <c r="N222" s="20"/>
      <c r="O222" s="20"/>
      <c r="P222" s="20"/>
    </row>
    <row r="223" spans="2:16" x14ac:dyDescent="0.25">
      <c r="B223" s="15"/>
      <c r="C223" s="8"/>
      <c r="D223" s="8"/>
      <c r="E223" s="16">
        <f>IFERROR(IF($D223="","",VLOOKUP($D223,'Cari Kartlar'!$B$5:$C$204,2,FALSE)),"— tanımsız cari —")</f>
      </c>
      <c r="F223" s="8"/>
      <c r="G223" s="16">
        <f>IFERROR(IF($F223="","",VLOOKUP($F223,'Ürün Kartlar'!$B$5:$C$204,2,FALSE)),"— tanımsız ürün —")</f>
      </c>
      <c r="H223" s="17"/>
      <c r="I223" s="13">
        <f>IFERROR(IF($F223="","",IF($C223="Alış",VLOOKUP($F223,'Ürün Kartlar'!$B$5:$E$204,4,FALSE),VLOOKUP($F223,'Ürün Kartlar'!$B$5:$F$204,5,FALSE))),"")</f>
      </c>
      <c r="J223" s="11">
        <f>IFERROR(IF($F223="",Ayarlar!$C$9,VLOOKUP($F223,'Ürün Kartlar'!$B$5:$G$204,6,FALSE)),Ayarlar!$C$9)</f>
      </c>
      <c r="K223" s="18">
        <f>IF(OR($H223="",$I223=""),0,$H223*$I223)</f>
      </c>
      <c r="L223" s="18">
        <f>$K223*$J223</f>
      </c>
      <c r="M223" s="18">
        <f>$K223+$L223</f>
      </c>
      <c r="N223" s="8"/>
      <c r="O223" s="8"/>
      <c r="P223" s="8"/>
    </row>
    <row r="224" spans="2:16" x14ac:dyDescent="0.25">
      <c r="B224" s="19"/>
      <c r="C224" s="20"/>
      <c r="D224" s="20"/>
      <c r="E224" s="16">
        <f>IFERROR(IF($D224="","",VLOOKUP($D224,'Cari Kartlar'!$B$5:$C$204,2,FALSE)),"— tanımsız cari —")</f>
      </c>
      <c r="F224" s="20"/>
      <c r="G224" s="16">
        <f>IFERROR(IF($F224="","",VLOOKUP($F224,'Ürün Kartlar'!$B$5:$C$204,2,FALSE)),"— tanımsız ürün —")</f>
      </c>
      <c r="H224" s="21"/>
      <c r="I224" s="22">
        <f>IFERROR(IF($F224="","",IF($C224="Alış",VLOOKUP($F224,'Ürün Kartlar'!$B$5:$E$204,4,FALSE),VLOOKUP($F224,'Ürün Kartlar'!$B$5:$F$204,5,FALSE))),"")</f>
      </c>
      <c r="J224" s="23">
        <f>IFERROR(IF($F224="",Ayarlar!$C$9,VLOOKUP($F224,'Ürün Kartlar'!$B$5:$G$204,6,FALSE)),Ayarlar!$C$9)</f>
      </c>
      <c r="K224" s="18">
        <f>IF(OR($H224="",$I224=""),0,$H224*$I224)</f>
      </c>
      <c r="L224" s="18">
        <f>$K224*$J224</f>
      </c>
      <c r="M224" s="18">
        <f>$K224+$L224</f>
      </c>
      <c r="N224" s="20"/>
      <c r="O224" s="20"/>
      <c r="P224" s="20"/>
    </row>
    <row r="225" spans="2:16" x14ac:dyDescent="0.25">
      <c r="B225" s="15"/>
      <c r="C225" s="8"/>
      <c r="D225" s="8"/>
      <c r="E225" s="16">
        <f>IFERROR(IF($D225="","",VLOOKUP($D225,'Cari Kartlar'!$B$5:$C$204,2,FALSE)),"— tanımsız cari —")</f>
      </c>
      <c r="F225" s="8"/>
      <c r="G225" s="16">
        <f>IFERROR(IF($F225="","",VLOOKUP($F225,'Ürün Kartlar'!$B$5:$C$204,2,FALSE)),"— tanımsız ürün —")</f>
      </c>
      <c r="H225" s="17"/>
      <c r="I225" s="13">
        <f>IFERROR(IF($F225="","",IF($C225="Alış",VLOOKUP($F225,'Ürün Kartlar'!$B$5:$E$204,4,FALSE),VLOOKUP($F225,'Ürün Kartlar'!$B$5:$F$204,5,FALSE))),"")</f>
      </c>
      <c r="J225" s="11">
        <f>IFERROR(IF($F225="",Ayarlar!$C$9,VLOOKUP($F225,'Ürün Kartlar'!$B$5:$G$204,6,FALSE)),Ayarlar!$C$9)</f>
      </c>
      <c r="K225" s="18">
        <f>IF(OR($H225="",$I225=""),0,$H225*$I225)</f>
      </c>
      <c r="L225" s="18">
        <f>$K225*$J225</f>
      </c>
      <c r="M225" s="18">
        <f>$K225+$L225</f>
      </c>
      <c r="N225" s="8"/>
      <c r="O225" s="8"/>
      <c r="P225" s="8"/>
    </row>
    <row r="226" spans="2:16" x14ac:dyDescent="0.25">
      <c r="B226" s="19"/>
      <c r="C226" s="20"/>
      <c r="D226" s="20"/>
      <c r="E226" s="16">
        <f>IFERROR(IF($D226="","",VLOOKUP($D226,'Cari Kartlar'!$B$5:$C$204,2,FALSE)),"— tanımsız cari —")</f>
      </c>
      <c r="F226" s="20"/>
      <c r="G226" s="16">
        <f>IFERROR(IF($F226="","",VLOOKUP($F226,'Ürün Kartlar'!$B$5:$C$204,2,FALSE)),"— tanımsız ürün —")</f>
      </c>
      <c r="H226" s="21"/>
      <c r="I226" s="22">
        <f>IFERROR(IF($F226="","",IF($C226="Alış",VLOOKUP($F226,'Ürün Kartlar'!$B$5:$E$204,4,FALSE),VLOOKUP($F226,'Ürün Kartlar'!$B$5:$F$204,5,FALSE))),"")</f>
      </c>
      <c r="J226" s="23">
        <f>IFERROR(IF($F226="",Ayarlar!$C$9,VLOOKUP($F226,'Ürün Kartlar'!$B$5:$G$204,6,FALSE)),Ayarlar!$C$9)</f>
      </c>
      <c r="K226" s="18">
        <f>IF(OR($H226="",$I226=""),0,$H226*$I226)</f>
      </c>
      <c r="L226" s="18">
        <f>$K226*$J226</f>
      </c>
      <c r="M226" s="18">
        <f>$K226+$L226</f>
      </c>
      <c r="N226" s="20"/>
      <c r="O226" s="20"/>
      <c r="P226" s="20"/>
    </row>
    <row r="227" spans="2:16" x14ac:dyDescent="0.25">
      <c r="B227" s="15"/>
      <c r="C227" s="8"/>
      <c r="D227" s="8"/>
      <c r="E227" s="16">
        <f>IFERROR(IF($D227="","",VLOOKUP($D227,'Cari Kartlar'!$B$5:$C$204,2,FALSE)),"— tanımsız cari —")</f>
      </c>
      <c r="F227" s="8"/>
      <c r="G227" s="16">
        <f>IFERROR(IF($F227="","",VLOOKUP($F227,'Ürün Kartlar'!$B$5:$C$204,2,FALSE)),"— tanımsız ürün —")</f>
      </c>
      <c r="H227" s="17"/>
      <c r="I227" s="13">
        <f>IFERROR(IF($F227="","",IF($C227="Alış",VLOOKUP($F227,'Ürün Kartlar'!$B$5:$E$204,4,FALSE),VLOOKUP($F227,'Ürün Kartlar'!$B$5:$F$204,5,FALSE))),"")</f>
      </c>
      <c r="J227" s="11">
        <f>IFERROR(IF($F227="",Ayarlar!$C$9,VLOOKUP($F227,'Ürün Kartlar'!$B$5:$G$204,6,FALSE)),Ayarlar!$C$9)</f>
      </c>
      <c r="K227" s="18">
        <f>IF(OR($H227="",$I227=""),0,$H227*$I227)</f>
      </c>
      <c r="L227" s="18">
        <f>$K227*$J227</f>
      </c>
      <c r="M227" s="18">
        <f>$K227+$L227</f>
      </c>
      <c r="N227" s="8"/>
      <c r="O227" s="8"/>
      <c r="P227" s="8"/>
    </row>
    <row r="228" spans="2:16" x14ac:dyDescent="0.25">
      <c r="B228" s="19"/>
      <c r="C228" s="20"/>
      <c r="D228" s="20"/>
      <c r="E228" s="16">
        <f>IFERROR(IF($D228="","",VLOOKUP($D228,'Cari Kartlar'!$B$5:$C$204,2,FALSE)),"— tanımsız cari —")</f>
      </c>
      <c r="F228" s="20"/>
      <c r="G228" s="16">
        <f>IFERROR(IF($F228="","",VLOOKUP($F228,'Ürün Kartlar'!$B$5:$C$204,2,FALSE)),"— tanımsız ürün —")</f>
      </c>
      <c r="H228" s="21"/>
      <c r="I228" s="22">
        <f>IFERROR(IF($F228="","",IF($C228="Alış",VLOOKUP($F228,'Ürün Kartlar'!$B$5:$E$204,4,FALSE),VLOOKUP($F228,'Ürün Kartlar'!$B$5:$F$204,5,FALSE))),"")</f>
      </c>
      <c r="J228" s="23">
        <f>IFERROR(IF($F228="",Ayarlar!$C$9,VLOOKUP($F228,'Ürün Kartlar'!$B$5:$G$204,6,FALSE)),Ayarlar!$C$9)</f>
      </c>
      <c r="K228" s="18">
        <f>IF(OR($H228="",$I228=""),0,$H228*$I228)</f>
      </c>
      <c r="L228" s="18">
        <f>$K228*$J228</f>
      </c>
      <c r="M228" s="18">
        <f>$K228+$L228</f>
      </c>
      <c r="N228" s="20"/>
      <c r="O228" s="20"/>
      <c r="P228" s="20"/>
    </row>
    <row r="229" spans="2:16" x14ac:dyDescent="0.25">
      <c r="B229" s="15"/>
      <c r="C229" s="8"/>
      <c r="D229" s="8"/>
      <c r="E229" s="16">
        <f>IFERROR(IF($D229="","",VLOOKUP($D229,'Cari Kartlar'!$B$5:$C$204,2,FALSE)),"— tanımsız cari —")</f>
      </c>
      <c r="F229" s="8"/>
      <c r="G229" s="16">
        <f>IFERROR(IF($F229="","",VLOOKUP($F229,'Ürün Kartlar'!$B$5:$C$204,2,FALSE)),"— tanımsız ürün —")</f>
      </c>
      <c r="H229" s="17"/>
      <c r="I229" s="13">
        <f>IFERROR(IF($F229="","",IF($C229="Alış",VLOOKUP($F229,'Ürün Kartlar'!$B$5:$E$204,4,FALSE),VLOOKUP($F229,'Ürün Kartlar'!$B$5:$F$204,5,FALSE))),"")</f>
      </c>
      <c r="J229" s="11">
        <f>IFERROR(IF($F229="",Ayarlar!$C$9,VLOOKUP($F229,'Ürün Kartlar'!$B$5:$G$204,6,FALSE)),Ayarlar!$C$9)</f>
      </c>
      <c r="K229" s="18">
        <f>IF(OR($H229="",$I229=""),0,$H229*$I229)</f>
      </c>
      <c r="L229" s="18">
        <f>$K229*$J229</f>
      </c>
      <c r="M229" s="18">
        <f>$K229+$L229</f>
      </c>
      <c r="N229" s="8"/>
      <c r="O229" s="8"/>
      <c r="P229" s="8"/>
    </row>
    <row r="230" spans="2:16" x14ac:dyDescent="0.25">
      <c r="B230" s="19"/>
      <c r="C230" s="20"/>
      <c r="D230" s="20"/>
      <c r="E230" s="16">
        <f>IFERROR(IF($D230="","",VLOOKUP($D230,'Cari Kartlar'!$B$5:$C$204,2,FALSE)),"— tanımsız cari —")</f>
      </c>
      <c r="F230" s="20"/>
      <c r="G230" s="16">
        <f>IFERROR(IF($F230="","",VLOOKUP($F230,'Ürün Kartlar'!$B$5:$C$204,2,FALSE)),"— tanımsız ürün —")</f>
      </c>
      <c r="H230" s="21"/>
      <c r="I230" s="22">
        <f>IFERROR(IF($F230="","",IF($C230="Alış",VLOOKUP($F230,'Ürün Kartlar'!$B$5:$E$204,4,FALSE),VLOOKUP($F230,'Ürün Kartlar'!$B$5:$F$204,5,FALSE))),"")</f>
      </c>
      <c r="J230" s="23">
        <f>IFERROR(IF($F230="",Ayarlar!$C$9,VLOOKUP($F230,'Ürün Kartlar'!$B$5:$G$204,6,FALSE)),Ayarlar!$C$9)</f>
      </c>
      <c r="K230" s="18">
        <f>IF(OR($H230="",$I230=""),0,$H230*$I230)</f>
      </c>
      <c r="L230" s="18">
        <f>$K230*$J230</f>
      </c>
      <c r="M230" s="18">
        <f>$K230+$L230</f>
      </c>
      <c r="N230" s="20"/>
      <c r="O230" s="20"/>
      <c r="P230" s="20"/>
    </row>
    <row r="231" spans="2:16" x14ac:dyDescent="0.25">
      <c r="B231" s="15"/>
      <c r="C231" s="8"/>
      <c r="D231" s="8"/>
      <c r="E231" s="16">
        <f>IFERROR(IF($D231="","",VLOOKUP($D231,'Cari Kartlar'!$B$5:$C$204,2,FALSE)),"— tanımsız cari —")</f>
      </c>
      <c r="F231" s="8"/>
      <c r="G231" s="16">
        <f>IFERROR(IF($F231="","",VLOOKUP($F231,'Ürün Kartlar'!$B$5:$C$204,2,FALSE)),"— tanımsız ürün —")</f>
      </c>
      <c r="H231" s="17"/>
      <c r="I231" s="13">
        <f>IFERROR(IF($F231="","",IF($C231="Alış",VLOOKUP($F231,'Ürün Kartlar'!$B$5:$E$204,4,FALSE),VLOOKUP($F231,'Ürün Kartlar'!$B$5:$F$204,5,FALSE))),"")</f>
      </c>
      <c r="J231" s="11">
        <f>IFERROR(IF($F231="",Ayarlar!$C$9,VLOOKUP($F231,'Ürün Kartlar'!$B$5:$G$204,6,FALSE)),Ayarlar!$C$9)</f>
      </c>
      <c r="K231" s="18">
        <f>IF(OR($H231="",$I231=""),0,$H231*$I231)</f>
      </c>
      <c r="L231" s="18">
        <f>$K231*$J231</f>
      </c>
      <c r="M231" s="18">
        <f>$K231+$L231</f>
      </c>
      <c r="N231" s="8"/>
      <c r="O231" s="8"/>
      <c r="P231" s="8"/>
    </row>
    <row r="232" spans="2:16" x14ac:dyDescent="0.25">
      <c r="B232" s="19"/>
      <c r="C232" s="20"/>
      <c r="D232" s="20"/>
      <c r="E232" s="16">
        <f>IFERROR(IF($D232="","",VLOOKUP($D232,'Cari Kartlar'!$B$5:$C$204,2,FALSE)),"— tanımsız cari —")</f>
      </c>
      <c r="F232" s="20"/>
      <c r="G232" s="16">
        <f>IFERROR(IF($F232="","",VLOOKUP($F232,'Ürün Kartlar'!$B$5:$C$204,2,FALSE)),"— tanımsız ürün —")</f>
      </c>
      <c r="H232" s="21"/>
      <c r="I232" s="22">
        <f>IFERROR(IF($F232="","",IF($C232="Alış",VLOOKUP($F232,'Ürün Kartlar'!$B$5:$E$204,4,FALSE),VLOOKUP($F232,'Ürün Kartlar'!$B$5:$F$204,5,FALSE))),"")</f>
      </c>
      <c r="J232" s="23">
        <f>IFERROR(IF($F232="",Ayarlar!$C$9,VLOOKUP($F232,'Ürün Kartlar'!$B$5:$G$204,6,FALSE)),Ayarlar!$C$9)</f>
      </c>
      <c r="K232" s="18">
        <f>IF(OR($H232="",$I232=""),0,$H232*$I232)</f>
      </c>
      <c r="L232" s="18">
        <f>$K232*$J232</f>
      </c>
      <c r="M232" s="18">
        <f>$K232+$L232</f>
      </c>
      <c r="N232" s="20"/>
      <c r="O232" s="20"/>
      <c r="P232" s="20"/>
    </row>
    <row r="233" spans="2:16" x14ac:dyDescent="0.25">
      <c r="B233" s="15"/>
      <c r="C233" s="8"/>
      <c r="D233" s="8"/>
      <c r="E233" s="16">
        <f>IFERROR(IF($D233="","",VLOOKUP($D233,'Cari Kartlar'!$B$5:$C$204,2,FALSE)),"— tanımsız cari —")</f>
      </c>
      <c r="F233" s="8"/>
      <c r="G233" s="16">
        <f>IFERROR(IF($F233="","",VLOOKUP($F233,'Ürün Kartlar'!$B$5:$C$204,2,FALSE)),"— tanımsız ürün —")</f>
      </c>
      <c r="H233" s="17"/>
      <c r="I233" s="13">
        <f>IFERROR(IF($F233="","",IF($C233="Alış",VLOOKUP($F233,'Ürün Kartlar'!$B$5:$E$204,4,FALSE),VLOOKUP($F233,'Ürün Kartlar'!$B$5:$F$204,5,FALSE))),"")</f>
      </c>
      <c r="J233" s="11">
        <f>IFERROR(IF($F233="",Ayarlar!$C$9,VLOOKUP($F233,'Ürün Kartlar'!$B$5:$G$204,6,FALSE)),Ayarlar!$C$9)</f>
      </c>
      <c r="K233" s="18">
        <f>IF(OR($H233="",$I233=""),0,$H233*$I233)</f>
      </c>
      <c r="L233" s="18">
        <f>$K233*$J233</f>
      </c>
      <c r="M233" s="18">
        <f>$K233+$L233</f>
      </c>
      <c r="N233" s="8"/>
      <c r="O233" s="8"/>
      <c r="P233" s="8"/>
    </row>
    <row r="234" spans="2:16" x14ac:dyDescent="0.25">
      <c r="B234" s="19"/>
      <c r="C234" s="20"/>
      <c r="D234" s="20"/>
      <c r="E234" s="16">
        <f>IFERROR(IF($D234="","",VLOOKUP($D234,'Cari Kartlar'!$B$5:$C$204,2,FALSE)),"— tanımsız cari —")</f>
      </c>
      <c r="F234" s="20"/>
      <c r="G234" s="16">
        <f>IFERROR(IF($F234="","",VLOOKUP($F234,'Ürün Kartlar'!$B$5:$C$204,2,FALSE)),"— tanımsız ürün —")</f>
      </c>
      <c r="H234" s="21"/>
      <c r="I234" s="22">
        <f>IFERROR(IF($F234="","",IF($C234="Alış",VLOOKUP($F234,'Ürün Kartlar'!$B$5:$E$204,4,FALSE),VLOOKUP($F234,'Ürün Kartlar'!$B$5:$F$204,5,FALSE))),"")</f>
      </c>
      <c r="J234" s="23">
        <f>IFERROR(IF($F234="",Ayarlar!$C$9,VLOOKUP($F234,'Ürün Kartlar'!$B$5:$G$204,6,FALSE)),Ayarlar!$C$9)</f>
      </c>
      <c r="K234" s="18">
        <f>IF(OR($H234="",$I234=""),0,$H234*$I234)</f>
      </c>
      <c r="L234" s="18">
        <f>$K234*$J234</f>
      </c>
      <c r="M234" s="18">
        <f>$K234+$L234</f>
      </c>
      <c r="N234" s="20"/>
      <c r="O234" s="20"/>
      <c r="P234" s="20"/>
    </row>
    <row r="235" spans="2:16" x14ac:dyDescent="0.25">
      <c r="B235" s="15"/>
      <c r="C235" s="8"/>
      <c r="D235" s="8"/>
      <c r="E235" s="16">
        <f>IFERROR(IF($D235="","",VLOOKUP($D235,'Cari Kartlar'!$B$5:$C$204,2,FALSE)),"— tanımsız cari —")</f>
      </c>
      <c r="F235" s="8"/>
      <c r="G235" s="16">
        <f>IFERROR(IF($F235="","",VLOOKUP($F235,'Ürün Kartlar'!$B$5:$C$204,2,FALSE)),"— tanımsız ürün —")</f>
      </c>
      <c r="H235" s="17"/>
      <c r="I235" s="13">
        <f>IFERROR(IF($F235="","",IF($C235="Alış",VLOOKUP($F235,'Ürün Kartlar'!$B$5:$E$204,4,FALSE),VLOOKUP($F235,'Ürün Kartlar'!$B$5:$F$204,5,FALSE))),"")</f>
      </c>
      <c r="J235" s="11">
        <f>IFERROR(IF($F235="",Ayarlar!$C$9,VLOOKUP($F235,'Ürün Kartlar'!$B$5:$G$204,6,FALSE)),Ayarlar!$C$9)</f>
      </c>
      <c r="K235" s="18">
        <f>IF(OR($H235="",$I235=""),0,$H235*$I235)</f>
      </c>
      <c r="L235" s="18">
        <f>$K235*$J235</f>
      </c>
      <c r="M235" s="18">
        <f>$K235+$L235</f>
      </c>
      <c r="N235" s="8"/>
      <c r="O235" s="8"/>
      <c r="P235" s="8"/>
    </row>
    <row r="236" spans="2:16" x14ac:dyDescent="0.25">
      <c r="B236" s="19"/>
      <c r="C236" s="20"/>
      <c r="D236" s="20"/>
      <c r="E236" s="16">
        <f>IFERROR(IF($D236="","",VLOOKUP($D236,'Cari Kartlar'!$B$5:$C$204,2,FALSE)),"— tanımsız cari —")</f>
      </c>
      <c r="F236" s="20"/>
      <c r="G236" s="16">
        <f>IFERROR(IF($F236="","",VLOOKUP($F236,'Ürün Kartlar'!$B$5:$C$204,2,FALSE)),"— tanımsız ürün —")</f>
      </c>
      <c r="H236" s="21"/>
      <c r="I236" s="22">
        <f>IFERROR(IF($F236="","",IF($C236="Alış",VLOOKUP($F236,'Ürün Kartlar'!$B$5:$E$204,4,FALSE),VLOOKUP($F236,'Ürün Kartlar'!$B$5:$F$204,5,FALSE))),"")</f>
      </c>
      <c r="J236" s="23">
        <f>IFERROR(IF($F236="",Ayarlar!$C$9,VLOOKUP($F236,'Ürün Kartlar'!$B$5:$G$204,6,FALSE)),Ayarlar!$C$9)</f>
      </c>
      <c r="K236" s="18">
        <f>IF(OR($H236="",$I236=""),0,$H236*$I236)</f>
      </c>
      <c r="L236" s="18">
        <f>$K236*$J236</f>
      </c>
      <c r="M236" s="18">
        <f>$K236+$L236</f>
      </c>
      <c r="N236" s="20"/>
      <c r="O236" s="20"/>
      <c r="P236" s="20"/>
    </row>
    <row r="237" spans="2:16" x14ac:dyDescent="0.25">
      <c r="B237" s="15"/>
      <c r="C237" s="8"/>
      <c r="D237" s="8"/>
      <c r="E237" s="16">
        <f>IFERROR(IF($D237="","",VLOOKUP($D237,'Cari Kartlar'!$B$5:$C$204,2,FALSE)),"— tanımsız cari —")</f>
      </c>
      <c r="F237" s="8"/>
      <c r="G237" s="16">
        <f>IFERROR(IF($F237="","",VLOOKUP($F237,'Ürün Kartlar'!$B$5:$C$204,2,FALSE)),"— tanımsız ürün —")</f>
      </c>
      <c r="H237" s="17"/>
      <c r="I237" s="13">
        <f>IFERROR(IF($F237="","",IF($C237="Alış",VLOOKUP($F237,'Ürün Kartlar'!$B$5:$E$204,4,FALSE),VLOOKUP($F237,'Ürün Kartlar'!$B$5:$F$204,5,FALSE))),"")</f>
      </c>
      <c r="J237" s="11">
        <f>IFERROR(IF($F237="",Ayarlar!$C$9,VLOOKUP($F237,'Ürün Kartlar'!$B$5:$G$204,6,FALSE)),Ayarlar!$C$9)</f>
      </c>
      <c r="K237" s="18">
        <f>IF(OR($H237="",$I237=""),0,$H237*$I237)</f>
      </c>
      <c r="L237" s="18">
        <f>$K237*$J237</f>
      </c>
      <c r="M237" s="18">
        <f>$K237+$L237</f>
      </c>
      <c r="N237" s="8"/>
      <c r="O237" s="8"/>
      <c r="P237" s="8"/>
    </row>
    <row r="238" spans="2:16" x14ac:dyDescent="0.25">
      <c r="B238" s="19"/>
      <c r="C238" s="20"/>
      <c r="D238" s="20"/>
      <c r="E238" s="16">
        <f>IFERROR(IF($D238="","",VLOOKUP($D238,'Cari Kartlar'!$B$5:$C$204,2,FALSE)),"— tanımsız cari —")</f>
      </c>
      <c r="F238" s="20"/>
      <c r="G238" s="16">
        <f>IFERROR(IF($F238="","",VLOOKUP($F238,'Ürün Kartlar'!$B$5:$C$204,2,FALSE)),"— tanımsız ürün —")</f>
      </c>
      <c r="H238" s="21"/>
      <c r="I238" s="22">
        <f>IFERROR(IF($F238="","",IF($C238="Alış",VLOOKUP($F238,'Ürün Kartlar'!$B$5:$E$204,4,FALSE),VLOOKUP($F238,'Ürün Kartlar'!$B$5:$F$204,5,FALSE))),"")</f>
      </c>
      <c r="J238" s="23">
        <f>IFERROR(IF($F238="",Ayarlar!$C$9,VLOOKUP($F238,'Ürün Kartlar'!$B$5:$G$204,6,FALSE)),Ayarlar!$C$9)</f>
      </c>
      <c r="K238" s="18">
        <f>IF(OR($H238="",$I238=""),0,$H238*$I238)</f>
      </c>
      <c r="L238" s="18">
        <f>$K238*$J238</f>
      </c>
      <c r="M238" s="18">
        <f>$K238+$L238</f>
      </c>
      <c r="N238" s="20"/>
      <c r="O238" s="20"/>
      <c r="P238" s="20"/>
    </row>
    <row r="239" spans="2:16" x14ac:dyDescent="0.25">
      <c r="B239" s="15"/>
      <c r="C239" s="8"/>
      <c r="D239" s="8"/>
      <c r="E239" s="16">
        <f>IFERROR(IF($D239="","",VLOOKUP($D239,'Cari Kartlar'!$B$5:$C$204,2,FALSE)),"— tanımsız cari —")</f>
      </c>
      <c r="F239" s="8"/>
      <c r="G239" s="16">
        <f>IFERROR(IF($F239="","",VLOOKUP($F239,'Ürün Kartlar'!$B$5:$C$204,2,FALSE)),"— tanımsız ürün —")</f>
      </c>
      <c r="H239" s="17"/>
      <c r="I239" s="13">
        <f>IFERROR(IF($F239="","",IF($C239="Alış",VLOOKUP($F239,'Ürün Kartlar'!$B$5:$E$204,4,FALSE),VLOOKUP($F239,'Ürün Kartlar'!$B$5:$F$204,5,FALSE))),"")</f>
      </c>
      <c r="J239" s="11">
        <f>IFERROR(IF($F239="",Ayarlar!$C$9,VLOOKUP($F239,'Ürün Kartlar'!$B$5:$G$204,6,FALSE)),Ayarlar!$C$9)</f>
      </c>
      <c r="K239" s="18">
        <f>IF(OR($H239="",$I239=""),0,$H239*$I239)</f>
      </c>
      <c r="L239" s="18">
        <f>$K239*$J239</f>
      </c>
      <c r="M239" s="18">
        <f>$K239+$L239</f>
      </c>
      <c r="N239" s="8"/>
      <c r="O239" s="8"/>
      <c r="P239" s="8"/>
    </row>
    <row r="240" spans="2:16" x14ac:dyDescent="0.25">
      <c r="B240" s="19"/>
      <c r="C240" s="20"/>
      <c r="D240" s="20"/>
      <c r="E240" s="16">
        <f>IFERROR(IF($D240="","",VLOOKUP($D240,'Cari Kartlar'!$B$5:$C$204,2,FALSE)),"— tanımsız cari —")</f>
      </c>
      <c r="F240" s="20"/>
      <c r="G240" s="16">
        <f>IFERROR(IF($F240="","",VLOOKUP($F240,'Ürün Kartlar'!$B$5:$C$204,2,FALSE)),"— tanımsız ürün —")</f>
      </c>
      <c r="H240" s="21"/>
      <c r="I240" s="22">
        <f>IFERROR(IF($F240="","",IF($C240="Alış",VLOOKUP($F240,'Ürün Kartlar'!$B$5:$E$204,4,FALSE),VLOOKUP($F240,'Ürün Kartlar'!$B$5:$F$204,5,FALSE))),"")</f>
      </c>
      <c r="J240" s="23">
        <f>IFERROR(IF($F240="",Ayarlar!$C$9,VLOOKUP($F240,'Ürün Kartlar'!$B$5:$G$204,6,FALSE)),Ayarlar!$C$9)</f>
      </c>
      <c r="K240" s="18">
        <f>IF(OR($H240="",$I240=""),0,$H240*$I240)</f>
      </c>
      <c r="L240" s="18">
        <f>$K240*$J240</f>
      </c>
      <c r="M240" s="18">
        <f>$K240+$L240</f>
      </c>
      <c r="N240" s="20"/>
      <c r="O240" s="20"/>
      <c r="P240" s="20"/>
    </row>
    <row r="241" spans="2:16" x14ac:dyDescent="0.25">
      <c r="B241" s="15"/>
      <c r="C241" s="8"/>
      <c r="D241" s="8"/>
      <c r="E241" s="16">
        <f>IFERROR(IF($D241="","",VLOOKUP($D241,'Cari Kartlar'!$B$5:$C$204,2,FALSE)),"— tanımsız cari —")</f>
      </c>
      <c r="F241" s="8"/>
      <c r="G241" s="16">
        <f>IFERROR(IF($F241="","",VLOOKUP($F241,'Ürün Kartlar'!$B$5:$C$204,2,FALSE)),"— tanımsız ürün —")</f>
      </c>
      <c r="H241" s="17"/>
      <c r="I241" s="13">
        <f>IFERROR(IF($F241="","",IF($C241="Alış",VLOOKUP($F241,'Ürün Kartlar'!$B$5:$E$204,4,FALSE),VLOOKUP($F241,'Ürün Kartlar'!$B$5:$F$204,5,FALSE))),"")</f>
      </c>
      <c r="J241" s="11">
        <f>IFERROR(IF($F241="",Ayarlar!$C$9,VLOOKUP($F241,'Ürün Kartlar'!$B$5:$G$204,6,FALSE)),Ayarlar!$C$9)</f>
      </c>
      <c r="K241" s="18">
        <f>IF(OR($H241="",$I241=""),0,$H241*$I241)</f>
      </c>
      <c r="L241" s="18">
        <f>$K241*$J241</f>
      </c>
      <c r="M241" s="18">
        <f>$K241+$L241</f>
      </c>
      <c r="N241" s="8"/>
      <c r="O241" s="8"/>
      <c r="P241" s="8"/>
    </row>
    <row r="242" spans="2:16" x14ac:dyDescent="0.25">
      <c r="B242" s="19"/>
      <c r="C242" s="20"/>
      <c r="D242" s="20"/>
      <c r="E242" s="16">
        <f>IFERROR(IF($D242="","",VLOOKUP($D242,'Cari Kartlar'!$B$5:$C$204,2,FALSE)),"— tanımsız cari —")</f>
      </c>
      <c r="F242" s="20"/>
      <c r="G242" s="16">
        <f>IFERROR(IF($F242="","",VLOOKUP($F242,'Ürün Kartlar'!$B$5:$C$204,2,FALSE)),"— tanımsız ürün —")</f>
      </c>
      <c r="H242" s="21"/>
      <c r="I242" s="22">
        <f>IFERROR(IF($F242="","",IF($C242="Alış",VLOOKUP($F242,'Ürün Kartlar'!$B$5:$E$204,4,FALSE),VLOOKUP($F242,'Ürün Kartlar'!$B$5:$F$204,5,FALSE))),"")</f>
      </c>
      <c r="J242" s="23">
        <f>IFERROR(IF($F242="",Ayarlar!$C$9,VLOOKUP($F242,'Ürün Kartlar'!$B$5:$G$204,6,FALSE)),Ayarlar!$C$9)</f>
      </c>
      <c r="K242" s="18">
        <f>IF(OR($H242="",$I242=""),0,$H242*$I242)</f>
      </c>
      <c r="L242" s="18">
        <f>$K242*$J242</f>
      </c>
      <c r="M242" s="18">
        <f>$K242+$L242</f>
      </c>
      <c r="N242" s="20"/>
      <c r="O242" s="20"/>
      <c r="P242" s="20"/>
    </row>
    <row r="243" spans="2:16" x14ac:dyDescent="0.25">
      <c r="B243" s="15"/>
      <c r="C243" s="8"/>
      <c r="D243" s="8"/>
      <c r="E243" s="16">
        <f>IFERROR(IF($D243="","",VLOOKUP($D243,'Cari Kartlar'!$B$5:$C$204,2,FALSE)),"— tanımsız cari —")</f>
      </c>
      <c r="F243" s="8"/>
      <c r="G243" s="16">
        <f>IFERROR(IF($F243="","",VLOOKUP($F243,'Ürün Kartlar'!$B$5:$C$204,2,FALSE)),"— tanımsız ürün —")</f>
      </c>
      <c r="H243" s="17"/>
      <c r="I243" s="13">
        <f>IFERROR(IF($F243="","",IF($C243="Alış",VLOOKUP($F243,'Ürün Kartlar'!$B$5:$E$204,4,FALSE),VLOOKUP($F243,'Ürün Kartlar'!$B$5:$F$204,5,FALSE))),"")</f>
      </c>
      <c r="J243" s="11">
        <f>IFERROR(IF($F243="",Ayarlar!$C$9,VLOOKUP($F243,'Ürün Kartlar'!$B$5:$G$204,6,FALSE)),Ayarlar!$C$9)</f>
      </c>
      <c r="K243" s="18">
        <f>IF(OR($H243="",$I243=""),0,$H243*$I243)</f>
      </c>
      <c r="L243" s="18">
        <f>$K243*$J243</f>
      </c>
      <c r="M243" s="18">
        <f>$K243+$L243</f>
      </c>
      <c r="N243" s="8"/>
      <c r="O243" s="8"/>
      <c r="P243" s="8"/>
    </row>
    <row r="244" spans="2:16" x14ac:dyDescent="0.25">
      <c r="B244" s="19"/>
      <c r="C244" s="20"/>
      <c r="D244" s="20"/>
      <c r="E244" s="16">
        <f>IFERROR(IF($D244="","",VLOOKUP($D244,'Cari Kartlar'!$B$5:$C$204,2,FALSE)),"— tanımsız cari —")</f>
      </c>
      <c r="F244" s="20"/>
      <c r="G244" s="16">
        <f>IFERROR(IF($F244="","",VLOOKUP($F244,'Ürün Kartlar'!$B$5:$C$204,2,FALSE)),"— tanımsız ürün —")</f>
      </c>
      <c r="H244" s="21"/>
      <c r="I244" s="22">
        <f>IFERROR(IF($F244="","",IF($C244="Alış",VLOOKUP($F244,'Ürün Kartlar'!$B$5:$E$204,4,FALSE),VLOOKUP($F244,'Ürün Kartlar'!$B$5:$F$204,5,FALSE))),"")</f>
      </c>
      <c r="J244" s="23">
        <f>IFERROR(IF($F244="",Ayarlar!$C$9,VLOOKUP($F244,'Ürün Kartlar'!$B$5:$G$204,6,FALSE)),Ayarlar!$C$9)</f>
      </c>
      <c r="K244" s="18">
        <f>IF(OR($H244="",$I244=""),0,$H244*$I244)</f>
      </c>
      <c r="L244" s="18">
        <f>$K244*$J244</f>
      </c>
      <c r="M244" s="18">
        <f>$K244+$L244</f>
      </c>
      <c r="N244" s="20"/>
      <c r="O244" s="20"/>
      <c r="P244" s="20"/>
    </row>
    <row r="245" spans="2:16" x14ac:dyDescent="0.25">
      <c r="B245" s="15"/>
      <c r="C245" s="8"/>
      <c r="D245" s="8"/>
      <c r="E245" s="16">
        <f>IFERROR(IF($D245="","",VLOOKUP($D245,'Cari Kartlar'!$B$5:$C$204,2,FALSE)),"— tanımsız cari —")</f>
      </c>
      <c r="F245" s="8"/>
      <c r="G245" s="16">
        <f>IFERROR(IF($F245="","",VLOOKUP($F245,'Ürün Kartlar'!$B$5:$C$204,2,FALSE)),"— tanımsız ürün —")</f>
      </c>
      <c r="H245" s="17"/>
      <c r="I245" s="13">
        <f>IFERROR(IF($F245="","",IF($C245="Alış",VLOOKUP($F245,'Ürün Kartlar'!$B$5:$E$204,4,FALSE),VLOOKUP($F245,'Ürün Kartlar'!$B$5:$F$204,5,FALSE))),"")</f>
      </c>
      <c r="J245" s="11">
        <f>IFERROR(IF($F245="",Ayarlar!$C$9,VLOOKUP($F245,'Ürün Kartlar'!$B$5:$G$204,6,FALSE)),Ayarlar!$C$9)</f>
      </c>
      <c r="K245" s="18">
        <f>IF(OR($H245="",$I245=""),0,$H245*$I245)</f>
      </c>
      <c r="L245" s="18">
        <f>$K245*$J245</f>
      </c>
      <c r="M245" s="18">
        <f>$K245+$L245</f>
      </c>
      <c r="N245" s="8"/>
      <c r="O245" s="8"/>
      <c r="P245" s="8"/>
    </row>
    <row r="246" spans="2:16" x14ac:dyDescent="0.25">
      <c r="B246" s="19"/>
      <c r="C246" s="20"/>
      <c r="D246" s="20"/>
      <c r="E246" s="16">
        <f>IFERROR(IF($D246="","",VLOOKUP($D246,'Cari Kartlar'!$B$5:$C$204,2,FALSE)),"— tanımsız cari —")</f>
      </c>
      <c r="F246" s="20"/>
      <c r="G246" s="16">
        <f>IFERROR(IF($F246="","",VLOOKUP($F246,'Ürün Kartlar'!$B$5:$C$204,2,FALSE)),"— tanımsız ürün —")</f>
      </c>
      <c r="H246" s="21"/>
      <c r="I246" s="22">
        <f>IFERROR(IF($F246="","",IF($C246="Alış",VLOOKUP($F246,'Ürün Kartlar'!$B$5:$E$204,4,FALSE),VLOOKUP($F246,'Ürün Kartlar'!$B$5:$F$204,5,FALSE))),"")</f>
      </c>
      <c r="J246" s="23">
        <f>IFERROR(IF($F246="",Ayarlar!$C$9,VLOOKUP($F246,'Ürün Kartlar'!$B$5:$G$204,6,FALSE)),Ayarlar!$C$9)</f>
      </c>
      <c r="K246" s="18">
        <f>IF(OR($H246="",$I246=""),0,$H246*$I246)</f>
      </c>
      <c r="L246" s="18">
        <f>$K246*$J246</f>
      </c>
      <c r="M246" s="18">
        <f>$K246+$L246</f>
      </c>
      <c r="N246" s="20"/>
      <c r="O246" s="20"/>
      <c r="P246" s="20"/>
    </row>
    <row r="247" spans="2:16" x14ac:dyDescent="0.25">
      <c r="B247" s="15"/>
      <c r="C247" s="8"/>
      <c r="D247" s="8"/>
      <c r="E247" s="16">
        <f>IFERROR(IF($D247="","",VLOOKUP($D247,'Cari Kartlar'!$B$5:$C$204,2,FALSE)),"— tanımsız cari —")</f>
      </c>
      <c r="F247" s="8"/>
      <c r="G247" s="16">
        <f>IFERROR(IF($F247="","",VLOOKUP($F247,'Ürün Kartlar'!$B$5:$C$204,2,FALSE)),"— tanımsız ürün —")</f>
      </c>
      <c r="H247" s="17"/>
      <c r="I247" s="13">
        <f>IFERROR(IF($F247="","",IF($C247="Alış",VLOOKUP($F247,'Ürün Kartlar'!$B$5:$E$204,4,FALSE),VLOOKUP($F247,'Ürün Kartlar'!$B$5:$F$204,5,FALSE))),"")</f>
      </c>
      <c r="J247" s="11">
        <f>IFERROR(IF($F247="",Ayarlar!$C$9,VLOOKUP($F247,'Ürün Kartlar'!$B$5:$G$204,6,FALSE)),Ayarlar!$C$9)</f>
      </c>
      <c r="K247" s="18">
        <f>IF(OR($H247="",$I247=""),0,$H247*$I247)</f>
      </c>
      <c r="L247" s="18">
        <f>$K247*$J247</f>
      </c>
      <c r="M247" s="18">
        <f>$K247+$L247</f>
      </c>
      <c r="N247" s="8"/>
      <c r="O247" s="8"/>
      <c r="P247" s="8"/>
    </row>
    <row r="248" spans="2:16" x14ac:dyDescent="0.25">
      <c r="B248" s="19"/>
      <c r="C248" s="20"/>
      <c r="D248" s="20"/>
      <c r="E248" s="16">
        <f>IFERROR(IF($D248="","",VLOOKUP($D248,'Cari Kartlar'!$B$5:$C$204,2,FALSE)),"— tanımsız cari —")</f>
      </c>
      <c r="F248" s="20"/>
      <c r="G248" s="16">
        <f>IFERROR(IF($F248="","",VLOOKUP($F248,'Ürün Kartlar'!$B$5:$C$204,2,FALSE)),"— tanımsız ürün —")</f>
      </c>
      <c r="H248" s="21"/>
      <c r="I248" s="22">
        <f>IFERROR(IF($F248="","",IF($C248="Alış",VLOOKUP($F248,'Ürün Kartlar'!$B$5:$E$204,4,FALSE),VLOOKUP($F248,'Ürün Kartlar'!$B$5:$F$204,5,FALSE))),"")</f>
      </c>
      <c r="J248" s="23">
        <f>IFERROR(IF($F248="",Ayarlar!$C$9,VLOOKUP($F248,'Ürün Kartlar'!$B$5:$G$204,6,FALSE)),Ayarlar!$C$9)</f>
      </c>
      <c r="K248" s="18">
        <f>IF(OR($H248="",$I248=""),0,$H248*$I248)</f>
      </c>
      <c r="L248" s="18">
        <f>$K248*$J248</f>
      </c>
      <c r="M248" s="18">
        <f>$K248+$L248</f>
      </c>
      <c r="N248" s="20"/>
      <c r="O248" s="20"/>
      <c r="P248" s="20"/>
    </row>
    <row r="249" spans="2:16" x14ac:dyDescent="0.25">
      <c r="B249" s="15"/>
      <c r="C249" s="8"/>
      <c r="D249" s="8"/>
      <c r="E249" s="16">
        <f>IFERROR(IF($D249="","",VLOOKUP($D249,'Cari Kartlar'!$B$5:$C$204,2,FALSE)),"— tanımsız cari —")</f>
      </c>
      <c r="F249" s="8"/>
      <c r="G249" s="16">
        <f>IFERROR(IF($F249="","",VLOOKUP($F249,'Ürün Kartlar'!$B$5:$C$204,2,FALSE)),"— tanımsız ürün —")</f>
      </c>
      <c r="H249" s="17"/>
      <c r="I249" s="13">
        <f>IFERROR(IF($F249="","",IF($C249="Alış",VLOOKUP($F249,'Ürün Kartlar'!$B$5:$E$204,4,FALSE),VLOOKUP($F249,'Ürün Kartlar'!$B$5:$F$204,5,FALSE))),"")</f>
      </c>
      <c r="J249" s="11">
        <f>IFERROR(IF($F249="",Ayarlar!$C$9,VLOOKUP($F249,'Ürün Kartlar'!$B$5:$G$204,6,FALSE)),Ayarlar!$C$9)</f>
      </c>
      <c r="K249" s="18">
        <f>IF(OR($H249="",$I249=""),0,$H249*$I249)</f>
      </c>
      <c r="L249" s="18">
        <f>$K249*$J249</f>
      </c>
      <c r="M249" s="18">
        <f>$K249+$L249</f>
      </c>
      <c r="N249" s="8"/>
      <c r="O249" s="8"/>
      <c r="P249" s="8"/>
    </row>
    <row r="250" spans="2:16" x14ac:dyDescent="0.25">
      <c r="B250" s="19"/>
      <c r="C250" s="20"/>
      <c r="D250" s="20"/>
      <c r="E250" s="16">
        <f>IFERROR(IF($D250="","",VLOOKUP($D250,'Cari Kartlar'!$B$5:$C$204,2,FALSE)),"— tanımsız cari —")</f>
      </c>
      <c r="F250" s="20"/>
      <c r="G250" s="16">
        <f>IFERROR(IF($F250="","",VLOOKUP($F250,'Ürün Kartlar'!$B$5:$C$204,2,FALSE)),"— tanımsız ürün —")</f>
      </c>
      <c r="H250" s="21"/>
      <c r="I250" s="22">
        <f>IFERROR(IF($F250="","",IF($C250="Alış",VLOOKUP($F250,'Ürün Kartlar'!$B$5:$E$204,4,FALSE),VLOOKUP($F250,'Ürün Kartlar'!$B$5:$F$204,5,FALSE))),"")</f>
      </c>
      <c r="J250" s="23">
        <f>IFERROR(IF($F250="",Ayarlar!$C$9,VLOOKUP($F250,'Ürün Kartlar'!$B$5:$G$204,6,FALSE)),Ayarlar!$C$9)</f>
      </c>
      <c r="K250" s="18">
        <f>IF(OR($H250="",$I250=""),0,$H250*$I250)</f>
      </c>
      <c r="L250" s="18">
        <f>$K250*$J250</f>
      </c>
      <c r="M250" s="18">
        <f>$K250+$L250</f>
      </c>
      <c r="N250" s="20"/>
      <c r="O250" s="20"/>
      <c r="P250" s="20"/>
    </row>
    <row r="251" spans="2:16" x14ac:dyDescent="0.25">
      <c r="B251" s="15"/>
      <c r="C251" s="8"/>
      <c r="D251" s="8"/>
      <c r="E251" s="16">
        <f>IFERROR(IF($D251="","",VLOOKUP($D251,'Cari Kartlar'!$B$5:$C$204,2,FALSE)),"— tanımsız cari —")</f>
      </c>
      <c r="F251" s="8"/>
      <c r="G251" s="16">
        <f>IFERROR(IF($F251="","",VLOOKUP($F251,'Ürün Kartlar'!$B$5:$C$204,2,FALSE)),"— tanımsız ürün —")</f>
      </c>
      <c r="H251" s="17"/>
      <c r="I251" s="13">
        <f>IFERROR(IF($F251="","",IF($C251="Alış",VLOOKUP($F251,'Ürün Kartlar'!$B$5:$E$204,4,FALSE),VLOOKUP($F251,'Ürün Kartlar'!$B$5:$F$204,5,FALSE))),"")</f>
      </c>
      <c r="J251" s="11">
        <f>IFERROR(IF($F251="",Ayarlar!$C$9,VLOOKUP($F251,'Ürün Kartlar'!$B$5:$G$204,6,FALSE)),Ayarlar!$C$9)</f>
      </c>
      <c r="K251" s="18">
        <f>IF(OR($H251="",$I251=""),0,$H251*$I251)</f>
      </c>
      <c r="L251" s="18">
        <f>$K251*$J251</f>
      </c>
      <c r="M251" s="18">
        <f>$K251+$L251</f>
      </c>
      <c r="N251" s="8"/>
      <c r="O251" s="8"/>
      <c r="P251" s="8"/>
    </row>
    <row r="252" spans="2:16" x14ac:dyDescent="0.25">
      <c r="B252" s="19"/>
      <c r="C252" s="20"/>
      <c r="D252" s="20"/>
      <c r="E252" s="16">
        <f>IFERROR(IF($D252="","",VLOOKUP($D252,'Cari Kartlar'!$B$5:$C$204,2,FALSE)),"— tanımsız cari —")</f>
      </c>
      <c r="F252" s="20"/>
      <c r="G252" s="16">
        <f>IFERROR(IF($F252="","",VLOOKUP($F252,'Ürün Kartlar'!$B$5:$C$204,2,FALSE)),"— tanımsız ürün —")</f>
      </c>
      <c r="H252" s="21"/>
      <c r="I252" s="22">
        <f>IFERROR(IF($F252="","",IF($C252="Alış",VLOOKUP($F252,'Ürün Kartlar'!$B$5:$E$204,4,FALSE),VLOOKUP($F252,'Ürün Kartlar'!$B$5:$F$204,5,FALSE))),"")</f>
      </c>
      <c r="J252" s="23">
        <f>IFERROR(IF($F252="",Ayarlar!$C$9,VLOOKUP($F252,'Ürün Kartlar'!$B$5:$G$204,6,FALSE)),Ayarlar!$C$9)</f>
      </c>
      <c r="K252" s="18">
        <f>IF(OR($H252="",$I252=""),0,$H252*$I252)</f>
      </c>
      <c r="L252" s="18">
        <f>$K252*$J252</f>
      </c>
      <c r="M252" s="18">
        <f>$K252+$L252</f>
      </c>
      <c r="N252" s="20"/>
      <c r="O252" s="20"/>
      <c r="P252" s="20"/>
    </row>
    <row r="253" spans="2:16" x14ac:dyDescent="0.25">
      <c r="B253" s="15"/>
      <c r="C253" s="8"/>
      <c r="D253" s="8"/>
      <c r="E253" s="16">
        <f>IFERROR(IF($D253="","",VLOOKUP($D253,'Cari Kartlar'!$B$5:$C$204,2,FALSE)),"— tanımsız cari —")</f>
      </c>
      <c r="F253" s="8"/>
      <c r="G253" s="16">
        <f>IFERROR(IF($F253="","",VLOOKUP($F253,'Ürün Kartlar'!$B$5:$C$204,2,FALSE)),"— tanımsız ürün —")</f>
      </c>
      <c r="H253" s="17"/>
      <c r="I253" s="13">
        <f>IFERROR(IF($F253="","",IF($C253="Alış",VLOOKUP($F253,'Ürün Kartlar'!$B$5:$E$204,4,FALSE),VLOOKUP($F253,'Ürün Kartlar'!$B$5:$F$204,5,FALSE))),"")</f>
      </c>
      <c r="J253" s="11">
        <f>IFERROR(IF($F253="",Ayarlar!$C$9,VLOOKUP($F253,'Ürün Kartlar'!$B$5:$G$204,6,FALSE)),Ayarlar!$C$9)</f>
      </c>
      <c r="K253" s="18">
        <f>IF(OR($H253="",$I253=""),0,$H253*$I253)</f>
      </c>
      <c r="L253" s="18">
        <f>$K253*$J253</f>
      </c>
      <c r="M253" s="18">
        <f>$K253+$L253</f>
      </c>
      <c r="N253" s="8"/>
      <c r="O253" s="8"/>
      <c r="P253" s="8"/>
    </row>
    <row r="254" spans="2:16" x14ac:dyDescent="0.25">
      <c r="B254" s="19"/>
      <c r="C254" s="20"/>
      <c r="D254" s="20"/>
      <c r="E254" s="16">
        <f>IFERROR(IF($D254="","",VLOOKUP($D254,'Cari Kartlar'!$B$5:$C$204,2,FALSE)),"— tanımsız cari —")</f>
      </c>
      <c r="F254" s="20"/>
      <c r="G254" s="16">
        <f>IFERROR(IF($F254="","",VLOOKUP($F254,'Ürün Kartlar'!$B$5:$C$204,2,FALSE)),"— tanımsız ürün —")</f>
      </c>
      <c r="H254" s="21"/>
      <c r="I254" s="22">
        <f>IFERROR(IF($F254="","",IF($C254="Alış",VLOOKUP($F254,'Ürün Kartlar'!$B$5:$E$204,4,FALSE),VLOOKUP($F254,'Ürün Kartlar'!$B$5:$F$204,5,FALSE))),"")</f>
      </c>
      <c r="J254" s="23">
        <f>IFERROR(IF($F254="",Ayarlar!$C$9,VLOOKUP($F254,'Ürün Kartlar'!$B$5:$G$204,6,FALSE)),Ayarlar!$C$9)</f>
      </c>
      <c r="K254" s="18">
        <f>IF(OR($H254="",$I254=""),0,$H254*$I254)</f>
      </c>
      <c r="L254" s="18">
        <f>$K254*$J254</f>
      </c>
      <c r="M254" s="18">
        <f>$K254+$L254</f>
      </c>
      <c r="N254" s="20"/>
      <c r="O254" s="20"/>
      <c r="P254" s="20"/>
    </row>
    <row r="255" spans="2:16" x14ac:dyDescent="0.25">
      <c r="B255" s="15"/>
      <c r="C255" s="8"/>
      <c r="D255" s="8"/>
      <c r="E255" s="16">
        <f>IFERROR(IF($D255="","",VLOOKUP($D255,'Cari Kartlar'!$B$5:$C$204,2,FALSE)),"— tanımsız cari —")</f>
      </c>
      <c r="F255" s="8"/>
      <c r="G255" s="16">
        <f>IFERROR(IF($F255="","",VLOOKUP($F255,'Ürün Kartlar'!$B$5:$C$204,2,FALSE)),"— tanımsız ürün —")</f>
      </c>
      <c r="H255" s="17"/>
      <c r="I255" s="13">
        <f>IFERROR(IF($F255="","",IF($C255="Alış",VLOOKUP($F255,'Ürün Kartlar'!$B$5:$E$204,4,FALSE),VLOOKUP($F255,'Ürün Kartlar'!$B$5:$F$204,5,FALSE))),"")</f>
      </c>
      <c r="J255" s="11">
        <f>IFERROR(IF($F255="",Ayarlar!$C$9,VLOOKUP($F255,'Ürün Kartlar'!$B$5:$G$204,6,FALSE)),Ayarlar!$C$9)</f>
      </c>
      <c r="K255" s="18">
        <f>IF(OR($H255="",$I255=""),0,$H255*$I255)</f>
      </c>
      <c r="L255" s="18">
        <f>$K255*$J255</f>
      </c>
      <c r="M255" s="18">
        <f>$K255+$L255</f>
      </c>
      <c r="N255" s="8"/>
      <c r="O255" s="8"/>
      <c r="P255" s="8"/>
    </row>
    <row r="256" spans="2:16" x14ac:dyDescent="0.25">
      <c r="B256" s="19"/>
      <c r="C256" s="20"/>
      <c r="D256" s="20"/>
      <c r="E256" s="16">
        <f>IFERROR(IF($D256="","",VLOOKUP($D256,'Cari Kartlar'!$B$5:$C$204,2,FALSE)),"— tanımsız cari —")</f>
      </c>
      <c r="F256" s="20"/>
      <c r="G256" s="16">
        <f>IFERROR(IF($F256="","",VLOOKUP($F256,'Ürün Kartlar'!$B$5:$C$204,2,FALSE)),"— tanımsız ürün —")</f>
      </c>
      <c r="H256" s="21"/>
      <c r="I256" s="22">
        <f>IFERROR(IF($F256="","",IF($C256="Alış",VLOOKUP($F256,'Ürün Kartlar'!$B$5:$E$204,4,FALSE),VLOOKUP($F256,'Ürün Kartlar'!$B$5:$F$204,5,FALSE))),"")</f>
      </c>
      <c r="J256" s="23">
        <f>IFERROR(IF($F256="",Ayarlar!$C$9,VLOOKUP($F256,'Ürün Kartlar'!$B$5:$G$204,6,FALSE)),Ayarlar!$C$9)</f>
      </c>
      <c r="K256" s="18">
        <f>IF(OR($H256="",$I256=""),0,$H256*$I256)</f>
      </c>
      <c r="L256" s="18">
        <f>$K256*$J256</f>
      </c>
      <c r="M256" s="18">
        <f>$K256+$L256</f>
      </c>
      <c r="N256" s="20"/>
      <c r="O256" s="20"/>
      <c r="P256" s="20"/>
    </row>
    <row r="257" spans="2:16" x14ac:dyDescent="0.25">
      <c r="B257" s="15"/>
      <c r="C257" s="8"/>
      <c r="D257" s="8"/>
      <c r="E257" s="16">
        <f>IFERROR(IF($D257="","",VLOOKUP($D257,'Cari Kartlar'!$B$5:$C$204,2,FALSE)),"— tanımsız cari —")</f>
      </c>
      <c r="F257" s="8"/>
      <c r="G257" s="16">
        <f>IFERROR(IF($F257="","",VLOOKUP($F257,'Ürün Kartlar'!$B$5:$C$204,2,FALSE)),"— tanımsız ürün —")</f>
      </c>
      <c r="H257" s="17"/>
      <c r="I257" s="13">
        <f>IFERROR(IF($F257="","",IF($C257="Alış",VLOOKUP($F257,'Ürün Kartlar'!$B$5:$E$204,4,FALSE),VLOOKUP($F257,'Ürün Kartlar'!$B$5:$F$204,5,FALSE))),"")</f>
      </c>
      <c r="J257" s="11">
        <f>IFERROR(IF($F257="",Ayarlar!$C$9,VLOOKUP($F257,'Ürün Kartlar'!$B$5:$G$204,6,FALSE)),Ayarlar!$C$9)</f>
      </c>
      <c r="K257" s="18">
        <f>IF(OR($H257="",$I257=""),0,$H257*$I257)</f>
      </c>
      <c r="L257" s="18">
        <f>$K257*$J257</f>
      </c>
      <c r="M257" s="18">
        <f>$K257+$L257</f>
      </c>
      <c r="N257" s="8"/>
      <c r="O257" s="8"/>
      <c r="P257" s="8"/>
    </row>
    <row r="258" spans="2:16" x14ac:dyDescent="0.25">
      <c r="B258" s="19"/>
      <c r="C258" s="20"/>
      <c r="D258" s="20"/>
      <c r="E258" s="16">
        <f>IFERROR(IF($D258="","",VLOOKUP($D258,'Cari Kartlar'!$B$5:$C$204,2,FALSE)),"— tanımsız cari —")</f>
      </c>
      <c r="F258" s="20"/>
      <c r="G258" s="16">
        <f>IFERROR(IF($F258="","",VLOOKUP($F258,'Ürün Kartlar'!$B$5:$C$204,2,FALSE)),"— tanımsız ürün —")</f>
      </c>
      <c r="H258" s="21"/>
      <c r="I258" s="22">
        <f>IFERROR(IF($F258="","",IF($C258="Alış",VLOOKUP($F258,'Ürün Kartlar'!$B$5:$E$204,4,FALSE),VLOOKUP($F258,'Ürün Kartlar'!$B$5:$F$204,5,FALSE))),"")</f>
      </c>
      <c r="J258" s="23">
        <f>IFERROR(IF($F258="",Ayarlar!$C$9,VLOOKUP($F258,'Ürün Kartlar'!$B$5:$G$204,6,FALSE)),Ayarlar!$C$9)</f>
      </c>
      <c r="K258" s="18">
        <f>IF(OR($H258="",$I258=""),0,$H258*$I258)</f>
      </c>
      <c r="L258" s="18">
        <f>$K258*$J258</f>
      </c>
      <c r="M258" s="18">
        <f>$K258+$L258</f>
      </c>
      <c r="N258" s="20"/>
      <c r="O258" s="20"/>
      <c r="P258" s="20"/>
    </row>
    <row r="259" spans="2:16" x14ac:dyDescent="0.25">
      <c r="B259" s="15"/>
      <c r="C259" s="8"/>
      <c r="D259" s="8"/>
      <c r="E259" s="16">
        <f>IFERROR(IF($D259="","",VLOOKUP($D259,'Cari Kartlar'!$B$5:$C$204,2,FALSE)),"— tanımsız cari —")</f>
      </c>
      <c r="F259" s="8"/>
      <c r="G259" s="16">
        <f>IFERROR(IF($F259="","",VLOOKUP($F259,'Ürün Kartlar'!$B$5:$C$204,2,FALSE)),"— tanımsız ürün —")</f>
      </c>
      <c r="H259" s="17"/>
      <c r="I259" s="13">
        <f>IFERROR(IF($F259="","",IF($C259="Alış",VLOOKUP($F259,'Ürün Kartlar'!$B$5:$E$204,4,FALSE),VLOOKUP($F259,'Ürün Kartlar'!$B$5:$F$204,5,FALSE))),"")</f>
      </c>
      <c r="J259" s="11">
        <f>IFERROR(IF($F259="",Ayarlar!$C$9,VLOOKUP($F259,'Ürün Kartlar'!$B$5:$G$204,6,FALSE)),Ayarlar!$C$9)</f>
      </c>
      <c r="K259" s="18">
        <f>IF(OR($H259="",$I259=""),0,$H259*$I259)</f>
      </c>
      <c r="L259" s="18">
        <f>$K259*$J259</f>
      </c>
      <c r="M259" s="18">
        <f>$K259+$L259</f>
      </c>
      <c r="N259" s="8"/>
      <c r="O259" s="8"/>
      <c r="P259" s="8"/>
    </row>
    <row r="260" spans="2:16" x14ac:dyDescent="0.25">
      <c r="B260" s="19"/>
      <c r="C260" s="20"/>
      <c r="D260" s="20"/>
      <c r="E260" s="16">
        <f>IFERROR(IF($D260="","",VLOOKUP($D260,'Cari Kartlar'!$B$5:$C$204,2,FALSE)),"— tanımsız cari —")</f>
      </c>
      <c r="F260" s="20"/>
      <c r="G260" s="16">
        <f>IFERROR(IF($F260="","",VLOOKUP($F260,'Ürün Kartlar'!$B$5:$C$204,2,FALSE)),"— tanımsız ürün —")</f>
      </c>
      <c r="H260" s="21"/>
      <c r="I260" s="22">
        <f>IFERROR(IF($F260="","",IF($C260="Alış",VLOOKUP($F260,'Ürün Kartlar'!$B$5:$E$204,4,FALSE),VLOOKUP($F260,'Ürün Kartlar'!$B$5:$F$204,5,FALSE))),"")</f>
      </c>
      <c r="J260" s="23">
        <f>IFERROR(IF($F260="",Ayarlar!$C$9,VLOOKUP($F260,'Ürün Kartlar'!$B$5:$G$204,6,FALSE)),Ayarlar!$C$9)</f>
      </c>
      <c r="K260" s="18">
        <f>IF(OR($H260="",$I260=""),0,$H260*$I260)</f>
      </c>
      <c r="L260" s="18">
        <f>$K260*$J260</f>
      </c>
      <c r="M260" s="18">
        <f>$K260+$L260</f>
      </c>
      <c r="N260" s="20"/>
      <c r="O260" s="20"/>
      <c r="P260" s="20"/>
    </row>
    <row r="261" spans="2:16" x14ac:dyDescent="0.25">
      <c r="B261" s="15"/>
      <c r="C261" s="8"/>
      <c r="D261" s="8"/>
      <c r="E261" s="16">
        <f>IFERROR(IF($D261="","",VLOOKUP($D261,'Cari Kartlar'!$B$5:$C$204,2,FALSE)),"— tanımsız cari —")</f>
      </c>
      <c r="F261" s="8"/>
      <c r="G261" s="16">
        <f>IFERROR(IF($F261="","",VLOOKUP($F261,'Ürün Kartlar'!$B$5:$C$204,2,FALSE)),"— tanımsız ürün —")</f>
      </c>
      <c r="H261" s="17"/>
      <c r="I261" s="13">
        <f>IFERROR(IF($F261="","",IF($C261="Alış",VLOOKUP($F261,'Ürün Kartlar'!$B$5:$E$204,4,FALSE),VLOOKUP($F261,'Ürün Kartlar'!$B$5:$F$204,5,FALSE))),"")</f>
      </c>
      <c r="J261" s="11">
        <f>IFERROR(IF($F261="",Ayarlar!$C$9,VLOOKUP($F261,'Ürün Kartlar'!$B$5:$G$204,6,FALSE)),Ayarlar!$C$9)</f>
      </c>
      <c r="K261" s="18">
        <f>IF(OR($H261="",$I261=""),0,$H261*$I261)</f>
      </c>
      <c r="L261" s="18">
        <f>$K261*$J261</f>
      </c>
      <c r="M261" s="18">
        <f>$K261+$L261</f>
      </c>
      <c r="N261" s="8"/>
      <c r="O261" s="8"/>
      <c r="P261" s="8"/>
    </row>
    <row r="262" spans="2:16" x14ac:dyDescent="0.25">
      <c r="B262" s="19"/>
      <c r="C262" s="20"/>
      <c r="D262" s="20"/>
      <c r="E262" s="16">
        <f>IFERROR(IF($D262="","",VLOOKUP($D262,'Cari Kartlar'!$B$5:$C$204,2,FALSE)),"— tanımsız cari —")</f>
      </c>
      <c r="F262" s="20"/>
      <c r="G262" s="16">
        <f>IFERROR(IF($F262="","",VLOOKUP($F262,'Ürün Kartlar'!$B$5:$C$204,2,FALSE)),"— tanımsız ürün —")</f>
      </c>
      <c r="H262" s="21"/>
      <c r="I262" s="22">
        <f>IFERROR(IF($F262="","",IF($C262="Alış",VLOOKUP($F262,'Ürün Kartlar'!$B$5:$E$204,4,FALSE),VLOOKUP($F262,'Ürün Kartlar'!$B$5:$F$204,5,FALSE))),"")</f>
      </c>
      <c r="J262" s="23">
        <f>IFERROR(IF($F262="",Ayarlar!$C$9,VLOOKUP($F262,'Ürün Kartlar'!$B$5:$G$204,6,FALSE)),Ayarlar!$C$9)</f>
      </c>
      <c r="K262" s="18">
        <f>IF(OR($H262="",$I262=""),0,$H262*$I262)</f>
      </c>
      <c r="L262" s="18">
        <f>$K262*$J262</f>
      </c>
      <c r="M262" s="18">
        <f>$K262+$L262</f>
      </c>
      <c r="N262" s="20"/>
      <c r="O262" s="20"/>
      <c r="P262" s="20"/>
    </row>
    <row r="263" spans="2:16" x14ac:dyDescent="0.25">
      <c r="B263" s="15"/>
      <c r="C263" s="8"/>
      <c r="D263" s="8"/>
      <c r="E263" s="16">
        <f>IFERROR(IF($D263="","",VLOOKUP($D263,'Cari Kartlar'!$B$5:$C$204,2,FALSE)),"— tanımsız cari —")</f>
      </c>
      <c r="F263" s="8"/>
      <c r="G263" s="16">
        <f>IFERROR(IF($F263="","",VLOOKUP($F263,'Ürün Kartlar'!$B$5:$C$204,2,FALSE)),"— tanımsız ürün —")</f>
      </c>
      <c r="H263" s="17"/>
      <c r="I263" s="13">
        <f>IFERROR(IF($F263="","",IF($C263="Alış",VLOOKUP($F263,'Ürün Kartlar'!$B$5:$E$204,4,FALSE),VLOOKUP($F263,'Ürün Kartlar'!$B$5:$F$204,5,FALSE))),"")</f>
      </c>
      <c r="J263" s="11">
        <f>IFERROR(IF($F263="",Ayarlar!$C$9,VLOOKUP($F263,'Ürün Kartlar'!$B$5:$G$204,6,FALSE)),Ayarlar!$C$9)</f>
      </c>
      <c r="K263" s="18">
        <f>IF(OR($H263="",$I263=""),0,$H263*$I263)</f>
      </c>
      <c r="L263" s="18">
        <f>$K263*$J263</f>
      </c>
      <c r="M263" s="18">
        <f>$K263+$L263</f>
      </c>
      <c r="N263" s="8"/>
      <c r="O263" s="8"/>
      <c r="P263" s="8"/>
    </row>
    <row r="264" spans="2:16" x14ac:dyDescent="0.25">
      <c r="B264" s="19"/>
      <c r="C264" s="20"/>
      <c r="D264" s="20"/>
      <c r="E264" s="16">
        <f>IFERROR(IF($D264="","",VLOOKUP($D264,'Cari Kartlar'!$B$5:$C$204,2,FALSE)),"— tanımsız cari —")</f>
      </c>
      <c r="F264" s="20"/>
      <c r="G264" s="16">
        <f>IFERROR(IF($F264="","",VLOOKUP($F264,'Ürün Kartlar'!$B$5:$C$204,2,FALSE)),"— tanımsız ürün —")</f>
      </c>
      <c r="H264" s="21"/>
      <c r="I264" s="22">
        <f>IFERROR(IF($F264="","",IF($C264="Alış",VLOOKUP($F264,'Ürün Kartlar'!$B$5:$E$204,4,FALSE),VLOOKUP($F264,'Ürün Kartlar'!$B$5:$F$204,5,FALSE))),"")</f>
      </c>
      <c r="J264" s="23">
        <f>IFERROR(IF($F264="",Ayarlar!$C$9,VLOOKUP($F264,'Ürün Kartlar'!$B$5:$G$204,6,FALSE)),Ayarlar!$C$9)</f>
      </c>
      <c r="K264" s="18">
        <f>IF(OR($H264="",$I264=""),0,$H264*$I264)</f>
      </c>
      <c r="L264" s="18">
        <f>$K264*$J264</f>
      </c>
      <c r="M264" s="18">
        <f>$K264+$L264</f>
      </c>
      <c r="N264" s="20"/>
      <c r="O264" s="20"/>
      <c r="P264" s="20"/>
    </row>
    <row r="265" spans="2:16" x14ac:dyDescent="0.25">
      <c r="B265" s="15"/>
      <c r="C265" s="8"/>
      <c r="D265" s="8"/>
      <c r="E265" s="16">
        <f>IFERROR(IF($D265="","",VLOOKUP($D265,'Cari Kartlar'!$B$5:$C$204,2,FALSE)),"— tanımsız cari —")</f>
      </c>
      <c r="F265" s="8"/>
      <c r="G265" s="16">
        <f>IFERROR(IF($F265="","",VLOOKUP($F265,'Ürün Kartlar'!$B$5:$C$204,2,FALSE)),"— tanımsız ürün —")</f>
      </c>
      <c r="H265" s="17"/>
      <c r="I265" s="13">
        <f>IFERROR(IF($F265="","",IF($C265="Alış",VLOOKUP($F265,'Ürün Kartlar'!$B$5:$E$204,4,FALSE),VLOOKUP($F265,'Ürün Kartlar'!$B$5:$F$204,5,FALSE))),"")</f>
      </c>
      <c r="J265" s="11">
        <f>IFERROR(IF($F265="",Ayarlar!$C$9,VLOOKUP($F265,'Ürün Kartlar'!$B$5:$G$204,6,FALSE)),Ayarlar!$C$9)</f>
      </c>
      <c r="K265" s="18">
        <f>IF(OR($H265="",$I265=""),0,$H265*$I265)</f>
      </c>
      <c r="L265" s="18">
        <f>$K265*$J265</f>
      </c>
      <c r="M265" s="18">
        <f>$K265+$L265</f>
      </c>
      <c r="N265" s="8"/>
      <c r="O265" s="8"/>
      <c r="P265" s="8"/>
    </row>
    <row r="266" spans="2:16" x14ac:dyDescent="0.25">
      <c r="B266" s="19"/>
      <c r="C266" s="20"/>
      <c r="D266" s="20"/>
      <c r="E266" s="16">
        <f>IFERROR(IF($D266="","",VLOOKUP($D266,'Cari Kartlar'!$B$5:$C$204,2,FALSE)),"— tanımsız cari —")</f>
      </c>
      <c r="F266" s="20"/>
      <c r="G266" s="16">
        <f>IFERROR(IF($F266="","",VLOOKUP($F266,'Ürün Kartlar'!$B$5:$C$204,2,FALSE)),"— tanımsız ürün —")</f>
      </c>
      <c r="H266" s="21"/>
      <c r="I266" s="22">
        <f>IFERROR(IF($F266="","",IF($C266="Alış",VLOOKUP($F266,'Ürün Kartlar'!$B$5:$E$204,4,FALSE),VLOOKUP($F266,'Ürün Kartlar'!$B$5:$F$204,5,FALSE))),"")</f>
      </c>
      <c r="J266" s="23">
        <f>IFERROR(IF($F266="",Ayarlar!$C$9,VLOOKUP($F266,'Ürün Kartlar'!$B$5:$G$204,6,FALSE)),Ayarlar!$C$9)</f>
      </c>
      <c r="K266" s="18">
        <f>IF(OR($H266="",$I266=""),0,$H266*$I266)</f>
      </c>
      <c r="L266" s="18">
        <f>$K266*$J266</f>
      </c>
      <c r="M266" s="18">
        <f>$K266+$L266</f>
      </c>
      <c r="N266" s="20"/>
      <c r="O266" s="20"/>
      <c r="P266" s="20"/>
    </row>
    <row r="267" spans="2:16" x14ac:dyDescent="0.25">
      <c r="B267" s="15"/>
      <c r="C267" s="8"/>
      <c r="D267" s="8"/>
      <c r="E267" s="16">
        <f>IFERROR(IF($D267="","",VLOOKUP($D267,'Cari Kartlar'!$B$5:$C$204,2,FALSE)),"— tanımsız cari —")</f>
      </c>
      <c r="F267" s="8"/>
      <c r="G267" s="16">
        <f>IFERROR(IF($F267="","",VLOOKUP($F267,'Ürün Kartlar'!$B$5:$C$204,2,FALSE)),"— tanımsız ürün —")</f>
      </c>
      <c r="H267" s="17"/>
      <c r="I267" s="13">
        <f>IFERROR(IF($F267="","",IF($C267="Alış",VLOOKUP($F267,'Ürün Kartlar'!$B$5:$E$204,4,FALSE),VLOOKUP($F267,'Ürün Kartlar'!$B$5:$F$204,5,FALSE))),"")</f>
      </c>
      <c r="J267" s="11">
        <f>IFERROR(IF($F267="",Ayarlar!$C$9,VLOOKUP($F267,'Ürün Kartlar'!$B$5:$G$204,6,FALSE)),Ayarlar!$C$9)</f>
      </c>
      <c r="K267" s="18">
        <f>IF(OR($H267="",$I267=""),0,$H267*$I267)</f>
      </c>
      <c r="L267" s="18">
        <f>$K267*$J267</f>
      </c>
      <c r="M267" s="18">
        <f>$K267+$L267</f>
      </c>
      <c r="N267" s="8"/>
      <c r="O267" s="8"/>
      <c r="P267" s="8"/>
    </row>
    <row r="268" spans="2:16" x14ac:dyDescent="0.25">
      <c r="B268" s="19"/>
      <c r="C268" s="20"/>
      <c r="D268" s="20"/>
      <c r="E268" s="16">
        <f>IFERROR(IF($D268="","",VLOOKUP($D268,'Cari Kartlar'!$B$5:$C$204,2,FALSE)),"— tanımsız cari —")</f>
      </c>
      <c r="F268" s="20"/>
      <c r="G268" s="16">
        <f>IFERROR(IF($F268="","",VLOOKUP($F268,'Ürün Kartlar'!$B$5:$C$204,2,FALSE)),"— tanımsız ürün —")</f>
      </c>
      <c r="H268" s="21"/>
      <c r="I268" s="22">
        <f>IFERROR(IF($F268="","",IF($C268="Alış",VLOOKUP($F268,'Ürün Kartlar'!$B$5:$E$204,4,FALSE),VLOOKUP($F268,'Ürün Kartlar'!$B$5:$F$204,5,FALSE))),"")</f>
      </c>
      <c r="J268" s="23">
        <f>IFERROR(IF($F268="",Ayarlar!$C$9,VLOOKUP($F268,'Ürün Kartlar'!$B$5:$G$204,6,FALSE)),Ayarlar!$C$9)</f>
      </c>
      <c r="K268" s="18">
        <f>IF(OR($H268="",$I268=""),0,$H268*$I268)</f>
      </c>
      <c r="L268" s="18">
        <f>$K268*$J268</f>
      </c>
      <c r="M268" s="18">
        <f>$K268+$L268</f>
      </c>
      <c r="N268" s="20"/>
      <c r="O268" s="20"/>
      <c r="P268" s="20"/>
    </row>
    <row r="269" spans="2:16" x14ac:dyDescent="0.25">
      <c r="B269" s="15"/>
      <c r="C269" s="8"/>
      <c r="D269" s="8"/>
      <c r="E269" s="16">
        <f>IFERROR(IF($D269="","",VLOOKUP($D269,'Cari Kartlar'!$B$5:$C$204,2,FALSE)),"— tanımsız cari —")</f>
      </c>
      <c r="F269" s="8"/>
      <c r="G269" s="16">
        <f>IFERROR(IF($F269="","",VLOOKUP($F269,'Ürün Kartlar'!$B$5:$C$204,2,FALSE)),"— tanımsız ürün —")</f>
      </c>
      <c r="H269" s="17"/>
      <c r="I269" s="13">
        <f>IFERROR(IF($F269="","",IF($C269="Alış",VLOOKUP($F269,'Ürün Kartlar'!$B$5:$E$204,4,FALSE),VLOOKUP($F269,'Ürün Kartlar'!$B$5:$F$204,5,FALSE))),"")</f>
      </c>
      <c r="J269" s="11">
        <f>IFERROR(IF($F269="",Ayarlar!$C$9,VLOOKUP($F269,'Ürün Kartlar'!$B$5:$G$204,6,FALSE)),Ayarlar!$C$9)</f>
      </c>
      <c r="K269" s="18">
        <f>IF(OR($H269="",$I269=""),0,$H269*$I269)</f>
      </c>
      <c r="L269" s="18">
        <f>$K269*$J269</f>
      </c>
      <c r="M269" s="18">
        <f>$K269+$L269</f>
      </c>
      <c r="N269" s="8"/>
      <c r="O269" s="8"/>
      <c r="P269" s="8"/>
    </row>
    <row r="270" spans="2:16" x14ac:dyDescent="0.25">
      <c r="B270" s="19"/>
      <c r="C270" s="20"/>
      <c r="D270" s="20"/>
      <c r="E270" s="16">
        <f>IFERROR(IF($D270="","",VLOOKUP($D270,'Cari Kartlar'!$B$5:$C$204,2,FALSE)),"— tanımsız cari —")</f>
      </c>
      <c r="F270" s="20"/>
      <c r="G270" s="16">
        <f>IFERROR(IF($F270="","",VLOOKUP($F270,'Ürün Kartlar'!$B$5:$C$204,2,FALSE)),"— tanımsız ürün —")</f>
      </c>
      <c r="H270" s="21"/>
      <c r="I270" s="22">
        <f>IFERROR(IF($F270="","",IF($C270="Alış",VLOOKUP($F270,'Ürün Kartlar'!$B$5:$E$204,4,FALSE),VLOOKUP($F270,'Ürün Kartlar'!$B$5:$F$204,5,FALSE))),"")</f>
      </c>
      <c r="J270" s="23">
        <f>IFERROR(IF($F270="",Ayarlar!$C$9,VLOOKUP($F270,'Ürün Kartlar'!$B$5:$G$204,6,FALSE)),Ayarlar!$C$9)</f>
      </c>
      <c r="K270" s="18">
        <f>IF(OR($H270="",$I270=""),0,$H270*$I270)</f>
      </c>
      <c r="L270" s="18">
        <f>$K270*$J270</f>
      </c>
      <c r="M270" s="18">
        <f>$K270+$L270</f>
      </c>
      <c r="N270" s="20"/>
      <c r="O270" s="20"/>
      <c r="P270" s="20"/>
    </row>
    <row r="271" spans="2:16" x14ac:dyDescent="0.25">
      <c r="B271" s="15"/>
      <c r="C271" s="8"/>
      <c r="D271" s="8"/>
      <c r="E271" s="16">
        <f>IFERROR(IF($D271="","",VLOOKUP($D271,'Cari Kartlar'!$B$5:$C$204,2,FALSE)),"— tanımsız cari —")</f>
      </c>
      <c r="F271" s="8"/>
      <c r="G271" s="16">
        <f>IFERROR(IF($F271="","",VLOOKUP($F271,'Ürün Kartlar'!$B$5:$C$204,2,FALSE)),"— tanımsız ürün —")</f>
      </c>
      <c r="H271" s="17"/>
      <c r="I271" s="13">
        <f>IFERROR(IF($F271="","",IF($C271="Alış",VLOOKUP($F271,'Ürün Kartlar'!$B$5:$E$204,4,FALSE),VLOOKUP($F271,'Ürün Kartlar'!$B$5:$F$204,5,FALSE))),"")</f>
      </c>
      <c r="J271" s="11">
        <f>IFERROR(IF($F271="",Ayarlar!$C$9,VLOOKUP($F271,'Ürün Kartlar'!$B$5:$G$204,6,FALSE)),Ayarlar!$C$9)</f>
      </c>
      <c r="K271" s="18">
        <f>IF(OR($H271="",$I271=""),0,$H271*$I271)</f>
      </c>
      <c r="L271" s="18">
        <f>$K271*$J271</f>
      </c>
      <c r="M271" s="18">
        <f>$K271+$L271</f>
      </c>
      <c r="N271" s="8"/>
      <c r="O271" s="8"/>
      <c r="P271" s="8"/>
    </row>
    <row r="272" spans="2:16" x14ac:dyDescent="0.25">
      <c r="B272" s="19"/>
      <c r="C272" s="20"/>
      <c r="D272" s="20"/>
      <c r="E272" s="16">
        <f>IFERROR(IF($D272="","",VLOOKUP($D272,'Cari Kartlar'!$B$5:$C$204,2,FALSE)),"— tanımsız cari —")</f>
      </c>
      <c r="F272" s="20"/>
      <c r="G272" s="16">
        <f>IFERROR(IF($F272="","",VLOOKUP($F272,'Ürün Kartlar'!$B$5:$C$204,2,FALSE)),"— tanımsız ürün —")</f>
      </c>
      <c r="H272" s="21"/>
      <c r="I272" s="22">
        <f>IFERROR(IF($F272="","",IF($C272="Alış",VLOOKUP($F272,'Ürün Kartlar'!$B$5:$E$204,4,FALSE),VLOOKUP($F272,'Ürün Kartlar'!$B$5:$F$204,5,FALSE))),"")</f>
      </c>
      <c r="J272" s="23">
        <f>IFERROR(IF($F272="",Ayarlar!$C$9,VLOOKUP($F272,'Ürün Kartlar'!$B$5:$G$204,6,FALSE)),Ayarlar!$C$9)</f>
      </c>
      <c r="K272" s="18">
        <f>IF(OR($H272="",$I272=""),0,$H272*$I272)</f>
      </c>
      <c r="L272" s="18">
        <f>$K272*$J272</f>
      </c>
      <c r="M272" s="18">
        <f>$K272+$L272</f>
      </c>
      <c r="N272" s="20"/>
      <c r="O272" s="20"/>
      <c r="P272" s="20"/>
    </row>
    <row r="273" spans="2:16" x14ac:dyDescent="0.25">
      <c r="B273" s="15"/>
      <c r="C273" s="8"/>
      <c r="D273" s="8"/>
      <c r="E273" s="16">
        <f>IFERROR(IF($D273="","",VLOOKUP($D273,'Cari Kartlar'!$B$5:$C$204,2,FALSE)),"— tanımsız cari —")</f>
      </c>
      <c r="F273" s="8"/>
      <c r="G273" s="16">
        <f>IFERROR(IF($F273="","",VLOOKUP($F273,'Ürün Kartlar'!$B$5:$C$204,2,FALSE)),"— tanımsız ürün —")</f>
      </c>
      <c r="H273" s="17"/>
      <c r="I273" s="13">
        <f>IFERROR(IF($F273="","",IF($C273="Alış",VLOOKUP($F273,'Ürün Kartlar'!$B$5:$E$204,4,FALSE),VLOOKUP($F273,'Ürün Kartlar'!$B$5:$F$204,5,FALSE))),"")</f>
      </c>
      <c r="J273" s="11">
        <f>IFERROR(IF($F273="",Ayarlar!$C$9,VLOOKUP($F273,'Ürün Kartlar'!$B$5:$G$204,6,FALSE)),Ayarlar!$C$9)</f>
      </c>
      <c r="K273" s="18">
        <f>IF(OR($H273="",$I273=""),0,$H273*$I273)</f>
      </c>
      <c r="L273" s="18">
        <f>$K273*$J273</f>
      </c>
      <c r="M273" s="18">
        <f>$K273+$L273</f>
      </c>
      <c r="N273" s="8"/>
      <c r="O273" s="8"/>
      <c r="P273" s="8"/>
    </row>
    <row r="274" spans="2:16" x14ac:dyDescent="0.25">
      <c r="B274" s="19"/>
      <c r="C274" s="20"/>
      <c r="D274" s="20"/>
      <c r="E274" s="16">
        <f>IFERROR(IF($D274="","",VLOOKUP($D274,'Cari Kartlar'!$B$5:$C$204,2,FALSE)),"— tanımsız cari —")</f>
      </c>
      <c r="F274" s="20"/>
      <c r="G274" s="16">
        <f>IFERROR(IF($F274="","",VLOOKUP($F274,'Ürün Kartlar'!$B$5:$C$204,2,FALSE)),"— tanımsız ürün —")</f>
      </c>
      <c r="H274" s="21"/>
      <c r="I274" s="22">
        <f>IFERROR(IF($F274="","",IF($C274="Alış",VLOOKUP($F274,'Ürün Kartlar'!$B$5:$E$204,4,FALSE),VLOOKUP($F274,'Ürün Kartlar'!$B$5:$F$204,5,FALSE))),"")</f>
      </c>
      <c r="J274" s="23">
        <f>IFERROR(IF($F274="",Ayarlar!$C$9,VLOOKUP($F274,'Ürün Kartlar'!$B$5:$G$204,6,FALSE)),Ayarlar!$C$9)</f>
      </c>
      <c r="K274" s="18">
        <f>IF(OR($H274="",$I274=""),0,$H274*$I274)</f>
      </c>
      <c r="L274" s="18">
        <f>$K274*$J274</f>
      </c>
      <c r="M274" s="18">
        <f>$K274+$L274</f>
      </c>
      <c r="N274" s="20"/>
      <c r="O274" s="20"/>
      <c r="P274" s="20"/>
    </row>
    <row r="275" spans="2:16" x14ac:dyDescent="0.25">
      <c r="B275" s="15"/>
      <c r="C275" s="8"/>
      <c r="D275" s="8"/>
      <c r="E275" s="16">
        <f>IFERROR(IF($D275="","",VLOOKUP($D275,'Cari Kartlar'!$B$5:$C$204,2,FALSE)),"— tanımsız cari —")</f>
      </c>
      <c r="F275" s="8"/>
      <c r="G275" s="16">
        <f>IFERROR(IF($F275="","",VLOOKUP($F275,'Ürün Kartlar'!$B$5:$C$204,2,FALSE)),"— tanımsız ürün —")</f>
      </c>
      <c r="H275" s="17"/>
      <c r="I275" s="13">
        <f>IFERROR(IF($F275="","",IF($C275="Alış",VLOOKUP($F275,'Ürün Kartlar'!$B$5:$E$204,4,FALSE),VLOOKUP($F275,'Ürün Kartlar'!$B$5:$F$204,5,FALSE))),"")</f>
      </c>
      <c r="J275" s="11">
        <f>IFERROR(IF($F275="",Ayarlar!$C$9,VLOOKUP($F275,'Ürün Kartlar'!$B$5:$G$204,6,FALSE)),Ayarlar!$C$9)</f>
      </c>
      <c r="K275" s="18">
        <f>IF(OR($H275="",$I275=""),0,$H275*$I275)</f>
      </c>
      <c r="L275" s="18">
        <f>$K275*$J275</f>
      </c>
      <c r="M275" s="18">
        <f>$K275+$L275</f>
      </c>
      <c r="N275" s="8"/>
      <c r="O275" s="8"/>
      <c r="P275" s="8"/>
    </row>
    <row r="276" spans="2:16" x14ac:dyDescent="0.25">
      <c r="B276" s="19"/>
      <c r="C276" s="20"/>
      <c r="D276" s="20"/>
      <c r="E276" s="16">
        <f>IFERROR(IF($D276="","",VLOOKUP($D276,'Cari Kartlar'!$B$5:$C$204,2,FALSE)),"— tanımsız cari —")</f>
      </c>
      <c r="F276" s="20"/>
      <c r="G276" s="16">
        <f>IFERROR(IF($F276="","",VLOOKUP($F276,'Ürün Kartlar'!$B$5:$C$204,2,FALSE)),"— tanımsız ürün —")</f>
      </c>
      <c r="H276" s="21"/>
      <c r="I276" s="22">
        <f>IFERROR(IF($F276="","",IF($C276="Alış",VLOOKUP($F276,'Ürün Kartlar'!$B$5:$E$204,4,FALSE),VLOOKUP($F276,'Ürün Kartlar'!$B$5:$F$204,5,FALSE))),"")</f>
      </c>
      <c r="J276" s="23">
        <f>IFERROR(IF($F276="",Ayarlar!$C$9,VLOOKUP($F276,'Ürün Kartlar'!$B$5:$G$204,6,FALSE)),Ayarlar!$C$9)</f>
      </c>
      <c r="K276" s="18">
        <f>IF(OR($H276="",$I276=""),0,$H276*$I276)</f>
      </c>
      <c r="L276" s="18">
        <f>$K276*$J276</f>
      </c>
      <c r="M276" s="18">
        <f>$K276+$L276</f>
      </c>
      <c r="N276" s="20"/>
      <c r="O276" s="20"/>
      <c r="P276" s="20"/>
    </row>
    <row r="277" spans="2:16" x14ac:dyDescent="0.25">
      <c r="B277" s="15"/>
      <c r="C277" s="8"/>
      <c r="D277" s="8"/>
      <c r="E277" s="16">
        <f>IFERROR(IF($D277="","",VLOOKUP($D277,'Cari Kartlar'!$B$5:$C$204,2,FALSE)),"— tanımsız cari —")</f>
      </c>
      <c r="F277" s="8"/>
      <c r="G277" s="16">
        <f>IFERROR(IF($F277="","",VLOOKUP($F277,'Ürün Kartlar'!$B$5:$C$204,2,FALSE)),"— tanımsız ürün —")</f>
      </c>
      <c r="H277" s="17"/>
      <c r="I277" s="13">
        <f>IFERROR(IF($F277="","",IF($C277="Alış",VLOOKUP($F277,'Ürün Kartlar'!$B$5:$E$204,4,FALSE),VLOOKUP($F277,'Ürün Kartlar'!$B$5:$F$204,5,FALSE))),"")</f>
      </c>
      <c r="J277" s="11">
        <f>IFERROR(IF($F277="",Ayarlar!$C$9,VLOOKUP($F277,'Ürün Kartlar'!$B$5:$G$204,6,FALSE)),Ayarlar!$C$9)</f>
      </c>
      <c r="K277" s="18">
        <f>IF(OR($H277="",$I277=""),0,$H277*$I277)</f>
      </c>
      <c r="L277" s="18">
        <f>$K277*$J277</f>
      </c>
      <c r="M277" s="18">
        <f>$K277+$L277</f>
      </c>
      <c r="N277" s="8"/>
      <c r="O277" s="8"/>
      <c r="P277" s="8"/>
    </row>
    <row r="278" spans="2:16" x14ac:dyDescent="0.25">
      <c r="B278" s="19"/>
      <c r="C278" s="20"/>
      <c r="D278" s="20"/>
      <c r="E278" s="16">
        <f>IFERROR(IF($D278="","",VLOOKUP($D278,'Cari Kartlar'!$B$5:$C$204,2,FALSE)),"— tanımsız cari —")</f>
      </c>
      <c r="F278" s="20"/>
      <c r="G278" s="16">
        <f>IFERROR(IF($F278="","",VLOOKUP($F278,'Ürün Kartlar'!$B$5:$C$204,2,FALSE)),"— tanımsız ürün —")</f>
      </c>
      <c r="H278" s="21"/>
      <c r="I278" s="22">
        <f>IFERROR(IF($F278="","",IF($C278="Alış",VLOOKUP($F278,'Ürün Kartlar'!$B$5:$E$204,4,FALSE),VLOOKUP($F278,'Ürün Kartlar'!$B$5:$F$204,5,FALSE))),"")</f>
      </c>
      <c r="J278" s="23">
        <f>IFERROR(IF($F278="",Ayarlar!$C$9,VLOOKUP($F278,'Ürün Kartlar'!$B$5:$G$204,6,FALSE)),Ayarlar!$C$9)</f>
      </c>
      <c r="K278" s="18">
        <f>IF(OR($H278="",$I278=""),0,$H278*$I278)</f>
      </c>
      <c r="L278" s="18">
        <f>$K278*$J278</f>
      </c>
      <c r="M278" s="18">
        <f>$K278+$L278</f>
      </c>
      <c r="N278" s="20"/>
      <c r="O278" s="20"/>
      <c r="P278" s="20"/>
    </row>
    <row r="279" spans="2:16" x14ac:dyDescent="0.25">
      <c r="B279" s="15"/>
      <c r="C279" s="8"/>
      <c r="D279" s="8"/>
      <c r="E279" s="16">
        <f>IFERROR(IF($D279="","",VLOOKUP($D279,'Cari Kartlar'!$B$5:$C$204,2,FALSE)),"— tanımsız cari —")</f>
      </c>
      <c r="F279" s="8"/>
      <c r="G279" s="16">
        <f>IFERROR(IF($F279="","",VLOOKUP($F279,'Ürün Kartlar'!$B$5:$C$204,2,FALSE)),"— tanımsız ürün —")</f>
      </c>
      <c r="H279" s="17"/>
      <c r="I279" s="13">
        <f>IFERROR(IF($F279="","",IF($C279="Alış",VLOOKUP($F279,'Ürün Kartlar'!$B$5:$E$204,4,FALSE),VLOOKUP($F279,'Ürün Kartlar'!$B$5:$F$204,5,FALSE))),"")</f>
      </c>
      <c r="J279" s="11">
        <f>IFERROR(IF($F279="",Ayarlar!$C$9,VLOOKUP($F279,'Ürün Kartlar'!$B$5:$G$204,6,FALSE)),Ayarlar!$C$9)</f>
      </c>
      <c r="K279" s="18">
        <f>IF(OR($H279="",$I279=""),0,$H279*$I279)</f>
      </c>
      <c r="L279" s="18">
        <f>$K279*$J279</f>
      </c>
      <c r="M279" s="18">
        <f>$K279+$L279</f>
      </c>
      <c r="N279" s="8"/>
      <c r="O279" s="8"/>
      <c r="P279" s="8"/>
    </row>
    <row r="280" spans="2:16" x14ac:dyDescent="0.25">
      <c r="B280" s="19"/>
      <c r="C280" s="20"/>
      <c r="D280" s="20"/>
      <c r="E280" s="16">
        <f>IFERROR(IF($D280="","",VLOOKUP($D280,'Cari Kartlar'!$B$5:$C$204,2,FALSE)),"— tanımsız cari —")</f>
      </c>
      <c r="F280" s="20"/>
      <c r="G280" s="16">
        <f>IFERROR(IF($F280="","",VLOOKUP($F280,'Ürün Kartlar'!$B$5:$C$204,2,FALSE)),"— tanımsız ürün —")</f>
      </c>
      <c r="H280" s="21"/>
      <c r="I280" s="22">
        <f>IFERROR(IF($F280="","",IF($C280="Alış",VLOOKUP($F280,'Ürün Kartlar'!$B$5:$E$204,4,FALSE),VLOOKUP($F280,'Ürün Kartlar'!$B$5:$F$204,5,FALSE))),"")</f>
      </c>
      <c r="J280" s="23">
        <f>IFERROR(IF($F280="",Ayarlar!$C$9,VLOOKUP($F280,'Ürün Kartlar'!$B$5:$G$204,6,FALSE)),Ayarlar!$C$9)</f>
      </c>
      <c r="K280" s="18">
        <f>IF(OR($H280="",$I280=""),0,$H280*$I280)</f>
      </c>
      <c r="L280" s="18">
        <f>$K280*$J280</f>
      </c>
      <c r="M280" s="18">
        <f>$K280+$L280</f>
      </c>
      <c r="N280" s="20"/>
      <c r="O280" s="20"/>
      <c r="P280" s="20"/>
    </row>
    <row r="281" spans="2:16" x14ac:dyDescent="0.25">
      <c r="B281" s="15"/>
      <c r="C281" s="8"/>
      <c r="D281" s="8"/>
      <c r="E281" s="16">
        <f>IFERROR(IF($D281="","",VLOOKUP($D281,'Cari Kartlar'!$B$5:$C$204,2,FALSE)),"— tanımsız cari —")</f>
      </c>
      <c r="F281" s="8"/>
      <c r="G281" s="16">
        <f>IFERROR(IF($F281="","",VLOOKUP($F281,'Ürün Kartlar'!$B$5:$C$204,2,FALSE)),"— tanımsız ürün —")</f>
      </c>
      <c r="H281" s="17"/>
      <c r="I281" s="13">
        <f>IFERROR(IF($F281="","",IF($C281="Alış",VLOOKUP($F281,'Ürün Kartlar'!$B$5:$E$204,4,FALSE),VLOOKUP($F281,'Ürün Kartlar'!$B$5:$F$204,5,FALSE))),"")</f>
      </c>
      <c r="J281" s="11">
        <f>IFERROR(IF($F281="",Ayarlar!$C$9,VLOOKUP($F281,'Ürün Kartlar'!$B$5:$G$204,6,FALSE)),Ayarlar!$C$9)</f>
      </c>
      <c r="K281" s="18">
        <f>IF(OR($H281="",$I281=""),0,$H281*$I281)</f>
      </c>
      <c r="L281" s="18">
        <f>$K281*$J281</f>
      </c>
      <c r="M281" s="18">
        <f>$K281+$L281</f>
      </c>
      <c r="N281" s="8"/>
      <c r="O281" s="8"/>
      <c r="P281" s="8"/>
    </row>
    <row r="282" spans="2:16" x14ac:dyDescent="0.25">
      <c r="B282" s="19"/>
      <c r="C282" s="20"/>
      <c r="D282" s="20"/>
      <c r="E282" s="16">
        <f>IFERROR(IF($D282="","",VLOOKUP($D282,'Cari Kartlar'!$B$5:$C$204,2,FALSE)),"— tanımsız cari —")</f>
      </c>
      <c r="F282" s="20"/>
      <c r="G282" s="16">
        <f>IFERROR(IF($F282="","",VLOOKUP($F282,'Ürün Kartlar'!$B$5:$C$204,2,FALSE)),"— tanımsız ürün —")</f>
      </c>
      <c r="H282" s="21"/>
      <c r="I282" s="22">
        <f>IFERROR(IF($F282="","",IF($C282="Alış",VLOOKUP($F282,'Ürün Kartlar'!$B$5:$E$204,4,FALSE),VLOOKUP($F282,'Ürün Kartlar'!$B$5:$F$204,5,FALSE))),"")</f>
      </c>
      <c r="J282" s="23">
        <f>IFERROR(IF($F282="",Ayarlar!$C$9,VLOOKUP($F282,'Ürün Kartlar'!$B$5:$G$204,6,FALSE)),Ayarlar!$C$9)</f>
      </c>
      <c r="K282" s="18">
        <f>IF(OR($H282="",$I282=""),0,$H282*$I282)</f>
      </c>
      <c r="L282" s="18">
        <f>$K282*$J282</f>
      </c>
      <c r="M282" s="18">
        <f>$K282+$L282</f>
      </c>
      <c r="N282" s="20"/>
      <c r="O282" s="20"/>
      <c r="P282" s="20"/>
    </row>
    <row r="283" spans="2:16" x14ac:dyDescent="0.25">
      <c r="B283" s="15"/>
      <c r="C283" s="8"/>
      <c r="D283" s="8"/>
      <c r="E283" s="16">
        <f>IFERROR(IF($D283="","",VLOOKUP($D283,'Cari Kartlar'!$B$5:$C$204,2,FALSE)),"— tanımsız cari —")</f>
      </c>
      <c r="F283" s="8"/>
      <c r="G283" s="16">
        <f>IFERROR(IF($F283="","",VLOOKUP($F283,'Ürün Kartlar'!$B$5:$C$204,2,FALSE)),"— tanımsız ürün —")</f>
      </c>
      <c r="H283" s="17"/>
      <c r="I283" s="13">
        <f>IFERROR(IF($F283="","",IF($C283="Alış",VLOOKUP($F283,'Ürün Kartlar'!$B$5:$E$204,4,FALSE),VLOOKUP($F283,'Ürün Kartlar'!$B$5:$F$204,5,FALSE))),"")</f>
      </c>
      <c r="J283" s="11">
        <f>IFERROR(IF($F283="",Ayarlar!$C$9,VLOOKUP($F283,'Ürün Kartlar'!$B$5:$G$204,6,FALSE)),Ayarlar!$C$9)</f>
      </c>
      <c r="K283" s="18">
        <f>IF(OR($H283="",$I283=""),0,$H283*$I283)</f>
      </c>
      <c r="L283" s="18">
        <f>$K283*$J283</f>
      </c>
      <c r="M283" s="18">
        <f>$K283+$L283</f>
      </c>
      <c r="N283" s="8"/>
      <c r="O283" s="8"/>
      <c r="P283" s="8"/>
    </row>
    <row r="284" spans="2:16" x14ac:dyDescent="0.25">
      <c r="B284" s="19"/>
      <c r="C284" s="20"/>
      <c r="D284" s="20"/>
      <c r="E284" s="16">
        <f>IFERROR(IF($D284="","",VLOOKUP($D284,'Cari Kartlar'!$B$5:$C$204,2,FALSE)),"— tanımsız cari —")</f>
      </c>
      <c r="F284" s="20"/>
      <c r="G284" s="16">
        <f>IFERROR(IF($F284="","",VLOOKUP($F284,'Ürün Kartlar'!$B$5:$C$204,2,FALSE)),"— tanımsız ürün —")</f>
      </c>
      <c r="H284" s="21"/>
      <c r="I284" s="22">
        <f>IFERROR(IF($F284="","",IF($C284="Alış",VLOOKUP($F284,'Ürün Kartlar'!$B$5:$E$204,4,FALSE),VLOOKUP($F284,'Ürün Kartlar'!$B$5:$F$204,5,FALSE))),"")</f>
      </c>
      <c r="J284" s="23">
        <f>IFERROR(IF($F284="",Ayarlar!$C$9,VLOOKUP($F284,'Ürün Kartlar'!$B$5:$G$204,6,FALSE)),Ayarlar!$C$9)</f>
      </c>
      <c r="K284" s="18">
        <f>IF(OR($H284="",$I284=""),0,$H284*$I284)</f>
      </c>
      <c r="L284" s="18">
        <f>$K284*$J284</f>
      </c>
      <c r="M284" s="18">
        <f>$K284+$L284</f>
      </c>
      <c r="N284" s="20"/>
      <c r="O284" s="20"/>
      <c r="P284" s="20"/>
    </row>
    <row r="285" spans="2:16" x14ac:dyDescent="0.25">
      <c r="B285" s="15"/>
      <c r="C285" s="8"/>
      <c r="D285" s="8"/>
      <c r="E285" s="16">
        <f>IFERROR(IF($D285="","",VLOOKUP($D285,'Cari Kartlar'!$B$5:$C$204,2,FALSE)),"— tanımsız cari —")</f>
      </c>
      <c r="F285" s="8"/>
      <c r="G285" s="16">
        <f>IFERROR(IF($F285="","",VLOOKUP($F285,'Ürün Kartlar'!$B$5:$C$204,2,FALSE)),"— tanımsız ürün —")</f>
      </c>
      <c r="H285" s="17"/>
      <c r="I285" s="13">
        <f>IFERROR(IF($F285="","",IF($C285="Alış",VLOOKUP($F285,'Ürün Kartlar'!$B$5:$E$204,4,FALSE),VLOOKUP($F285,'Ürün Kartlar'!$B$5:$F$204,5,FALSE))),"")</f>
      </c>
      <c r="J285" s="11">
        <f>IFERROR(IF($F285="",Ayarlar!$C$9,VLOOKUP($F285,'Ürün Kartlar'!$B$5:$G$204,6,FALSE)),Ayarlar!$C$9)</f>
      </c>
      <c r="K285" s="18">
        <f>IF(OR($H285="",$I285=""),0,$H285*$I285)</f>
      </c>
      <c r="L285" s="18">
        <f>$K285*$J285</f>
      </c>
      <c r="M285" s="18">
        <f>$K285+$L285</f>
      </c>
      <c r="N285" s="8"/>
      <c r="O285" s="8"/>
      <c r="P285" s="8"/>
    </row>
    <row r="286" spans="2:16" x14ac:dyDescent="0.25">
      <c r="B286" s="19"/>
      <c r="C286" s="20"/>
      <c r="D286" s="20"/>
      <c r="E286" s="16">
        <f>IFERROR(IF($D286="","",VLOOKUP($D286,'Cari Kartlar'!$B$5:$C$204,2,FALSE)),"— tanımsız cari —")</f>
      </c>
      <c r="F286" s="20"/>
      <c r="G286" s="16">
        <f>IFERROR(IF($F286="","",VLOOKUP($F286,'Ürün Kartlar'!$B$5:$C$204,2,FALSE)),"— tanımsız ürün —")</f>
      </c>
      <c r="H286" s="21"/>
      <c r="I286" s="22">
        <f>IFERROR(IF($F286="","",IF($C286="Alış",VLOOKUP($F286,'Ürün Kartlar'!$B$5:$E$204,4,FALSE),VLOOKUP($F286,'Ürün Kartlar'!$B$5:$F$204,5,FALSE))),"")</f>
      </c>
      <c r="J286" s="23">
        <f>IFERROR(IF($F286="",Ayarlar!$C$9,VLOOKUP($F286,'Ürün Kartlar'!$B$5:$G$204,6,FALSE)),Ayarlar!$C$9)</f>
      </c>
      <c r="K286" s="18">
        <f>IF(OR($H286="",$I286=""),0,$H286*$I286)</f>
      </c>
      <c r="L286" s="18">
        <f>$K286*$J286</f>
      </c>
      <c r="M286" s="18">
        <f>$K286+$L286</f>
      </c>
      <c r="N286" s="20"/>
      <c r="O286" s="20"/>
      <c r="P286" s="20"/>
    </row>
    <row r="287" spans="2:16" x14ac:dyDescent="0.25">
      <c r="B287" s="15"/>
      <c r="C287" s="8"/>
      <c r="D287" s="8"/>
      <c r="E287" s="16">
        <f>IFERROR(IF($D287="","",VLOOKUP($D287,'Cari Kartlar'!$B$5:$C$204,2,FALSE)),"— tanımsız cari —")</f>
      </c>
      <c r="F287" s="8"/>
      <c r="G287" s="16">
        <f>IFERROR(IF($F287="","",VLOOKUP($F287,'Ürün Kartlar'!$B$5:$C$204,2,FALSE)),"— tanımsız ürün —")</f>
      </c>
      <c r="H287" s="17"/>
      <c r="I287" s="13">
        <f>IFERROR(IF($F287="","",IF($C287="Alış",VLOOKUP($F287,'Ürün Kartlar'!$B$5:$E$204,4,FALSE),VLOOKUP($F287,'Ürün Kartlar'!$B$5:$F$204,5,FALSE))),"")</f>
      </c>
      <c r="J287" s="11">
        <f>IFERROR(IF($F287="",Ayarlar!$C$9,VLOOKUP($F287,'Ürün Kartlar'!$B$5:$G$204,6,FALSE)),Ayarlar!$C$9)</f>
      </c>
      <c r="K287" s="18">
        <f>IF(OR($H287="",$I287=""),0,$H287*$I287)</f>
      </c>
      <c r="L287" s="18">
        <f>$K287*$J287</f>
      </c>
      <c r="M287" s="18">
        <f>$K287+$L287</f>
      </c>
      <c r="N287" s="8"/>
      <c r="O287" s="8"/>
      <c r="P287" s="8"/>
    </row>
    <row r="288" spans="2:16" x14ac:dyDescent="0.25">
      <c r="B288" s="19"/>
      <c r="C288" s="20"/>
      <c r="D288" s="20"/>
      <c r="E288" s="16">
        <f>IFERROR(IF($D288="","",VLOOKUP($D288,'Cari Kartlar'!$B$5:$C$204,2,FALSE)),"— tanımsız cari —")</f>
      </c>
      <c r="F288" s="20"/>
      <c r="G288" s="16">
        <f>IFERROR(IF($F288="","",VLOOKUP($F288,'Ürün Kartlar'!$B$5:$C$204,2,FALSE)),"— tanımsız ürün —")</f>
      </c>
      <c r="H288" s="21"/>
      <c r="I288" s="22">
        <f>IFERROR(IF($F288="","",IF($C288="Alış",VLOOKUP($F288,'Ürün Kartlar'!$B$5:$E$204,4,FALSE),VLOOKUP($F288,'Ürün Kartlar'!$B$5:$F$204,5,FALSE))),"")</f>
      </c>
      <c r="J288" s="23">
        <f>IFERROR(IF($F288="",Ayarlar!$C$9,VLOOKUP($F288,'Ürün Kartlar'!$B$5:$G$204,6,FALSE)),Ayarlar!$C$9)</f>
      </c>
      <c r="K288" s="18">
        <f>IF(OR($H288="",$I288=""),0,$H288*$I288)</f>
      </c>
      <c r="L288" s="18">
        <f>$K288*$J288</f>
      </c>
      <c r="M288" s="18">
        <f>$K288+$L288</f>
      </c>
      <c r="N288" s="20"/>
      <c r="O288" s="20"/>
      <c r="P288" s="20"/>
    </row>
    <row r="289" spans="2:16" x14ac:dyDescent="0.25">
      <c r="B289" s="15"/>
      <c r="C289" s="8"/>
      <c r="D289" s="8"/>
      <c r="E289" s="16">
        <f>IFERROR(IF($D289="","",VLOOKUP($D289,'Cari Kartlar'!$B$5:$C$204,2,FALSE)),"— tanımsız cari —")</f>
      </c>
      <c r="F289" s="8"/>
      <c r="G289" s="16">
        <f>IFERROR(IF($F289="","",VLOOKUP($F289,'Ürün Kartlar'!$B$5:$C$204,2,FALSE)),"— tanımsız ürün —")</f>
      </c>
      <c r="H289" s="17"/>
      <c r="I289" s="13">
        <f>IFERROR(IF($F289="","",IF($C289="Alış",VLOOKUP($F289,'Ürün Kartlar'!$B$5:$E$204,4,FALSE),VLOOKUP($F289,'Ürün Kartlar'!$B$5:$F$204,5,FALSE))),"")</f>
      </c>
      <c r="J289" s="11">
        <f>IFERROR(IF($F289="",Ayarlar!$C$9,VLOOKUP($F289,'Ürün Kartlar'!$B$5:$G$204,6,FALSE)),Ayarlar!$C$9)</f>
      </c>
      <c r="K289" s="18">
        <f>IF(OR($H289="",$I289=""),0,$H289*$I289)</f>
      </c>
      <c r="L289" s="18">
        <f>$K289*$J289</f>
      </c>
      <c r="M289" s="18">
        <f>$K289+$L289</f>
      </c>
      <c r="N289" s="8"/>
      <c r="O289" s="8"/>
      <c r="P289" s="8"/>
    </row>
    <row r="290" spans="2:16" x14ac:dyDescent="0.25">
      <c r="B290" s="19"/>
      <c r="C290" s="20"/>
      <c r="D290" s="20"/>
      <c r="E290" s="16">
        <f>IFERROR(IF($D290="","",VLOOKUP($D290,'Cari Kartlar'!$B$5:$C$204,2,FALSE)),"— tanımsız cari —")</f>
      </c>
      <c r="F290" s="20"/>
      <c r="G290" s="16">
        <f>IFERROR(IF($F290="","",VLOOKUP($F290,'Ürün Kartlar'!$B$5:$C$204,2,FALSE)),"— tanımsız ürün —")</f>
      </c>
      <c r="H290" s="21"/>
      <c r="I290" s="22">
        <f>IFERROR(IF($F290="","",IF($C290="Alış",VLOOKUP($F290,'Ürün Kartlar'!$B$5:$E$204,4,FALSE),VLOOKUP($F290,'Ürün Kartlar'!$B$5:$F$204,5,FALSE))),"")</f>
      </c>
      <c r="J290" s="23">
        <f>IFERROR(IF($F290="",Ayarlar!$C$9,VLOOKUP($F290,'Ürün Kartlar'!$B$5:$G$204,6,FALSE)),Ayarlar!$C$9)</f>
      </c>
      <c r="K290" s="18">
        <f>IF(OR($H290="",$I290=""),0,$H290*$I290)</f>
      </c>
      <c r="L290" s="18">
        <f>$K290*$J290</f>
      </c>
      <c r="M290" s="18">
        <f>$K290+$L290</f>
      </c>
      <c r="N290" s="20"/>
      <c r="O290" s="20"/>
      <c r="P290" s="20"/>
    </row>
    <row r="291" spans="2:16" x14ac:dyDescent="0.25">
      <c r="B291" s="15"/>
      <c r="C291" s="8"/>
      <c r="D291" s="8"/>
      <c r="E291" s="16">
        <f>IFERROR(IF($D291="","",VLOOKUP($D291,'Cari Kartlar'!$B$5:$C$204,2,FALSE)),"— tanımsız cari —")</f>
      </c>
      <c r="F291" s="8"/>
      <c r="G291" s="16">
        <f>IFERROR(IF($F291="","",VLOOKUP($F291,'Ürün Kartlar'!$B$5:$C$204,2,FALSE)),"— tanımsız ürün —")</f>
      </c>
      <c r="H291" s="17"/>
      <c r="I291" s="13">
        <f>IFERROR(IF($F291="","",IF($C291="Alış",VLOOKUP($F291,'Ürün Kartlar'!$B$5:$E$204,4,FALSE),VLOOKUP($F291,'Ürün Kartlar'!$B$5:$F$204,5,FALSE))),"")</f>
      </c>
      <c r="J291" s="11">
        <f>IFERROR(IF($F291="",Ayarlar!$C$9,VLOOKUP($F291,'Ürün Kartlar'!$B$5:$G$204,6,FALSE)),Ayarlar!$C$9)</f>
      </c>
      <c r="K291" s="18">
        <f>IF(OR($H291="",$I291=""),0,$H291*$I291)</f>
      </c>
      <c r="L291" s="18">
        <f>$K291*$J291</f>
      </c>
      <c r="M291" s="18">
        <f>$K291+$L291</f>
      </c>
      <c r="N291" s="8"/>
      <c r="O291" s="8"/>
      <c r="P291" s="8"/>
    </row>
    <row r="292" spans="2:16" x14ac:dyDescent="0.25">
      <c r="B292" s="19"/>
      <c r="C292" s="20"/>
      <c r="D292" s="20"/>
      <c r="E292" s="16">
        <f>IFERROR(IF($D292="","",VLOOKUP($D292,'Cari Kartlar'!$B$5:$C$204,2,FALSE)),"— tanımsız cari —")</f>
      </c>
      <c r="F292" s="20"/>
      <c r="G292" s="16">
        <f>IFERROR(IF($F292="","",VLOOKUP($F292,'Ürün Kartlar'!$B$5:$C$204,2,FALSE)),"— tanımsız ürün —")</f>
      </c>
      <c r="H292" s="21"/>
      <c r="I292" s="22">
        <f>IFERROR(IF($F292="","",IF($C292="Alış",VLOOKUP($F292,'Ürün Kartlar'!$B$5:$E$204,4,FALSE),VLOOKUP($F292,'Ürün Kartlar'!$B$5:$F$204,5,FALSE))),"")</f>
      </c>
      <c r="J292" s="23">
        <f>IFERROR(IF($F292="",Ayarlar!$C$9,VLOOKUP($F292,'Ürün Kartlar'!$B$5:$G$204,6,FALSE)),Ayarlar!$C$9)</f>
      </c>
      <c r="K292" s="18">
        <f>IF(OR($H292="",$I292=""),0,$H292*$I292)</f>
      </c>
      <c r="L292" s="18">
        <f>$K292*$J292</f>
      </c>
      <c r="M292" s="18">
        <f>$K292+$L292</f>
      </c>
      <c r="N292" s="20"/>
      <c r="O292" s="20"/>
      <c r="P292" s="20"/>
    </row>
    <row r="293" spans="2:16" x14ac:dyDescent="0.25">
      <c r="B293" s="15"/>
      <c r="C293" s="8"/>
      <c r="D293" s="8"/>
      <c r="E293" s="16">
        <f>IFERROR(IF($D293="","",VLOOKUP($D293,'Cari Kartlar'!$B$5:$C$204,2,FALSE)),"— tanımsız cari —")</f>
      </c>
      <c r="F293" s="8"/>
      <c r="G293" s="16">
        <f>IFERROR(IF($F293="","",VLOOKUP($F293,'Ürün Kartlar'!$B$5:$C$204,2,FALSE)),"— tanımsız ürün —")</f>
      </c>
      <c r="H293" s="17"/>
      <c r="I293" s="13">
        <f>IFERROR(IF($F293="","",IF($C293="Alış",VLOOKUP($F293,'Ürün Kartlar'!$B$5:$E$204,4,FALSE),VLOOKUP($F293,'Ürün Kartlar'!$B$5:$F$204,5,FALSE))),"")</f>
      </c>
      <c r="J293" s="11">
        <f>IFERROR(IF($F293="",Ayarlar!$C$9,VLOOKUP($F293,'Ürün Kartlar'!$B$5:$G$204,6,FALSE)),Ayarlar!$C$9)</f>
      </c>
      <c r="K293" s="18">
        <f>IF(OR($H293="",$I293=""),0,$H293*$I293)</f>
      </c>
      <c r="L293" s="18">
        <f>$K293*$J293</f>
      </c>
      <c r="M293" s="18">
        <f>$K293+$L293</f>
      </c>
      <c r="N293" s="8"/>
      <c r="O293" s="8"/>
      <c r="P293" s="8"/>
    </row>
    <row r="294" spans="2:16" x14ac:dyDescent="0.25">
      <c r="B294" s="19"/>
      <c r="C294" s="20"/>
      <c r="D294" s="20"/>
      <c r="E294" s="16">
        <f>IFERROR(IF($D294="","",VLOOKUP($D294,'Cari Kartlar'!$B$5:$C$204,2,FALSE)),"— tanımsız cari —")</f>
      </c>
      <c r="F294" s="20"/>
      <c r="G294" s="16">
        <f>IFERROR(IF($F294="","",VLOOKUP($F294,'Ürün Kartlar'!$B$5:$C$204,2,FALSE)),"— tanımsız ürün —")</f>
      </c>
      <c r="H294" s="21"/>
      <c r="I294" s="22">
        <f>IFERROR(IF($F294="","",IF($C294="Alış",VLOOKUP($F294,'Ürün Kartlar'!$B$5:$E$204,4,FALSE),VLOOKUP($F294,'Ürün Kartlar'!$B$5:$F$204,5,FALSE))),"")</f>
      </c>
      <c r="J294" s="23">
        <f>IFERROR(IF($F294="",Ayarlar!$C$9,VLOOKUP($F294,'Ürün Kartlar'!$B$5:$G$204,6,FALSE)),Ayarlar!$C$9)</f>
      </c>
      <c r="K294" s="18">
        <f>IF(OR($H294="",$I294=""),0,$H294*$I294)</f>
      </c>
      <c r="L294" s="18">
        <f>$K294*$J294</f>
      </c>
      <c r="M294" s="18">
        <f>$K294+$L294</f>
      </c>
      <c r="N294" s="20"/>
      <c r="O294" s="20"/>
      <c r="P294" s="20"/>
    </row>
    <row r="295" spans="2:16" x14ac:dyDescent="0.25">
      <c r="B295" s="15"/>
      <c r="C295" s="8"/>
      <c r="D295" s="8"/>
      <c r="E295" s="16">
        <f>IFERROR(IF($D295="","",VLOOKUP($D295,'Cari Kartlar'!$B$5:$C$204,2,FALSE)),"— tanımsız cari —")</f>
      </c>
      <c r="F295" s="8"/>
      <c r="G295" s="16">
        <f>IFERROR(IF($F295="","",VLOOKUP($F295,'Ürün Kartlar'!$B$5:$C$204,2,FALSE)),"— tanımsız ürün —")</f>
      </c>
      <c r="H295" s="17"/>
      <c r="I295" s="13">
        <f>IFERROR(IF($F295="","",IF($C295="Alış",VLOOKUP($F295,'Ürün Kartlar'!$B$5:$E$204,4,FALSE),VLOOKUP($F295,'Ürün Kartlar'!$B$5:$F$204,5,FALSE))),"")</f>
      </c>
      <c r="J295" s="11">
        <f>IFERROR(IF($F295="",Ayarlar!$C$9,VLOOKUP($F295,'Ürün Kartlar'!$B$5:$G$204,6,FALSE)),Ayarlar!$C$9)</f>
      </c>
      <c r="K295" s="18">
        <f>IF(OR($H295="",$I295=""),0,$H295*$I295)</f>
      </c>
      <c r="L295" s="18">
        <f>$K295*$J295</f>
      </c>
      <c r="M295" s="18">
        <f>$K295+$L295</f>
      </c>
      <c r="N295" s="8"/>
      <c r="O295" s="8"/>
      <c r="P295" s="8"/>
    </row>
    <row r="296" spans="2:16" x14ac:dyDescent="0.25">
      <c r="B296" s="19"/>
      <c r="C296" s="20"/>
      <c r="D296" s="20"/>
      <c r="E296" s="16">
        <f>IFERROR(IF($D296="","",VLOOKUP($D296,'Cari Kartlar'!$B$5:$C$204,2,FALSE)),"— tanımsız cari —")</f>
      </c>
      <c r="F296" s="20"/>
      <c r="G296" s="16">
        <f>IFERROR(IF($F296="","",VLOOKUP($F296,'Ürün Kartlar'!$B$5:$C$204,2,FALSE)),"— tanımsız ürün —")</f>
      </c>
      <c r="H296" s="21"/>
      <c r="I296" s="22">
        <f>IFERROR(IF($F296="","",IF($C296="Alış",VLOOKUP($F296,'Ürün Kartlar'!$B$5:$E$204,4,FALSE),VLOOKUP($F296,'Ürün Kartlar'!$B$5:$F$204,5,FALSE))),"")</f>
      </c>
      <c r="J296" s="23">
        <f>IFERROR(IF($F296="",Ayarlar!$C$9,VLOOKUP($F296,'Ürün Kartlar'!$B$5:$G$204,6,FALSE)),Ayarlar!$C$9)</f>
      </c>
      <c r="K296" s="18">
        <f>IF(OR($H296="",$I296=""),0,$H296*$I296)</f>
      </c>
      <c r="L296" s="18">
        <f>$K296*$J296</f>
      </c>
      <c r="M296" s="18">
        <f>$K296+$L296</f>
      </c>
      <c r="N296" s="20"/>
      <c r="O296" s="20"/>
      <c r="P296" s="20"/>
    </row>
    <row r="297" spans="2:16" x14ac:dyDescent="0.25">
      <c r="B297" s="15"/>
      <c r="C297" s="8"/>
      <c r="D297" s="8"/>
      <c r="E297" s="16">
        <f>IFERROR(IF($D297="","",VLOOKUP($D297,'Cari Kartlar'!$B$5:$C$204,2,FALSE)),"— tanımsız cari —")</f>
      </c>
      <c r="F297" s="8"/>
      <c r="G297" s="16">
        <f>IFERROR(IF($F297="","",VLOOKUP($F297,'Ürün Kartlar'!$B$5:$C$204,2,FALSE)),"— tanımsız ürün —")</f>
      </c>
      <c r="H297" s="17"/>
      <c r="I297" s="13">
        <f>IFERROR(IF($F297="","",IF($C297="Alış",VLOOKUP($F297,'Ürün Kartlar'!$B$5:$E$204,4,FALSE),VLOOKUP($F297,'Ürün Kartlar'!$B$5:$F$204,5,FALSE))),"")</f>
      </c>
      <c r="J297" s="11">
        <f>IFERROR(IF($F297="",Ayarlar!$C$9,VLOOKUP($F297,'Ürün Kartlar'!$B$5:$G$204,6,FALSE)),Ayarlar!$C$9)</f>
      </c>
      <c r="K297" s="18">
        <f>IF(OR($H297="",$I297=""),0,$H297*$I297)</f>
      </c>
      <c r="L297" s="18">
        <f>$K297*$J297</f>
      </c>
      <c r="M297" s="18">
        <f>$K297+$L297</f>
      </c>
      <c r="N297" s="8"/>
      <c r="O297" s="8"/>
      <c r="P297" s="8"/>
    </row>
    <row r="298" spans="2:16" x14ac:dyDescent="0.25">
      <c r="B298" s="19"/>
      <c r="C298" s="20"/>
      <c r="D298" s="20"/>
      <c r="E298" s="16">
        <f>IFERROR(IF($D298="","",VLOOKUP($D298,'Cari Kartlar'!$B$5:$C$204,2,FALSE)),"— tanımsız cari —")</f>
      </c>
      <c r="F298" s="20"/>
      <c r="G298" s="16">
        <f>IFERROR(IF($F298="","",VLOOKUP($F298,'Ürün Kartlar'!$B$5:$C$204,2,FALSE)),"— tanımsız ürün —")</f>
      </c>
      <c r="H298" s="21"/>
      <c r="I298" s="22">
        <f>IFERROR(IF($F298="","",IF($C298="Alış",VLOOKUP($F298,'Ürün Kartlar'!$B$5:$E$204,4,FALSE),VLOOKUP($F298,'Ürün Kartlar'!$B$5:$F$204,5,FALSE))),"")</f>
      </c>
      <c r="J298" s="23">
        <f>IFERROR(IF($F298="",Ayarlar!$C$9,VLOOKUP($F298,'Ürün Kartlar'!$B$5:$G$204,6,FALSE)),Ayarlar!$C$9)</f>
      </c>
      <c r="K298" s="18">
        <f>IF(OR($H298="",$I298=""),0,$H298*$I298)</f>
      </c>
      <c r="L298" s="18">
        <f>$K298*$J298</f>
      </c>
      <c r="M298" s="18">
        <f>$K298+$L298</f>
      </c>
      <c r="N298" s="20"/>
      <c r="O298" s="20"/>
      <c r="P298" s="20"/>
    </row>
    <row r="299" spans="2:16" x14ac:dyDescent="0.25">
      <c r="B299" s="15"/>
      <c r="C299" s="8"/>
      <c r="D299" s="8"/>
      <c r="E299" s="16">
        <f>IFERROR(IF($D299="","",VLOOKUP($D299,'Cari Kartlar'!$B$5:$C$204,2,FALSE)),"— tanımsız cari —")</f>
      </c>
      <c r="F299" s="8"/>
      <c r="G299" s="16">
        <f>IFERROR(IF($F299="","",VLOOKUP($F299,'Ürün Kartlar'!$B$5:$C$204,2,FALSE)),"— tanımsız ürün —")</f>
      </c>
      <c r="H299" s="17"/>
      <c r="I299" s="13">
        <f>IFERROR(IF($F299="","",IF($C299="Alış",VLOOKUP($F299,'Ürün Kartlar'!$B$5:$E$204,4,FALSE),VLOOKUP($F299,'Ürün Kartlar'!$B$5:$F$204,5,FALSE))),"")</f>
      </c>
      <c r="J299" s="11">
        <f>IFERROR(IF($F299="",Ayarlar!$C$9,VLOOKUP($F299,'Ürün Kartlar'!$B$5:$G$204,6,FALSE)),Ayarlar!$C$9)</f>
      </c>
      <c r="K299" s="18">
        <f>IF(OR($H299="",$I299=""),0,$H299*$I299)</f>
      </c>
      <c r="L299" s="18">
        <f>$K299*$J299</f>
      </c>
      <c r="M299" s="18">
        <f>$K299+$L299</f>
      </c>
      <c r="N299" s="8"/>
      <c r="O299" s="8"/>
      <c r="P299" s="8"/>
    </row>
    <row r="300" spans="2:16" x14ac:dyDescent="0.25">
      <c r="B300" s="19"/>
      <c r="C300" s="20"/>
      <c r="D300" s="20"/>
      <c r="E300" s="16">
        <f>IFERROR(IF($D300="","",VLOOKUP($D300,'Cari Kartlar'!$B$5:$C$204,2,FALSE)),"— tanımsız cari —")</f>
      </c>
      <c r="F300" s="20"/>
      <c r="G300" s="16">
        <f>IFERROR(IF($F300="","",VLOOKUP($F300,'Ürün Kartlar'!$B$5:$C$204,2,FALSE)),"— tanımsız ürün —")</f>
      </c>
      <c r="H300" s="21"/>
      <c r="I300" s="22">
        <f>IFERROR(IF($F300="","",IF($C300="Alış",VLOOKUP($F300,'Ürün Kartlar'!$B$5:$E$204,4,FALSE),VLOOKUP($F300,'Ürün Kartlar'!$B$5:$F$204,5,FALSE))),"")</f>
      </c>
      <c r="J300" s="23">
        <f>IFERROR(IF($F300="",Ayarlar!$C$9,VLOOKUP($F300,'Ürün Kartlar'!$B$5:$G$204,6,FALSE)),Ayarlar!$C$9)</f>
      </c>
      <c r="K300" s="18">
        <f>IF(OR($H300="",$I300=""),0,$H300*$I300)</f>
      </c>
      <c r="L300" s="18">
        <f>$K300*$J300</f>
      </c>
      <c r="M300" s="18">
        <f>$K300+$L300</f>
      </c>
      <c r="N300" s="20"/>
      <c r="O300" s="20"/>
      <c r="P300" s="20"/>
    </row>
    <row r="301" spans="2:16" x14ac:dyDescent="0.25">
      <c r="B301" s="15"/>
      <c r="C301" s="8"/>
      <c r="D301" s="8"/>
      <c r="E301" s="16">
        <f>IFERROR(IF($D301="","",VLOOKUP($D301,'Cari Kartlar'!$B$5:$C$204,2,FALSE)),"— tanımsız cari —")</f>
      </c>
      <c r="F301" s="8"/>
      <c r="G301" s="16">
        <f>IFERROR(IF($F301="","",VLOOKUP($F301,'Ürün Kartlar'!$B$5:$C$204,2,FALSE)),"— tanımsız ürün —")</f>
      </c>
      <c r="H301" s="17"/>
      <c r="I301" s="13">
        <f>IFERROR(IF($F301="","",IF($C301="Alış",VLOOKUP($F301,'Ürün Kartlar'!$B$5:$E$204,4,FALSE),VLOOKUP($F301,'Ürün Kartlar'!$B$5:$F$204,5,FALSE))),"")</f>
      </c>
      <c r="J301" s="11">
        <f>IFERROR(IF($F301="",Ayarlar!$C$9,VLOOKUP($F301,'Ürün Kartlar'!$B$5:$G$204,6,FALSE)),Ayarlar!$C$9)</f>
      </c>
      <c r="K301" s="18">
        <f>IF(OR($H301="",$I301=""),0,$H301*$I301)</f>
      </c>
      <c r="L301" s="18">
        <f>$K301*$J301</f>
      </c>
      <c r="M301" s="18">
        <f>$K301+$L301</f>
      </c>
      <c r="N301" s="8"/>
      <c r="O301" s="8"/>
      <c r="P301" s="8"/>
    </row>
    <row r="302" spans="2:16" x14ac:dyDescent="0.25">
      <c r="B302" s="19"/>
      <c r="C302" s="20"/>
      <c r="D302" s="20"/>
      <c r="E302" s="16">
        <f>IFERROR(IF($D302="","",VLOOKUP($D302,'Cari Kartlar'!$B$5:$C$204,2,FALSE)),"— tanımsız cari —")</f>
      </c>
      <c r="F302" s="20"/>
      <c r="G302" s="16">
        <f>IFERROR(IF($F302="","",VLOOKUP($F302,'Ürün Kartlar'!$B$5:$C$204,2,FALSE)),"— tanımsız ürün —")</f>
      </c>
      <c r="H302" s="21"/>
      <c r="I302" s="22">
        <f>IFERROR(IF($F302="","",IF($C302="Alış",VLOOKUP($F302,'Ürün Kartlar'!$B$5:$E$204,4,FALSE),VLOOKUP($F302,'Ürün Kartlar'!$B$5:$F$204,5,FALSE))),"")</f>
      </c>
      <c r="J302" s="23">
        <f>IFERROR(IF($F302="",Ayarlar!$C$9,VLOOKUP($F302,'Ürün Kartlar'!$B$5:$G$204,6,FALSE)),Ayarlar!$C$9)</f>
      </c>
      <c r="K302" s="18">
        <f>IF(OR($H302="",$I302=""),0,$H302*$I302)</f>
      </c>
      <c r="L302" s="18">
        <f>$K302*$J302</f>
      </c>
      <c r="M302" s="18">
        <f>$K302+$L302</f>
      </c>
      <c r="N302" s="20"/>
      <c r="O302" s="20"/>
      <c r="P302" s="20"/>
    </row>
    <row r="303" spans="2:16" x14ac:dyDescent="0.25">
      <c r="B303" s="15"/>
      <c r="C303" s="8"/>
      <c r="D303" s="8"/>
      <c r="E303" s="16">
        <f>IFERROR(IF($D303="","",VLOOKUP($D303,'Cari Kartlar'!$B$5:$C$204,2,FALSE)),"— tanımsız cari —")</f>
      </c>
      <c r="F303" s="8"/>
      <c r="G303" s="16">
        <f>IFERROR(IF($F303="","",VLOOKUP($F303,'Ürün Kartlar'!$B$5:$C$204,2,FALSE)),"— tanımsız ürün —")</f>
      </c>
      <c r="H303" s="17"/>
      <c r="I303" s="13">
        <f>IFERROR(IF($F303="","",IF($C303="Alış",VLOOKUP($F303,'Ürün Kartlar'!$B$5:$E$204,4,FALSE),VLOOKUP($F303,'Ürün Kartlar'!$B$5:$F$204,5,FALSE))),"")</f>
      </c>
      <c r="J303" s="11">
        <f>IFERROR(IF($F303="",Ayarlar!$C$9,VLOOKUP($F303,'Ürün Kartlar'!$B$5:$G$204,6,FALSE)),Ayarlar!$C$9)</f>
      </c>
      <c r="K303" s="18">
        <f>IF(OR($H303="",$I303=""),0,$H303*$I303)</f>
      </c>
      <c r="L303" s="18">
        <f>$K303*$J303</f>
      </c>
      <c r="M303" s="18">
        <f>$K303+$L303</f>
      </c>
      <c r="N303" s="8"/>
      <c r="O303" s="8"/>
      <c r="P303" s="8"/>
    </row>
    <row r="304" spans="2:16" x14ac:dyDescent="0.25">
      <c r="B304" s="19"/>
      <c r="C304" s="20"/>
      <c r="D304" s="20"/>
      <c r="E304" s="16">
        <f>IFERROR(IF($D304="","",VLOOKUP($D304,'Cari Kartlar'!$B$5:$C$204,2,FALSE)),"— tanımsız cari —")</f>
      </c>
      <c r="F304" s="20"/>
      <c r="G304" s="16">
        <f>IFERROR(IF($F304="","",VLOOKUP($F304,'Ürün Kartlar'!$B$5:$C$204,2,FALSE)),"— tanımsız ürün —")</f>
      </c>
      <c r="H304" s="21"/>
      <c r="I304" s="22">
        <f>IFERROR(IF($F304="","",IF($C304="Alış",VLOOKUP($F304,'Ürün Kartlar'!$B$5:$E$204,4,FALSE),VLOOKUP($F304,'Ürün Kartlar'!$B$5:$F$204,5,FALSE))),"")</f>
      </c>
      <c r="J304" s="23">
        <f>IFERROR(IF($F304="",Ayarlar!$C$9,VLOOKUP($F304,'Ürün Kartlar'!$B$5:$G$204,6,FALSE)),Ayarlar!$C$9)</f>
      </c>
      <c r="K304" s="18">
        <f>IF(OR($H304="",$I304=""),0,$H304*$I304)</f>
      </c>
      <c r="L304" s="18">
        <f>$K304*$J304</f>
      </c>
      <c r="M304" s="18">
        <f>$K304+$L304</f>
      </c>
      <c r="N304" s="20"/>
      <c r="O304" s="20"/>
      <c r="P304" s="20"/>
    </row>
    <row r="305" spans="2:16" x14ac:dyDescent="0.25">
      <c r="B305" s="15"/>
      <c r="C305" s="8"/>
      <c r="D305" s="8"/>
      <c r="E305" s="16">
        <f>IFERROR(IF($D305="","",VLOOKUP($D305,'Cari Kartlar'!$B$5:$C$204,2,FALSE)),"— tanımsız cari —")</f>
      </c>
      <c r="F305" s="8"/>
      <c r="G305" s="16">
        <f>IFERROR(IF($F305="","",VLOOKUP($F305,'Ürün Kartlar'!$B$5:$C$204,2,FALSE)),"— tanımsız ürün —")</f>
      </c>
      <c r="H305" s="17"/>
      <c r="I305" s="13">
        <f>IFERROR(IF($F305="","",IF($C305="Alış",VLOOKUP($F305,'Ürün Kartlar'!$B$5:$E$204,4,FALSE),VLOOKUP($F305,'Ürün Kartlar'!$B$5:$F$204,5,FALSE))),"")</f>
      </c>
      <c r="J305" s="11">
        <f>IFERROR(IF($F305="",Ayarlar!$C$9,VLOOKUP($F305,'Ürün Kartlar'!$B$5:$G$204,6,FALSE)),Ayarlar!$C$9)</f>
      </c>
      <c r="K305" s="18">
        <f>IF(OR($H305="",$I305=""),0,$H305*$I305)</f>
      </c>
      <c r="L305" s="18">
        <f>$K305*$J305</f>
      </c>
      <c r="M305" s="18">
        <f>$K305+$L305</f>
      </c>
      <c r="N305" s="8"/>
      <c r="O305" s="8"/>
      <c r="P305" s="8"/>
    </row>
    <row r="306" spans="2:16" x14ac:dyDescent="0.25">
      <c r="B306" s="19"/>
      <c r="C306" s="20"/>
      <c r="D306" s="20"/>
      <c r="E306" s="16">
        <f>IFERROR(IF($D306="","",VLOOKUP($D306,'Cari Kartlar'!$B$5:$C$204,2,FALSE)),"— tanımsız cari —")</f>
      </c>
      <c r="F306" s="20"/>
      <c r="G306" s="16">
        <f>IFERROR(IF($F306="","",VLOOKUP($F306,'Ürün Kartlar'!$B$5:$C$204,2,FALSE)),"— tanımsız ürün —")</f>
      </c>
      <c r="H306" s="21"/>
      <c r="I306" s="22">
        <f>IFERROR(IF($F306="","",IF($C306="Alış",VLOOKUP($F306,'Ürün Kartlar'!$B$5:$E$204,4,FALSE),VLOOKUP($F306,'Ürün Kartlar'!$B$5:$F$204,5,FALSE))),"")</f>
      </c>
      <c r="J306" s="23">
        <f>IFERROR(IF($F306="",Ayarlar!$C$9,VLOOKUP($F306,'Ürün Kartlar'!$B$5:$G$204,6,FALSE)),Ayarlar!$C$9)</f>
      </c>
      <c r="K306" s="18">
        <f>IF(OR($H306="",$I306=""),0,$H306*$I306)</f>
      </c>
      <c r="L306" s="18">
        <f>$K306*$J306</f>
      </c>
      <c r="M306" s="18">
        <f>$K306+$L306</f>
      </c>
      <c r="N306" s="20"/>
      <c r="O306" s="20"/>
      <c r="P306" s="20"/>
    </row>
    <row r="307" spans="2:16" x14ac:dyDescent="0.25">
      <c r="B307" s="15"/>
      <c r="C307" s="8"/>
      <c r="D307" s="8"/>
      <c r="E307" s="16">
        <f>IFERROR(IF($D307="","",VLOOKUP($D307,'Cari Kartlar'!$B$5:$C$204,2,FALSE)),"— tanımsız cari —")</f>
      </c>
      <c r="F307" s="8"/>
      <c r="G307" s="16">
        <f>IFERROR(IF($F307="","",VLOOKUP($F307,'Ürün Kartlar'!$B$5:$C$204,2,FALSE)),"— tanımsız ürün —")</f>
      </c>
      <c r="H307" s="17"/>
      <c r="I307" s="13">
        <f>IFERROR(IF($F307="","",IF($C307="Alış",VLOOKUP($F307,'Ürün Kartlar'!$B$5:$E$204,4,FALSE),VLOOKUP($F307,'Ürün Kartlar'!$B$5:$F$204,5,FALSE))),"")</f>
      </c>
      <c r="J307" s="11">
        <f>IFERROR(IF($F307="",Ayarlar!$C$9,VLOOKUP($F307,'Ürün Kartlar'!$B$5:$G$204,6,FALSE)),Ayarlar!$C$9)</f>
      </c>
      <c r="K307" s="18">
        <f>IF(OR($H307="",$I307=""),0,$H307*$I307)</f>
      </c>
      <c r="L307" s="18">
        <f>$K307*$J307</f>
      </c>
      <c r="M307" s="18">
        <f>$K307+$L307</f>
      </c>
      <c r="N307" s="8"/>
      <c r="O307" s="8"/>
      <c r="P307" s="8"/>
    </row>
    <row r="308" spans="2:16" x14ac:dyDescent="0.25">
      <c r="B308" s="19"/>
      <c r="C308" s="20"/>
      <c r="D308" s="20"/>
      <c r="E308" s="16">
        <f>IFERROR(IF($D308="","",VLOOKUP($D308,'Cari Kartlar'!$B$5:$C$204,2,FALSE)),"— tanımsız cari —")</f>
      </c>
      <c r="F308" s="20"/>
      <c r="G308" s="16">
        <f>IFERROR(IF($F308="","",VLOOKUP($F308,'Ürün Kartlar'!$B$5:$C$204,2,FALSE)),"— tanımsız ürün —")</f>
      </c>
      <c r="H308" s="21"/>
      <c r="I308" s="22">
        <f>IFERROR(IF($F308="","",IF($C308="Alış",VLOOKUP($F308,'Ürün Kartlar'!$B$5:$E$204,4,FALSE),VLOOKUP($F308,'Ürün Kartlar'!$B$5:$F$204,5,FALSE))),"")</f>
      </c>
      <c r="J308" s="23">
        <f>IFERROR(IF($F308="",Ayarlar!$C$9,VLOOKUP($F308,'Ürün Kartlar'!$B$5:$G$204,6,FALSE)),Ayarlar!$C$9)</f>
      </c>
      <c r="K308" s="18">
        <f>IF(OR($H308="",$I308=""),0,$H308*$I308)</f>
      </c>
      <c r="L308" s="18">
        <f>$K308*$J308</f>
      </c>
      <c r="M308" s="18">
        <f>$K308+$L308</f>
      </c>
      <c r="N308" s="20"/>
      <c r="O308" s="20"/>
      <c r="P308" s="20"/>
    </row>
    <row r="309" spans="2:16" x14ac:dyDescent="0.25">
      <c r="B309" s="15"/>
      <c r="C309" s="8"/>
      <c r="D309" s="8"/>
      <c r="E309" s="16">
        <f>IFERROR(IF($D309="","",VLOOKUP($D309,'Cari Kartlar'!$B$5:$C$204,2,FALSE)),"— tanımsız cari —")</f>
      </c>
      <c r="F309" s="8"/>
      <c r="G309" s="16">
        <f>IFERROR(IF($F309="","",VLOOKUP($F309,'Ürün Kartlar'!$B$5:$C$204,2,FALSE)),"— tanımsız ürün —")</f>
      </c>
      <c r="H309" s="17"/>
      <c r="I309" s="13">
        <f>IFERROR(IF($F309="","",IF($C309="Alış",VLOOKUP($F309,'Ürün Kartlar'!$B$5:$E$204,4,FALSE),VLOOKUP($F309,'Ürün Kartlar'!$B$5:$F$204,5,FALSE))),"")</f>
      </c>
      <c r="J309" s="11">
        <f>IFERROR(IF($F309="",Ayarlar!$C$9,VLOOKUP($F309,'Ürün Kartlar'!$B$5:$G$204,6,FALSE)),Ayarlar!$C$9)</f>
      </c>
      <c r="K309" s="18">
        <f>IF(OR($H309="",$I309=""),0,$H309*$I309)</f>
      </c>
      <c r="L309" s="18">
        <f>$K309*$J309</f>
      </c>
      <c r="M309" s="18">
        <f>$K309+$L309</f>
      </c>
      <c r="N309" s="8"/>
      <c r="O309" s="8"/>
      <c r="P309" s="8"/>
    </row>
    <row r="310" spans="2:16" x14ac:dyDescent="0.25">
      <c r="B310" s="19"/>
      <c r="C310" s="20"/>
      <c r="D310" s="20"/>
      <c r="E310" s="16">
        <f>IFERROR(IF($D310="","",VLOOKUP($D310,'Cari Kartlar'!$B$5:$C$204,2,FALSE)),"— tanımsız cari —")</f>
      </c>
      <c r="F310" s="20"/>
      <c r="G310" s="16">
        <f>IFERROR(IF($F310="","",VLOOKUP($F310,'Ürün Kartlar'!$B$5:$C$204,2,FALSE)),"— tanımsız ürün —")</f>
      </c>
      <c r="H310" s="21"/>
      <c r="I310" s="22">
        <f>IFERROR(IF($F310="","",IF($C310="Alış",VLOOKUP($F310,'Ürün Kartlar'!$B$5:$E$204,4,FALSE),VLOOKUP($F310,'Ürün Kartlar'!$B$5:$F$204,5,FALSE))),"")</f>
      </c>
      <c r="J310" s="23">
        <f>IFERROR(IF($F310="",Ayarlar!$C$9,VLOOKUP($F310,'Ürün Kartlar'!$B$5:$G$204,6,FALSE)),Ayarlar!$C$9)</f>
      </c>
      <c r="K310" s="18">
        <f>IF(OR($H310="",$I310=""),0,$H310*$I310)</f>
      </c>
      <c r="L310" s="18">
        <f>$K310*$J310</f>
      </c>
      <c r="M310" s="18">
        <f>$K310+$L310</f>
      </c>
      <c r="N310" s="20"/>
      <c r="O310" s="20"/>
      <c r="P310" s="20"/>
    </row>
    <row r="311" spans="2:16" x14ac:dyDescent="0.25">
      <c r="B311" s="15"/>
      <c r="C311" s="8"/>
      <c r="D311" s="8"/>
      <c r="E311" s="16">
        <f>IFERROR(IF($D311="","",VLOOKUP($D311,'Cari Kartlar'!$B$5:$C$204,2,FALSE)),"— tanımsız cari —")</f>
      </c>
      <c r="F311" s="8"/>
      <c r="G311" s="16">
        <f>IFERROR(IF($F311="","",VLOOKUP($F311,'Ürün Kartlar'!$B$5:$C$204,2,FALSE)),"— tanımsız ürün —")</f>
      </c>
      <c r="H311" s="17"/>
      <c r="I311" s="13">
        <f>IFERROR(IF($F311="","",IF($C311="Alış",VLOOKUP($F311,'Ürün Kartlar'!$B$5:$E$204,4,FALSE),VLOOKUP($F311,'Ürün Kartlar'!$B$5:$F$204,5,FALSE))),"")</f>
      </c>
      <c r="J311" s="11">
        <f>IFERROR(IF($F311="",Ayarlar!$C$9,VLOOKUP($F311,'Ürün Kartlar'!$B$5:$G$204,6,FALSE)),Ayarlar!$C$9)</f>
      </c>
      <c r="K311" s="18">
        <f>IF(OR($H311="",$I311=""),0,$H311*$I311)</f>
      </c>
      <c r="L311" s="18">
        <f>$K311*$J311</f>
      </c>
      <c r="M311" s="18">
        <f>$K311+$L311</f>
      </c>
      <c r="N311" s="8"/>
      <c r="O311" s="8"/>
      <c r="P311" s="8"/>
    </row>
    <row r="312" spans="2:16" x14ac:dyDescent="0.25">
      <c r="B312" s="19"/>
      <c r="C312" s="20"/>
      <c r="D312" s="20"/>
      <c r="E312" s="16">
        <f>IFERROR(IF($D312="","",VLOOKUP($D312,'Cari Kartlar'!$B$5:$C$204,2,FALSE)),"— tanımsız cari —")</f>
      </c>
      <c r="F312" s="20"/>
      <c r="G312" s="16">
        <f>IFERROR(IF($F312="","",VLOOKUP($F312,'Ürün Kartlar'!$B$5:$C$204,2,FALSE)),"— tanımsız ürün —")</f>
      </c>
      <c r="H312" s="21"/>
      <c r="I312" s="22">
        <f>IFERROR(IF($F312="","",IF($C312="Alış",VLOOKUP($F312,'Ürün Kartlar'!$B$5:$E$204,4,FALSE),VLOOKUP($F312,'Ürün Kartlar'!$B$5:$F$204,5,FALSE))),"")</f>
      </c>
      <c r="J312" s="23">
        <f>IFERROR(IF($F312="",Ayarlar!$C$9,VLOOKUP($F312,'Ürün Kartlar'!$B$5:$G$204,6,FALSE)),Ayarlar!$C$9)</f>
      </c>
      <c r="K312" s="18">
        <f>IF(OR($H312="",$I312=""),0,$H312*$I312)</f>
      </c>
      <c r="L312" s="18">
        <f>$K312*$J312</f>
      </c>
      <c r="M312" s="18">
        <f>$K312+$L312</f>
      </c>
      <c r="N312" s="20"/>
      <c r="O312" s="20"/>
      <c r="P312" s="20"/>
    </row>
    <row r="313" spans="2:16" x14ac:dyDescent="0.25">
      <c r="B313" s="15"/>
      <c r="C313" s="8"/>
      <c r="D313" s="8"/>
      <c r="E313" s="16">
        <f>IFERROR(IF($D313="","",VLOOKUP($D313,'Cari Kartlar'!$B$5:$C$204,2,FALSE)),"— tanımsız cari —")</f>
      </c>
      <c r="F313" s="8"/>
      <c r="G313" s="16">
        <f>IFERROR(IF($F313="","",VLOOKUP($F313,'Ürün Kartlar'!$B$5:$C$204,2,FALSE)),"— tanımsız ürün —")</f>
      </c>
      <c r="H313" s="17"/>
      <c r="I313" s="13">
        <f>IFERROR(IF($F313="","",IF($C313="Alış",VLOOKUP($F313,'Ürün Kartlar'!$B$5:$E$204,4,FALSE),VLOOKUP($F313,'Ürün Kartlar'!$B$5:$F$204,5,FALSE))),"")</f>
      </c>
      <c r="J313" s="11">
        <f>IFERROR(IF($F313="",Ayarlar!$C$9,VLOOKUP($F313,'Ürün Kartlar'!$B$5:$G$204,6,FALSE)),Ayarlar!$C$9)</f>
      </c>
      <c r="K313" s="18">
        <f>IF(OR($H313="",$I313=""),0,$H313*$I313)</f>
      </c>
      <c r="L313" s="18">
        <f>$K313*$J313</f>
      </c>
      <c r="M313" s="18">
        <f>$K313+$L313</f>
      </c>
      <c r="N313" s="8"/>
      <c r="O313" s="8"/>
      <c r="P313" s="8"/>
    </row>
    <row r="314" spans="2:16" x14ac:dyDescent="0.25">
      <c r="B314" s="19"/>
      <c r="C314" s="20"/>
      <c r="D314" s="20"/>
      <c r="E314" s="16">
        <f>IFERROR(IF($D314="","",VLOOKUP($D314,'Cari Kartlar'!$B$5:$C$204,2,FALSE)),"— tanımsız cari —")</f>
      </c>
      <c r="F314" s="20"/>
      <c r="G314" s="16">
        <f>IFERROR(IF($F314="","",VLOOKUP($F314,'Ürün Kartlar'!$B$5:$C$204,2,FALSE)),"— tanımsız ürün —")</f>
      </c>
      <c r="H314" s="21"/>
      <c r="I314" s="22">
        <f>IFERROR(IF($F314="","",IF($C314="Alış",VLOOKUP($F314,'Ürün Kartlar'!$B$5:$E$204,4,FALSE),VLOOKUP($F314,'Ürün Kartlar'!$B$5:$F$204,5,FALSE))),"")</f>
      </c>
      <c r="J314" s="23">
        <f>IFERROR(IF($F314="",Ayarlar!$C$9,VLOOKUP($F314,'Ürün Kartlar'!$B$5:$G$204,6,FALSE)),Ayarlar!$C$9)</f>
      </c>
      <c r="K314" s="18">
        <f>IF(OR($H314="",$I314=""),0,$H314*$I314)</f>
      </c>
      <c r="L314" s="18">
        <f>$K314*$J314</f>
      </c>
      <c r="M314" s="18">
        <f>$K314+$L314</f>
      </c>
      <c r="N314" s="20"/>
      <c r="O314" s="20"/>
      <c r="P314" s="20"/>
    </row>
    <row r="315" spans="2:16" x14ac:dyDescent="0.25">
      <c r="B315" s="15"/>
      <c r="C315" s="8"/>
      <c r="D315" s="8"/>
      <c r="E315" s="16">
        <f>IFERROR(IF($D315="","",VLOOKUP($D315,'Cari Kartlar'!$B$5:$C$204,2,FALSE)),"— tanımsız cari —")</f>
      </c>
      <c r="F315" s="8"/>
      <c r="G315" s="16">
        <f>IFERROR(IF($F315="","",VLOOKUP($F315,'Ürün Kartlar'!$B$5:$C$204,2,FALSE)),"— tanımsız ürün —")</f>
      </c>
      <c r="H315" s="17"/>
      <c r="I315" s="13">
        <f>IFERROR(IF($F315="","",IF($C315="Alış",VLOOKUP($F315,'Ürün Kartlar'!$B$5:$E$204,4,FALSE),VLOOKUP($F315,'Ürün Kartlar'!$B$5:$F$204,5,FALSE))),"")</f>
      </c>
      <c r="J315" s="11">
        <f>IFERROR(IF($F315="",Ayarlar!$C$9,VLOOKUP($F315,'Ürün Kartlar'!$B$5:$G$204,6,FALSE)),Ayarlar!$C$9)</f>
      </c>
      <c r="K315" s="18">
        <f>IF(OR($H315="",$I315=""),0,$H315*$I315)</f>
      </c>
      <c r="L315" s="18">
        <f>$K315*$J315</f>
      </c>
      <c r="M315" s="18">
        <f>$K315+$L315</f>
      </c>
      <c r="N315" s="8"/>
      <c r="O315" s="8"/>
      <c r="P315" s="8"/>
    </row>
    <row r="316" spans="2:16" x14ac:dyDescent="0.25">
      <c r="B316" s="19"/>
      <c r="C316" s="20"/>
      <c r="D316" s="20"/>
      <c r="E316" s="16">
        <f>IFERROR(IF($D316="","",VLOOKUP($D316,'Cari Kartlar'!$B$5:$C$204,2,FALSE)),"— tanımsız cari —")</f>
      </c>
      <c r="F316" s="20"/>
      <c r="G316" s="16">
        <f>IFERROR(IF($F316="","",VLOOKUP($F316,'Ürün Kartlar'!$B$5:$C$204,2,FALSE)),"— tanımsız ürün —")</f>
      </c>
      <c r="H316" s="21"/>
      <c r="I316" s="22">
        <f>IFERROR(IF($F316="","",IF($C316="Alış",VLOOKUP($F316,'Ürün Kartlar'!$B$5:$E$204,4,FALSE),VLOOKUP($F316,'Ürün Kartlar'!$B$5:$F$204,5,FALSE))),"")</f>
      </c>
      <c r="J316" s="23">
        <f>IFERROR(IF($F316="",Ayarlar!$C$9,VLOOKUP($F316,'Ürün Kartlar'!$B$5:$G$204,6,FALSE)),Ayarlar!$C$9)</f>
      </c>
      <c r="K316" s="18">
        <f>IF(OR($H316="",$I316=""),0,$H316*$I316)</f>
      </c>
      <c r="L316" s="18">
        <f>$K316*$J316</f>
      </c>
      <c r="M316" s="18">
        <f>$K316+$L316</f>
      </c>
      <c r="N316" s="20"/>
      <c r="O316" s="20"/>
      <c r="P316" s="20"/>
    </row>
    <row r="317" spans="2:16" x14ac:dyDescent="0.25">
      <c r="B317" s="15"/>
      <c r="C317" s="8"/>
      <c r="D317" s="8"/>
      <c r="E317" s="16">
        <f>IFERROR(IF($D317="","",VLOOKUP($D317,'Cari Kartlar'!$B$5:$C$204,2,FALSE)),"— tanımsız cari —")</f>
      </c>
      <c r="F317" s="8"/>
      <c r="G317" s="16">
        <f>IFERROR(IF($F317="","",VLOOKUP($F317,'Ürün Kartlar'!$B$5:$C$204,2,FALSE)),"— tanımsız ürün —")</f>
      </c>
      <c r="H317" s="17"/>
      <c r="I317" s="13">
        <f>IFERROR(IF($F317="","",IF($C317="Alış",VLOOKUP($F317,'Ürün Kartlar'!$B$5:$E$204,4,FALSE),VLOOKUP($F317,'Ürün Kartlar'!$B$5:$F$204,5,FALSE))),"")</f>
      </c>
      <c r="J317" s="11">
        <f>IFERROR(IF($F317="",Ayarlar!$C$9,VLOOKUP($F317,'Ürün Kartlar'!$B$5:$G$204,6,FALSE)),Ayarlar!$C$9)</f>
      </c>
      <c r="K317" s="18">
        <f>IF(OR($H317="",$I317=""),0,$H317*$I317)</f>
      </c>
      <c r="L317" s="18">
        <f>$K317*$J317</f>
      </c>
      <c r="M317" s="18">
        <f>$K317+$L317</f>
      </c>
      <c r="N317" s="8"/>
      <c r="O317" s="8"/>
      <c r="P317" s="8"/>
    </row>
    <row r="318" spans="2:16" x14ac:dyDescent="0.25">
      <c r="B318" s="19"/>
      <c r="C318" s="20"/>
      <c r="D318" s="20"/>
      <c r="E318" s="16">
        <f>IFERROR(IF($D318="","",VLOOKUP($D318,'Cari Kartlar'!$B$5:$C$204,2,FALSE)),"— tanımsız cari —")</f>
      </c>
      <c r="F318" s="20"/>
      <c r="G318" s="16">
        <f>IFERROR(IF($F318="","",VLOOKUP($F318,'Ürün Kartlar'!$B$5:$C$204,2,FALSE)),"— tanımsız ürün —")</f>
      </c>
      <c r="H318" s="21"/>
      <c r="I318" s="22">
        <f>IFERROR(IF($F318="","",IF($C318="Alış",VLOOKUP($F318,'Ürün Kartlar'!$B$5:$E$204,4,FALSE),VLOOKUP($F318,'Ürün Kartlar'!$B$5:$F$204,5,FALSE))),"")</f>
      </c>
      <c r="J318" s="23">
        <f>IFERROR(IF($F318="",Ayarlar!$C$9,VLOOKUP($F318,'Ürün Kartlar'!$B$5:$G$204,6,FALSE)),Ayarlar!$C$9)</f>
      </c>
      <c r="K318" s="18">
        <f>IF(OR($H318="",$I318=""),0,$H318*$I318)</f>
      </c>
      <c r="L318" s="18">
        <f>$K318*$J318</f>
      </c>
      <c r="M318" s="18">
        <f>$K318+$L318</f>
      </c>
      <c r="N318" s="20"/>
      <c r="O318" s="20"/>
      <c r="P318" s="20"/>
    </row>
    <row r="319" spans="2:16" x14ac:dyDescent="0.25">
      <c r="B319" s="15"/>
      <c r="C319" s="8"/>
      <c r="D319" s="8"/>
      <c r="E319" s="16">
        <f>IFERROR(IF($D319="","",VLOOKUP($D319,'Cari Kartlar'!$B$5:$C$204,2,FALSE)),"— tanımsız cari —")</f>
      </c>
      <c r="F319" s="8"/>
      <c r="G319" s="16">
        <f>IFERROR(IF($F319="","",VLOOKUP($F319,'Ürün Kartlar'!$B$5:$C$204,2,FALSE)),"— tanımsız ürün —")</f>
      </c>
      <c r="H319" s="17"/>
      <c r="I319" s="13">
        <f>IFERROR(IF($F319="","",IF($C319="Alış",VLOOKUP($F319,'Ürün Kartlar'!$B$5:$E$204,4,FALSE),VLOOKUP($F319,'Ürün Kartlar'!$B$5:$F$204,5,FALSE))),"")</f>
      </c>
      <c r="J319" s="11">
        <f>IFERROR(IF($F319="",Ayarlar!$C$9,VLOOKUP($F319,'Ürün Kartlar'!$B$5:$G$204,6,FALSE)),Ayarlar!$C$9)</f>
      </c>
      <c r="K319" s="18">
        <f>IF(OR($H319="",$I319=""),0,$H319*$I319)</f>
      </c>
      <c r="L319" s="18">
        <f>$K319*$J319</f>
      </c>
      <c r="M319" s="18">
        <f>$K319+$L319</f>
      </c>
      <c r="N319" s="8"/>
      <c r="O319" s="8"/>
      <c r="P319" s="8"/>
    </row>
    <row r="320" spans="2:16" x14ac:dyDescent="0.25">
      <c r="B320" s="19"/>
      <c r="C320" s="20"/>
      <c r="D320" s="20"/>
      <c r="E320" s="16">
        <f>IFERROR(IF($D320="","",VLOOKUP($D320,'Cari Kartlar'!$B$5:$C$204,2,FALSE)),"— tanımsız cari —")</f>
      </c>
      <c r="F320" s="20"/>
      <c r="G320" s="16">
        <f>IFERROR(IF($F320="","",VLOOKUP($F320,'Ürün Kartlar'!$B$5:$C$204,2,FALSE)),"— tanımsız ürün —")</f>
      </c>
      <c r="H320" s="21"/>
      <c r="I320" s="22">
        <f>IFERROR(IF($F320="","",IF($C320="Alış",VLOOKUP($F320,'Ürün Kartlar'!$B$5:$E$204,4,FALSE),VLOOKUP($F320,'Ürün Kartlar'!$B$5:$F$204,5,FALSE))),"")</f>
      </c>
      <c r="J320" s="23">
        <f>IFERROR(IF($F320="",Ayarlar!$C$9,VLOOKUP($F320,'Ürün Kartlar'!$B$5:$G$204,6,FALSE)),Ayarlar!$C$9)</f>
      </c>
      <c r="K320" s="18">
        <f>IF(OR($H320="",$I320=""),0,$H320*$I320)</f>
      </c>
      <c r="L320" s="18">
        <f>$K320*$J320</f>
      </c>
      <c r="M320" s="18">
        <f>$K320+$L320</f>
      </c>
      <c r="N320" s="20"/>
      <c r="O320" s="20"/>
      <c r="P320" s="20"/>
    </row>
    <row r="321" spans="2:16" x14ac:dyDescent="0.25">
      <c r="B321" s="15"/>
      <c r="C321" s="8"/>
      <c r="D321" s="8"/>
      <c r="E321" s="16">
        <f>IFERROR(IF($D321="","",VLOOKUP($D321,'Cari Kartlar'!$B$5:$C$204,2,FALSE)),"— tanımsız cari —")</f>
      </c>
      <c r="F321" s="8"/>
      <c r="G321" s="16">
        <f>IFERROR(IF($F321="","",VLOOKUP($F321,'Ürün Kartlar'!$B$5:$C$204,2,FALSE)),"— tanımsız ürün —")</f>
      </c>
      <c r="H321" s="17"/>
      <c r="I321" s="13">
        <f>IFERROR(IF($F321="","",IF($C321="Alış",VLOOKUP($F321,'Ürün Kartlar'!$B$5:$E$204,4,FALSE),VLOOKUP($F321,'Ürün Kartlar'!$B$5:$F$204,5,FALSE))),"")</f>
      </c>
      <c r="J321" s="11">
        <f>IFERROR(IF($F321="",Ayarlar!$C$9,VLOOKUP($F321,'Ürün Kartlar'!$B$5:$G$204,6,FALSE)),Ayarlar!$C$9)</f>
      </c>
      <c r="K321" s="18">
        <f>IF(OR($H321="",$I321=""),0,$H321*$I321)</f>
      </c>
      <c r="L321" s="18">
        <f>$K321*$J321</f>
      </c>
      <c r="M321" s="18">
        <f>$K321+$L321</f>
      </c>
      <c r="N321" s="8"/>
      <c r="O321" s="8"/>
      <c r="P321" s="8"/>
    </row>
    <row r="322" spans="2:16" x14ac:dyDescent="0.25">
      <c r="B322" s="19"/>
      <c r="C322" s="20"/>
      <c r="D322" s="20"/>
      <c r="E322" s="16">
        <f>IFERROR(IF($D322="","",VLOOKUP($D322,'Cari Kartlar'!$B$5:$C$204,2,FALSE)),"— tanımsız cari —")</f>
      </c>
      <c r="F322" s="20"/>
      <c r="G322" s="16">
        <f>IFERROR(IF($F322="","",VLOOKUP($F322,'Ürün Kartlar'!$B$5:$C$204,2,FALSE)),"— tanımsız ürün —")</f>
      </c>
      <c r="H322" s="21"/>
      <c r="I322" s="22">
        <f>IFERROR(IF($F322="","",IF($C322="Alış",VLOOKUP($F322,'Ürün Kartlar'!$B$5:$E$204,4,FALSE),VLOOKUP($F322,'Ürün Kartlar'!$B$5:$F$204,5,FALSE))),"")</f>
      </c>
      <c r="J322" s="23">
        <f>IFERROR(IF($F322="",Ayarlar!$C$9,VLOOKUP($F322,'Ürün Kartlar'!$B$5:$G$204,6,FALSE)),Ayarlar!$C$9)</f>
      </c>
      <c r="K322" s="18">
        <f>IF(OR($H322="",$I322=""),0,$H322*$I322)</f>
      </c>
      <c r="L322" s="18">
        <f>$K322*$J322</f>
      </c>
      <c r="M322" s="18">
        <f>$K322+$L322</f>
      </c>
      <c r="N322" s="20"/>
      <c r="O322" s="20"/>
      <c r="P322" s="20"/>
    </row>
    <row r="323" spans="2:16" x14ac:dyDescent="0.25">
      <c r="B323" s="15"/>
      <c r="C323" s="8"/>
      <c r="D323" s="8"/>
      <c r="E323" s="16">
        <f>IFERROR(IF($D323="","",VLOOKUP($D323,'Cari Kartlar'!$B$5:$C$204,2,FALSE)),"— tanımsız cari —")</f>
      </c>
      <c r="F323" s="8"/>
      <c r="G323" s="16">
        <f>IFERROR(IF($F323="","",VLOOKUP($F323,'Ürün Kartlar'!$B$5:$C$204,2,FALSE)),"— tanımsız ürün —")</f>
      </c>
      <c r="H323" s="17"/>
      <c r="I323" s="13">
        <f>IFERROR(IF($F323="","",IF($C323="Alış",VLOOKUP($F323,'Ürün Kartlar'!$B$5:$E$204,4,FALSE),VLOOKUP($F323,'Ürün Kartlar'!$B$5:$F$204,5,FALSE))),"")</f>
      </c>
      <c r="J323" s="11">
        <f>IFERROR(IF($F323="",Ayarlar!$C$9,VLOOKUP($F323,'Ürün Kartlar'!$B$5:$G$204,6,FALSE)),Ayarlar!$C$9)</f>
      </c>
      <c r="K323" s="18">
        <f>IF(OR($H323="",$I323=""),0,$H323*$I323)</f>
      </c>
      <c r="L323" s="18">
        <f>$K323*$J323</f>
      </c>
      <c r="M323" s="18">
        <f>$K323+$L323</f>
      </c>
      <c r="N323" s="8"/>
      <c r="O323" s="8"/>
      <c r="P323" s="8"/>
    </row>
    <row r="324" spans="2:16" x14ac:dyDescent="0.25">
      <c r="B324" s="19"/>
      <c r="C324" s="20"/>
      <c r="D324" s="20"/>
      <c r="E324" s="16">
        <f>IFERROR(IF($D324="","",VLOOKUP($D324,'Cari Kartlar'!$B$5:$C$204,2,FALSE)),"— tanımsız cari —")</f>
      </c>
      <c r="F324" s="20"/>
      <c r="G324" s="16">
        <f>IFERROR(IF($F324="","",VLOOKUP($F324,'Ürün Kartlar'!$B$5:$C$204,2,FALSE)),"— tanımsız ürün —")</f>
      </c>
      <c r="H324" s="21"/>
      <c r="I324" s="22">
        <f>IFERROR(IF($F324="","",IF($C324="Alış",VLOOKUP($F324,'Ürün Kartlar'!$B$5:$E$204,4,FALSE),VLOOKUP($F324,'Ürün Kartlar'!$B$5:$F$204,5,FALSE))),"")</f>
      </c>
      <c r="J324" s="23">
        <f>IFERROR(IF($F324="",Ayarlar!$C$9,VLOOKUP($F324,'Ürün Kartlar'!$B$5:$G$204,6,FALSE)),Ayarlar!$C$9)</f>
      </c>
      <c r="K324" s="18">
        <f>IF(OR($H324="",$I324=""),0,$H324*$I324)</f>
      </c>
      <c r="L324" s="18">
        <f>$K324*$J324</f>
      </c>
      <c r="M324" s="18">
        <f>$K324+$L324</f>
      </c>
      <c r="N324" s="20"/>
      <c r="O324" s="20"/>
      <c r="P324" s="20"/>
    </row>
    <row r="325" spans="2:16" x14ac:dyDescent="0.25">
      <c r="B325" s="15"/>
      <c r="C325" s="8"/>
      <c r="D325" s="8"/>
      <c r="E325" s="16">
        <f>IFERROR(IF($D325="","",VLOOKUP($D325,'Cari Kartlar'!$B$5:$C$204,2,FALSE)),"— tanımsız cari —")</f>
      </c>
      <c r="F325" s="8"/>
      <c r="G325" s="16">
        <f>IFERROR(IF($F325="","",VLOOKUP($F325,'Ürün Kartlar'!$B$5:$C$204,2,FALSE)),"— tanımsız ürün —")</f>
      </c>
      <c r="H325" s="17"/>
      <c r="I325" s="13">
        <f>IFERROR(IF($F325="","",IF($C325="Alış",VLOOKUP($F325,'Ürün Kartlar'!$B$5:$E$204,4,FALSE),VLOOKUP($F325,'Ürün Kartlar'!$B$5:$F$204,5,FALSE))),"")</f>
      </c>
      <c r="J325" s="11">
        <f>IFERROR(IF($F325="",Ayarlar!$C$9,VLOOKUP($F325,'Ürün Kartlar'!$B$5:$G$204,6,FALSE)),Ayarlar!$C$9)</f>
      </c>
      <c r="K325" s="18">
        <f>IF(OR($H325="",$I325=""),0,$H325*$I325)</f>
      </c>
      <c r="L325" s="18">
        <f>$K325*$J325</f>
      </c>
      <c r="M325" s="18">
        <f>$K325+$L325</f>
      </c>
      <c r="N325" s="8"/>
      <c r="O325" s="8"/>
      <c r="P325" s="8"/>
    </row>
    <row r="326" spans="2:16" x14ac:dyDescent="0.25">
      <c r="B326" s="19"/>
      <c r="C326" s="20"/>
      <c r="D326" s="20"/>
      <c r="E326" s="16">
        <f>IFERROR(IF($D326="","",VLOOKUP($D326,'Cari Kartlar'!$B$5:$C$204,2,FALSE)),"— tanımsız cari —")</f>
      </c>
      <c r="F326" s="20"/>
      <c r="G326" s="16">
        <f>IFERROR(IF($F326="","",VLOOKUP($F326,'Ürün Kartlar'!$B$5:$C$204,2,FALSE)),"— tanımsız ürün —")</f>
      </c>
      <c r="H326" s="21"/>
      <c r="I326" s="22">
        <f>IFERROR(IF($F326="","",IF($C326="Alış",VLOOKUP($F326,'Ürün Kartlar'!$B$5:$E$204,4,FALSE),VLOOKUP($F326,'Ürün Kartlar'!$B$5:$F$204,5,FALSE))),"")</f>
      </c>
      <c r="J326" s="23">
        <f>IFERROR(IF($F326="",Ayarlar!$C$9,VLOOKUP($F326,'Ürün Kartlar'!$B$5:$G$204,6,FALSE)),Ayarlar!$C$9)</f>
      </c>
      <c r="K326" s="18">
        <f>IF(OR($H326="",$I326=""),0,$H326*$I326)</f>
      </c>
      <c r="L326" s="18">
        <f>$K326*$J326</f>
      </c>
      <c r="M326" s="18">
        <f>$K326+$L326</f>
      </c>
      <c r="N326" s="20"/>
      <c r="O326" s="20"/>
      <c r="P326" s="20"/>
    </row>
    <row r="327" spans="2:16" x14ac:dyDescent="0.25">
      <c r="B327" s="15"/>
      <c r="C327" s="8"/>
      <c r="D327" s="8"/>
      <c r="E327" s="16">
        <f>IFERROR(IF($D327="","",VLOOKUP($D327,'Cari Kartlar'!$B$5:$C$204,2,FALSE)),"— tanımsız cari —")</f>
      </c>
      <c r="F327" s="8"/>
      <c r="G327" s="16">
        <f>IFERROR(IF($F327="","",VLOOKUP($F327,'Ürün Kartlar'!$B$5:$C$204,2,FALSE)),"— tanımsız ürün —")</f>
      </c>
      <c r="H327" s="17"/>
      <c r="I327" s="13">
        <f>IFERROR(IF($F327="","",IF($C327="Alış",VLOOKUP($F327,'Ürün Kartlar'!$B$5:$E$204,4,FALSE),VLOOKUP($F327,'Ürün Kartlar'!$B$5:$F$204,5,FALSE))),"")</f>
      </c>
      <c r="J327" s="11">
        <f>IFERROR(IF($F327="",Ayarlar!$C$9,VLOOKUP($F327,'Ürün Kartlar'!$B$5:$G$204,6,FALSE)),Ayarlar!$C$9)</f>
      </c>
      <c r="K327" s="18">
        <f>IF(OR($H327="",$I327=""),0,$H327*$I327)</f>
      </c>
      <c r="L327" s="18">
        <f>$K327*$J327</f>
      </c>
      <c r="M327" s="18">
        <f>$K327+$L327</f>
      </c>
      <c r="N327" s="8"/>
      <c r="O327" s="8"/>
      <c r="P327" s="8"/>
    </row>
    <row r="328" spans="2:16" x14ac:dyDescent="0.25">
      <c r="B328" s="19"/>
      <c r="C328" s="20"/>
      <c r="D328" s="20"/>
      <c r="E328" s="16">
        <f>IFERROR(IF($D328="","",VLOOKUP($D328,'Cari Kartlar'!$B$5:$C$204,2,FALSE)),"— tanımsız cari —")</f>
      </c>
      <c r="F328" s="20"/>
      <c r="G328" s="16">
        <f>IFERROR(IF($F328="","",VLOOKUP($F328,'Ürün Kartlar'!$B$5:$C$204,2,FALSE)),"— tanımsız ürün —")</f>
      </c>
      <c r="H328" s="21"/>
      <c r="I328" s="22">
        <f>IFERROR(IF($F328="","",IF($C328="Alış",VLOOKUP($F328,'Ürün Kartlar'!$B$5:$E$204,4,FALSE),VLOOKUP($F328,'Ürün Kartlar'!$B$5:$F$204,5,FALSE))),"")</f>
      </c>
      <c r="J328" s="23">
        <f>IFERROR(IF($F328="",Ayarlar!$C$9,VLOOKUP($F328,'Ürün Kartlar'!$B$5:$G$204,6,FALSE)),Ayarlar!$C$9)</f>
      </c>
      <c r="K328" s="18">
        <f>IF(OR($H328="",$I328=""),0,$H328*$I328)</f>
      </c>
      <c r="L328" s="18">
        <f>$K328*$J328</f>
      </c>
      <c r="M328" s="18">
        <f>$K328+$L328</f>
      </c>
      <c r="N328" s="20"/>
      <c r="O328" s="20"/>
      <c r="P328" s="20"/>
    </row>
    <row r="329" spans="2:16" x14ac:dyDescent="0.25">
      <c r="B329" s="15"/>
      <c r="C329" s="8"/>
      <c r="D329" s="8"/>
      <c r="E329" s="16">
        <f>IFERROR(IF($D329="","",VLOOKUP($D329,'Cari Kartlar'!$B$5:$C$204,2,FALSE)),"— tanımsız cari —")</f>
      </c>
      <c r="F329" s="8"/>
      <c r="G329" s="16">
        <f>IFERROR(IF($F329="","",VLOOKUP($F329,'Ürün Kartlar'!$B$5:$C$204,2,FALSE)),"— tanımsız ürün —")</f>
      </c>
      <c r="H329" s="17"/>
      <c r="I329" s="13">
        <f>IFERROR(IF($F329="","",IF($C329="Alış",VLOOKUP($F329,'Ürün Kartlar'!$B$5:$E$204,4,FALSE),VLOOKUP($F329,'Ürün Kartlar'!$B$5:$F$204,5,FALSE))),"")</f>
      </c>
      <c r="J329" s="11">
        <f>IFERROR(IF($F329="",Ayarlar!$C$9,VLOOKUP($F329,'Ürün Kartlar'!$B$5:$G$204,6,FALSE)),Ayarlar!$C$9)</f>
      </c>
      <c r="K329" s="18">
        <f>IF(OR($H329="",$I329=""),0,$H329*$I329)</f>
      </c>
      <c r="L329" s="18">
        <f>$K329*$J329</f>
      </c>
      <c r="M329" s="18">
        <f>$K329+$L329</f>
      </c>
      <c r="N329" s="8"/>
      <c r="O329" s="8"/>
      <c r="P329" s="8"/>
    </row>
    <row r="330" spans="2:16" x14ac:dyDescent="0.25">
      <c r="B330" s="19"/>
      <c r="C330" s="20"/>
      <c r="D330" s="20"/>
      <c r="E330" s="16">
        <f>IFERROR(IF($D330="","",VLOOKUP($D330,'Cari Kartlar'!$B$5:$C$204,2,FALSE)),"— tanımsız cari —")</f>
      </c>
      <c r="F330" s="20"/>
      <c r="G330" s="16">
        <f>IFERROR(IF($F330="","",VLOOKUP($F330,'Ürün Kartlar'!$B$5:$C$204,2,FALSE)),"— tanımsız ürün —")</f>
      </c>
      <c r="H330" s="21"/>
      <c r="I330" s="22">
        <f>IFERROR(IF($F330="","",IF($C330="Alış",VLOOKUP($F330,'Ürün Kartlar'!$B$5:$E$204,4,FALSE),VLOOKUP($F330,'Ürün Kartlar'!$B$5:$F$204,5,FALSE))),"")</f>
      </c>
      <c r="J330" s="23">
        <f>IFERROR(IF($F330="",Ayarlar!$C$9,VLOOKUP($F330,'Ürün Kartlar'!$B$5:$G$204,6,FALSE)),Ayarlar!$C$9)</f>
      </c>
      <c r="K330" s="18">
        <f>IF(OR($H330="",$I330=""),0,$H330*$I330)</f>
      </c>
      <c r="L330" s="18">
        <f>$K330*$J330</f>
      </c>
      <c r="M330" s="18">
        <f>$K330+$L330</f>
      </c>
      <c r="N330" s="20"/>
      <c r="O330" s="20"/>
      <c r="P330" s="20"/>
    </row>
    <row r="331" spans="2:16" x14ac:dyDescent="0.25">
      <c r="B331" s="15"/>
      <c r="C331" s="8"/>
      <c r="D331" s="8"/>
      <c r="E331" s="16">
        <f>IFERROR(IF($D331="","",VLOOKUP($D331,'Cari Kartlar'!$B$5:$C$204,2,FALSE)),"— tanımsız cari —")</f>
      </c>
      <c r="F331" s="8"/>
      <c r="G331" s="16">
        <f>IFERROR(IF($F331="","",VLOOKUP($F331,'Ürün Kartlar'!$B$5:$C$204,2,FALSE)),"— tanımsız ürün —")</f>
      </c>
      <c r="H331" s="17"/>
      <c r="I331" s="13">
        <f>IFERROR(IF($F331="","",IF($C331="Alış",VLOOKUP($F331,'Ürün Kartlar'!$B$5:$E$204,4,FALSE),VLOOKUP($F331,'Ürün Kartlar'!$B$5:$F$204,5,FALSE))),"")</f>
      </c>
      <c r="J331" s="11">
        <f>IFERROR(IF($F331="",Ayarlar!$C$9,VLOOKUP($F331,'Ürün Kartlar'!$B$5:$G$204,6,FALSE)),Ayarlar!$C$9)</f>
      </c>
      <c r="K331" s="18">
        <f>IF(OR($H331="",$I331=""),0,$H331*$I331)</f>
      </c>
      <c r="L331" s="18">
        <f>$K331*$J331</f>
      </c>
      <c r="M331" s="18">
        <f>$K331+$L331</f>
      </c>
      <c r="N331" s="8"/>
      <c r="O331" s="8"/>
      <c r="P331" s="8"/>
    </row>
    <row r="332" spans="2:16" x14ac:dyDescent="0.25">
      <c r="B332" s="19"/>
      <c r="C332" s="20"/>
      <c r="D332" s="20"/>
      <c r="E332" s="16">
        <f>IFERROR(IF($D332="","",VLOOKUP($D332,'Cari Kartlar'!$B$5:$C$204,2,FALSE)),"— tanımsız cari —")</f>
      </c>
      <c r="F332" s="20"/>
      <c r="G332" s="16">
        <f>IFERROR(IF($F332="","",VLOOKUP($F332,'Ürün Kartlar'!$B$5:$C$204,2,FALSE)),"— tanımsız ürün —")</f>
      </c>
      <c r="H332" s="21"/>
      <c r="I332" s="22">
        <f>IFERROR(IF($F332="","",IF($C332="Alış",VLOOKUP($F332,'Ürün Kartlar'!$B$5:$E$204,4,FALSE),VLOOKUP($F332,'Ürün Kartlar'!$B$5:$F$204,5,FALSE))),"")</f>
      </c>
      <c r="J332" s="23">
        <f>IFERROR(IF($F332="",Ayarlar!$C$9,VLOOKUP($F332,'Ürün Kartlar'!$B$5:$G$204,6,FALSE)),Ayarlar!$C$9)</f>
      </c>
      <c r="K332" s="18">
        <f>IF(OR($H332="",$I332=""),0,$H332*$I332)</f>
      </c>
      <c r="L332" s="18">
        <f>$K332*$J332</f>
      </c>
      <c r="M332" s="18">
        <f>$K332+$L332</f>
      </c>
      <c r="N332" s="20"/>
      <c r="O332" s="20"/>
      <c r="P332" s="20"/>
    </row>
    <row r="333" spans="2:16" x14ac:dyDescent="0.25">
      <c r="B333" s="15"/>
      <c r="C333" s="8"/>
      <c r="D333" s="8"/>
      <c r="E333" s="16">
        <f>IFERROR(IF($D333="","",VLOOKUP($D333,'Cari Kartlar'!$B$5:$C$204,2,FALSE)),"— tanımsız cari —")</f>
      </c>
      <c r="F333" s="8"/>
      <c r="G333" s="16">
        <f>IFERROR(IF($F333="","",VLOOKUP($F333,'Ürün Kartlar'!$B$5:$C$204,2,FALSE)),"— tanımsız ürün —")</f>
      </c>
      <c r="H333" s="17"/>
      <c r="I333" s="13">
        <f>IFERROR(IF($F333="","",IF($C333="Alış",VLOOKUP($F333,'Ürün Kartlar'!$B$5:$E$204,4,FALSE),VLOOKUP($F333,'Ürün Kartlar'!$B$5:$F$204,5,FALSE))),"")</f>
      </c>
      <c r="J333" s="11">
        <f>IFERROR(IF($F333="",Ayarlar!$C$9,VLOOKUP($F333,'Ürün Kartlar'!$B$5:$G$204,6,FALSE)),Ayarlar!$C$9)</f>
      </c>
      <c r="K333" s="18">
        <f>IF(OR($H333="",$I333=""),0,$H333*$I333)</f>
      </c>
      <c r="L333" s="18">
        <f>$K333*$J333</f>
      </c>
      <c r="M333" s="18">
        <f>$K333+$L333</f>
      </c>
      <c r="N333" s="8"/>
      <c r="O333" s="8"/>
      <c r="P333" s="8"/>
    </row>
    <row r="334" spans="2:16" x14ac:dyDescent="0.25">
      <c r="B334" s="19"/>
      <c r="C334" s="20"/>
      <c r="D334" s="20"/>
      <c r="E334" s="16">
        <f>IFERROR(IF($D334="","",VLOOKUP($D334,'Cari Kartlar'!$B$5:$C$204,2,FALSE)),"— tanımsız cari —")</f>
      </c>
      <c r="F334" s="20"/>
      <c r="G334" s="16">
        <f>IFERROR(IF($F334="","",VLOOKUP($F334,'Ürün Kartlar'!$B$5:$C$204,2,FALSE)),"— tanımsız ürün —")</f>
      </c>
      <c r="H334" s="21"/>
      <c r="I334" s="22">
        <f>IFERROR(IF($F334="","",IF($C334="Alış",VLOOKUP($F334,'Ürün Kartlar'!$B$5:$E$204,4,FALSE),VLOOKUP($F334,'Ürün Kartlar'!$B$5:$F$204,5,FALSE))),"")</f>
      </c>
      <c r="J334" s="23">
        <f>IFERROR(IF($F334="",Ayarlar!$C$9,VLOOKUP($F334,'Ürün Kartlar'!$B$5:$G$204,6,FALSE)),Ayarlar!$C$9)</f>
      </c>
      <c r="K334" s="18">
        <f>IF(OR($H334="",$I334=""),0,$H334*$I334)</f>
      </c>
      <c r="L334" s="18">
        <f>$K334*$J334</f>
      </c>
      <c r="M334" s="18">
        <f>$K334+$L334</f>
      </c>
      <c r="N334" s="20"/>
      <c r="O334" s="20"/>
      <c r="P334" s="20"/>
    </row>
    <row r="335" spans="2:16" x14ac:dyDescent="0.25">
      <c r="B335" s="15"/>
      <c r="C335" s="8"/>
      <c r="D335" s="8"/>
      <c r="E335" s="16">
        <f>IFERROR(IF($D335="","",VLOOKUP($D335,'Cari Kartlar'!$B$5:$C$204,2,FALSE)),"— tanımsız cari —")</f>
      </c>
      <c r="F335" s="8"/>
      <c r="G335" s="16">
        <f>IFERROR(IF($F335="","",VLOOKUP($F335,'Ürün Kartlar'!$B$5:$C$204,2,FALSE)),"— tanımsız ürün —")</f>
      </c>
      <c r="H335" s="17"/>
      <c r="I335" s="13">
        <f>IFERROR(IF($F335="","",IF($C335="Alış",VLOOKUP($F335,'Ürün Kartlar'!$B$5:$E$204,4,FALSE),VLOOKUP($F335,'Ürün Kartlar'!$B$5:$F$204,5,FALSE))),"")</f>
      </c>
      <c r="J335" s="11">
        <f>IFERROR(IF($F335="",Ayarlar!$C$9,VLOOKUP($F335,'Ürün Kartlar'!$B$5:$G$204,6,FALSE)),Ayarlar!$C$9)</f>
      </c>
      <c r="K335" s="18">
        <f>IF(OR($H335="",$I335=""),0,$H335*$I335)</f>
      </c>
      <c r="L335" s="18">
        <f>$K335*$J335</f>
      </c>
      <c r="M335" s="18">
        <f>$K335+$L335</f>
      </c>
      <c r="N335" s="8"/>
      <c r="O335" s="8"/>
      <c r="P335" s="8"/>
    </row>
    <row r="336" spans="2:16" x14ac:dyDescent="0.25">
      <c r="B336" s="19"/>
      <c r="C336" s="20"/>
      <c r="D336" s="20"/>
      <c r="E336" s="16">
        <f>IFERROR(IF($D336="","",VLOOKUP($D336,'Cari Kartlar'!$B$5:$C$204,2,FALSE)),"— tanımsız cari —")</f>
      </c>
      <c r="F336" s="20"/>
      <c r="G336" s="16">
        <f>IFERROR(IF($F336="","",VLOOKUP($F336,'Ürün Kartlar'!$B$5:$C$204,2,FALSE)),"— tanımsız ürün —")</f>
      </c>
      <c r="H336" s="21"/>
      <c r="I336" s="22">
        <f>IFERROR(IF($F336="","",IF($C336="Alış",VLOOKUP($F336,'Ürün Kartlar'!$B$5:$E$204,4,FALSE),VLOOKUP($F336,'Ürün Kartlar'!$B$5:$F$204,5,FALSE))),"")</f>
      </c>
      <c r="J336" s="23">
        <f>IFERROR(IF($F336="",Ayarlar!$C$9,VLOOKUP($F336,'Ürün Kartlar'!$B$5:$G$204,6,FALSE)),Ayarlar!$C$9)</f>
      </c>
      <c r="K336" s="18">
        <f>IF(OR($H336="",$I336=""),0,$H336*$I336)</f>
      </c>
      <c r="L336" s="18">
        <f>$K336*$J336</f>
      </c>
      <c r="M336" s="18">
        <f>$K336+$L336</f>
      </c>
      <c r="N336" s="20"/>
      <c r="O336" s="20"/>
      <c r="P336" s="20"/>
    </row>
    <row r="337" spans="2:16" x14ac:dyDescent="0.25">
      <c r="B337" s="15"/>
      <c r="C337" s="8"/>
      <c r="D337" s="8"/>
      <c r="E337" s="16">
        <f>IFERROR(IF($D337="","",VLOOKUP($D337,'Cari Kartlar'!$B$5:$C$204,2,FALSE)),"— tanımsız cari —")</f>
      </c>
      <c r="F337" s="8"/>
      <c r="G337" s="16">
        <f>IFERROR(IF($F337="","",VLOOKUP($F337,'Ürün Kartlar'!$B$5:$C$204,2,FALSE)),"— tanımsız ürün —")</f>
      </c>
      <c r="H337" s="17"/>
      <c r="I337" s="13">
        <f>IFERROR(IF($F337="","",IF($C337="Alış",VLOOKUP($F337,'Ürün Kartlar'!$B$5:$E$204,4,FALSE),VLOOKUP($F337,'Ürün Kartlar'!$B$5:$F$204,5,FALSE))),"")</f>
      </c>
      <c r="J337" s="11">
        <f>IFERROR(IF($F337="",Ayarlar!$C$9,VLOOKUP($F337,'Ürün Kartlar'!$B$5:$G$204,6,FALSE)),Ayarlar!$C$9)</f>
      </c>
      <c r="K337" s="18">
        <f>IF(OR($H337="",$I337=""),0,$H337*$I337)</f>
      </c>
      <c r="L337" s="18">
        <f>$K337*$J337</f>
      </c>
      <c r="M337" s="18">
        <f>$K337+$L337</f>
      </c>
      <c r="N337" s="8"/>
      <c r="O337" s="8"/>
      <c r="P337" s="8"/>
    </row>
    <row r="338" spans="2:16" x14ac:dyDescent="0.25">
      <c r="B338" s="19"/>
      <c r="C338" s="20"/>
      <c r="D338" s="20"/>
      <c r="E338" s="16">
        <f>IFERROR(IF($D338="","",VLOOKUP($D338,'Cari Kartlar'!$B$5:$C$204,2,FALSE)),"— tanımsız cari —")</f>
      </c>
      <c r="F338" s="20"/>
      <c r="G338" s="16">
        <f>IFERROR(IF($F338="","",VLOOKUP($F338,'Ürün Kartlar'!$B$5:$C$204,2,FALSE)),"— tanımsız ürün —")</f>
      </c>
      <c r="H338" s="21"/>
      <c r="I338" s="22">
        <f>IFERROR(IF($F338="","",IF($C338="Alış",VLOOKUP($F338,'Ürün Kartlar'!$B$5:$E$204,4,FALSE),VLOOKUP($F338,'Ürün Kartlar'!$B$5:$F$204,5,FALSE))),"")</f>
      </c>
      <c r="J338" s="23">
        <f>IFERROR(IF($F338="",Ayarlar!$C$9,VLOOKUP($F338,'Ürün Kartlar'!$B$5:$G$204,6,FALSE)),Ayarlar!$C$9)</f>
      </c>
      <c r="K338" s="18">
        <f>IF(OR($H338="",$I338=""),0,$H338*$I338)</f>
      </c>
      <c r="L338" s="18">
        <f>$K338*$J338</f>
      </c>
      <c r="M338" s="18">
        <f>$K338+$L338</f>
      </c>
      <c r="N338" s="20"/>
      <c r="O338" s="20"/>
      <c r="P338" s="20"/>
    </row>
    <row r="339" spans="2:16" x14ac:dyDescent="0.25">
      <c r="B339" s="15"/>
      <c r="C339" s="8"/>
      <c r="D339" s="8"/>
      <c r="E339" s="16">
        <f>IFERROR(IF($D339="","",VLOOKUP($D339,'Cari Kartlar'!$B$5:$C$204,2,FALSE)),"— tanımsız cari —")</f>
      </c>
      <c r="F339" s="8"/>
      <c r="G339" s="16">
        <f>IFERROR(IF($F339="","",VLOOKUP($F339,'Ürün Kartlar'!$B$5:$C$204,2,FALSE)),"— tanımsız ürün —")</f>
      </c>
      <c r="H339" s="17"/>
      <c r="I339" s="13">
        <f>IFERROR(IF($F339="","",IF($C339="Alış",VLOOKUP($F339,'Ürün Kartlar'!$B$5:$E$204,4,FALSE),VLOOKUP($F339,'Ürün Kartlar'!$B$5:$F$204,5,FALSE))),"")</f>
      </c>
      <c r="J339" s="11">
        <f>IFERROR(IF($F339="",Ayarlar!$C$9,VLOOKUP($F339,'Ürün Kartlar'!$B$5:$G$204,6,FALSE)),Ayarlar!$C$9)</f>
      </c>
      <c r="K339" s="18">
        <f>IF(OR($H339="",$I339=""),0,$H339*$I339)</f>
      </c>
      <c r="L339" s="18">
        <f>$K339*$J339</f>
      </c>
      <c r="M339" s="18">
        <f>$K339+$L339</f>
      </c>
      <c r="N339" s="8"/>
      <c r="O339" s="8"/>
      <c r="P339" s="8"/>
    </row>
    <row r="340" spans="2:16" x14ac:dyDescent="0.25">
      <c r="B340" s="19"/>
      <c r="C340" s="20"/>
      <c r="D340" s="20"/>
      <c r="E340" s="16">
        <f>IFERROR(IF($D340="","",VLOOKUP($D340,'Cari Kartlar'!$B$5:$C$204,2,FALSE)),"— tanımsız cari —")</f>
      </c>
      <c r="F340" s="20"/>
      <c r="G340" s="16">
        <f>IFERROR(IF($F340="","",VLOOKUP($F340,'Ürün Kartlar'!$B$5:$C$204,2,FALSE)),"— tanımsız ürün —")</f>
      </c>
      <c r="H340" s="21"/>
      <c r="I340" s="22">
        <f>IFERROR(IF($F340="","",IF($C340="Alış",VLOOKUP($F340,'Ürün Kartlar'!$B$5:$E$204,4,FALSE),VLOOKUP($F340,'Ürün Kartlar'!$B$5:$F$204,5,FALSE))),"")</f>
      </c>
      <c r="J340" s="23">
        <f>IFERROR(IF($F340="",Ayarlar!$C$9,VLOOKUP($F340,'Ürün Kartlar'!$B$5:$G$204,6,FALSE)),Ayarlar!$C$9)</f>
      </c>
      <c r="K340" s="18">
        <f>IF(OR($H340="",$I340=""),0,$H340*$I340)</f>
      </c>
      <c r="L340" s="18">
        <f>$K340*$J340</f>
      </c>
      <c r="M340" s="18">
        <f>$K340+$L340</f>
      </c>
      <c r="N340" s="20"/>
      <c r="O340" s="20"/>
      <c r="P340" s="20"/>
    </row>
    <row r="341" spans="2:16" x14ac:dyDescent="0.25">
      <c r="B341" s="15"/>
      <c r="C341" s="8"/>
      <c r="D341" s="8"/>
      <c r="E341" s="16">
        <f>IFERROR(IF($D341="","",VLOOKUP($D341,'Cari Kartlar'!$B$5:$C$204,2,FALSE)),"— tanımsız cari —")</f>
      </c>
      <c r="F341" s="8"/>
      <c r="G341" s="16">
        <f>IFERROR(IF($F341="","",VLOOKUP($F341,'Ürün Kartlar'!$B$5:$C$204,2,FALSE)),"— tanımsız ürün —")</f>
      </c>
      <c r="H341" s="17"/>
      <c r="I341" s="13">
        <f>IFERROR(IF($F341="","",IF($C341="Alış",VLOOKUP($F341,'Ürün Kartlar'!$B$5:$E$204,4,FALSE),VLOOKUP($F341,'Ürün Kartlar'!$B$5:$F$204,5,FALSE))),"")</f>
      </c>
      <c r="J341" s="11">
        <f>IFERROR(IF($F341="",Ayarlar!$C$9,VLOOKUP($F341,'Ürün Kartlar'!$B$5:$G$204,6,FALSE)),Ayarlar!$C$9)</f>
      </c>
      <c r="K341" s="18">
        <f>IF(OR($H341="",$I341=""),0,$H341*$I341)</f>
      </c>
      <c r="L341" s="18">
        <f>$K341*$J341</f>
      </c>
      <c r="M341" s="18">
        <f>$K341+$L341</f>
      </c>
      <c r="N341" s="8"/>
      <c r="O341" s="8"/>
      <c r="P341" s="8"/>
    </row>
    <row r="342" spans="2:16" x14ac:dyDescent="0.25">
      <c r="B342" s="19"/>
      <c r="C342" s="20"/>
      <c r="D342" s="20"/>
      <c r="E342" s="16">
        <f>IFERROR(IF($D342="","",VLOOKUP($D342,'Cari Kartlar'!$B$5:$C$204,2,FALSE)),"— tanımsız cari —")</f>
      </c>
      <c r="F342" s="20"/>
      <c r="G342" s="16">
        <f>IFERROR(IF($F342="","",VLOOKUP($F342,'Ürün Kartlar'!$B$5:$C$204,2,FALSE)),"— tanımsız ürün —")</f>
      </c>
      <c r="H342" s="21"/>
      <c r="I342" s="22">
        <f>IFERROR(IF($F342="","",IF($C342="Alış",VLOOKUP($F342,'Ürün Kartlar'!$B$5:$E$204,4,FALSE),VLOOKUP($F342,'Ürün Kartlar'!$B$5:$F$204,5,FALSE))),"")</f>
      </c>
      <c r="J342" s="23">
        <f>IFERROR(IF($F342="",Ayarlar!$C$9,VLOOKUP($F342,'Ürün Kartlar'!$B$5:$G$204,6,FALSE)),Ayarlar!$C$9)</f>
      </c>
      <c r="K342" s="18">
        <f>IF(OR($H342="",$I342=""),0,$H342*$I342)</f>
      </c>
      <c r="L342" s="18">
        <f>$K342*$J342</f>
      </c>
      <c r="M342" s="18">
        <f>$K342+$L342</f>
      </c>
      <c r="N342" s="20"/>
      <c r="O342" s="20"/>
      <c r="P342" s="20"/>
    </row>
    <row r="343" spans="2:16" x14ac:dyDescent="0.25">
      <c r="B343" s="15"/>
      <c r="C343" s="8"/>
      <c r="D343" s="8"/>
      <c r="E343" s="16">
        <f>IFERROR(IF($D343="","",VLOOKUP($D343,'Cari Kartlar'!$B$5:$C$204,2,FALSE)),"— tanımsız cari —")</f>
      </c>
      <c r="F343" s="8"/>
      <c r="G343" s="16">
        <f>IFERROR(IF($F343="","",VLOOKUP($F343,'Ürün Kartlar'!$B$5:$C$204,2,FALSE)),"— tanımsız ürün —")</f>
      </c>
      <c r="H343" s="17"/>
      <c r="I343" s="13">
        <f>IFERROR(IF($F343="","",IF($C343="Alış",VLOOKUP($F343,'Ürün Kartlar'!$B$5:$E$204,4,FALSE),VLOOKUP($F343,'Ürün Kartlar'!$B$5:$F$204,5,FALSE))),"")</f>
      </c>
      <c r="J343" s="11">
        <f>IFERROR(IF($F343="",Ayarlar!$C$9,VLOOKUP($F343,'Ürün Kartlar'!$B$5:$G$204,6,FALSE)),Ayarlar!$C$9)</f>
      </c>
      <c r="K343" s="18">
        <f>IF(OR($H343="",$I343=""),0,$H343*$I343)</f>
      </c>
      <c r="L343" s="18">
        <f>$K343*$J343</f>
      </c>
      <c r="M343" s="18">
        <f>$K343+$L343</f>
      </c>
      <c r="N343" s="8"/>
      <c r="O343" s="8"/>
      <c r="P343" s="8"/>
    </row>
    <row r="344" spans="2:16" x14ac:dyDescent="0.25">
      <c r="B344" s="19"/>
      <c r="C344" s="20"/>
      <c r="D344" s="20"/>
      <c r="E344" s="16">
        <f>IFERROR(IF($D344="","",VLOOKUP($D344,'Cari Kartlar'!$B$5:$C$204,2,FALSE)),"— tanımsız cari —")</f>
      </c>
      <c r="F344" s="20"/>
      <c r="G344" s="16">
        <f>IFERROR(IF($F344="","",VLOOKUP($F344,'Ürün Kartlar'!$B$5:$C$204,2,FALSE)),"— tanımsız ürün —")</f>
      </c>
      <c r="H344" s="21"/>
      <c r="I344" s="22">
        <f>IFERROR(IF($F344="","",IF($C344="Alış",VLOOKUP($F344,'Ürün Kartlar'!$B$5:$E$204,4,FALSE),VLOOKUP($F344,'Ürün Kartlar'!$B$5:$F$204,5,FALSE))),"")</f>
      </c>
      <c r="J344" s="23">
        <f>IFERROR(IF($F344="",Ayarlar!$C$9,VLOOKUP($F344,'Ürün Kartlar'!$B$5:$G$204,6,FALSE)),Ayarlar!$C$9)</f>
      </c>
      <c r="K344" s="18">
        <f>IF(OR($H344="",$I344=""),0,$H344*$I344)</f>
      </c>
      <c r="L344" s="18">
        <f>$K344*$J344</f>
      </c>
      <c r="M344" s="18">
        <f>$K344+$L344</f>
      </c>
      <c r="N344" s="20"/>
      <c r="O344" s="20"/>
      <c r="P344" s="20"/>
    </row>
    <row r="345" spans="2:16" x14ac:dyDescent="0.25">
      <c r="B345" s="15"/>
      <c r="C345" s="8"/>
      <c r="D345" s="8"/>
      <c r="E345" s="16">
        <f>IFERROR(IF($D345="","",VLOOKUP($D345,'Cari Kartlar'!$B$5:$C$204,2,FALSE)),"— tanımsız cari —")</f>
      </c>
      <c r="F345" s="8"/>
      <c r="G345" s="16">
        <f>IFERROR(IF($F345="","",VLOOKUP($F345,'Ürün Kartlar'!$B$5:$C$204,2,FALSE)),"— tanımsız ürün —")</f>
      </c>
      <c r="H345" s="17"/>
      <c r="I345" s="13">
        <f>IFERROR(IF($F345="","",IF($C345="Alış",VLOOKUP($F345,'Ürün Kartlar'!$B$5:$E$204,4,FALSE),VLOOKUP($F345,'Ürün Kartlar'!$B$5:$F$204,5,FALSE))),"")</f>
      </c>
      <c r="J345" s="11">
        <f>IFERROR(IF($F345="",Ayarlar!$C$9,VLOOKUP($F345,'Ürün Kartlar'!$B$5:$G$204,6,FALSE)),Ayarlar!$C$9)</f>
      </c>
      <c r="K345" s="18">
        <f>IF(OR($H345="",$I345=""),0,$H345*$I345)</f>
      </c>
      <c r="L345" s="18">
        <f>$K345*$J345</f>
      </c>
      <c r="M345" s="18">
        <f>$K345+$L345</f>
      </c>
      <c r="N345" s="8"/>
      <c r="O345" s="8"/>
      <c r="P345" s="8"/>
    </row>
    <row r="346" spans="2:16" x14ac:dyDescent="0.25">
      <c r="B346" s="19"/>
      <c r="C346" s="20"/>
      <c r="D346" s="20"/>
      <c r="E346" s="16">
        <f>IFERROR(IF($D346="","",VLOOKUP($D346,'Cari Kartlar'!$B$5:$C$204,2,FALSE)),"— tanımsız cari —")</f>
      </c>
      <c r="F346" s="20"/>
      <c r="G346" s="16">
        <f>IFERROR(IF($F346="","",VLOOKUP($F346,'Ürün Kartlar'!$B$5:$C$204,2,FALSE)),"— tanımsız ürün —")</f>
      </c>
      <c r="H346" s="21"/>
      <c r="I346" s="22">
        <f>IFERROR(IF($F346="","",IF($C346="Alış",VLOOKUP($F346,'Ürün Kartlar'!$B$5:$E$204,4,FALSE),VLOOKUP($F346,'Ürün Kartlar'!$B$5:$F$204,5,FALSE))),"")</f>
      </c>
      <c r="J346" s="23">
        <f>IFERROR(IF($F346="",Ayarlar!$C$9,VLOOKUP($F346,'Ürün Kartlar'!$B$5:$G$204,6,FALSE)),Ayarlar!$C$9)</f>
      </c>
      <c r="K346" s="18">
        <f>IF(OR($H346="",$I346=""),0,$H346*$I346)</f>
      </c>
      <c r="L346" s="18">
        <f>$K346*$J346</f>
      </c>
      <c r="M346" s="18">
        <f>$K346+$L346</f>
      </c>
      <c r="N346" s="20"/>
      <c r="O346" s="20"/>
      <c r="P346" s="20"/>
    </row>
    <row r="347" spans="2:16" x14ac:dyDescent="0.25">
      <c r="B347" s="15"/>
      <c r="C347" s="8"/>
      <c r="D347" s="8"/>
      <c r="E347" s="16">
        <f>IFERROR(IF($D347="","",VLOOKUP($D347,'Cari Kartlar'!$B$5:$C$204,2,FALSE)),"— tanımsız cari —")</f>
      </c>
      <c r="F347" s="8"/>
      <c r="G347" s="16">
        <f>IFERROR(IF($F347="","",VLOOKUP($F347,'Ürün Kartlar'!$B$5:$C$204,2,FALSE)),"— tanımsız ürün —")</f>
      </c>
      <c r="H347" s="17"/>
      <c r="I347" s="13">
        <f>IFERROR(IF($F347="","",IF($C347="Alış",VLOOKUP($F347,'Ürün Kartlar'!$B$5:$E$204,4,FALSE),VLOOKUP($F347,'Ürün Kartlar'!$B$5:$F$204,5,FALSE))),"")</f>
      </c>
      <c r="J347" s="11">
        <f>IFERROR(IF($F347="",Ayarlar!$C$9,VLOOKUP($F347,'Ürün Kartlar'!$B$5:$G$204,6,FALSE)),Ayarlar!$C$9)</f>
      </c>
      <c r="K347" s="18">
        <f>IF(OR($H347="",$I347=""),0,$H347*$I347)</f>
      </c>
      <c r="L347" s="18">
        <f>$K347*$J347</f>
      </c>
      <c r="M347" s="18">
        <f>$K347+$L347</f>
      </c>
      <c r="N347" s="8"/>
      <c r="O347" s="8"/>
      <c r="P347" s="8"/>
    </row>
    <row r="348" spans="2:16" x14ac:dyDescent="0.25">
      <c r="B348" s="19"/>
      <c r="C348" s="20"/>
      <c r="D348" s="20"/>
      <c r="E348" s="16">
        <f>IFERROR(IF($D348="","",VLOOKUP($D348,'Cari Kartlar'!$B$5:$C$204,2,FALSE)),"— tanımsız cari —")</f>
      </c>
      <c r="F348" s="20"/>
      <c r="G348" s="16">
        <f>IFERROR(IF($F348="","",VLOOKUP($F348,'Ürün Kartlar'!$B$5:$C$204,2,FALSE)),"— tanımsız ürün —")</f>
      </c>
      <c r="H348" s="21"/>
      <c r="I348" s="22">
        <f>IFERROR(IF($F348="","",IF($C348="Alış",VLOOKUP($F348,'Ürün Kartlar'!$B$5:$E$204,4,FALSE),VLOOKUP($F348,'Ürün Kartlar'!$B$5:$F$204,5,FALSE))),"")</f>
      </c>
      <c r="J348" s="23">
        <f>IFERROR(IF($F348="",Ayarlar!$C$9,VLOOKUP($F348,'Ürün Kartlar'!$B$5:$G$204,6,FALSE)),Ayarlar!$C$9)</f>
      </c>
      <c r="K348" s="18">
        <f>IF(OR($H348="",$I348=""),0,$H348*$I348)</f>
      </c>
      <c r="L348" s="18">
        <f>$K348*$J348</f>
      </c>
      <c r="M348" s="18">
        <f>$K348+$L348</f>
      </c>
      <c r="N348" s="20"/>
      <c r="O348" s="20"/>
      <c r="P348" s="20"/>
    </row>
    <row r="349" spans="2:16" x14ac:dyDescent="0.25">
      <c r="B349" s="15"/>
      <c r="C349" s="8"/>
      <c r="D349" s="8"/>
      <c r="E349" s="16">
        <f>IFERROR(IF($D349="","",VLOOKUP($D349,'Cari Kartlar'!$B$5:$C$204,2,FALSE)),"— tanımsız cari —")</f>
      </c>
      <c r="F349" s="8"/>
      <c r="G349" s="16">
        <f>IFERROR(IF($F349="","",VLOOKUP($F349,'Ürün Kartlar'!$B$5:$C$204,2,FALSE)),"— tanımsız ürün —")</f>
      </c>
      <c r="H349" s="17"/>
      <c r="I349" s="13">
        <f>IFERROR(IF($F349="","",IF($C349="Alış",VLOOKUP($F349,'Ürün Kartlar'!$B$5:$E$204,4,FALSE),VLOOKUP($F349,'Ürün Kartlar'!$B$5:$F$204,5,FALSE))),"")</f>
      </c>
      <c r="J349" s="11">
        <f>IFERROR(IF($F349="",Ayarlar!$C$9,VLOOKUP($F349,'Ürün Kartlar'!$B$5:$G$204,6,FALSE)),Ayarlar!$C$9)</f>
      </c>
      <c r="K349" s="18">
        <f>IF(OR($H349="",$I349=""),0,$H349*$I349)</f>
      </c>
      <c r="L349" s="18">
        <f>$K349*$J349</f>
      </c>
      <c r="M349" s="18">
        <f>$K349+$L349</f>
      </c>
      <c r="N349" s="8"/>
      <c r="O349" s="8"/>
      <c r="P349" s="8"/>
    </row>
    <row r="350" spans="2:16" x14ac:dyDescent="0.25">
      <c r="B350" s="19"/>
      <c r="C350" s="20"/>
      <c r="D350" s="20"/>
      <c r="E350" s="16">
        <f>IFERROR(IF($D350="","",VLOOKUP($D350,'Cari Kartlar'!$B$5:$C$204,2,FALSE)),"— tanımsız cari —")</f>
      </c>
      <c r="F350" s="20"/>
      <c r="G350" s="16">
        <f>IFERROR(IF($F350="","",VLOOKUP($F350,'Ürün Kartlar'!$B$5:$C$204,2,FALSE)),"— tanımsız ürün —")</f>
      </c>
      <c r="H350" s="21"/>
      <c r="I350" s="22">
        <f>IFERROR(IF($F350="","",IF($C350="Alış",VLOOKUP($F350,'Ürün Kartlar'!$B$5:$E$204,4,FALSE),VLOOKUP($F350,'Ürün Kartlar'!$B$5:$F$204,5,FALSE))),"")</f>
      </c>
      <c r="J350" s="23">
        <f>IFERROR(IF($F350="",Ayarlar!$C$9,VLOOKUP($F350,'Ürün Kartlar'!$B$5:$G$204,6,FALSE)),Ayarlar!$C$9)</f>
      </c>
      <c r="K350" s="18">
        <f>IF(OR($H350="",$I350=""),0,$H350*$I350)</f>
      </c>
      <c r="L350" s="18">
        <f>$K350*$J350</f>
      </c>
      <c r="M350" s="18">
        <f>$K350+$L350</f>
      </c>
      <c r="N350" s="20"/>
      <c r="O350" s="20"/>
      <c r="P350" s="20"/>
    </row>
    <row r="351" spans="2:16" x14ac:dyDescent="0.25">
      <c r="B351" s="15"/>
      <c r="C351" s="8"/>
      <c r="D351" s="8"/>
      <c r="E351" s="16">
        <f>IFERROR(IF($D351="","",VLOOKUP($D351,'Cari Kartlar'!$B$5:$C$204,2,FALSE)),"— tanımsız cari —")</f>
      </c>
      <c r="F351" s="8"/>
      <c r="G351" s="16">
        <f>IFERROR(IF($F351="","",VLOOKUP($F351,'Ürün Kartlar'!$B$5:$C$204,2,FALSE)),"— tanımsız ürün —")</f>
      </c>
      <c r="H351" s="17"/>
      <c r="I351" s="13">
        <f>IFERROR(IF($F351="","",IF($C351="Alış",VLOOKUP($F351,'Ürün Kartlar'!$B$5:$E$204,4,FALSE),VLOOKUP($F351,'Ürün Kartlar'!$B$5:$F$204,5,FALSE))),"")</f>
      </c>
      <c r="J351" s="11">
        <f>IFERROR(IF($F351="",Ayarlar!$C$9,VLOOKUP($F351,'Ürün Kartlar'!$B$5:$G$204,6,FALSE)),Ayarlar!$C$9)</f>
      </c>
      <c r="K351" s="18">
        <f>IF(OR($H351="",$I351=""),0,$H351*$I351)</f>
      </c>
      <c r="L351" s="18">
        <f>$K351*$J351</f>
      </c>
      <c r="M351" s="18">
        <f>$K351+$L351</f>
      </c>
      <c r="N351" s="8"/>
      <c r="O351" s="8"/>
      <c r="P351" s="8"/>
    </row>
    <row r="352" spans="2:16" x14ac:dyDescent="0.25">
      <c r="B352" s="19"/>
      <c r="C352" s="20"/>
      <c r="D352" s="20"/>
      <c r="E352" s="16">
        <f>IFERROR(IF($D352="","",VLOOKUP($D352,'Cari Kartlar'!$B$5:$C$204,2,FALSE)),"— tanımsız cari —")</f>
      </c>
      <c r="F352" s="20"/>
      <c r="G352" s="16">
        <f>IFERROR(IF($F352="","",VLOOKUP($F352,'Ürün Kartlar'!$B$5:$C$204,2,FALSE)),"— tanımsız ürün —")</f>
      </c>
      <c r="H352" s="21"/>
      <c r="I352" s="22">
        <f>IFERROR(IF($F352="","",IF($C352="Alış",VLOOKUP($F352,'Ürün Kartlar'!$B$5:$E$204,4,FALSE),VLOOKUP($F352,'Ürün Kartlar'!$B$5:$F$204,5,FALSE))),"")</f>
      </c>
      <c r="J352" s="23">
        <f>IFERROR(IF($F352="",Ayarlar!$C$9,VLOOKUP($F352,'Ürün Kartlar'!$B$5:$G$204,6,FALSE)),Ayarlar!$C$9)</f>
      </c>
      <c r="K352" s="18">
        <f>IF(OR($H352="",$I352=""),0,$H352*$I352)</f>
      </c>
      <c r="L352" s="18">
        <f>$K352*$J352</f>
      </c>
      <c r="M352" s="18">
        <f>$K352+$L352</f>
      </c>
      <c r="N352" s="20"/>
      <c r="O352" s="20"/>
      <c r="P352" s="20"/>
    </row>
    <row r="353" spans="2:16" x14ac:dyDescent="0.25">
      <c r="B353" s="15"/>
      <c r="C353" s="8"/>
      <c r="D353" s="8"/>
      <c r="E353" s="16">
        <f>IFERROR(IF($D353="","",VLOOKUP($D353,'Cari Kartlar'!$B$5:$C$204,2,FALSE)),"— tanımsız cari —")</f>
      </c>
      <c r="F353" s="8"/>
      <c r="G353" s="16">
        <f>IFERROR(IF($F353="","",VLOOKUP($F353,'Ürün Kartlar'!$B$5:$C$204,2,FALSE)),"— tanımsız ürün —")</f>
      </c>
      <c r="H353" s="17"/>
      <c r="I353" s="13">
        <f>IFERROR(IF($F353="","",IF($C353="Alış",VLOOKUP($F353,'Ürün Kartlar'!$B$5:$E$204,4,FALSE),VLOOKUP($F353,'Ürün Kartlar'!$B$5:$F$204,5,FALSE))),"")</f>
      </c>
      <c r="J353" s="11">
        <f>IFERROR(IF($F353="",Ayarlar!$C$9,VLOOKUP($F353,'Ürün Kartlar'!$B$5:$G$204,6,FALSE)),Ayarlar!$C$9)</f>
      </c>
      <c r="K353" s="18">
        <f>IF(OR($H353="",$I353=""),0,$H353*$I353)</f>
      </c>
      <c r="L353" s="18">
        <f>$K353*$J353</f>
      </c>
      <c r="M353" s="18">
        <f>$K353+$L353</f>
      </c>
      <c r="N353" s="8"/>
      <c r="O353" s="8"/>
      <c r="P353" s="8"/>
    </row>
    <row r="354" spans="2:16" x14ac:dyDescent="0.25">
      <c r="B354" s="19"/>
      <c r="C354" s="20"/>
      <c r="D354" s="20"/>
      <c r="E354" s="16">
        <f>IFERROR(IF($D354="","",VLOOKUP($D354,'Cari Kartlar'!$B$5:$C$204,2,FALSE)),"— tanımsız cari —")</f>
      </c>
      <c r="F354" s="20"/>
      <c r="G354" s="16">
        <f>IFERROR(IF($F354="","",VLOOKUP($F354,'Ürün Kartlar'!$B$5:$C$204,2,FALSE)),"— tanımsız ürün —")</f>
      </c>
      <c r="H354" s="21"/>
      <c r="I354" s="22">
        <f>IFERROR(IF($F354="","",IF($C354="Alış",VLOOKUP($F354,'Ürün Kartlar'!$B$5:$E$204,4,FALSE),VLOOKUP($F354,'Ürün Kartlar'!$B$5:$F$204,5,FALSE))),"")</f>
      </c>
      <c r="J354" s="23">
        <f>IFERROR(IF($F354="",Ayarlar!$C$9,VLOOKUP($F354,'Ürün Kartlar'!$B$5:$G$204,6,FALSE)),Ayarlar!$C$9)</f>
      </c>
      <c r="K354" s="18">
        <f>IF(OR($H354="",$I354=""),0,$H354*$I354)</f>
      </c>
      <c r="L354" s="18">
        <f>$K354*$J354</f>
      </c>
      <c r="M354" s="18">
        <f>$K354+$L354</f>
      </c>
      <c r="N354" s="20"/>
      <c r="O354" s="20"/>
      <c r="P354" s="20"/>
    </row>
    <row r="355" spans="2:16" x14ac:dyDescent="0.25">
      <c r="B355" s="15"/>
      <c r="C355" s="8"/>
      <c r="D355" s="8"/>
      <c r="E355" s="16">
        <f>IFERROR(IF($D355="","",VLOOKUP($D355,'Cari Kartlar'!$B$5:$C$204,2,FALSE)),"— tanımsız cari —")</f>
      </c>
      <c r="F355" s="8"/>
      <c r="G355" s="16">
        <f>IFERROR(IF($F355="","",VLOOKUP($F355,'Ürün Kartlar'!$B$5:$C$204,2,FALSE)),"— tanımsız ürün —")</f>
      </c>
      <c r="H355" s="17"/>
      <c r="I355" s="13">
        <f>IFERROR(IF($F355="","",IF($C355="Alış",VLOOKUP($F355,'Ürün Kartlar'!$B$5:$E$204,4,FALSE),VLOOKUP($F355,'Ürün Kartlar'!$B$5:$F$204,5,FALSE))),"")</f>
      </c>
      <c r="J355" s="11">
        <f>IFERROR(IF($F355="",Ayarlar!$C$9,VLOOKUP($F355,'Ürün Kartlar'!$B$5:$G$204,6,FALSE)),Ayarlar!$C$9)</f>
      </c>
      <c r="K355" s="18">
        <f>IF(OR($H355="",$I355=""),0,$H355*$I355)</f>
      </c>
      <c r="L355" s="18">
        <f>$K355*$J355</f>
      </c>
      <c r="M355" s="18">
        <f>$K355+$L355</f>
      </c>
      <c r="N355" s="8"/>
      <c r="O355" s="8"/>
      <c r="P355" s="8"/>
    </row>
    <row r="356" spans="2:16" x14ac:dyDescent="0.25">
      <c r="B356" s="19"/>
      <c r="C356" s="20"/>
      <c r="D356" s="20"/>
      <c r="E356" s="16">
        <f>IFERROR(IF($D356="","",VLOOKUP($D356,'Cari Kartlar'!$B$5:$C$204,2,FALSE)),"— tanımsız cari —")</f>
      </c>
      <c r="F356" s="20"/>
      <c r="G356" s="16">
        <f>IFERROR(IF($F356="","",VLOOKUP($F356,'Ürün Kartlar'!$B$5:$C$204,2,FALSE)),"— tanımsız ürün —")</f>
      </c>
      <c r="H356" s="21"/>
      <c r="I356" s="22">
        <f>IFERROR(IF($F356="","",IF($C356="Alış",VLOOKUP($F356,'Ürün Kartlar'!$B$5:$E$204,4,FALSE),VLOOKUP($F356,'Ürün Kartlar'!$B$5:$F$204,5,FALSE))),"")</f>
      </c>
      <c r="J356" s="23">
        <f>IFERROR(IF($F356="",Ayarlar!$C$9,VLOOKUP($F356,'Ürün Kartlar'!$B$5:$G$204,6,FALSE)),Ayarlar!$C$9)</f>
      </c>
      <c r="K356" s="18">
        <f>IF(OR($H356="",$I356=""),0,$H356*$I356)</f>
      </c>
      <c r="L356" s="18">
        <f>$K356*$J356</f>
      </c>
      <c r="M356" s="18">
        <f>$K356+$L356</f>
      </c>
      <c r="N356" s="20"/>
      <c r="O356" s="20"/>
      <c r="P356" s="20"/>
    </row>
    <row r="357" spans="2:16" x14ac:dyDescent="0.25">
      <c r="B357" s="15"/>
      <c r="C357" s="8"/>
      <c r="D357" s="8"/>
      <c r="E357" s="16">
        <f>IFERROR(IF($D357="","",VLOOKUP($D357,'Cari Kartlar'!$B$5:$C$204,2,FALSE)),"— tanımsız cari —")</f>
      </c>
      <c r="F357" s="8"/>
      <c r="G357" s="16">
        <f>IFERROR(IF($F357="","",VLOOKUP($F357,'Ürün Kartlar'!$B$5:$C$204,2,FALSE)),"— tanımsız ürün —")</f>
      </c>
      <c r="H357" s="17"/>
      <c r="I357" s="13">
        <f>IFERROR(IF($F357="","",IF($C357="Alış",VLOOKUP($F357,'Ürün Kartlar'!$B$5:$E$204,4,FALSE),VLOOKUP($F357,'Ürün Kartlar'!$B$5:$F$204,5,FALSE))),"")</f>
      </c>
      <c r="J357" s="11">
        <f>IFERROR(IF($F357="",Ayarlar!$C$9,VLOOKUP($F357,'Ürün Kartlar'!$B$5:$G$204,6,FALSE)),Ayarlar!$C$9)</f>
      </c>
      <c r="K357" s="18">
        <f>IF(OR($H357="",$I357=""),0,$H357*$I357)</f>
      </c>
      <c r="L357" s="18">
        <f>$K357*$J357</f>
      </c>
      <c r="M357" s="18">
        <f>$K357+$L357</f>
      </c>
      <c r="N357" s="8"/>
      <c r="O357" s="8"/>
      <c r="P357" s="8"/>
    </row>
    <row r="358" spans="2:16" x14ac:dyDescent="0.25">
      <c r="B358" s="19"/>
      <c r="C358" s="20"/>
      <c r="D358" s="20"/>
      <c r="E358" s="16">
        <f>IFERROR(IF($D358="","",VLOOKUP($D358,'Cari Kartlar'!$B$5:$C$204,2,FALSE)),"— tanımsız cari —")</f>
      </c>
      <c r="F358" s="20"/>
      <c r="G358" s="16">
        <f>IFERROR(IF($F358="","",VLOOKUP($F358,'Ürün Kartlar'!$B$5:$C$204,2,FALSE)),"— tanımsız ürün —")</f>
      </c>
      <c r="H358" s="21"/>
      <c r="I358" s="22">
        <f>IFERROR(IF($F358="","",IF($C358="Alış",VLOOKUP($F358,'Ürün Kartlar'!$B$5:$E$204,4,FALSE),VLOOKUP($F358,'Ürün Kartlar'!$B$5:$F$204,5,FALSE))),"")</f>
      </c>
      <c r="J358" s="23">
        <f>IFERROR(IF($F358="",Ayarlar!$C$9,VLOOKUP($F358,'Ürün Kartlar'!$B$5:$G$204,6,FALSE)),Ayarlar!$C$9)</f>
      </c>
      <c r="K358" s="18">
        <f>IF(OR($H358="",$I358=""),0,$H358*$I358)</f>
      </c>
      <c r="L358" s="18">
        <f>$K358*$J358</f>
      </c>
      <c r="M358" s="18">
        <f>$K358+$L358</f>
      </c>
      <c r="N358" s="20"/>
      <c r="O358" s="20"/>
      <c r="P358" s="20"/>
    </row>
    <row r="359" spans="2:16" x14ac:dyDescent="0.25">
      <c r="B359" s="15"/>
      <c r="C359" s="8"/>
      <c r="D359" s="8"/>
      <c r="E359" s="16">
        <f>IFERROR(IF($D359="","",VLOOKUP($D359,'Cari Kartlar'!$B$5:$C$204,2,FALSE)),"— tanımsız cari —")</f>
      </c>
      <c r="F359" s="8"/>
      <c r="G359" s="16">
        <f>IFERROR(IF($F359="","",VLOOKUP($F359,'Ürün Kartlar'!$B$5:$C$204,2,FALSE)),"— tanımsız ürün —")</f>
      </c>
      <c r="H359" s="17"/>
      <c r="I359" s="13">
        <f>IFERROR(IF($F359="","",IF($C359="Alış",VLOOKUP($F359,'Ürün Kartlar'!$B$5:$E$204,4,FALSE),VLOOKUP($F359,'Ürün Kartlar'!$B$5:$F$204,5,FALSE))),"")</f>
      </c>
      <c r="J359" s="11">
        <f>IFERROR(IF($F359="",Ayarlar!$C$9,VLOOKUP($F359,'Ürün Kartlar'!$B$5:$G$204,6,FALSE)),Ayarlar!$C$9)</f>
      </c>
      <c r="K359" s="18">
        <f>IF(OR($H359="",$I359=""),0,$H359*$I359)</f>
      </c>
      <c r="L359" s="18">
        <f>$K359*$J359</f>
      </c>
      <c r="M359" s="18">
        <f>$K359+$L359</f>
      </c>
      <c r="N359" s="8"/>
      <c r="O359" s="8"/>
      <c r="P359" s="8"/>
    </row>
    <row r="360" spans="2:16" x14ac:dyDescent="0.25">
      <c r="B360" s="19"/>
      <c r="C360" s="20"/>
      <c r="D360" s="20"/>
      <c r="E360" s="16">
        <f>IFERROR(IF($D360="","",VLOOKUP($D360,'Cari Kartlar'!$B$5:$C$204,2,FALSE)),"— tanımsız cari —")</f>
      </c>
      <c r="F360" s="20"/>
      <c r="G360" s="16">
        <f>IFERROR(IF($F360="","",VLOOKUP($F360,'Ürün Kartlar'!$B$5:$C$204,2,FALSE)),"— tanımsız ürün —")</f>
      </c>
      <c r="H360" s="21"/>
      <c r="I360" s="22">
        <f>IFERROR(IF($F360="","",IF($C360="Alış",VLOOKUP($F360,'Ürün Kartlar'!$B$5:$E$204,4,FALSE),VLOOKUP($F360,'Ürün Kartlar'!$B$5:$F$204,5,FALSE))),"")</f>
      </c>
      <c r="J360" s="23">
        <f>IFERROR(IF($F360="",Ayarlar!$C$9,VLOOKUP($F360,'Ürün Kartlar'!$B$5:$G$204,6,FALSE)),Ayarlar!$C$9)</f>
      </c>
      <c r="K360" s="18">
        <f>IF(OR($H360="",$I360=""),0,$H360*$I360)</f>
      </c>
      <c r="L360" s="18">
        <f>$K360*$J360</f>
      </c>
      <c r="M360" s="18">
        <f>$K360+$L360</f>
      </c>
      <c r="N360" s="20"/>
      <c r="O360" s="20"/>
      <c r="P360" s="20"/>
    </row>
    <row r="361" spans="2:16" x14ac:dyDescent="0.25">
      <c r="B361" s="15"/>
      <c r="C361" s="8"/>
      <c r="D361" s="8"/>
      <c r="E361" s="16">
        <f>IFERROR(IF($D361="","",VLOOKUP($D361,'Cari Kartlar'!$B$5:$C$204,2,FALSE)),"— tanımsız cari —")</f>
      </c>
      <c r="F361" s="8"/>
      <c r="G361" s="16">
        <f>IFERROR(IF($F361="","",VLOOKUP($F361,'Ürün Kartlar'!$B$5:$C$204,2,FALSE)),"— tanımsız ürün —")</f>
      </c>
      <c r="H361" s="17"/>
      <c r="I361" s="13">
        <f>IFERROR(IF($F361="","",IF($C361="Alış",VLOOKUP($F361,'Ürün Kartlar'!$B$5:$E$204,4,FALSE),VLOOKUP($F361,'Ürün Kartlar'!$B$5:$F$204,5,FALSE))),"")</f>
      </c>
      <c r="J361" s="11">
        <f>IFERROR(IF($F361="",Ayarlar!$C$9,VLOOKUP($F361,'Ürün Kartlar'!$B$5:$G$204,6,FALSE)),Ayarlar!$C$9)</f>
      </c>
      <c r="K361" s="18">
        <f>IF(OR($H361="",$I361=""),0,$H361*$I361)</f>
      </c>
      <c r="L361" s="18">
        <f>$K361*$J361</f>
      </c>
      <c r="M361" s="18">
        <f>$K361+$L361</f>
      </c>
      <c r="N361" s="8"/>
      <c r="O361" s="8"/>
      <c r="P361" s="8"/>
    </row>
    <row r="362" spans="2:16" x14ac:dyDescent="0.25">
      <c r="B362" s="19"/>
      <c r="C362" s="20"/>
      <c r="D362" s="20"/>
      <c r="E362" s="16">
        <f>IFERROR(IF($D362="","",VLOOKUP($D362,'Cari Kartlar'!$B$5:$C$204,2,FALSE)),"— tanımsız cari —")</f>
      </c>
      <c r="F362" s="20"/>
      <c r="G362" s="16">
        <f>IFERROR(IF($F362="","",VLOOKUP($F362,'Ürün Kartlar'!$B$5:$C$204,2,FALSE)),"— tanımsız ürün —")</f>
      </c>
      <c r="H362" s="21"/>
      <c r="I362" s="22">
        <f>IFERROR(IF($F362="","",IF($C362="Alış",VLOOKUP($F362,'Ürün Kartlar'!$B$5:$E$204,4,FALSE),VLOOKUP($F362,'Ürün Kartlar'!$B$5:$F$204,5,FALSE))),"")</f>
      </c>
      <c r="J362" s="23">
        <f>IFERROR(IF($F362="",Ayarlar!$C$9,VLOOKUP($F362,'Ürün Kartlar'!$B$5:$G$204,6,FALSE)),Ayarlar!$C$9)</f>
      </c>
      <c r="K362" s="18">
        <f>IF(OR($H362="",$I362=""),0,$H362*$I362)</f>
      </c>
      <c r="L362" s="18">
        <f>$K362*$J362</f>
      </c>
      <c r="M362" s="18">
        <f>$K362+$L362</f>
      </c>
      <c r="N362" s="20"/>
      <c r="O362" s="20"/>
      <c r="P362" s="20"/>
    </row>
    <row r="363" spans="2:16" x14ac:dyDescent="0.25">
      <c r="B363" s="15"/>
      <c r="C363" s="8"/>
      <c r="D363" s="8"/>
      <c r="E363" s="16">
        <f>IFERROR(IF($D363="","",VLOOKUP($D363,'Cari Kartlar'!$B$5:$C$204,2,FALSE)),"— tanımsız cari —")</f>
      </c>
      <c r="F363" s="8"/>
      <c r="G363" s="16">
        <f>IFERROR(IF($F363="","",VLOOKUP($F363,'Ürün Kartlar'!$B$5:$C$204,2,FALSE)),"— tanımsız ürün —")</f>
      </c>
      <c r="H363" s="17"/>
      <c r="I363" s="13">
        <f>IFERROR(IF($F363="","",IF($C363="Alış",VLOOKUP($F363,'Ürün Kartlar'!$B$5:$E$204,4,FALSE),VLOOKUP($F363,'Ürün Kartlar'!$B$5:$F$204,5,FALSE))),"")</f>
      </c>
      <c r="J363" s="11">
        <f>IFERROR(IF($F363="",Ayarlar!$C$9,VLOOKUP($F363,'Ürün Kartlar'!$B$5:$G$204,6,FALSE)),Ayarlar!$C$9)</f>
      </c>
      <c r="K363" s="18">
        <f>IF(OR($H363="",$I363=""),0,$H363*$I363)</f>
      </c>
      <c r="L363" s="18">
        <f>$K363*$J363</f>
      </c>
      <c r="M363" s="18">
        <f>$K363+$L363</f>
      </c>
      <c r="N363" s="8"/>
      <c r="O363" s="8"/>
      <c r="P363" s="8"/>
    </row>
    <row r="364" spans="2:16" x14ac:dyDescent="0.25">
      <c r="B364" s="19"/>
      <c r="C364" s="20"/>
      <c r="D364" s="20"/>
      <c r="E364" s="16">
        <f>IFERROR(IF($D364="","",VLOOKUP($D364,'Cari Kartlar'!$B$5:$C$204,2,FALSE)),"— tanımsız cari —")</f>
      </c>
      <c r="F364" s="20"/>
      <c r="G364" s="16">
        <f>IFERROR(IF($F364="","",VLOOKUP($F364,'Ürün Kartlar'!$B$5:$C$204,2,FALSE)),"— tanımsız ürün —")</f>
      </c>
      <c r="H364" s="21"/>
      <c r="I364" s="22">
        <f>IFERROR(IF($F364="","",IF($C364="Alış",VLOOKUP($F364,'Ürün Kartlar'!$B$5:$E$204,4,FALSE),VLOOKUP($F364,'Ürün Kartlar'!$B$5:$F$204,5,FALSE))),"")</f>
      </c>
      <c r="J364" s="23">
        <f>IFERROR(IF($F364="",Ayarlar!$C$9,VLOOKUP($F364,'Ürün Kartlar'!$B$5:$G$204,6,FALSE)),Ayarlar!$C$9)</f>
      </c>
      <c r="K364" s="18">
        <f>IF(OR($H364="",$I364=""),0,$H364*$I364)</f>
      </c>
      <c r="L364" s="18">
        <f>$K364*$J364</f>
      </c>
      <c r="M364" s="18">
        <f>$K364+$L364</f>
      </c>
      <c r="N364" s="20"/>
      <c r="O364" s="20"/>
      <c r="P364" s="20"/>
    </row>
    <row r="365" spans="2:16" x14ac:dyDescent="0.25">
      <c r="B365" s="15"/>
      <c r="C365" s="8"/>
      <c r="D365" s="8"/>
      <c r="E365" s="16">
        <f>IFERROR(IF($D365="","",VLOOKUP($D365,'Cari Kartlar'!$B$5:$C$204,2,FALSE)),"— tanımsız cari —")</f>
      </c>
      <c r="F365" s="8"/>
      <c r="G365" s="16">
        <f>IFERROR(IF($F365="","",VLOOKUP($F365,'Ürün Kartlar'!$B$5:$C$204,2,FALSE)),"— tanımsız ürün —")</f>
      </c>
      <c r="H365" s="17"/>
      <c r="I365" s="13">
        <f>IFERROR(IF($F365="","",IF($C365="Alış",VLOOKUP($F365,'Ürün Kartlar'!$B$5:$E$204,4,FALSE),VLOOKUP($F365,'Ürün Kartlar'!$B$5:$F$204,5,FALSE))),"")</f>
      </c>
      <c r="J365" s="11">
        <f>IFERROR(IF($F365="",Ayarlar!$C$9,VLOOKUP($F365,'Ürün Kartlar'!$B$5:$G$204,6,FALSE)),Ayarlar!$C$9)</f>
      </c>
      <c r="K365" s="18">
        <f>IF(OR($H365="",$I365=""),0,$H365*$I365)</f>
      </c>
      <c r="L365" s="18">
        <f>$K365*$J365</f>
      </c>
      <c r="M365" s="18">
        <f>$K365+$L365</f>
      </c>
      <c r="N365" s="8"/>
      <c r="O365" s="8"/>
      <c r="P365" s="8"/>
    </row>
    <row r="366" spans="2:16" x14ac:dyDescent="0.25">
      <c r="B366" s="19"/>
      <c r="C366" s="20"/>
      <c r="D366" s="20"/>
      <c r="E366" s="16">
        <f>IFERROR(IF($D366="","",VLOOKUP($D366,'Cari Kartlar'!$B$5:$C$204,2,FALSE)),"— tanımsız cari —")</f>
      </c>
      <c r="F366" s="20"/>
      <c r="G366" s="16">
        <f>IFERROR(IF($F366="","",VLOOKUP($F366,'Ürün Kartlar'!$B$5:$C$204,2,FALSE)),"— tanımsız ürün —")</f>
      </c>
      <c r="H366" s="21"/>
      <c r="I366" s="22">
        <f>IFERROR(IF($F366="","",IF($C366="Alış",VLOOKUP($F366,'Ürün Kartlar'!$B$5:$E$204,4,FALSE),VLOOKUP($F366,'Ürün Kartlar'!$B$5:$F$204,5,FALSE))),"")</f>
      </c>
      <c r="J366" s="23">
        <f>IFERROR(IF($F366="",Ayarlar!$C$9,VLOOKUP($F366,'Ürün Kartlar'!$B$5:$G$204,6,FALSE)),Ayarlar!$C$9)</f>
      </c>
      <c r="K366" s="18">
        <f>IF(OR($H366="",$I366=""),0,$H366*$I366)</f>
      </c>
      <c r="L366" s="18">
        <f>$K366*$J366</f>
      </c>
      <c r="M366" s="18">
        <f>$K366+$L366</f>
      </c>
      <c r="N366" s="20"/>
      <c r="O366" s="20"/>
      <c r="P366" s="20"/>
    </row>
    <row r="367" spans="2:16" x14ac:dyDescent="0.25">
      <c r="B367" s="15"/>
      <c r="C367" s="8"/>
      <c r="D367" s="8"/>
      <c r="E367" s="16">
        <f>IFERROR(IF($D367="","",VLOOKUP($D367,'Cari Kartlar'!$B$5:$C$204,2,FALSE)),"— tanımsız cari —")</f>
      </c>
      <c r="F367" s="8"/>
      <c r="G367" s="16">
        <f>IFERROR(IF($F367="","",VLOOKUP($F367,'Ürün Kartlar'!$B$5:$C$204,2,FALSE)),"— tanımsız ürün —")</f>
      </c>
      <c r="H367" s="17"/>
      <c r="I367" s="13">
        <f>IFERROR(IF($F367="","",IF($C367="Alış",VLOOKUP($F367,'Ürün Kartlar'!$B$5:$E$204,4,FALSE),VLOOKUP($F367,'Ürün Kartlar'!$B$5:$F$204,5,FALSE))),"")</f>
      </c>
      <c r="J367" s="11">
        <f>IFERROR(IF($F367="",Ayarlar!$C$9,VLOOKUP($F367,'Ürün Kartlar'!$B$5:$G$204,6,FALSE)),Ayarlar!$C$9)</f>
      </c>
      <c r="K367" s="18">
        <f>IF(OR($H367="",$I367=""),0,$H367*$I367)</f>
      </c>
      <c r="L367" s="18">
        <f>$K367*$J367</f>
      </c>
      <c r="M367" s="18">
        <f>$K367+$L367</f>
      </c>
      <c r="N367" s="8"/>
      <c r="O367" s="8"/>
      <c r="P367" s="8"/>
    </row>
    <row r="368" spans="2:16" x14ac:dyDescent="0.25">
      <c r="B368" s="19"/>
      <c r="C368" s="20"/>
      <c r="D368" s="20"/>
      <c r="E368" s="16">
        <f>IFERROR(IF($D368="","",VLOOKUP($D368,'Cari Kartlar'!$B$5:$C$204,2,FALSE)),"— tanımsız cari —")</f>
      </c>
      <c r="F368" s="20"/>
      <c r="G368" s="16">
        <f>IFERROR(IF($F368="","",VLOOKUP($F368,'Ürün Kartlar'!$B$5:$C$204,2,FALSE)),"— tanımsız ürün —")</f>
      </c>
      <c r="H368" s="21"/>
      <c r="I368" s="22">
        <f>IFERROR(IF($F368="","",IF($C368="Alış",VLOOKUP($F368,'Ürün Kartlar'!$B$5:$E$204,4,FALSE),VLOOKUP($F368,'Ürün Kartlar'!$B$5:$F$204,5,FALSE))),"")</f>
      </c>
      <c r="J368" s="23">
        <f>IFERROR(IF($F368="",Ayarlar!$C$9,VLOOKUP($F368,'Ürün Kartlar'!$B$5:$G$204,6,FALSE)),Ayarlar!$C$9)</f>
      </c>
      <c r="K368" s="18">
        <f>IF(OR($H368="",$I368=""),0,$H368*$I368)</f>
      </c>
      <c r="L368" s="18">
        <f>$K368*$J368</f>
      </c>
      <c r="M368" s="18">
        <f>$K368+$L368</f>
      </c>
      <c r="N368" s="20"/>
      <c r="O368" s="20"/>
      <c r="P368" s="20"/>
    </row>
    <row r="369" spans="2:16" x14ac:dyDescent="0.25">
      <c r="B369" s="15"/>
      <c r="C369" s="8"/>
      <c r="D369" s="8"/>
      <c r="E369" s="16">
        <f>IFERROR(IF($D369="","",VLOOKUP($D369,'Cari Kartlar'!$B$5:$C$204,2,FALSE)),"— tanımsız cari —")</f>
      </c>
      <c r="F369" s="8"/>
      <c r="G369" s="16">
        <f>IFERROR(IF($F369="","",VLOOKUP($F369,'Ürün Kartlar'!$B$5:$C$204,2,FALSE)),"— tanımsız ürün —")</f>
      </c>
      <c r="H369" s="17"/>
      <c r="I369" s="13">
        <f>IFERROR(IF($F369="","",IF($C369="Alış",VLOOKUP($F369,'Ürün Kartlar'!$B$5:$E$204,4,FALSE),VLOOKUP($F369,'Ürün Kartlar'!$B$5:$F$204,5,FALSE))),"")</f>
      </c>
      <c r="J369" s="11">
        <f>IFERROR(IF($F369="",Ayarlar!$C$9,VLOOKUP($F369,'Ürün Kartlar'!$B$5:$G$204,6,FALSE)),Ayarlar!$C$9)</f>
      </c>
      <c r="K369" s="18">
        <f>IF(OR($H369="",$I369=""),0,$H369*$I369)</f>
      </c>
      <c r="L369" s="18">
        <f>$K369*$J369</f>
      </c>
      <c r="M369" s="18">
        <f>$K369+$L369</f>
      </c>
      <c r="N369" s="8"/>
      <c r="O369" s="8"/>
      <c r="P369" s="8"/>
    </row>
    <row r="370" spans="2:16" x14ac:dyDescent="0.25">
      <c r="B370" s="19"/>
      <c r="C370" s="20"/>
      <c r="D370" s="20"/>
      <c r="E370" s="16">
        <f>IFERROR(IF($D370="","",VLOOKUP($D370,'Cari Kartlar'!$B$5:$C$204,2,FALSE)),"— tanımsız cari —")</f>
      </c>
      <c r="F370" s="20"/>
      <c r="G370" s="16">
        <f>IFERROR(IF($F370="","",VLOOKUP($F370,'Ürün Kartlar'!$B$5:$C$204,2,FALSE)),"— tanımsız ürün —")</f>
      </c>
      <c r="H370" s="21"/>
      <c r="I370" s="22">
        <f>IFERROR(IF($F370="","",IF($C370="Alış",VLOOKUP($F370,'Ürün Kartlar'!$B$5:$E$204,4,FALSE),VLOOKUP($F370,'Ürün Kartlar'!$B$5:$F$204,5,FALSE))),"")</f>
      </c>
      <c r="J370" s="23">
        <f>IFERROR(IF($F370="",Ayarlar!$C$9,VLOOKUP($F370,'Ürün Kartlar'!$B$5:$G$204,6,FALSE)),Ayarlar!$C$9)</f>
      </c>
      <c r="K370" s="18">
        <f>IF(OR($H370="",$I370=""),0,$H370*$I370)</f>
      </c>
      <c r="L370" s="18">
        <f>$K370*$J370</f>
      </c>
      <c r="M370" s="18">
        <f>$K370+$L370</f>
      </c>
      <c r="N370" s="20"/>
      <c r="O370" s="20"/>
      <c r="P370" s="20"/>
    </row>
    <row r="371" spans="2:16" x14ac:dyDescent="0.25">
      <c r="B371" s="15"/>
      <c r="C371" s="8"/>
      <c r="D371" s="8"/>
      <c r="E371" s="16">
        <f>IFERROR(IF($D371="","",VLOOKUP($D371,'Cari Kartlar'!$B$5:$C$204,2,FALSE)),"— tanımsız cari —")</f>
      </c>
      <c r="F371" s="8"/>
      <c r="G371" s="16">
        <f>IFERROR(IF($F371="","",VLOOKUP($F371,'Ürün Kartlar'!$B$5:$C$204,2,FALSE)),"— tanımsız ürün —")</f>
      </c>
      <c r="H371" s="17"/>
      <c r="I371" s="13">
        <f>IFERROR(IF($F371="","",IF($C371="Alış",VLOOKUP($F371,'Ürün Kartlar'!$B$5:$E$204,4,FALSE),VLOOKUP($F371,'Ürün Kartlar'!$B$5:$F$204,5,FALSE))),"")</f>
      </c>
      <c r="J371" s="11">
        <f>IFERROR(IF($F371="",Ayarlar!$C$9,VLOOKUP($F371,'Ürün Kartlar'!$B$5:$G$204,6,FALSE)),Ayarlar!$C$9)</f>
      </c>
      <c r="K371" s="18">
        <f>IF(OR($H371="",$I371=""),0,$H371*$I371)</f>
      </c>
      <c r="L371" s="18">
        <f>$K371*$J371</f>
      </c>
      <c r="M371" s="18">
        <f>$K371+$L371</f>
      </c>
      <c r="N371" s="8"/>
      <c r="O371" s="8"/>
      <c r="P371" s="8"/>
    </row>
    <row r="372" spans="2:16" x14ac:dyDescent="0.25">
      <c r="B372" s="19"/>
      <c r="C372" s="20"/>
      <c r="D372" s="20"/>
      <c r="E372" s="16">
        <f>IFERROR(IF($D372="","",VLOOKUP($D372,'Cari Kartlar'!$B$5:$C$204,2,FALSE)),"— tanımsız cari —")</f>
      </c>
      <c r="F372" s="20"/>
      <c r="G372" s="16">
        <f>IFERROR(IF($F372="","",VLOOKUP($F372,'Ürün Kartlar'!$B$5:$C$204,2,FALSE)),"— tanımsız ürün —")</f>
      </c>
      <c r="H372" s="21"/>
      <c r="I372" s="22">
        <f>IFERROR(IF($F372="","",IF($C372="Alış",VLOOKUP($F372,'Ürün Kartlar'!$B$5:$E$204,4,FALSE),VLOOKUP($F372,'Ürün Kartlar'!$B$5:$F$204,5,FALSE))),"")</f>
      </c>
      <c r="J372" s="23">
        <f>IFERROR(IF($F372="",Ayarlar!$C$9,VLOOKUP($F372,'Ürün Kartlar'!$B$5:$G$204,6,FALSE)),Ayarlar!$C$9)</f>
      </c>
      <c r="K372" s="18">
        <f>IF(OR($H372="",$I372=""),0,$H372*$I372)</f>
      </c>
      <c r="L372" s="18">
        <f>$K372*$J372</f>
      </c>
      <c r="M372" s="18">
        <f>$K372+$L372</f>
      </c>
      <c r="N372" s="20"/>
      <c r="O372" s="20"/>
      <c r="P372" s="20"/>
    </row>
    <row r="373" spans="2:16" x14ac:dyDescent="0.25">
      <c r="B373" s="15"/>
      <c r="C373" s="8"/>
      <c r="D373" s="8"/>
      <c r="E373" s="16">
        <f>IFERROR(IF($D373="","",VLOOKUP($D373,'Cari Kartlar'!$B$5:$C$204,2,FALSE)),"— tanımsız cari —")</f>
      </c>
      <c r="F373" s="8"/>
      <c r="G373" s="16">
        <f>IFERROR(IF($F373="","",VLOOKUP($F373,'Ürün Kartlar'!$B$5:$C$204,2,FALSE)),"— tanımsız ürün —")</f>
      </c>
      <c r="H373" s="17"/>
      <c r="I373" s="13">
        <f>IFERROR(IF($F373="","",IF($C373="Alış",VLOOKUP($F373,'Ürün Kartlar'!$B$5:$E$204,4,FALSE),VLOOKUP($F373,'Ürün Kartlar'!$B$5:$F$204,5,FALSE))),"")</f>
      </c>
      <c r="J373" s="11">
        <f>IFERROR(IF($F373="",Ayarlar!$C$9,VLOOKUP($F373,'Ürün Kartlar'!$B$5:$G$204,6,FALSE)),Ayarlar!$C$9)</f>
      </c>
      <c r="K373" s="18">
        <f>IF(OR($H373="",$I373=""),0,$H373*$I373)</f>
      </c>
      <c r="L373" s="18">
        <f>$K373*$J373</f>
      </c>
      <c r="M373" s="18">
        <f>$K373+$L373</f>
      </c>
      <c r="N373" s="8"/>
      <c r="O373" s="8"/>
      <c r="P373" s="8"/>
    </row>
    <row r="374" spans="2:16" x14ac:dyDescent="0.25">
      <c r="B374" s="19"/>
      <c r="C374" s="20"/>
      <c r="D374" s="20"/>
      <c r="E374" s="16">
        <f>IFERROR(IF($D374="","",VLOOKUP($D374,'Cari Kartlar'!$B$5:$C$204,2,FALSE)),"— tanımsız cari —")</f>
      </c>
      <c r="F374" s="20"/>
      <c r="G374" s="16">
        <f>IFERROR(IF($F374="","",VLOOKUP($F374,'Ürün Kartlar'!$B$5:$C$204,2,FALSE)),"— tanımsız ürün —")</f>
      </c>
      <c r="H374" s="21"/>
      <c r="I374" s="22">
        <f>IFERROR(IF($F374="","",IF($C374="Alış",VLOOKUP($F374,'Ürün Kartlar'!$B$5:$E$204,4,FALSE),VLOOKUP($F374,'Ürün Kartlar'!$B$5:$F$204,5,FALSE))),"")</f>
      </c>
      <c r="J374" s="23">
        <f>IFERROR(IF($F374="",Ayarlar!$C$9,VLOOKUP($F374,'Ürün Kartlar'!$B$5:$G$204,6,FALSE)),Ayarlar!$C$9)</f>
      </c>
      <c r="K374" s="18">
        <f>IF(OR($H374="",$I374=""),0,$H374*$I374)</f>
      </c>
      <c r="L374" s="18">
        <f>$K374*$J374</f>
      </c>
      <c r="M374" s="18">
        <f>$K374+$L374</f>
      </c>
      <c r="N374" s="20"/>
      <c r="O374" s="20"/>
      <c r="P374" s="20"/>
    </row>
    <row r="375" spans="2:16" x14ac:dyDescent="0.25">
      <c r="B375" s="15"/>
      <c r="C375" s="8"/>
      <c r="D375" s="8"/>
      <c r="E375" s="16">
        <f>IFERROR(IF($D375="","",VLOOKUP($D375,'Cari Kartlar'!$B$5:$C$204,2,FALSE)),"— tanımsız cari —")</f>
      </c>
      <c r="F375" s="8"/>
      <c r="G375" s="16">
        <f>IFERROR(IF($F375="","",VLOOKUP($F375,'Ürün Kartlar'!$B$5:$C$204,2,FALSE)),"— tanımsız ürün —")</f>
      </c>
      <c r="H375" s="17"/>
      <c r="I375" s="13">
        <f>IFERROR(IF($F375="","",IF($C375="Alış",VLOOKUP($F375,'Ürün Kartlar'!$B$5:$E$204,4,FALSE),VLOOKUP($F375,'Ürün Kartlar'!$B$5:$F$204,5,FALSE))),"")</f>
      </c>
      <c r="J375" s="11">
        <f>IFERROR(IF($F375="",Ayarlar!$C$9,VLOOKUP($F375,'Ürün Kartlar'!$B$5:$G$204,6,FALSE)),Ayarlar!$C$9)</f>
      </c>
      <c r="K375" s="18">
        <f>IF(OR($H375="",$I375=""),0,$H375*$I375)</f>
      </c>
      <c r="L375" s="18">
        <f>$K375*$J375</f>
      </c>
      <c r="M375" s="18">
        <f>$K375+$L375</f>
      </c>
      <c r="N375" s="8"/>
      <c r="O375" s="8"/>
      <c r="P375" s="8"/>
    </row>
    <row r="376" spans="2:16" x14ac:dyDescent="0.25">
      <c r="B376" s="19"/>
      <c r="C376" s="20"/>
      <c r="D376" s="20"/>
      <c r="E376" s="16">
        <f>IFERROR(IF($D376="","",VLOOKUP($D376,'Cari Kartlar'!$B$5:$C$204,2,FALSE)),"— tanımsız cari —")</f>
      </c>
      <c r="F376" s="20"/>
      <c r="G376" s="16">
        <f>IFERROR(IF($F376="","",VLOOKUP($F376,'Ürün Kartlar'!$B$5:$C$204,2,FALSE)),"— tanımsız ürün —")</f>
      </c>
      <c r="H376" s="21"/>
      <c r="I376" s="22">
        <f>IFERROR(IF($F376="","",IF($C376="Alış",VLOOKUP($F376,'Ürün Kartlar'!$B$5:$E$204,4,FALSE),VLOOKUP($F376,'Ürün Kartlar'!$B$5:$F$204,5,FALSE))),"")</f>
      </c>
      <c r="J376" s="23">
        <f>IFERROR(IF($F376="",Ayarlar!$C$9,VLOOKUP($F376,'Ürün Kartlar'!$B$5:$G$204,6,FALSE)),Ayarlar!$C$9)</f>
      </c>
      <c r="K376" s="18">
        <f>IF(OR($H376="",$I376=""),0,$H376*$I376)</f>
      </c>
      <c r="L376" s="18">
        <f>$K376*$J376</f>
      </c>
      <c r="M376" s="18">
        <f>$K376+$L376</f>
      </c>
      <c r="N376" s="20"/>
      <c r="O376" s="20"/>
      <c r="P376" s="20"/>
    </row>
    <row r="377" spans="2:16" x14ac:dyDescent="0.25">
      <c r="B377" s="15"/>
      <c r="C377" s="8"/>
      <c r="D377" s="8"/>
      <c r="E377" s="16">
        <f>IFERROR(IF($D377="","",VLOOKUP($D377,'Cari Kartlar'!$B$5:$C$204,2,FALSE)),"— tanımsız cari —")</f>
      </c>
      <c r="F377" s="8"/>
      <c r="G377" s="16">
        <f>IFERROR(IF($F377="","",VLOOKUP($F377,'Ürün Kartlar'!$B$5:$C$204,2,FALSE)),"— tanımsız ürün —")</f>
      </c>
      <c r="H377" s="17"/>
      <c r="I377" s="13">
        <f>IFERROR(IF($F377="","",IF($C377="Alış",VLOOKUP($F377,'Ürün Kartlar'!$B$5:$E$204,4,FALSE),VLOOKUP($F377,'Ürün Kartlar'!$B$5:$F$204,5,FALSE))),"")</f>
      </c>
      <c r="J377" s="11">
        <f>IFERROR(IF($F377="",Ayarlar!$C$9,VLOOKUP($F377,'Ürün Kartlar'!$B$5:$G$204,6,FALSE)),Ayarlar!$C$9)</f>
      </c>
      <c r="K377" s="18">
        <f>IF(OR($H377="",$I377=""),0,$H377*$I377)</f>
      </c>
      <c r="L377" s="18">
        <f>$K377*$J377</f>
      </c>
      <c r="M377" s="18">
        <f>$K377+$L377</f>
      </c>
      <c r="N377" s="8"/>
      <c r="O377" s="8"/>
      <c r="P377" s="8"/>
    </row>
    <row r="378" spans="2:16" x14ac:dyDescent="0.25">
      <c r="B378" s="19"/>
      <c r="C378" s="20"/>
      <c r="D378" s="20"/>
      <c r="E378" s="16">
        <f>IFERROR(IF($D378="","",VLOOKUP($D378,'Cari Kartlar'!$B$5:$C$204,2,FALSE)),"— tanımsız cari —")</f>
      </c>
      <c r="F378" s="20"/>
      <c r="G378" s="16">
        <f>IFERROR(IF($F378="","",VLOOKUP($F378,'Ürün Kartlar'!$B$5:$C$204,2,FALSE)),"— tanımsız ürün —")</f>
      </c>
      <c r="H378" s="21"/>
      <c r="I378" s="22">
        <f>IFERROR(IF($F378="","",IF($C378="Alış",VLOOKUP($F378,'Ürün Kartlar'!$B$5:$E$204,4,FALSE),VLOOKUP($F378,'Ürün Kartlar'!$B$5:$F$204,5,FALSE))),"")</f>
      </c>
      <c r="J378" s="23">
        <f>IFERROR(IF($F378="",Ayarlar!$C$9,VLOOKUP($F378,'Ürün Kartlar'!$B$5:$G$204,6,FALSE)),Ayarlar!$C$9)</f>
      </c>
      <c r="K378" s="18">
        <f>IF(OR($H378="",$I378=""),0,$H378*$I378)</f>
      </c>
      <c r="L378" s="18">
        <f>$K378*$J378</f>
      </c>
      <c r="M378" s="18">
        <f>$K378+$L378</f>
      </c>
      <c r="N378" s="20"/>
      <c r="O378" s="20"/>
      <c r="P378" s="20"/>
    </row>
    <row r="379" spans="2:16" x14ac:dyDescent="0.25">
      <c r="B379" s="15"/>
      <c r="C379" s="8"/>
      <c r="D379" s="8"/>
      <c r="E379" s="16">
        <f>IFERROR(IF($D379="","",VLOOKUP($D379,'Cari Kartlar'!$B$5:$C$204,2,FALSE)),"— tanımsız cari —")</f>
      </c>
      <c r="F379" s="8"/>
      <c r="G379" s="16">
        <f>IFERROR(IF($F379="","",VLOOKUP($F379,'Ürün Kartlar'!$B$5:$C$204,2,FALSE)),"— tanımsız ürün —")</f>
      </c>
      <c r="H379" s="17"/>
      <c r="I379" s="13">
        <f>IFERROR(IF($F379="","",IF($C379="Alış",VLOOKUP($F379,'Ürün Kartlar'!$B$5:$E$204,4,FALSE),VLOOKUP($F379,'Ürün Kartlar'!$B$5:$F$204,5,FALSE))),"")</f>
      </c>
      <c r="J379" s="11">
        <f>IFERROR(IF($F379="",Ayarlar!$C$9,VLOOKUP($F379,'Ürün Kartlar'!$B$5:$G$204,6,FALSE)),Ayarlar!$C$9)</f>
      </c>
      <c r="K379" s="18">
        <f>IF(OR($H379="",$I379=""),0,$H379*$I379)</f>
      </c>
      <c r="L379" s="18">
        <f>$K379*$J379</f>
      </c>
      <c r="M379" s="18">
        <f>$K379+$L379</f>
      </c>
      <c r="N379" s="8"/>
      <c r="O379" s="8"/>
      <c r="P379" s="8"/>
    </row>
    <row r="380" spans="2:16" x14ac:dyDescent="0.25">
      <c r="B380" s="19"/>
      <c r="C380" s="20"/>
      <c r="D380" s="20"/>
      <c r="E380" s="16">
        <f>IFERROR(IF($D380="","",VLOOKUP($D380,'Cari Kartlar'!$B$5:$C$204,2,FALSE)),"— tanımsız cari —")</f>
      </c>
      <c r="F380" s="20"/>
      <c r="G380" s="16">
        <f>IFERROR(IF($F380="","",VLOOKUP($F380,'Ürün Kartlar'!$B$5:$C$204,2,FALSE)),"— tanımsız ürün —")</f>
      </c>
      <c r="H380" s="21"/>
      <c r="I380" s="22">
        <f>IFERROR(IF($F380="","",IF($C380="Alış",VLOOKUP($F380,'Ürün Kartlar'!$B$5:$E$204,4,FALSE),VLOOKUP($F380,'Ürün Kartlar'!$B$5:$F$204,5,FALSE))),"")</f>
      </c>
      <c r="J380" s="23">
        <f>IFERROR(IF($F380="",Ayarlar!$C$9,VLOOKUP($F380,'Ürün Kartlar'!$B$5:$G$204,6,FALSE)),Ayarlar!$C$9)</f>
      </c>
      <c r="K380" s="18">
        <f>IF(OR($H380="",$I380=""),0,$H380*$I380)</f>
      </c>
      <c r="L380" s="18">
        <f>$K380*$J380</f>
      </c>
      <c r="M380" s="18">
        <f>$K380+$L380</f>
      </c>
      <c r="N380" s="20"/>
      <c r="O380" s="20"/>
      <c r="P380" s="20"/>
    </row>
    <row r="381" spans="2:16" x14ac:dyDescent="0.25">
      <c r="B381" s="15"/>
      <c r="C381" s="8"/>
      <c r="D381" s="8"/>
      <c r="E381" s="16">
        <f>IFERROR(IF($D381="","",VLOOKUP($D381,'Cari Kartlar'!$B$5:$C$204,2,FALSE)),"— tanımsız cari —")</f>
      </c>
      <c r="F381" s="8"/>
      <c r="G381" s="16">
        <f>IFERROR(IF($F381="","",VLOOKUP($F381,'Ürün Kartlar'!$B$5:$C$204,2,FALSE)),"— tanımsız ürün —")</f>
      </c>
      <c r="H381" s="17"/>
      <c r="I381" s="13">
        <f>IFERROR(IF($F381="","",IF($C381="Alış",VLOOKUP($F381,'Ürün Kartlar'!$B$5:$E$204,4,FALSE),VLOOKUP($F381,'Ürün Kartlar'!$B$5:$F$204,5,FALSE))),"")</f>
      </c>
      <c r="J381" s="11">
        <f>IFERROR(IF($F381="",Ayarlar!$C$9,VLOOKUP($F381,'Ürün Kartlar'!$B$5:$G$204,6,FALSE)),Ayarlar!$C$9)</f>
      </c>
      <c r="K381" s="18">
        <f>IF(OR($H381="",$I381=""),0,$H381*$I381)</f>
      </c>
      <c r="L381" s="18">
        <f>$K381*$J381</f>
      </c>
      <c r="M381" s="18">
        <f>$K381+$L381</f>
      </c>
      <c r="N381" s="8"/>
      <c r="O381" s="8"/>
      <c r="P381" s="8"/>
    </row>
    <row r="382" spans="2:16" x14ac:dyDescent="0.25">
      <c r="B382" s="19"/>
      <c r="C382" s="20"/>
      <c r="D382" s="20"/>
      <c r="E382" s="16">
        <f>IFERROR(IF($D382="","",VLOOKUP($D382,'Cari Kartlar'!$B$5:$C$204,2,FALSE)),"— tanımsız cari —")</f>
      </c>
      <c r="F382" s="20"/>
      <c r="G382" s="16">
        <f>IFERROR(IF($F382="","",VLOOKUP($F382,'Ürün Kartlar'!$B$5:$C$204,2,FALSE)),"— tanımsız ürün —")</f>
      </c>
      <c r="H382" s="21"/>
      <c r="I382" s="22">
        <f>IFERROR(IF($F382="","",IF($C382="Alış",VLOOKUP($F382,'Ürün Kartlar'!$B$5:$E$204,4,FALSE),VLOOKUP($F382,'Ürün Kartlar'!$B$5:$F$204,5,FALSE))),"")</f>
      </c>
      <c r="J382" s="23">
        <f>IFERROR(IF($F382="",Ayarlar!$C$9,VLOOKUP($F382,'Ürün Kartlar'!$B$5:$G$204,6,FALSE)),Ayarlar!$C$9)</f>
      </c>
      <c r="K382" s="18">
        <f>IF(OR($H382="",$I382=""),0,$H382*$I382)</f>
      </c>
      <c r="L382" s="18">
        <f>$K382*$J382</f>
      </c>
      <c r="M382" s="18">
        <f>$K382+$L382</f>
      </c>
      <c r="N382" s="20"/>
      <c r="O382" s="20"/>
      <c r="P382" s="20"/>
    </row>
    <row r="383" spans="2:16" x14ac:dyDescent="0.25">
      <c r="B383" s="15"/>
      <c r="C383" s="8"/>
      <c r="D383" s="8"/>
      <c r="E383" s="16">
        <f>IFERROR(IF($D383="","",VLOOKUP($D383,'Cari Kartlar'!$B$5:$C$204,2,FALSE)),"— tanımsız cari —")</f>
      </c>
      <c r="F383" s="8"/>
      <c r="G383" s="16">
        <f>IFERROR(IF($F383="","",VLOOKUP($F383,'Ürün Kartlar'!$B$5:$C$204,2,FALSE)),"— tanımsız ürün —")</f>
      </c>
      <c r="H383" s="17"/>
      <c r="I383" s="13">
        <f>IFERROR(IF($F383="","",IF($C383="Alış",VLOOKUP($F383,'Ürün Kartlar'!$B$5:$E$204,4,FALSE),VLOOKUP($F383,'Ürün Kartlar'!$B$5:$F$204,5,FALSE))),"")</f>
      </c>
      <c r="J383" s="11">
        <f>IFERROR(IF($F383="",Ayarlar!$C$9,VLOOKUP($F383,'Ürün Kartlar'!$B$5:$G$204,6,FALSE)),Ayarlar!$C$9)</f>
      </c>
      <c r="K383" s="18">
        <f>IF(OR($H383="",$I383=""),0,$H383*$I383)</f>
      </c>
      <c r="L383" s="18">
        <f>$K383*$J383</f>
      </c>
      <c r="M383" s="18">
        <f>$K383+$L383</f>
      </c>
      <c r="N383" s="8"/>
      <c r="O383" s="8"/>
      <c r="P383" s="8"/>
    </row>
    <row r="384" spans="2:16" x14ac:dyDescent="0.25">
      <c r="B384" s="19"/>
      <c r="C384" s="20"/>
      <c r="D384" s="20"/>
      <c r="E384" s="16">
        <f>IFERROR(IF($D384="","",VLOOKUP($D384,'Cari Kartlar'!$B$5:$C$204,2,FALSE)),"— tanımsız cari —")</f>
      </c>
      <c r="F384" s="20"/>
      <c r="G384" s="16">
        <f>IFERROR(IF($F384="","",VLOOKUP($F384,'Ürün Kartlar'!$B$5:$C$204,2,FALSE)),"— tanımsız ürün —")</f>
      </c>
      <c r="H384" s="21"/>
      <c r="I384" s="22">
        <f>IFERROR(IF($F384="","",IF($C384="Alış",VLOOKUP($F384,'Ürün Kartlar'!$B$5:$E$204,4,FALSE),VLOOKUP($F384,'Ürün Kartlar'!$B$5:$F$204,5,FALSE))),"")</f>
      </c>
      <c r="J384" s="23">
        <f>IFERROR(IF($F384="",Ayarlar!$C$9,VLOOKUP($F384,'Ürün Kartlar'!$B$5:$G$204,6,FALSE)),Ayarlar!$C$9)</f>
      </c>
      <c r="K384" s="18">
        <f>IF(OR($H384="",$I384=""),0,$H384*$I384)</f>
      </c>
      <c r="L384" s="18">
        <f>$K384*$J384</f>
      </c>
      <c r="M384" s="18">
        <f>$K384+$L384</f>
      </c>
      <c r="N384" s="20"/>
      <c r="O384" s="20"/>
      <c r="P384" s="20"/>
    </row>
    <row r="385" spans="2:16" x14ac:dyDescent="0.25">
      <c r="B385" s="15"/>
      <c r="C385" s="8"/>
      <c r="D385" s="8"/>
      <c r="E385" s="16">
        <f>IFERROR(IF($D385="","",VLOOKUP($D385,'Cari Kartlar'!$B$5:$C$204,2,FALSE)),"— tanımsız cari —")</f>
      </c>
      <c r="F385" s="8"/>
      <c r="G385" s="16">
        <f>IFERROR(IF($F385="","",VLOOKUP($F385,'Ürün Kartlar'!$B$5:$C$204,2,FALSE)),"— tanımsız ürün —")</f>
      </c>
      <c r="H385" s="17"/>
      <c r="I385" s="13">
        <f>IFERROR(IF($F385="","",IF($C385="Alış",VLOOKUP($F385,'Ürün Kartlar'!$B$5:$E$204,4,FALSE),VLOOKUP($F385,'Ürün Kartlar'!$B$5:$F$204,5,FALSE))),"")</f>
      </c>
      <c r="J385" s="11">
        <f>IFERROR(IF($F385="",Ayarlar!$C$9,VLOOKUP($F385,'Ürün Kartlar'!$B$5:$G$204,6,FALSE)),Ayarlar!$C$9)</f>
      </c>
      <c r="K385" s="18">
        <f>IF(OR($H385="",$I385=""),0,$H385*$I385)</f>
      </c>
      <c r="L385" s="18">
        <f>$K385*$J385</f>
      </c>
      <c r="M385" s="18">
        <f>$K385+$L385</f>
      </c>
      <c r="N385" s="8"/>
      <c r="O385" s="8"/>
      <c r="P385" s="8"/>
    </row>
    <row r="386" spans="2:16" x14ac:dyDescent="0.25">
      <c r="B386" s="19"/>
      <c r="C386" s="20"/>
      <c r="D386" s="20"/>
      <c r="E386" s="16">
        <f>IFERROR(IF($D386="","",VLOOKUP($D386,'Cari Kartlar'!$B$5:$C$204,2,FALSE)),"— tanımsız cari —")</f>
      </c>
      <c r="F386" s="20"/>
      <c r="G386" s="16">
        <f>IFERROR(IF($F386="","",VLOOKUP($F386,'Ürün Kartlar'!$B$5:$C$204,2,FALSE)),"— tanımsız ürün —")</f>
      </c>
      <c r="H386" s="21"/>
      <c r="I386" s="22">
        <f>IFERROR(IF($F386="","",IF($C386="Alış",VLOOKUP($F386,'Ürün Kartlar'!$B$5:$E$204,4,FALSE),VLOOKUP($F386,'Ürün Kartlar'!$B$5:$F$204,5,FALSE))),"")</f>
      </c>
      <c r="J386" s="23">
        <f>IFERROR(IF($F386="",Ayarlar!$C$9,VLOOKUP($F386,'Ürün Kartlar'!$B$5:$G$204,6,FALSE)),Ayarlar!$C$9)</f>
      </c>
      <c r="K386" s="18">
        <f>IF(OR($H386="",$I386=""),0,$H386*$I386)</f>
      </c>
      <c r="L386" s="18">
        <f>$K386*$J386</f>
      </c>
      <c r="M386" s="18">
        <f>$K386+$L386</f>
      </c>
      <c r="N386" s="20"/>
      <c r="O386" s="20"/>
      <c r="P386" s="20"/>
    </row>
    <row r="387" spans="2:16" x14ac:dyDescent="0.25">
      <c r="B387" s="15"/>
      <c r="C387" s="8"/>
      <c r="D387" s="8"/>
      <c r="E387" s="16">
        <f>IFERROR(IF($D387="","",VLOOKUP($D387,'Cari Kartlar'!$B$5:$C$204,2,FALSE)),"— tanımsız cari —")</f>
      </c>
      <c r="F387" s="8"/>
      <c r="G387" s="16">
        <f>IFERROR(IF($F387="","",VLOOKUP($F387,'Ürün Kartlar'!$B$5:$C$204,2,FALSE)),"— tanımsız ürün —")</f>
      </c>
      <c r="H387" s="17"/>
      <c r="I387" s="13">
        <f>IFERROR(IF($F387="","",IF($C387="Alış",VLOOKUP($F387,'Ürün Kartlar'!$B$5:$E$204,4,FALSE),VLOOKUP($F387,'Ürün Kartlar'!$B$5:$F$204,5,FALSE))),"")</f>
      </c>
      <c r="J387" s="11">
        <f>IFERROR(IF($F387="",Ayarlar!$C$9,VLOOKUP($F387,'Ürün Kartlar'!$B$5:$G$204,6,FALSE)),Ayarlar!$C$9)</f>
      </c>
      <c r="K387" s="18">
        <f>IF(OR($H387="",$I387=""),0,$H387*$I387)</f>
      </c>
      <c r="L387" s="18">
        <f>$K387*$J387</f>
      </c>
      <c r="M387" s="18">
        <f>$K387+$L387</f>
      </c>
      <c r="N387" s="8"/>
      <c r="O387" s="8"/>
      <c r="P387" s="8"/>
    </row>
    <row r="388" spans="2:16" x14ac:dyDescent="0.25">
      <c r="B388" s="19"/>
      <c r="C388" s="20"/>
      <c r="D388" s="20"/>
      <c r="E388" s="16">
        <f>IFERROR(IF($D388="","",VLOOKUP($D388,'Cari Kartlar'!$B$5:$C$204,2,FALSE)),"— tanımsız cari —")</f>
      </c>
      <c r="F388" s="20"/>
      <c r="G388" s="16">
        <f>IFERROR(IF($F388="","",VLOOKUP($F388,'Ürün Kartlar'!$B$5:$C$204,2,FALSE)),"— tanımsız ürün —")</f>
      </c>
      <c r="H388" s="21"/>
      <c r="I388" s="22">
        <f>IFERROR(IF($F388="","",IF($C388="Alış",VLOOKUP($F388,'Ürün Kartlar'!$B$5:$E$204,4,FALSE),VLOOKUP($F388,'Ürün Kartlar'!$B$5:$F$204,5,FALSE))),"")</f>
      </c>
      <c r="J388" s="23">
        <f>IFERROR(IF($F388="",Ayarlar!$C$9,VLOOKUP($F388,'Ürün Kartlar'!$B$5:$G$204,6,FALSE)),Ayarlar!$C$9)</f>
      </c>
      <c r="K388" s="18">
        <f>IF(OR($H388="",$I388=""),0,$H388*$I388)</f>
      </c>
      <c r="L388" s="18">
        <f>$K388*$J388</f>
      </c>
      <c r="M388" s="18">
        <f>$K388+$L388</f>
      </c>
      <c r="N388" s="20"/>
      <c r="O388" s="20"/>
      <c r="P388" s="20"/>
    </row>
    <row r="389" spans="2:16" x14ac:dyDescent="0.25">
      <c r="B389" s="15"/>
      <c r="C389" s="8"/>
      <c r="D389" s="8"/>
      <c r="E389" s="16">
        <f>IFERROR(IF($D389="","",VLOOKUP($D389,'Cari Kartlar'!$B$5:$C$204,2,FALSE)),"— tanımsız cari —")</f>
      </c>
      <c r="F389" s="8"/>
      <c r="G389" s="16">
        <f>IFERROR(IF($F389="","",VLOOKUP($F389,'Ürün Kartlar'!$B$5:$C$204,2,FALSE)),"— tanımsız ürün —")</f>
      </c>
      <c r="H389" s="17"/>
      <c r="I389" s="13">
        <f>IFERROR(IF($F389="","",IF($C389="Alış",VLOOKUP($F389,'Ürün Kartlar'!$B$5:$E$204,4,FALSE),VLOOKUP($F389,'Ürün Kartlar'!$B$5:$F$204,5,FALSE))),"")</f>
      </c>
      <c r="J389" s="11">
        <f>IFERROR(IF($F389="",Ayarlar!$C$9,VLOOKUP($F389,'Ürün Kartlar'!$B$5:$G$204,6,FALSE)),Ayarlar!$C$9)</f>
      </c>
      <c r="K389" s="18">
        <f>IF(OR($H389="",$I389=""),0,$H389*$I389)</f>
      </c>
      <c r="L389" s="18">
        <f>$K389*$J389</f>
      </c>
      <c r="M389" s="18">
        <f>$K389+$L389</f>
      </c>
      <c r="N389" s="8"/>
      <c r="O389" s="8"/>
      <c r="P389" s="8"/>
    </row>
    <row r="390" spans="2:16" x14ac:dyDescent="0.25">
      <c r="B390" s="19"/>
      <c r="C390" s="20"/>
      <c r="D390" s="20"/>
      <c r="E390" s="16">
        <f>IFERROR(IF($D390="","",VLOOKUP($D390,'Cari Kartlar'!$B$5:$C$204,2,FALSE)),"— tanımsız cari —")</f>
      </c>
      <c r="F390" s="20"/>
      <c r="G390" s="16">
        <f>IFERROR(IF($F390="","",VLOOKUP($F390,'Ürün Kartlar'!$B$5:$C$204,2,FALSE)),"— tanımsız ürün —")</f>
      </c>
      <c r="H390" s="21"/>
      <c r="I390" s="22">
        <f>IFERROR(IF($F390="","",IF($C390="Alış",VLOOKUP($F390,'Ürün Kartlar'!$B$5:$E$204,4,FALSE),VLOOKUP($F390,'Ürün Kartlar'!$B$5:$F$204,5,FALSE))),"")</f>
      </c>
      <c r="J390" s="23">
        <f>IFERROR(IF($F390="",Ayarlar!$C$9,VLOOKUP($F390,'Ürün Kartlar'!$B$5:$G$204,6,FALSE)),Ayarlar!$C$9)</f>
      </c>
      <c r="K390" s="18">
        <f>IF(OR($H390="",$I390=""),0,$H390*$I390)</f>
      </c>
      <c r="L390" s="18">
        <f>$K390*$J390</f>
      </c>
      <c r="M390" s="18">
        <f>$K390+$L390</f>
      </c>
      <c r="N390" s="20"/>
      <c r="O390" s="20"/>
      <c r="P390" s="20"/>
    </row>
    <row r="391" spans="2:16" x14ac:dyDescent="0.25">
      <c r="B391" s="15"/>
      <c r="C391" s="8"/>
      <c r="D391" s="8"/>
      <c r="E391" s="16">
        <f>IFERROR(IF($D391="","",VLOOKUP($D391,'Cari Kartlar'!$B$5:$C$204,2,FALSE)),"— tanımsız cari —")</f>
      </c>
      <c r="F391" s="8"/>
      <c r="G391" s="16">
        <f>IFERROR(IF($F391="","",VLOOKUP($F391,'Ürün Kartlar'!$B$5:$C$204,2,FALSE)),"— tanımsız ürün —")</f>
      </c>
      <c r="H391" s="17"/>
      <c r="I391" s="13">
        <f>IFERROR(IF($F391="","",IF($C391="Alış",VLOOKUP($F391,'Ürün Kartlar'!$B$5:$E$204,4,FALSE),VLOOKUP($F391,'Ürün Kartlar'!$B$5:$F$204,5,FALSE))),"")</f>
      </c>
      <c r="J391" s="11">
        <f>IFERROR(IF($F391="",Ayarlar!$C$9,VLOOKUP($F391,'Ürün Kartlar'!$B$5:$G$204,6,FALSE)),Ayarlar!$C$9)</f>
      </c>
      <c r="K391" s="18">
        <f>IF(OR($H391="",$I391=""),0,$H391*$I391)</f>
      </c>
      <c r="L391" s="18">
        <f>$K391*$J391</f>
      </c>
      <c r="M391" s="18">
        <f>$K391+$L391</f>
      </c>
      <c r="N391" s="8"/>
      <c r="O391" s="8"/>
      <c r="P391" s="8"/>
    </row>
    <row r="392" spans="2:16" x14ac:dyDescent="0.25">
      <c r="B392" s="19"/>
      <c r="C392" s="20"/>
      <c r="D392" s="20"/>
      <c r="E392" s="16">
        <f>IFERROR(IF($D392="","",VLOOKUP($D392,'Cari Kartlar'!$B$5:$C$204,2,FALSE)),"— tanımsız cari —")</f>
      </c>
      <c r="F392" s="20"/>
      <c r="G392" s="16">
        <f>IFERROR(IF($F392="","",VLOOKUP($F392,'Ürün Kartlar'!$B$5:$C$204,2,FALSE)),"— tanımsız ürün —")</f>
      </c>
      <c r="H392" s="21"/>
      <c r="I392" s="22">
        <f>IFERROR(IF($F392="","",IF($C392="Alış",VLOOKUP($F392,'Ürün Kartlar'!$B$5:$E$204,4,FALSE),VLOOKUP($F392,'Ürün Kartlar'!$B$5:$F$204,5,FALSE))),"")</f>
      </c>
      <c r="J392" s="23">
        <f>IFERROR(IF($F392="",Ayarlar!$C$9,VLOOKUP($F392,'Ürün Kartlar'!$B$5:$G$204,6,FALSE)),Ayarlar!$C$9)</f>
      </c>
      <c r="K392" s="18">
        <f>IF(OR($H392="",$I392=""),0,$H392*$I392)</f>
      </c>
      <c r="L392" s="18">
        <f>$K392*$J392</f>
      </c>
      <c r="M392" s="18">
        <f>$K392+$L392</f>
      </c>
      <c r="N392" s="20"/>
      <c r="O392" s="20"/>
      <c r="P392" s="20"/>
    </row>
    <row r="393" spans="2:16" x14ac:dyDescent="0.25">
      <c r="B393" s="15"/>
      <c r="C393" s="8"/>
      <c r="D393" s="8"/>
      <c r="E393" s="16">
        <f>IFERROR(IF($D393="","",VLOOKUP($D393,'Cari Kartlar'!$B$5:$C$204,2,FALSE)),"— tanımsız cari —")</f>
      </c>
      <c r="F393" s="8"/>
      <c r="G393" s="16">
        <f>IFERROR(IF($F393="","",VLOOKUP($F393,'Ürün Kartlar'!$B$5:$C$204,2,FALSE)),"— tanımsız ürün —")</f>
      </c>
      <c r="H393" s="17"/>
      <c r="I393" s="13">
        <f>IFERROR(IF($F393="","",IF($C393="Alış",VLOOKUP($F393,'Ürün Kartlar'!$B$5:$E$204,4,FALSE),VLOOKUP($F393,'Ürün Kartlar'!$B$5:$F$204,5,FALSE))),"")</f>
      </c>
      <c r="J393" s="11">
        <f>IFERROR(IF($F393="",Ayarlar!$C$9,VLOOKUP($F393,'Ürün Kartlar'!$B$5:$G$204,6,FALSE)),Ayarlar!$C$9)</f>
      </c>
      <c r="K393" s="18">
        <f>IF(OR($H393="",$I393=""),0,$H393*$I393)</f>
      </c>
      <c r="L393" s="18">
        <f>$K393*$J393</f>
      </c>
      <c r="M393" s="18">
        <f>$K393+$L393</f>
      </c>
      <c r="N393" s="8"/>
      <c r="O393" s="8"/>
      <c r="P393" s="8"/>
    </row>
    <row r="394" spans="2:16" x14ac:dyDescent="0.25">
      <c r="B394" s="19"/>
      <c r="C394" s="20"/>
      <c r="D394" s="20"/>
      <c r="E394" s="16">
        <f>IFERROR(IF($D394="","",VLOOKUP($D394,'Cari Kartlar'!$B$5:$C$204,2,FALSE)),"— tanımsız cari —")</f>
      </c>
      <c r="F394" s="20"/>
      <c r="G394" s="16">
        <f>IFERROR(IF($F394="","",VLOOKUP($F394,'Ürün Kartlar'!$B$5:$C$204,2,FALSE)),"— tanımsız ürün —")</f>
      </c>
      <c r="H394" s="21"/>
      <c r="I394" s="22">
        <f>IFERROR(IF($F394="","",IF($C394="Alış",VLOOKUP($F394,'Ürün Kartlar'!$B$5:$E$204,4,FALSE),VLOOKUP($F394,'Ürün Kartlar'!$B$5:$F$204,5,FALSE))),"")</f>
      </c>
      <c r="J394" s="23">
        <f>IFERROR(IF($F394="",Ayarlar!$C$9,VLOOKUP($F394,'Ürün Kartlar'!$B$5:$G$204,6,FALSE)),Ayarlar!$C$9)</f>
      </c>
      <c r="K394" s="18">
        <f>IF(OR($H394="",$I394=""),0,$H394*$I394)</f>
      </c>
      <c r="L394" s="18">
        <f>$K394*$J394</f>
      </c>
      <c r="M394" s="18">
        <f>$K394+$L394</f>
      </c>
      <c r="N394" s="20"/>
      <c r="O394" s="20"/>
      <c r="P394" s="20"/>
    </row>
    <row r="395" spans="2:16" x14ac:dyDescent="0.25">
      <c r="B395" s="15"/>
      <c r="C395" s="8"/>
      <c r="D395" s="8"/>
      <c r="E395" s="16">
        <f>IFERROR(IF($D395="","",VLOOKUP($D395,'Cari Kartlar'!$B$5:$C$204,2,FALSE)),"— tanımsız cari —")</f>
      </c>
      <c r="F395" s="8"/>
      <c r="G395" s="16">
        <f>IFERROR(IF($F395="","",VLOOKUP($F395,'Ürün Kartlar'!$B$5:$C$204,2,FALSE)),"— tanımsız ürün —")</f>
      </c>
      <c r="H395" s="17"/>
      <c r="I395" s="13">
        <f>IFERROR(IF($F395="","",IF($C395="Alış",VLOOKUP($F395,'Ürün Kartlar'!$B$5:$E$204,4,FALSE),VLOOKUP($F395,'Ürün Kartlar'!$B$5:$F$204,5,FALSE))),"")</f>
      </c>
      <c r="J395" s="11">
        <f>IFERROR(IF($F395="",Ayarlar!$C$9,VLOOKUP($F395,'Ürün Kartlar'!$B$5:$G$204,6,FALSE)),Ayarlar!$C$9)</f>
      </c>
      <c r="K395" s="18">
        <f>IF(OR($H395="",$I395=""),0,$H395*$I395)</f>
      </c>
      <c r="L395" s="18">
        <f>$K395*$J395</f>
      </c>
      <c r="M395" s="18">
        <f>$K395+$L395</f>
      </c>
      <c r="N395" s="8"/>
      <c r="O395" s="8"/>
      <c r="P395" s="8"/>
    </row>
    <row r="396" spans="2:16" x14ac:dyDescent="0.25">
      <c r="B396" s="19"/>
      <c r="C396" s="20"/>
      <c r="D396" s="20"/>
      <c r="E396" s="16">
        <f>IFERROR(IF($D396="","",VLOOKUP($D396,'Cari Kartlar'!$B$5:$C$204,2,FALSE)),"— tanımsız cari —")</f>
      </c>
      <c r="F396" s="20"/>
      <c r="G396" s="16">
        <f>IFERROR(IF($F396="","",VLOOKUP($F396,'Ürün Kartlar'!$B$5:$C$204,2,FALSE)),"— tanımsız ürün —")</f>
      </c>
      <c r="H396" s="21"/>
      <c r="I396" s="22">
        <f>IFERROR(IF($F396="","",IF($C396="Alış",VLOOKUP($F396,'Ürün Kartlar'!$B$5:$E$204,4,FALSE),VLOOKUP($F396,'Ürün Kartlar'!$B$5:$F$204,5,FALSE))),"")</f>
      </c>
      <c r="J396" s="23">
        <f>IFERROR(IF($F396="",Ayarlar!$C$9,VLOOKUP($F396,'Ürün Kartlar'!$B$5:$G$204,6,FALSE)),Ayarlar!$C$9)</f>
      </c>
      <c r="K396" s="18">
        <f>IF(OR($H396="",$I396=""),0,$H396*$I396)</f>
      </c>
      <c r="L396" s="18">
        <f>$K396*$J396</f>
      </c>
      <c r="M396" s="18">
        <f>$K396+$L396</f>
      </c>
      <c r="N396" s="20"/>
      <c r="O396" s="20"/>
      <c r="P396" s="20"/>
    </row>
    <row r="397" spans="2:16" x14ac:dyDescent="0.25">
      <c r="B397" s="15"/>
      <c r="C397" s="8"/>
      <c r="D397" s="8"/>
      <c r="E397" s="16">
        <f>IFERROR(IF($D397="","",VLOOKUP($D397,'Cari Kartlar'!$B$5:$C$204,2,FALSE)),"— tanımsız cari —")</f>
      </c>
      <c r="F397" s="8"/>
      <c r="G397" s="16">
        <f>IFERROR(IF($F397="","",VLOOKUP($F397,'Ürün Kartlar'!$B$5:$C$204,2,FALSE)),"— tanımsız ürün —")</f>
      </c>
      <c r="H397" s="17"/>
      <c r="I397" s="13">
        <f>IFERROR(IF($F397="","",IF($C397="Alış",VLOOKUP($F397,'Ürün Kartlar'!$B$5:$E$204,4,FALSE),VLOOKUP($F397,'Ürün Kartlar'!$B$5:$F$204,5,FALSE))),"")</f>
      </c>
      <c r="J397" s="11">
        <f>IFERROR(IF($F397="",Ayarlar!$C$9,VLOOKUP($F397,'Ürün Kartlar'!$B$5:$G$204,6,FALSE)),Ayarlar!$C$9)</f>
      </c>
      <c r="K397" s="18">
        <f>IF(OR($H397="",$I397=""),0,$H397*$I397)</f>
      </c>
      <c r="L397" s="18">
        <f>$K397*$J397</f>
      </c>
      <c r="M397" s="18">
        <f>$K397+$L397</f>
      </c>
      <c r="N397" s="8"/>
      <c r="O397" s="8"/>
      <c r="P397" s="8"/>
    </row>
    <row r="398" spans="2:16" x14ac:dyDescent="0.25">
      <c r="B398" s="19"/>
      <c r="C398" s="20"/>
      <c r="D398" s="20"/>
      <c r="E398" s="16">
        <f>IFERROR(IF($D398="","",VLOOKUP($D398,'Cari Kartlar'!$B$5:$C$204,2,FALSE)),"— tanımsız cari —")</f>
      </c>
      <c r="F398" s="20"/>
      <c r="G398" s="16">
        <f>IFERROR(IF($F398="","",VLOOKUP($F398,'Ürün Kartlar'!$B$5:$C$204,2,FALSE)),"— tanımsız ürün —")</f>
      </c>
      <c r="H398" s="21"/>
      <c r="I398" s="22">
        <f>IFERROR(IF($F398="","",IF($C398="Alış",VLOOKUP($F398,'Ürün Kartlar'!$B$5:$E$204,4,FALSE),VLOOKUP($F398,'Ürün Kartlar'!$B$5:$F$204,5,FALSE))),"")</f>
      </c>
      <c r="J398" s="23">
        <f>IFERROR(IF($F398="",Ayarlar!$C$9,VLOOKUP($F398,'Ürün Kartlar'!$B$5:$G$204,6,FALSE)),Ayarlar!$C$9)</f>
      </c>
      <c r="K398" s="18">
        <f>IF(OR($H398="",$I398=""),0,$H398*$I398)</f>
      </c>
      <c r="L398" s="18">
        <f>$K398*$J398</f>
      </c>
      <c r="M398" s="18">
        <f>$K398+$L398</f>
      </c>
      <c r="N398" s="20"/>
      <c r="O398" s="20"/>
      <c r="P398" s="20"/>
    </row>
    <row r="399" spans="2:16" x14ac:dyDescent="0.25">
      <c r="B399" s="15"/>
      <c r="C399" s="8"/>
      <c r="D399" s="8"/>
      <c r="E399" s="16">
        <f>IFERROR(IF($D399="","",VLOOKUP($D399,'Cari Kartlar'!$B$5:$C$204,2,FALSE)),"— tanımsız cari —")</f>
      </c>
      <c r="F399" s="8"/>
      <c r="G399" s="16">
        <f>IFERROR(IF($F399="","",VLOOKUP($F399,'Ürün Kartlar'!$B$5:$C$204,2,FALSE)),"— tanımsız ürün —")</f>
      </c>
      <c r="H399" s="17"/>
      <c r="I399" s="13">
        <f>IFERROR(IF($F399="","",IF($C399="Alış",VLOOKUP($F399,'Ürün Kartlar'!$B$5:$E$204,4,FALSE),VLOOKUP($F399,'Ürün Kartlar'!$B$5:$F$204,5,FALSE))),"")</f>
      </c>
      <c r="J399" s="11">
        <f>IFERROR(IF($F399="",Ayarlar!$C$9,VLOOKUP($F399,'Ürün Kartlar'!$B$5:$G$204,6,FALSE)),Ayarlar!$C$9)</f>
      </c>
      <c r="K399" s="18">
        <f>IF(OR($H399="",$I399=""),0,$H399*$I399)</f>
      </c>
      <c r="L399" s="18">
        <f>$K399*$J399</f>
      </c>
      <c r="M399" s="18">
        <f>$K399+$L399</f>
      </c>
      <c r="N399" s="8"/>
      <c r="O399" s="8"/>
      <c r="P399" s="8"/>
    </row>
    <row r="400" spans="2:16" x14ac:dyDescent="0.25">
      <c r="B400" s="19"/>
      <c r="C400" s="20"/>
      <c r="D400" s="20"/>
      <c r="E400" s="16">
        <f>IFERROR(IF($D400="","",VLOOKUP($D400,'Cari Kartlar'!$B$5:$C$204,2,FALSE)),"— tanımsız cari —")</f>
      </c>
      <c r="F400" s="20"/>
      <c r="G400" s="16">
        <f>IFERROR(IF($F400="","",VLOOKUP($F400,'Ürün Kartlar'!$B$5:$C$204,2,FALSE)),"— tanımsız ürün —")</f>
      </c>
      <c r="H400" s="21"/>
      <c r="I400" s="22">
        <f>IFERROR(IF($F400="","",IF($C400="Alış",VLOOKUP($F400,'Ürün Kartlar'!$B$5:$E$204,4,FALSE),VLOOKUP($F400,'Ürün Kartlar'!$B$5:$F$204,5,FALSE))),"")</f>
      </c>
      <c r="J400" s="23">
        <f>IFERROR(IF($F400="",Ayarlar!$C$9,VLOOKUP($F400,'Ürün Kartlar'!$B$5:$G$204,6,FALSE)),Ayarlar!$C$9)</f>
      </c>
      <c r="K400" s="18">
        <f>IF(OR($H400="",$I400=""),0,$H400*$I400)</f>
      </c>
      <c r="L400" s="18">
        <f>$K400*$J400</f>
      </c>
      <c r="M400" s="18">
        <f>$K400+$L400</f>
      </c>
      <c r="N400" s="20"/>
      <c r="O400" s="20"/>
      <c r="P400" s="20"/>
    </row>
    <row r="401" spans="2:16" x14ac:dyDescent="0.25">
      <c r="B401" s="15"/>
      <c r="C401" s="8"/>
      <c r="D401" s="8"/>
      <c r="E401" s="16">
        <f>IFERROR(IF($D401="","",VLOOKUP($D401,'Cari Kartlar'!$B$5:$C$204,2,FALSE)),"— tanımsız cari —")</f>
      </c>
      <c r="F401" s="8"/>
      <c r="G401" s="16">
        <f>IFERROR(IF($F401="","",VLOOKUP($F401,'Ürün Kartlar'!$B$5:$C$204,2,FALSE)),"— tanımsız ürün —")</f>
      </c>
      <c r="H401" s="17"/>
      <c r="I401" s="13">
        <f>IFERROR(IF($F401="","",IF($C401="Alış",VLOOKUP($F401,'Ürün Kartlar'!$B$5:$E$204,4,FALSE),VLOOKUP($F401,'Ürün Kartlar'!$B$5:$F$204,5,FALSE))),"")</f>
      </c>
      <c r="J401" s="11">
        <f>IFERROR(IF($F401="",Ayarlar!$C$9,VLOOKUP($F401,'Ürün Kartlar'!$B$5:$G$204,6,FALSE)),Ayarlar!$C$9)</f>
      </c>
      <c r="K401" s="18">
        <f>IF(OR($H401="",$I401=""),0,$H401*$I401)</f>
      </c>
      <c r="L401" s="18">
        <f>$K401*$J401</f>
      </c>
      <c r="M401" s="18">
        <f>$K401+$L401</f>
      </c>
      <c r="N401" s="8"/>
      <c r="O401" s="8"/>
      <c r="P401" s="8"/>
    </row>
    <row r="402" spans="2:16" x14ac:dyDescent="0.25">
      <c r="B402" s="19"/>
      <c r="C402" s="20"/>
      <c r="D402" s="20"/>
      <c r="E402" s="16">
        <f>IFERROR(IF($D402="","",VLOOKUP($D402,'Cari Kartlar'!$B$5:$C$204,2,FALSE)),"— tanımsız cari —")</f>
      </c>
      <c r="F402" s="20"/>
      <c r="G402" s="16">
        <f>IFERROR(IF($F402="","",VLOOKUP($F402,'Ürün Kartlar'!$B$5:$C$204,2,FALSE)),"— tanımsız ürün —")</f>
      </c>
      <c r="H402" s="21"/>
      <c r="I402" s="22">
        <f>IFERROR(IF($F402="","",IF($C402="Alış",VLOOKUP($F402,'Ürün Kartlar'!$B$5:$E$204,4,FALSE),VLOOKUP($F402,'Ürün Kartlar'!$B$5:$F$204,5,FALSE))),"")</f>
      </c>
      <c r="J402" s="23">
        <f>IFERROR(IF($F402="",Ayarlar!$C$9,VLOOKUP($F402,'Ürün Kartlar'!$B$5:$G$204,6,FALSE)),Ayarlar!$C$9)</f>
      </c>
      <c r="K402" s="18">
        <f>IF(OR($H402="",$I402=""),0,$H402*$I402)</f>
      </c>
      <c r="L402" s="18">
        <f>$K402*$J402</f>
      </c>
      <c r="M402" s="18">
        <f>$K402+$L402</f>
      </c>
      <c r="N402" s="20"/>
      <c r="O402" s="20"/>
      <c r="P402" s="20"/>
    </row>
    <row r="403" spans="2:16" x14ac:dyDescent="0.25">
      <c r="B403" s="15"/>
      <c r="C403" s="8"/>
      <c r="D403" s="8"/>
      <c r="E403" s="16">
        <f>IFERROR(IF($D403="","",VLOOKUP($D403,'Cari Kartlar'!$B$5:$C$204,2,FALSE)),"— tanımsız cari —")</f>
      </c>
      <c r="F403" s="8"/>
      <c r="G403" s="16">
        <f>IFERROR(IF($F403="","",VLOOKUP($F403,'Ürün Kartlar'!$B$5:$C$204,2,FALSE)),"— tanımsız ürün —")</f>
      </c>
      <c r="H403" s="17"/>
      <c r="I403" s="13">
        <f>IFERROR(IF($F403="","",IF($C403="Alış",VLOOKUP($F403,'Ürün Kartlar'!$B$5:$E$204,4,FALSE),VLOOKUP($F403,'Ürün Kartlar'!$B$5:$F$204,5,FALSE))),"")</f>
      </c>
      <c r="J403" s="11">
        <f>IFERROR(IF($F403="",Ayarlar!$C$9,VLOOKUP($F403,'Ürün Kartlar'!$B$5:$G$204,6,FALSE)),Ayarlar!$C$9)</f>
      </c>
      <c r="K403" s="18">
        <f>IF(OR($H403="",$I403=""),0,$H403*$I403)</f>
      </c>
      <c r="L403" s="18">
        <f>$K403*$J403</f>
      </c>
      <c r="M403" s="18">
        <f>$K403+$L403</f>
      </c>
      <c r="N403" s="8"/>
      <c r="O403" s="8"/>
      <c r="P403" s="8"/>
    </row>
    <row r="404" spans="2:16" x14ac:dyDescent="0.25">
      <c r="B404" s="19"/>
      <c r="C404" s="20"/>
      <c r="D404" s="20"/>
      <c r="E404" s="16">
        <f>IFERROR(IF($D404="","",VLOOKUP($D404,'Cari Kartlar'!$B$5:$C$204,2,FALSE)),"— tanımsız cari —")</f>
      </c>
      <c r="F404" s="20"/>
      <c r="G404" s="16">
        <f>IFERROR(IF($F404="","",VLOOKUP($F404,'Ürün Kartlar'!$B$5:$C$204,2,FALSE)),"— tanımsız ürün —")</f>
      </c>
      <c r="H404" s="21"/>
      <c r="I404" s="22">
        <f>IFERROR(IF($F404="","",IF($C404="Alış",VLOOKUP($F404,'Ürün Kartlar'!$B$5:$E$204,4,FALSE),VLOOKUP($F404,'Ürün Kartlar'!$B$5:$F$204,5,FALSE))),"")</f>
      </c>
      <c r="J404" s="23">
        <f>IFERROR(IF($F404="",Ayarlar!$C$9,VLOOKUP($F404,'Ürün Kartlar'!$B$5:$G$204,6,FALSE)),Ayarlar!$C$9)</f>
      </c>
      <c r="K404" s="18">
        <f>IF(OR($H404="",$I404=""),0,$H404*$I404)</f>
      </c>
      <c r="L404" s="18">
        <f>$K404*$J404</f>
      </c>
      <c r="M404" s="18">
        <f>$K404+$L404</f>
      </c>
      <c r="N404" s="20"/>
      <c r="O404" s="20"/>
      <c r="P404" s="20"/>
    </row>
    <row r="405" spans="2:16" x14ac:dyDescent="0.25">
      <c r="B405" s="15"/>
      <c r="C405" s="8"/>
      <c r="D405" s="8"/>
      <c r="E405" s="16">
        <f>IFERROR(IF($D405="","",VLOOKUP($D405,'Cari Kartlar'!$B$5:$C$204,2,FALSE)),"— tanımsız cari —")</f>
      </c>
      <c r="F405" s="8"/>
      <c r="G405" s="16">
        <f>IFERROR(IF($F405="","",VLOOKUP($F405,'Ürün Kartlar'!$B$5:$C$204,2,FALSE)),"— tanımsız ürün —")</f>
      </c>
      <c r="H405" s="17"/>
      <c r="I405" s="13">
        <f>IFERROR(IF($F405="","",IF($C405="Alış",VLOOKUP($F405,'Ürün Kartlar'!$B$5:$E$204,4,FALSE),VLOOKUP($F405,'Ürün Kartlar'!$B$5:$F$204,5,FALSE))),"")</f>
      </c>
      <c r="J405" s="11">
        <f>IFERROR(IF($F405="",Ayarlar!$C$9,VLOOKUP($F405,'Ürün Kartlar'!$B$5:$G$204,6,FALSE)),Ayarlar!$C$9)</f>
      </c>
      <c r="K405" s="18">
        <f>IF(OR($H405="",$I405=""),0,$H405*$I405)</f>
      </c>
      <c r="L405" s="18">
        <f>$K405*$J405</f>
      </c>
      <c r="M405" s="18">
        <f>$K405+$L405</f>
      </c>
      <c r="N405" s="8"/>
      <c r="O405" s="8"/>
      <c r="P405" s="8"/>
    </row>
    <row r="406" spans="2:16" x14ac:dyDescent="0.25">
      <c r="B406" s="19"/>
      <c r="C406" s="20"/>
      <c r="D406" s="20"/>
      <c r="E406" s="16">
        <f>IFERROR(IF($D406="","",VLOOKUP($D406,'Cari Kartlar'!$B$5:$C$204,2,FALSE)),"— tanımsız cari —")</f>
      </c>
      <c r="F406" s="20"/>
      <c r="G406" s="16">
        <f>IFERROR(IF($F406="","",VLOOKUP($F406,'Ürün Kartlar'!$B$5:$C$204,2,FALSE)),"— tanımsız ürün —")</f>
      </c>
      <c r="H406" s="21"/>
      <c r="I406" s="22">
        <f>IFERROR(IF($F406="","",IF($C406="Alış",VLOOKUP($F406,'Ürün Kartlar'!$B$5:$E$204,4,FALSE),VLOOKUP($F406,'Ürün Kartlar'!$B$5:$F$204,5,FALSE))),"")</f>
      </c>
      <c r="J406" s="23">
        <f>IFERROR(IF($F406="",Ayarlar!$C$9,VLOOKUP($F406,'Ürün Kartlar'!$B$5:$G$204,6,FALSE)),Ayarlar!$C$9)</f>
      </c>
      <c r="K406" s="18">
        <f>IF(OR($H406="",$I406=""),0,$H406*$I406)</f>
      </c>
      <c r="L406" s="18">
        <f>$K406*$J406</f>
      </c>
      <c r="M406" s="18">
        <f>$K406+$L406</f>
      </c>
      <c r="N406" s="20"/>
      <c r="O406" s="20"/>
      <c r="P406" s="20"/>
    </row>
    <row r="407" spans="2:16" x14ac:dyDescent="0.25">
      <c r="B407" s="15"/>
      <c r="C407" s="8"/>
      <c r="D407" s="8"/>
      <c r="E407" s="16">
        <f>IFERROR(IF($D407="","",VLOOKUP($D407,'Cari Kartlar'!$B$5:$C$204,2,FALSE)),"— tanımsız cari —")</f>
      </c>
      <c r="F407" s="8"/>
      <c r="G407" s="16">
        <f>IFERROR(IF($F407="","",VLOOKUP($F407,'Ürün Kartlar'!$B$5:$C$204,2,FALSE)),"— tanımsız ürün —")</f>
      </c>
      <c r="H407" s="17"/>
      <c r="I407" s="13">
        <f>IFERROR(IF($F407="","",IF($C407="Alış",VLOOKUP($F407,'Ürün Kartlar'!$B$5:$E$204,4,FALSE),VLOOKUP($F407,'Ürün Kartlar'!$B$5:$F$204,5,FALSE))),"")</f>
      </c>
      <c r="J407" s="11">
        <f>IFERROR(IF($F407="",Ayarlar!$C$9,VLOOKUP($F407,'Ürün Kartlar'!$B$5:$G$204,6,FALSE)),Ayarlar!$C$9)</f>
      </c>
      <c r="K407" s="18">
        <f>IF(OR($H407="",$I407=""),0,$H407*$I407)</f>
      </c>
      <c r="L407" s="18">
        <f>$K407*$J407</f>
      </c>
      <c r="M407" s="18">
        <f>$K407+$L407</f>
      </c>
      <c r="N407" s="8"/>
      <c r="O407" s="8"/>
      <c r="P407" s="8"/>
    </row>
    <row r="408" spans="2:16" x14ac:dyDescent="0.25">
      <c r="B408" s="19"/>
      <c r="C408" s="20"/>
      <c r="D408" s="20"/>
      <c r="E408" s="16">
        <f>IFERROR(IF($D408="","",VLOOKUP($D408,'Cari Kartlar'!$B$5:$C$204,2,FALSE)),"— tanımsız cari —")</f>
      </c>
      <c r="F408" s="20"/>
      <c r="G408" s="16">
        <f>IFERROR(IF($F408="","",VLOOKUP($F408,'Ürün Kartlar'!$B$5:$C$204,2,FALSE)),"— tanımsız ürün —")</f>
      </c>
      <c r="H408" s="21"/>
      <c r="I408" s="22">
        <f>IFERROR(IF($F408="","",IF($C408="Alış",VLOOKUP($F408,'Ürün Kartlar'!$B$5:$E$204,4,FALSE),VLOOKUP($F408,'Ürün Kartlar'!$B$5:$F$204,5,FALSE))),"")</f>
      </c>
      <c r="J408" s="23">
        <f>IFERROR(IF($F408="",Ayarlar!$C$9,VLOOKUP($F408,'Ürün Kartlar'!$B$5:$G$204,6,FALSE)),Ayarlar!$C$9)</f>
      </c>
      <c r="K408" s="18">
        <f>IF(OR($H408="",$I408=""),0,$H408*$I408)</f>
      </c>
      <c r="L408" s="18">
        <f>$K408*$J408</f>
      </c>
      <c r="M408" s="18">
        <f>$K408+$L408</f>
      </c>
      <c r="N408" s="20"/>
      <c r="O408" s="20"/>
      <c r="P408" s="20"/>
    </row>
    <row r="409" spans="2:16" x14ac:dyDescent="0.25">
      <c r="B409" s="15"/>
      <c r="C409" s="8"/>
      <c r="D409" s="8"/>
      <c r="E409" s="16">
        <f>IFERROR(IF($D409="","",VLOOKUP($D409,'Cari Kartlar'!$B$5:$C$204,2,FALSE)),"— tanımsız cari —")</f>
      </c>
      <c r="F409" s="8"/>
      <c r="G409" s="16">
        <f>IFERROR(IF($F409="","",VLOOKUP($F409,'Ürün Kartlar'!$B$5:$C$204,2,FALSE)),"— tanımsız ürün —")</f>
      </c>
      <c r="H409" s="17"/>
      <c r="I409" s="13">
        <f>IFERROR(IF($F409="","",IF($C409="Alış",VLOOKUP($F409,'Ürün Kartlar'!$B$5:$E$204,4,FALSE),VLOOKUP($F409,'Ürün Kartlar'!$B$5:$F$204,5,FALSE))),"")</f>
      </c>
      <c r="J409" s="11">
        <f>IFERROR(IF($F409="",Ayarlar!$C$9,VLOOKUP($F409,'Ürün Kartlar'!$B$5:$G$204,6,FALSE)),Ayarlar!$C$9)</f>
      </c>
      <c r="K409" s="18">
        <f>IF(OR($H409="",$I409=""),0,$H409*$I409)</f>
      </c>
      <c r="L409" s="18">
        <f>$K409*$J409</f>
      </c>
      <c r="M409" s="18">
        <f>$K409+$L409</f>
      </c>
      <c r="N409" s="8"/>
      <c r="O409" s="8"/>
      <c r="P409" s="8"/>
    </row>
    <row r="410" spans="2:16" x14ac:dyDescent="0.25">
      <c r="B410" s="19"/>
      <c r="C410" s="20"/>
      <c r="D410" s="20"/>
      <c r="E410" s="16">
        <f>IFERROR(IF($D410="","",VLOOKUP($D410,'Cari Kartlar'!$B$5:$C$204,2,FALSE)),"— tanımsız cari —")</f>
      </c>
      <c r="F410" s="20"/>
      <c r="G410" s="16">
        <f>IFERROR(IF($F410="","",VLOOKUP($F410,'Ürün Kartlar'!$B$5:$C$204,2,FALSE)),"— tanımsız ürün —")</f>
      </c>
      <c r="H410" s="21"/>
      <c r="I410" s="22">
        <f>IFERROR(IF($F410="","",IF($C410="Alış",VLOOKUP($F410,'Ürün Kartlar'!$B$5:$E$204,4,FALSE),VLOOKUP($F410,'Ürün Kartlar'!$B$5:$F$204,5,FALSE))),"")</f>
      </c>
      <c r="J410" s="23">
        <f>IFERROR(IF($F410="",Ayarlar!$C$9,VLOOKUP($F410,'Ürün Kartlar'!$B$5:$G$204,6,FALSE)),Ayarlar!$C$9)</f>
      </c>
      <c r="K410" s="18">
        <f>IF(OR($H410="",$I410=""),0,$H410*$I410)</f>
      </c>
      <c r="L410" s="18">
        <f>$K410*$J410</f>
      </c>
      <c r="M410" s="18">
        <f>$K410+$L410</f>
      </c>
      <c r="N410" s="20"/>
      <c r="O410" s="20"/>
      <c r="P410" s="20"/>
    </row>
    <row r="411" spans="2:16" x14ac:dyDescent="0.25">
      <c r="B411" s="15"/>
      <c r="C411" s="8"/>
      <c r="D411" s="8"/>
      <c r="E411" s="16">
        <f>IFERROR(IF($D411="","",VLOOKUP($D411,'Cari Kartlar'!$B$5:$C$204,2,FALSE)),"— tanımsız cari —")</f>
      </c>
      <c r="F411" s="8"/>
      <c r="G411" s="16">
        <f>IFERROR(IF($F411="","",VLOOKUP($F411,'Ürün Kartlar'!$B$5:$C$204,2,FALSE)),"— tanımsız ürün —")</f>
      </c>
      <c r="H411" s="17"/>
      <c r="I411" s="13">
        <f>IFERROR(IF($F411="","",IF($C411="Alış",VLOOKUP($F411,'Ürün Kartlar'!$B$5:$E$204,4,FALSE),VLOOKUP($F411,'Ürün Kartlar'!$B$5:$F$204,5,FALSE))),"")</f>
      </c>
      <c r="J411" s="11">
        <f>IFERROR(IF($F411="",Ayarlar!$C$9,VLOOKUP($F411,'Ürün Kartlar'!$B$5:$G$204,6,FALSE)),Ayarlar!$C$9)</f>
      </c>
      <c r="K411" s="18">
        <f>IF(OR($H411="",$I411=""),0,$H411*$I411)</f>
      </c>
      <c r="L411" s="18">
        <f>$K411*$J411</f>
      </c>
      <c r="M411" s="18">
        <f>$K411+$L411</f>
      </c>
      <c r="N411" s="8"/>
      <c r="O411" s="8"/>
      <c r="P411" s="8"/>
    </row>
    <row r="412" spans="2:16" x14ac:dyDescent="0.25">
      <c r="B412" s="19"/>
      <c r="C412" s="20"/>
      <c r="D412" s="20"/>
      <c r="E412" s="16">
        <f>IFERROR(IF($D412="","",VLOOKUP($D412,'Cari Kartlar'!$B$5:$C$204,2,FALSE)),"— tanımsız cari —")</f>
      </c>
      <c r="F412" s="20"/>
      <c r="G412" s="16">
        <f>IFERROR(IF($F412="","",VLOOKUP($F412,'Ürün Kartlar'!$B$5:$C$204,2,FALSE)),"— tanımsız ürün —")</f>
      </c>
      <c r="H412" s="21"/>
      <c r="I412" s="22">
        <f>IFERROR(IF($F412="","",IF($C412="Alış",VLOOKUP($F412,'Ürün Kartlar'!$B$5:$E$204,4,FALSE),VLOOKUP($F412,'Ürün Kartlar'!$B$5:$F$204,5,FALSE))),"")</f>
      </c>
      <c r="J412" s="23">
        <f>IFERROR(IF($F412="",Ayarlar!$C$9,VLOOKUP($F412,'Ürün Kartlar'!$B$5:$G$204,6,FALSE)),Ayarlar!$C$9)</f>
      </c>
      <c r="K412" s="18">
        <f>IF(OR($H412="",$I412=""),0,$H412*$I412)</f>
      </c>
      <c r="L412" s="18">
        <f>$K412*$J412</f>
      </c>
      <c r="M412" s="18">
        <f>$K412+$L412</f>
      </c>
      <c r="N412" s="20"/>
      <c r="O412" s="20"/>
      <c r="P412" s="20"/>
    </row>
    <row r="413" spans="2:16" x14ac:dyDescent="0.25">
      <c r="B413" s="15"/>
      <c r="C413" s="8"/>
      <c r="D413" s="8"/>
      <c r="E413" s="16">
        <f>IFERROR(IF($D413="","",VLOOKUP($D413,'Cari Kartlar'!$B$5:$C$204,2,FALSE)),"— tanımsız cari —")</f>
      </c>
      <c r="F413" s="8"/>
      <c r="G413" s="16">
        <f>IFERROR(IF($F413="","",VLOOKUP($F413,'Ürün Kartlar'!$B$5:$C$204,2,FALSE)),"— tanımsız ürün —")</f>
      </c>
      <c r="H413" s="17"/>
      <c r="I413" s="13">
        <f>IFERROR(IF($F413="","",IF($C413="Alış",VLOOKUP($F413,'Ürün Kartlar'!$B$5:$E$204,4,FALSE),VLOOKUP($F413,'Ürün Kartlar'!$B$5:$F$204,5,FALSE))),"")</f>
      </c>
      <c r="J413" s="11">
        <f>IFERROR(IF($F413="",Ayarlar!$C$9,VLOOKUP($F413,'Ürün Kartlar'!$B$5:$G$204,6,FALSE)),Ayarlar!$C$9)</f>
      </c>
      <c r="K413" s="18">
        <f>IF(OR($H413="",$I413=""),0,$H413*$I413)</f>
      </c>
      <c r="L413" s="18">
        <f>$K413*$J413</f>
      </c>
      <c r="M413" s="18">
        <f>$K413+$L413</f>
      </c>
      <c r="N413" s="8"/>
      <c r="O413" s="8"/>
      <c r="P413" s="8"/>
    </row>
    <row r="414" spans="2:16" x14ac:dyDescent="0.25">
      <c r="B414" s="19"/>
      <c r="C414" s="20"/>
      <c r="D414" s="20"/>
      <c r="E414" s="16">
        <f>IFERROR(IF($D414="","",VLOOKUP($D414,'Cari Kartlar'!$B$5:$C$204,2,FALSE)),"— tanımsız cari —")</f>
      </c>
      <c r="F414" s="20"/>
      <c r="G414" s="16">
        <f>IFERROR(IF($F414="","",VLOOKUP($F414,'Ürün Kartlar'!$B$5:$C$204,2,FALSE)),"— tanımsız ürün —")</f>
      </c>
      <c r="H414" s="21"/>
      <c r="I414" s="22">
        <f>IFERROR(IF($F414="","",IF($C414="Alış",VLOOKUP($F414,'Ürün Kartlar'!$B$5:$E$204,4,FALSE),VLOOKUP($F414,'Ürün Kartlar'!$B$5:$F$204,5,FALSE))),"")</f>
      </c>
      <c r="J414" s="23">
        <f>IFERROR(IF($F414="",Ayarlar!$C$9,VLOOKUP($F414,'Ürün Kartlar'!$B$5:$G$204,6,FALSE)),Ayarlar!$C$9)</f>
      </c>
      <c r="K414" s="18">
        <f>IF(OR($H414="",$I414=""),0,$H414*$I414)</f>
      </c>
      <c r="L414" s="18">
        <f>$K414*$J414</f>
      </c>
      <c r="M414" s="18">
        <f>$K414+$L414</f>
      </c>
      <c r="N414" s="20"/>
      <c r="O414" s="20"/>
      <c r="P414" s="20"/>
    </row>
    <row r="415" spans="2:16" x14ac:dyDescent="0.25">
      <c r="B415" s="15"/>
      <c r="C415" s="8"/>
      <c r="D415" s="8"/>
      <c r="E415" s="16">
        <f>IFERROR(IF($D415="","",VLOOKUP($D415,'Cari Kartlar'!$B$5:$C$204,2,FALSE)),"— tanımsız cari —")</f>
      </c>
      <c r="F415" s="8"/>
      <c r="G415" s="16">
        <f>IFERROR(IF($F415="","",VLOOKUP($F415,'Ürün Kartlar'!$B$5:$C$204,2,FALSE)),"— tanımsız ürün —")</f>
      </c>
      <c r="H415" s="17"/>
      <c r="I415" s="13">
        <f>IFERROR(IF($F415="","",IF($C415="Alış",VLOOKUP($F415,'Ürün Kartlar'!$B$5:$E$204,4,FALSE),VLOOKUP($F415,'Ürün Kartlar'!$B$5:$F$204,5,FALSE))),"")</f>
      </c>
      <c r="J415" s="11">
        <f>IFERROR(IF($F415="",Ayarlar!$C$9,VLOOKUP($F415,'Ürün Kartlar'!$B$5:$G$204,6,FALSE)),Ayarlar!$C$9)</f>
      </c>
      <c r="K415" s="18">
        <f>IF(OR($H415="",$I415=""),0,$H415*$I415)</f>
      </c>
      <c r="L415" s="18">
        <f>$K415*$J415</f>
      </c>
      <c r="M415" s="18">
        <f>$K415+$L415</f>
      </c>
      <c r="N415" s="8"/>
      <c r="O415" s="8"/>
      <c r="P415" s="8"/>
    </row>
    <row r="416" spans="2:16" x14ac:dyDescent="0.25">
      <c r="B416" s="19"/>
      <c r="C416" s="20"/>
      <c r="D416" s="20"/>
      <c r="E416" s="16">
        <f>IFERROR(IF($D416="","",VLOOKUP($D416,'Cari Kartlar'!$B$5:$C$204,2,FALSE)),"— tanımsız cari —")</f>
      </c>
      <c r="F416" s="20"/>
      <c r="G416" s="16">
        <f>IFERROR(IF($F416="","",VLOOKUP($F416,'Ürün Kartlar'!$B$5:$C$204,2,FALSE)),"— tanımsız ürün —")</f>
      </c>
      <c r="H416" s="21"/>
      <c r="I416" s="22">
        <f>IFERROR(IF($F416="","",IF($C416="Alış",VLOOKUP($F416,'Ürün Kartlar'!$B$5:$E$204,4,FALSE),VLOOKUP($F416,'Ürün Kartlar'!$B$5:$F$204,5,FALSE))),"")</f>
      </c>
      <c r="J416" s="23">
        <f>IFERROR(IF($F416="",Ayarlar!$C$9,VLOOKUP($F416,'Ürün Kartlar'!$B$5:$G$204,6,FALSE)),Ayarlar!$C$9)</f>
      </c>
      <c r="K416" s="18">
        <f>IF(OR($H416="",$I416=""),0,$H416*$I416)</f>
      </c>
      <c r="L416" s="18">
        <f>$K416*$J416</f>
      </c>
      <c r="M416" s="18">
        <f>$K416+$L416</f>
      </c>
      <c r="N416" s="20"/>
      <c r="O416" s="20"/>
      <c r="P416" s="20"/>
    </row>
    <row r="417" spans="2:16" x14ac:dyDescent="0.25">
      <c r="B417" s="15"/>
      <c r="C417" s="8"/>
      <c r="D417" s="8"/>
      <c r="E417" s="16">
        <f>IFERROR(IF($D417="","",VLOOKUP($D417,'Cari Kartlar'!$B$5:$C$204,2,FALSE)),"— tanımsız cari —")</f>
      </c>
      <c r="F417" s="8"/>
      <c r="G417" s="16">
        <f>IFERROR(IF($F417="","",VLOOKUP($F417,'Ürün Kartlar'!$B$5:$C$204,2,FALSE)),"— tanımsız ürün —")</f>
      </c>
      <c r="H417" s="17"/>
      <c r="I417" s="13">
        <f>IFERROR(IF($F417="","",IF($C417="Alış",VLOOKUP($F417,'Ürün Kartlar'!$B$5:$E$204,4,FALSE),VLOOKUP($F417,'Ürün Kartlar'!$B$5:$F$204,5,FALSE))),"")</f>
      </c>
      <c r="J417" s="11">
        <f>IFERROR(IF($F417="",Ayarlar!$C$9,VLOOKUP($F417,'Ürün Kartlar'!$B$5:$G$204,6,FALSE)),Ayarlar!$C$9)</f>
      </c>
      <c r="K417" s="18">
        <f>IF(OR($H417="",$I417=""),0,$H417*$I417)</f>
      </c>
      <c r="L417" s="18">
        <f>$K417*$J417</f>
      </c>
      <c r="M417" s="18">
        <f>$K417+$L417</f>
      </c>
      <c r="N417" s="8"/>
      <c r="O417" s="8"/>
      <c r="P417" s="8"/>
    </row>
    <row r="418" spans="2:16" x14ac:dyDescent="0.25">
      <c r="B418" s="19"/>
      <c r="C418" s="20"/>
      <c r="D418" s="20"/>
      <c r="E418" s="16">
        <f>IFERROR(IF($D418="","",VLOOKUP($D418,'Cari Kartlar'!$B$5:$C$204,2,FALSE)),"— tanımsız cari —")</f>
      </c>
      <c r="F418" s="20"/>
      <c r="G418" s="16">
        <f>IFERROR(IF($F418="","",VLOOKUP($F418,'Ürün Kartlar'!$B$5:$C$204,2,FALSE)),"— tanımsız ürün —")</f>
      </c>
      <c r="H418" s="21"/>
      <c r="I418" s="22">
        <f>IFERROR(IF($F418="","",IF($C418="Alış",VLOOKUP($F418,'Ürün Kartlar'!$B$5:$E$204,4,FALSE),VLOOKUP($F418,'Ürün Kartlar'!$B$5:$F$204,5,FALSE))),"")</f>
      </c>
      <c r="J418" s="23">
        <f>IFERROR(IF($F418="",Ayarlar!$C$9,VLOOKUP($F418,'Ürün Kartlar'!$B$5:$G$204,6,FALSE)),Ayarlar!$C$9)</f>
      </c>
      <c r="K418" s="18">
        <f>IF(OR($H418="",$I418=""),0,$H418*$I418)</f>
      </c>
      <c r="L418" s="18">
        <f>$K418*$J418</f>
      </c>
      <c r="M418" s="18">
        <f>$K418+$L418</f>
      </c>
      <c r="N418" s="20"/>
      <c r="O418" s="20"/>
      <c r="P418" s="20"/>
    </row>
    <row r="419" spans="2:16" x14ac:dyDescent="0.25">
      <c r="B419" s="15"/>
      <c r="C419" s="8"/>
      <c r="D419" s="8"/>
      <c r="E419" s="16">
        <f>IFERROR(IF($D419="","",VLOOKUP($D419,'Cari Kartlar'!$B$5:$C$204,2,FALSE)),"— tanımsız cari —")</f>
      </c>
      <c r="F419" s="8"/>
      <c r="G419" s="16">
        <f>IFERROR(IF($F419="","",VLOOKUP($F419,'Ürün Kartlar'!$B$5:$C$204,2,FALSE)),"— tanımsız ürün —")</f>
      </c>
      <c r="H419" s="17"/>
      <c r="I419" s="13">
        <f>IFERROR(IF($F419="","",IF($C419="Alış",VLOOKUP($F419,'Ürün Kartlar'!$B$5:$E$204,4,FALSE),VLOOKUP($F419,'Ürün Kartlar'!$B$5:$F$204,5,FALSE))),"")</f>
      </c>
      <c r="J419" s="11">
        <f>IFERROR(IF($F419="",Ayarlar!$C$9,VLOOKUP($F419,'Ürün Kartlar'!$B$5:$G$204,6,FALSE)),Ayarlar!$C$9)</f>
      </c>
      <c r="K419" s="18">
        <f>IF(OR($H419="",$I419=""),0,$H419*$I419)</f>
      </c>
      <c r="L419" s="18">
        <f>$K419*$J419</f>
      </c>
      <c r="M419" s="18">
        <f>$K419+$L419</f>
      </c>
      <c r="N419" s="8"/>
      <c r="O419" s="8"/>
      <c r="P419" s="8"/>
    </row>
    <row r="420" spans="2:16" x14ac:dyDescent="0.25">
      <c r="B420" s="19"/>
      <c r="C420" s="20"/>
      <c r="D420" s="20"/>
      <c r="E420" s="16">
        <f>IFERROR(IF($D420="","",VLOOKUP($D420,'Cari Kartlar'!$B$5:$C$204,2,FALSE)),"— tanımsız cari —")</f>
      </c>
      <c r="F420" s="20"/>
      <c r="G420" s="16">
        <f>IFERROR(IF($F420="","",VLOOKUP($F420,'Ürün Kartlar'!$B$5:$C$204,2,FALSE)),"— tanımsız ürün —")</f>
      </c>
      <c r="H420" s="21"/>
      <c r="I420" s="22">
        <f>IFERROR(IF($F420="","",IF($C420="Alış",VLOOKUP($F420,'Ürün Kartlar'!$B$5:$E$204,4,FALSE),VLOOKUP($F420,'Ürün Kartlar'!$B$5:$F$204,5,FALSE))),"")</f>
      </c>
      <c r="J420" s="23">
        <f>IFERROR(IF($F420="",Ayarlar!$C$9,VLOOKUP($F420,'Ürün Kartlar'!$B$5:$G$204,6,FALSE)),Ayarlar!$C$9)</f>
      </c>
      <c r="K420" s="18">
        <f>IF(OR($H420="",$I420=""),0,$H420*$I420)</f>
      </c>
      <c r="L420" s="18">
        <f>$K420*$J420</f>
      </c>
      <c r="M420" s="18">
        <f>$K420+$L420</f>
      </c>
      <c r="N420" s="20"/>
      <c r="O420" s="20"/>
      <c r="P420" s="20"/>
    </row>
    <row r="421" spans="2:16" x14ac:dyDescent="0.25">
      <c r="B421" s="15"/>
      <c r="C421" s="8"/>
      <c r="D421" s="8"/>
      <c r="E421" s="16">
        <f>IFERROR(IF($D421="","",VLOOKUP($D421,'Cari Kartlar'!$B$5:$C$204,2,FALSE)),"— tanımsız cari —")</f>
      </c>
      <c r="F421" s="8"/>
      <c r="G421" s="16">
        <f>IFERROR(IF($F421="","",VLOOKUP($F421,'Ürün Kartlar'!$B$5:$C$204,2,FALSE)),"— tanımsız ürün —")</f>
      </c>
      <c r="H421" s="17"/>
      <c r="I421" s="13">
        <f>IFERROR(IF($F421="","",IF($C421="Alış",VLOOKUP($F421,'Ürün Kartlar'!$B$5:$E$204,4,FALSE),VLOOKUP($F421,'Ürün Kartlar'!$B$5:$F$204,5,FALSE))),"")</f>
      </c>
      <c r="J421" s="11">
        <f>IFERROR(IF($F421="",Ayarlar!$C$9,VLOOKUP($F421,'Ürün Kartlar'!$B$5:$G$204,6,FALSE)),Ayarlar!$C$9)</f>
      </c>
      <c r="K421" s="18">
        <f>IF(OR($H421="",$I421=""),0,$H421*$I421)</f>
      </c>
      <c r="L421" s="18">
        <f>$K421*$J421</f>
      </c>
      <c r="M421" s="18">
        <f>$K421+$L421</f>
      </c>
      <c r="N421" s="8"/>
      <c r="O421" s="8"/>
      <c r="P421" s="8"/>
    </row>
    <row r="422" spans="2:16" x14ac:dyDescent="0.25">
      <c r="B422" s="19"/>
      <c r="C422" s="20"/>
      <c r="D422" s="20"/>
      <c r="E422" s="16">
        <f>IFERROR(IF($D422="","",VLOOKUP($D422,'Cari Kartlar'!$B$5:$C$204,2,FALSE)),"— tanımsız cari —")</f>
      </c>
      <c r="F422" s="20"/>
      <c r="G422" s="16">
        <f>IFERROR(IF($F422="","",VLOOKUP($F422,'Ürün Kartlar'!$B$5:$C$204,2,FALSE)),"— tanımsız ürün —")</f>
      </c>
      <c r="H422" s="21"/>
      <c r="I422" s="22">
        <f>IFERROR(IF($F422="","",IF($C422="Alış",VLOOKUP($F422,'Ürün Kartlar'!$B$5:$E$204,4,FALSE),VLOOKUP($F422,'Ürün Kartlar'!$B$5:$F$204,5,FALSE))),"")</f>
      </c>
      <c r="J422" s="23">
        <f>IFERROR(IF($F422="",Ayarlar!$C$9,VLOOKUP($F422,'Ürün Kartlar'!$B$5:$G$204,6,FALSE)),Ayarlar!$C$9)</f>
      </c>
      <c r="K422" s="18">
        <f>IF(OR($H422="",$I422=""),0,$H422*$I422)</f>
      </c>
      <c r="L422" s="18">
        <f>$K422*$J422</f>
      </c>
      <c r="M422" s="18">
        <f>$K422+$L422</f>
      </c>
      <c r="N422" s="20"/>
      <c r="O422" s="20"/>
      <c r="P422" s="20"/>
    </row>
    <row r="423" spans="2:16" x14ac:dyDescent="0.25">
      <c r="B423" s="15"/>
      <c r="C423" s="8"/>
      <c r="D423" s="8"/>
      <c r="E423" s="16">
        <f>IFERROR(IF($D423="","",VLOOKUP($D423,'Cari Kartlar'!$B$5:$C$204,2,FALSE)),"— tanımsız cari —")</f>
      </c>
      <c r="F423" s="8"/>
      <c r="G423" s="16">
        <f>IFERROR(IF($F423="","",VLOOKUP($F423,'Ürün Kartlar'!$B$5:$C$204,2,FALSE)),"— tanımsız ürün —")</f>
      </c>
      <c r="H423" s="17"/>
      <c r="I423" s="13">
        <f>IFERROR(IF($F423="","",IF($C423="Alış",VLOOKUP($F423,'Ürün Kartlar'!$B$5:$E$204,4,FALSE),VLOOKUP($F423,'Ürün Kartlar'!$B$5:$F$204,5,FALSE))),"")</f>
      </c>
      <c r="J423" s="11">
        <f>IFERROR(IF($F423="",Ayarlar!$C$9,VLOOKUP($F423,'Ürün Kartlar'!$B$5:$G$204,6,FALSE)),Ayarlar!$C$9)</f>
      </c>
      <c r="K423" s="18">
        <f>IF(OR($H423="",$I423=""),0,$H423*$I423)</f>
      </c>
      <c r="L423" s="18">
        <f>$K423*$J423</f>
      </c>
      <c r="M423" s="18">
        <f>$K423+$L423</f>
      </c>
      <c r="N423" s="8"/>
      <c r="O423" s="8"/>
      <c r="P423" s="8"/>
    </row>
    <row r="424" spans="2:16" x14ac:dyDescent="0.25">
      <c r="B424" s="19"/>
      <c r="C424" s="20"/>
      <c r="D424" s="20"/>
      <c r="E424" s="16">
        <f>IFERROR(IF($D424="","",VLOOKUP($D424,'Cari Kartlar'!$B$5:$C$204,2,FALSE)),"— tanımsız cari —")</f>
      </c>
      <c r="F424" s="20"/>
      <c r="G424" s="16">
        <f>IFERROR(IF($F424="","",VLOOKUP($F424,'Ürün Kartlar'!$B$5:$C$204,2,FALSE)),"— tanımsız ürün —")</f>
      </c>
      <c r="H424" s="21"/>
      <c r="I424" s="22">
        <f>IFERROR(IF($F424="","",IF($C424="Alış",VLOOKUP($F424,'Ürün Kartlar'!$B$5:$E$204,4,FALSE),VLOOKUP($F424,'Ürün Kartlar'!$B$5:$F$204,5,FALSE))),"")</f>
      </c>
      <c r="J424" s="23">
        <f>IFERROR(IF($F424="",Ayarlar!$C$9,VLOOKUP($F424,'Ürün Kartlar'!$B$5:$G$204,6,FALSE)),Ayarlar!$C$9)</f>
      </c>
      <c r="K424" s="18">
        <f>IF(OR($H424="",$I424=""),0,$H424*$I424)</f>
      </c>
      <c r="L424" s="18">
        <f>$K424*$J424</f>
      </c>
      <c r="M424" s="18">
        <f>$K424+$L424</f>
      </c>
      <c r="N424" s="20"/>
      <c r="O424" s="20"/>
      <c r="P424" s="20"/>
    </row>
    <row r="425" spans="2:16" x14ac:dyDescent="0.25">
      <c r="B425" s="15"/>
      <c r="C425" s="8"/>
      <c r="D425" s="8"/>
      <c r="E425" s="16">
        <f>IFERROR(IF($D425="","",VLOOKUP($D425,'Cari Kartlar'!$B$5:$C$204,2,FALSE)),"— tanımsız cari —")</f>
      </c>
      <c r="F425" s="8"/>
      <c r="G425" s="16">
        <f>IFERROR(IF($F425="","",VLOOKUP($F425,'Ürün Kartlar'!$B$5:$C$204,2,FALSE)),"— tanımsız ürün —")</f>
      </c>
      <c r="H425" s="17"/>
      <c r="I425" s="13">
        <f>IFERROR(IF($F425="","",IF($C425="Alış",VLOOKUP($F425,'Ürün Kartlar'!$B$5:$E$204,4,FALSE),VLOOKUP($F425,'Ürün Kartlar'!$B$5:$F$204,5,FALSE))),"")</f>
      </c>
      <c r="J425" s="11">
        <f>IFERROR(IF($F425="",Ayarlar!$C$9,VLOOKUP($F425,'Ürün Kartlar'!$B$5:$G$204,6,FALSE)),Ayarlar!$C$9)</f>
      </c>
      <c r="K425" s="18">
        <f>IF(OR($H425="",$I425=""),0,$H425*$I425)</f>
      </c>
      <c r="L425" s="18">
        <f>$K425*$J425</f>
      </c>
      <c r="M425" s="18">
        <f>$K425+$L425</f>
      </c>
      <c r="N425" s="8"/>
      <c r="O425" s="8"/>
      <c r="P425" s="8"/>
    </row>
    <row r="426" spans="2:16" x14ac:dyDescent="0.25">
      <c r="B426" s="19"/>
      <c r="C426" s="20"/>
      <c r="D426" s="20"/>
      <c r="E426" s="16">
        <f>IFERROR(IF($D426="","",VLOOKUP($D426,'Cari Kartlar'!$B$5:$C$204,2,FALSE)),"— tanımsız cari —")</f>
      </c>
      <c r="F426" s="20"/>
      <c r="G426" s="16">
        <f>IFERROR(IF($F426="","",VLOOKUP($F426,'Ürün Kartlar'!$B$5:$C$204,2,FALSE)),"— tanımsız ürün —")</f>
      </c>
      <c r="H426" s="21"/>
      <c r="I426" s="22">
        <f>IFERROR(IF($F426="","",IF($C426="Alış",VLOOKUP($F426,'Ürün Kartlar'!$B$5:$E$204,4,FALSE),VLOOKUP($F426,'Ürün Kartlar'!$B$5:$F$204,5,FALSE))),"")</f>
      </c>
      <c r="J426" s="23">
        <f>IFERROR(IF($F426="",Ayarlar!$C$9,VLOOKUP($F426,'Ürün Kartlar'!$B$5:$G$204,6,FALSE)),Ayarlar!$C$9)</f>
      </c>
      <c r="K426" s="18">
        <f>IF(OR($H426="",$I426=""),0,$H426*$I426)</f>
      </c>
      <c r="L426" s="18">
        <f>$K426*$J426</f>
      </c>
      <c r="M426" s="18">
        <f>$K426+$L426</f>
      </c>
      <c r="N426" s="20"/>
      <c r="O426" s="20"/>
      <c r="P426" s="20"/>
    </row>
    <row r="427" spans="2:16" x14ac:dyDescent="0.25">
      <c r="B427" s="15"/>
      <c r="C427" s="8"/>
      <c r="D427" s="8"/>
      <c r="E427" s="16">
        <f>IFERROR(IF($D427="","",VLOOKUP($D427,'Cari Kartlar'!$B$5:$C$204,2,FALSE)),"— tanımsız cari —")</f>
      </c>
      <c r="F427" s="8"/>
      <c r="G427" s="16">
        <f>IFERROR(IF($F427="","",VLOOKUP($F427,'Ürün Kartlar'!$B$5:$C$204,2,FALSE)),"— tanımsız ürün —")</f>
      </c>
      <c r="H427" s="17"/>
      <c r="I427" s="13">
        <f>IFERROR(IF($F427="","",IF($C427="Alış",VLOOKUP($F427,'Ürün Kartlar'!$B$5:$E$204,4,FALSE),VLOOKUP($F427,'Ürün Kartlar'!$B$5:$F$204,5,FALSE))),"")</f>
      </c>
      <c r="J427" s="11">
        <f>IFERROR(IF($F427="",Ayarlar!$C$9,VLOOKUP($F427,'Ürün Kartlar'!$B$5:$G$204,6,FALSE)),Ayarlar!$C$9)</f>
      </c>
      <c r="K427" s="18">
        <f>IF(OR($H427="",$I427=""),0,$H427*$I427)</f>
      </c>
      <c r="L427" s="18">
        <f>$K427*$J427</f>
      </c>
      <c r="M427" s="18">
        <f>$K427+$L427</f>
      </c>
      <c r="N427" s="8"/>
      <c r="O427" s="8"/>
      <c r="P427" s="8"/>
    </row>
    <row r="428" spans="2:16" x14ac:dyDescent="0.25">
      <c r="B428" s="19"/>
      <c r="C428" s="20"/>
      <c r="D428" s="20"/>
      <c r="E428" s="16">
        <f>IFERROR(IF($D428="","",VLOOKUP($D428,'Cari Kartlar'!$B$5:$C$204,2,FALSE)),"— tanımsız cari —")</f>
      </c>
      <c r="F428" s="20"/>
      <c r="G428" s="16">
        <f>IFERROR(IF($F428="","",VLOOKUP($F428,'Ürün Kartlar'!$B$5:$C$204,2,FALSE)),"— tanımsız ürün —")</f>
      </c>
      <c r="H428" s="21"/>
      <c r="I428" s="22">
        <f>IFERROR(IF($F428="","",IF($C428="Alış",VLOOKUP($F428,'Ürün Kartlar'!$B$5:$E$204,4,FALSE),VLOOKUP($F428,'Ürün Kartlar'!$B$5:$F$204,5,FALSE))),"")</f>
      </c>
      <c r="J428" s="23">
        <f>IFERROR(IF($F428="",Ayarlar!$C$9,VLOOKUP($F428,'Ürün Kartlar'!$B$5:$G$204,6,FALSE)),Ayarlar!$C$9)</f>
      </c>
      <c r="K428" s="18">
        <f>IF(OR($H428="",$I428=""),0,$H428*$I428)</f>
      </c>
      <c r="L428" s="18">
        <f>$K428*$J428</f>
      </c>
      <c r="M428" s="18">
        <f>$K428+$L428</f>
      </c>
      <c r="N428" s="20"/>
      <c r="O428" s="20"/>
      <c r="P428" s="20"/>
    </row>
    <row r="429" spans="2:16" x14ac:dyDescent="0.25">
      <c r="B429" s="15"/>
      <c r="C429" s="8"/>
      <c r="D429" s="8"/>
      <c r="E429" s="16">
        <f>IFERROR(IF($D429="","",VLOOKUP($D429,'Cari Kartlar'!$B$5:$C$204,2,FALSE)),"— tanımsız cari —")</f>
      </c>
      <c r="F429" s="8"/>
      <c r="G429" s="16">
        <f>IFERROR(IF($F429="","",VLOOKUP($F429,'Ürün Kartlar'!$B$5:$C$204,2,FALSE)),"— tanımsız ürün —")</f>
      </c>
      <c r="H429" s="17"/>
      <c r="I429" s="13">
        <f>IFERROR(IF($F429="","",IF($C429="Alış",VLOOKUP($F429,'Ürün Kartlar'!$B$5:$E$204,4,FALSE),VLOOKUP($F429,'Ürün Kartlar'!$B$5:$F$204,5,FALSE))),"")</f>
      </c>
      <c r="J429" s="11">
        <f>IFERROR(IF($F429="",Ayarlar!$C$9,VLOOKUP($F429,'Ürün Kartlar'!$B$5:$G$204,6,FALSE)),Ayarlar!$C$9)</f>
      </c>
      <c r="K429" s="18">
        <f>IF(OR($H429="",$I429=""),0,$H429*$I429)</f>
      </c>
      <c r="L429" s="18">
        <f>$K429*$J429</f>
      </c>
      <c r="M429" s="18">
        <f>$K429+$L429</f>
      </c>
      <c r="N429" s="8"/>
      <c r="O429" s="8"/>
      <c r="P429" s="8"/>
    </row>
    <row r="430" spans="2:16" x14ac:dyDescent="0.25">
      <c r="B430" s="19"/>
      <c r="C430" s="20"/>
      <c r="D430" s="20"/>
      <c r="E430" s="16">
        <f>IFERROR(IF($D430="","",VLOOKUP($D430,'Cari Kartlar'!$B$5:$C$204,2,FALSE)),"— tanımsız cari —")</f>
      </c>
      <c r="F430" s="20"/>
      <c r="G430" s="16">
        <f>IFERROR(IF($F430="","",VLOOKUP($F430,'Ürün Kartlar'!$B$5:$C$204,2,FALSE)),"— tanımsız ürün —")</f>
      </c>
      <c r="H430" s="21"/>
      <c r="I430" s="22">
        <f>IFERROR(IF($F430="","",IF($C430="Alış",VLOOKUP($F430,'Ürün Kartlar'!$B$5:$E$204,4,FALSE),VLOOKUP($F430,'Ürün Kartlar'!$B$5:$F$204,5,FALSE))),"")</f>
      </c>
      <c r="J430" s="23">
        <f>IFERROR(IF($F430="",Ayarlar!$C$9,VLOOKUP($F430,'Ürün Kartlar'!$B$5:$G$204,6,FALSE)),Ayarlar!$C$9)</f>
      </c>
      <c r="K430" s="18">
        <f>IF(OR($H430="",$I430=""),0,$H430*$I430)</f>
      </c>
      <c r="L430" s="18">
        <f>$K430*$J430</f>
      </c>
      <c r="M430" s="18">
        <f>$K430+$L430</f>
      </c>
      <c r="N430" s="20"/>
      <c r="O430" s="20"/>
      <c r="P430" s="20"/>
    </row>
    <row r="431" spans="2:16" x14ac:dyDescent="0.25">
      <c r="B431" s="15"/>
      <c r="C431" s="8"/>
      <c r="D431" s="8"/>
      <c r="E431" s="16">
        <f>IFERROR(IF($D431="","",VLOOKUP($D431,'Cari Kartlar'!$B$5:$C$204,2,FALSE)),"— tanımsız cari —")</f>
      </c>
      <c r="F431" s="8"/>
      <c r="G431" s="16">
        <f>IFERROR(IF($F431="","",VLOOKUP($F431,'Ürün Kartlar'!$B$5:$C$204,2,FALSE)),"— tanımsız ürün —")</f>
      </c>
      <c r="H431" s="17"/>
      <c r="I431" s="13">
        <f>IFERROR(IF($F431="","",IF($C431="Alış",VLOOKUP($F431,'Ürün Kartlar'!$B$5:$E$204,4,FALSE),VLOOKUP($F431,'Ürün Kartlar'!$B$5:$F$204,5,FALSE))),"")</f>
      </c>
      <c r="J431" s="11">
        <f>IFERROR(IF($F431="",Ayarlar!$C$9,VLOOKUP($F431,'Ürün Kartlar'!$B$5:$G$204,6,FALSE)),Ayarlar!$C$9)</f>
      </c>
      <c r="K431" s="18">
        <f>IF(OR($H431="",$I431=""),0,$H431*$I431)</f>
      </c>
      <c r="L431" s="18">
        <f>$K431*$J431</f>
      </c>
      <c r="M431" s="18">
        <f>$K431+$L431</f>
      </c>
      <c r="N431" s="8"/>
      <c r="O431" s="8"/>
      <c r="P431" s="8"/>
    </row>
    <row r="432" spans="2:16" x14ac:dyDescent="0.25">
      <c r="B432" s="19"/>
      <c r="C432" s="20"/>
      <c r="D432" s="20"/>
      <c r="E432" s="16">
        <f>IFERROR(IF($D432="","",VLOOKUP($D432,'Cari Kartlar'!$B$5:$C$204,2,FALSE)),"— tanımsız cari —")</f>
      </c>
      <c r="F432" s="20"/>
      <c r="G432" s="16">
        <f>IFERROR(IF($F432="","",VLOOKUP($F432,'Ürün Kartlar'!$B$5:$C$204,2,FALSE)),"— tanımsız ürün —")</f>
      </c>
      <c r="H432" s="21"/>
      <c r="I432" s="22">
        <f>IFERROR(IF($F432="","",IF($C432="Alış",VLOOKUP($F432,'Ürün Kartlar'!$B$5:$E$204,4,FALSE),VLOOKUP($F432,'Ürün Kartlar'!$B$5:$F$204,5,FALSE))),"")</f>
      </c>
      <c r="J432" s="23">
        <f>IFERROR(IF($F432="",Ayarlar!$C$9,VLOOKUP($F432,'Ürün Kartlar'!$B$5:$G$204,6,FALSE)),Ayarlar!$C$9)</f>
      </c>
      <c r="K432" s="18">
        <f>IF(OR($H432="",$I432=""),0,$H432*$I432)</f>
      </c>
      <c r="L432" s="18">
        <f>$K432*$J432</f>
      </c>
      <c r="M432" s="18">
        <f>$K432+$L432</f>
      </c>
      <c r="N432" s="20"/>
      <c r="O432" s="20"/>
      <c r="P432" s="20"/>
    </row>
    <row r="433" spans="2:16" x14ac:dyDescent="0.25">
      <c r="B433" s="15"/>
      <c r="C433" s="8"/>
      <c r="D433" s="8"/>
      <c r="E433" s="16">
        <f>IFERROR(IF($D433="","",VLOOKUP($D433,'Cari Kartlar'!$B$5:$C$204,2,FALSE)),"— tanımsız cari —")</f>
      </c>
      <c r="F433" s="8"/>
      <c r="G433" s="16">
        <f>IFERROR(IF($F433="","",VLOOKUP($F433,'Ürün Kartlar'!$B$5:$C$204,2,FALSE)),"— tanımsız ürün —")</f>
      </c>
      <c r="H433" s="17"/>
      <c r="I433" s="13">
        <f>IFERROR(IF($F433="","",IF($C433="Alış",VLOOKUP($F433,'Ürün Kartlar'!$B$5:$E$204,4,FALSE),VLOOKUP($F433,'Ürün Kartlar'!$B$5:$F$204,5,FALSE))),"")</f>
      </c>
      <c r="J433" s="11">
        <f>IFERROR(IF($F433="",Ayarlar!$C$9,VLOOKUP($F433,'Ürün Kartlar'!$B$5:$G$204,6,FALSE)),Ayarlar!$C$9)</f>
      </c>
      <c r="K433" s="18">
        <f>IF(OR($H433="",$I433=""),0,$H433*$I433)</f>
      </c>
      <c r="L433" s="18">
        <f>$K433*$J433</f>
      </c>
      <c r="M433" s="18">
        <f>$K433+$L433</f>
      </c>
      <c r="N433" s="8"/>
      <c r="O433" s="8"/>
      <c r="P433" s="8"/>
    </row>
    <row r="434" spans="2:16" x14ac:dyDescent="0.25">
      <c r="B434" s="19"/>
      <c r="C434" s="20"/>
      <c r="D434" s="20"/>
      <c r="E434" s="16">
        <f>IFERROR(IF($D434="","",VLOOKUP($D434,'Cari Kartlar'!$B$5:$C$204,2,FALSE)),"— tanımsız cari —")</f>
      </c>
      <c r="F434" s="20"/>
      <c r="G434" s="16">
        <f>IFERROR(IF($F434="","",VLOOKUP($F434,'Ürün Kartlar'!$B$5:$C$204,2,FALSE)),"— tanımsız ürün —")</f>
      </c>
      <c r="H434" s="21"/>
      <c r="I434" s="22">
        <f>IFERROR(IF($F434="","",IF($C434="Alış",VLOOKUP($F434,'Ürün Kartlar'!$B$5:$E$204,4,FALSE),VLOOKUP($F434,'Ürün Kartlar'!$B$5:$F$204,5,FALSE))),"")</f>
      </c>
      <c r="J434" s="23">
        <f>IFERROR(IF($F434="",Ayarlar!$C$9,VLOOKUP($F434,'Ürün Kartlar'!$B$5:$G$204,6,FALSE)),Ayarlar!$C$9)</f>
      </c>
      <c r="K434" s="18">
        <f>IF(OR($H434="",$I434=""),0,$H434*$I434)</f>
      </c>
      <c r="L434" s="18">
        <f>$K434*$J434</f>
      </c>
      <c r="M434" s="18">
        <f>$K434+$L434</f>
      </c>
      <c r="N434" s="20"/>
      <c r="O434" s="20"/>
      <c r="P434" s="20"/>
    </row>
    <row r="435" spans="2:16" x14ac:dyDescent="0.25">
      <c r="B435" s="15"/>
      <c r="C435" s="8"/>
      <c r="D435" s="8"/>
      <c r="E435" s="16">
        <f>IFERROR(IF($D435="","",VLOOKUP($D435,'Cari Kartlar'!$B$5:$C$204,2,FALSE)),"— tanımsız cari —")</f>
      </c>
      <c r="F435" s="8"/>
      <c r="G435" s="16">
        <f>IFERROR(IF($F435="","",VLOOKUP($F435,'Ürün Kartlar'!$B$5:$C$204,2,FALSE)),"— tanımsız ürün —")</f>
      </c>
      <c r="H435" s="17"/>
      <c r="I435" s="13">
        <f>IFERROR(IF($F435="","",IF($C435="Alış",VLOOKUP($F435,'Ürün Kartlar'!$B$5:$E$204,4,FALSE),VLOOKUP($F435,'Ürün Kartlar'!$B$5:$F$204,5,FALSE))),"")</f>
      </c>
      <c r="J435" s="11">
        <f>IFERROR(IF($F435="",Ayarlar!$C$9,VLOOKUP($F435,'Ürün Kartlar'!$B$5:$G$204,6,FALSE)),Ayarlar!$C$9)</f>
      </c>
      <c r="K435" s="18">
        <f>IF(OR($H435="",$I435=""),0,$H435*$I435)</f>
      </c>
      <c r="L435" s="18">
        <f>$K435*$J435</f>
      </c>
      <c r="M435" s="18">
        <f>$K435+$L435</f>
      </c>
      <c r="N435" s="8"/>
      <c r="O435" s="8"/>
      <c r="P435" s="8"/>
    </row>
    <row r="436" spans="2:16" x14ac:dyDescent="0.25">
      <c r="B436" s="19"/>
      <c r="C436" s="20"/>
      <c r="D436" s="20"/>
      <c r="E436" s="16">
        <f>IFERROR(IF($D436="","",VLOOKUP($D436,'Cari Kartlar'!$B$5:$C$204,2,FALSE)),"— tanımsız cari —")</f>
      </c>
      <c r="F436" s="20"/>
      <c r="G436" s="16">
        <f>IFERROR(IF($F436="","",VLOOKUP($F436,'Ürün Kartlar'!$B$5:$C$204,2,FALSE)),"— tanımsız ürün —")</f>
      </c>
      <c r="H436" s="21"/>
      <c r="I436" s="22">
        <f>IFERROR(IF($F436="","",IF($C436="Alış",VLOOKUP($F436,'Ürün Kartlar'!$B$5:$E$204,4,FALSE),VLOOKUP($F436,'Ürün Kartlar'!$B$5:$F$204,5,FALSE))),"")</f>
      </c>
      <c r="J436" s="23">
        <f>IFERROR(IF($F436="",Ayarlar!$C$9,VLOOKUP($F436,'Ürün Kartlar'!$B$5:$G$204,6,FALSE)),Ayarlar!$C$9)</f>
      </c>
      <c r="K436" s="18">
        <f>IF(OR($H436="",$I436=""),0,$H436*$I436)</f>
      </c>
      <c r="L436" s="18">
        <f>$K436*$J436</f>
      </c>
      <c r="M436" s="18">
        <f>$K436+$L436</f>
      </c>
      <c r="N436" s="20"/>
      <c r="O436" s="20"/>
      <c r="P436" s="20"/>
    </row>
    <row r="437" spans="2:16" x14ac:dyDescent="0.25">
      <c r="B437" s="15"/>
      <c r="C437" s="8"/>
      <c r="D437" s="8"/>
      <c r="E437" s="16">
        <f>IFERROR(IF($D437="","",VLOOKUP($D437,'Cari Kartlar'!$B$5:$C$204,2,FALSE)),"— tanımsız cari —")</f>
      </c>
      <c r="F437" s="8"/>
      <c r="G437" s="16">
        <f>IFERROR(IF($F437="","",VLOOKUP($F437,'Ürün Kartlar'!$B$5:$C$204,2,FALSE)),"— tanımsız ürün —")</f>
      </c>
      <c r="H437" s="17"/>
      <c r="I437" s="13">
        <f>IFERROR(IF($F437="","",IF($C437="Alış",VLOOKUP($F437,'Ürün Kartlar'!$B$5:$E$204,4,FALSE),VLOOKUP($F437,'Ürün Kartlar'!$B$5:$F$204,5,FALSE))),"")</f>
      </c>
      <c r="J437" s="11">
        <f>IFERROR(IF($F437="",Ayarlar!$C$9,VLOOKUP($F437,'Ürün Kartlar'!$B$5:$G$204,6,FALSE)),Ayarlar!$C$9)</f>
      </c>
      <c r="K437" s="18">
        <f>IF(OR($H437="",$I437=""),0,$H437*$I437)</f>
      </c>
      <c r="L437" s="18">
        <f>$K437*$J437</f>
      </c>
      <c r="M437" s="18">
        <f>$K437+$L437</f>
      </c>
      <c r="N437" s="8"/>
      <c r="O437" s="8"/>
      <c r="P437" s="8"/>
    </row>
    <row r="438" spans="2:16" x14ac:dyDescent="0.25">
      <c r="B438" s="19"/>
      <c r="C438" s="20"/>
      <c r="D438" s="20"/>
      <c r="E438" s="16">
        <f>IFERROR(IF($D438="","",VLOOKUP($D438,'Cari Kartlar'!$B$5:$C$204,2,FALSE)),"— tanımsız cari —")</f>
      </c>
      <c r="F438" s="20"/>
      <c r="G438" s="16">
        <f>IFERROR(IF($F438="","",VLOOKUP($F438,'Ürün Kartlar'!$B$5:$C$204,2,FALSE)),"— tanımsız ürün —")</f>
      </c>
      <c r="H438" s="21"/>
      <c r="I438" s="22">
        <f>IFERROR(IF($F438="","",IF($C438="Alış",VLOOKUP($F438,'Ürün Kartlar'!$B$5:$E$204,4,FALSE),VLOOKUP($F438,'Ürün Kartlar'!$B$5:$F$204,5,FALSE))),"")</f>
      </c>
      <c r="J438" s="23">
        <f>IFERROR(IF($F438="",Ayarlar!$C$9,VLOOKUP($F438,'Ürün Kartlar'!$B$5:$G$204,6,FALSE)),Ayarlar!$C$9)</f>
      </c>
      <c r="K438" s="18">
        <f>IF(OR($H438="",$I438=""),0,$H438*$I438)</f>
      </c>
      <c r="L438" s="18">
        <f>$K438*$J438</f>
      </c>
      <c r="M438" s="18">
        <f>$K438+$L438</f>
      </c>
      <c r="N438" s="20"/>
      <c r="O438" s="20"/>
      <c r="P438" s="20"/>
    </row>
    <row r="439" spans="2:16" x14ac:dyDescent="0.25">
      <c r="B439" s="15"/>
      <c r="C439" s="8"/>
      <c r="D439" s="8"/>
      <c r="E439" s="16">
        <f>IFERROR(IF($D439="","",VLOOKUP($D439,'Cari Kartlar'!$B$5:$C$204,2,FALSE)),"— tanımsız cari —")</f>
      </c>
      <c r="F439" s="8"/>
      <c r="G439" s="16">
        <f>IFERROR(IF($F439="","",VLOOKUP($F439,'Ürün Kartlar'!$B$5:$C$204,2,FALSE)),"— tanımsız ürün —")</f>
      </c>
      <c r="H439" s="17"/>
      <c r="I439" s="13">
        <f>IFERROR(IF($F439="","",IF($C439="Alış",VLOOKUP($F439,'Ürün Kartlar'!$B$5:$E$204,4,FALSE),VLOOKUP($F439,'Ürün Kartlar'!$B$5:$F$204,5,FALSE))),"")</f>
      </c>
      <c r="J439" s="11">
        <f>IFERROR(IF($F439="",Ayarlar!$C$9,VLOOKUP($F439,'Ürün Kartlar'!$B$5:$G$204,6,FALSE)),Ayarlar!$C$9)</f>
      </c>
      <c r="K439" s="18">
        <f>IF(OR($H439="",$I439=""),0,$H439*$I439)</f>
      </c>
      <c r="L439" s="18">
        <f>$K439*$J439</f>
      </c>
      <c r="M439" s="18">
        <f>$K439+$L439</f>
      </c>
      <c r="N439" s="8"/>
      <c r="O439" s="8"/>
      <c r="P439" s="8"/>
    </row>
    <row r="440" spans="2:16" x14ac:dyDescent="0.25">
      <c r="B440" s="19"/>
      <c r="C440" s="20"/>
      <c r="D440" s="20"/>
      <c r="E440" s="16">
        <f>IFERROR(IF($D440="","",VLOOKUP($D440,'Cari Kartlar'!$B$5:$C$204,2,FALSE)),"— tanımsız cari —")</f>
      </c>
      <c r="F440" s="20"/>
      <c r="G440" s="16">
        <f>IFERROR(IF($F440="","",VLOOKUP($F440,'Ürün Kartlar'!$B$5:$C$204,2,FALSE)),"— tanımsız ürün —")</f>
      </c>
      <c r="H440" s="21"/>
      <c r="I440" s="22">
        <f>IFERROR(IF($F440="","",IF($C440="Alış",VLOOKUP($F440,'Ürün Kartlar'!$B$5:$E$204,4,FALSE),VLOOKUP($F440,'Ürün Kartlar'!$B$5:$F$204,5,FALSE))),"")</f>
      </c>
      <c r="J440" s="23">
        <f>IFERROR(IF($F440="",Ayarlar!$C$9,VLOOKUP($F440,'Ürün Kartlar'!$B$5:$G$204,6,FALSE)),Ayarlar!$C$9)</f>
      </c>
      <c r="K440" s="18">
        <f>IF(OR($H440="",$I440=""),0,$H440*$I440)</f>
      </c>
      <c r="L440" s="18">
        <f>$K440*$J440</f>
      </c>
      <c r="M440" s="18">
        <f>$K440+$L440</f>
      </c>
      <c r="N440" s="20"/>
      <c r="O440" s="20"/>
      <c r="P440" s="20"/>
    </row>
    <row r="441" spans="2:16" x14ac:dyDescent="0.25">
      <c r="B441" s="15"/>
      <c r="C441" s="8"/>
      <c r="D441" s="8"/>
      <c r="E441" s="16">
        <f>IFERROR(IF($D441="","",VLOOKUP($D441,'Cari Kartlar'!$B$5:$C$204,2,FALSE)),"— tanımsız cari —")</f>
      </c>
      <c r="F441" s="8"/>
      <c r="G441" s="16">
        <f>IFERROR(IF($F441="","",VLOOKUP($F441,'Ürün Kartlar'!$B$5:$C$204,2,FALSE)),"— tanımsız ürün —")</f>
      </c>
      <c r="H441" s="17"/>
      <c r="I441" s="13">
        <f>IFERROR(IF($F441="","",IF($C441="Alış",VLOOKUP($F441,'Ürün Kartlar'!$B$5:$E$204,4,FALSE),VLOOKUP($F441,'Ürün Kartlar'!$B$5:$F$204,5,FALSE))),"")</f>
      </c>
      <c r="J441" s="11">
        <f>IFERROR(IF($F441="",Ayarlar!$C$9,VLOOKUP($F441,'Ürün Kartlar'!$B$5:$G$204,6,FALSE)),Ayarlar!$C$9)</f>
      </c>
      <c r="K441" s="18">
        <f>IF(OR($H441="",$I441=""),0,$H441*$I441)</f>
      </c>
      <c r="L441" s="18">
        <f>$K441*$J441</f>
      </c>
      <c r="M441" s="18">
        <f>$K441+$L441</f>
      </c>
      <c r="N441" s="8"/>
      <c r="O441" s="8"/>
      <c r="P441" s="8"/>
    </row>
    <row r="442" spans="2:16" x14ac:dyDescent="0.25">
      <c r="B442" s="19"/>
      <c r="C442" s="20"/>
      <c r="D442" s="20"/>
      <c r="E442" s="16">
        <f>IFERROR(IF($D442="","",VLOOKUP($D442,'Cari Kartlar'!$B$5:$C$204,2,FALSE)),"— tanımsız cari —")</f>
      </c>
      <c r="F442" s="20"/>
      <c r="G442" s="16">
        <f>IFERROR(IF($F442="","",VLOOKUP($F442,'Ürün Kartlar'!$B$5:$C$204,2,FALSE)),"— tanımsız ürün —")</f>
      </c>
      <c r="H442" s="21"/>
      <c r="I442" s="22">
        <f>IFERROR(IF($F442="","",IF($C442="Alış",VLOOKUP($F442,'Ürün Kartlar'!$B$5:$E$204,4,FALSE),VLOOKUP($F442,'Ürün Kartlar'!$B$5:$F$204,5,FALSE))),"")</f>
      </c>
      <c r="J442" s="23">
        <f>IFERROR(IF($F442="",Ayarlar!$C$9,VLOOKUP($F442,'Ürün Kartlar'!$B$5:$G$204,6,FALSE)),Ayarlar!$C$9)</f>
      </c>
      <c r="K442" s="18">
        <f>IF(OR($H442="",$I442=""),0,$H442*$I442)</f>
      </c>
      <c r="L442" s="18">
        <f>$K442*$J442</f>
      </c>
      <c r="M442" s="18">
        <f>$K442+$L442</f>
      </c>
      <c r="N442" s="20"/>
      <c r="O442" s="20"/>
      <c r="P442" s="20"/>
    </row>
    <row r="443" spans="2:16" x14ac:dyDescent="0.25">
      <c r="B443" s="15"/>
      <c r="C443" s="8"/>
      <c r="D443" s="8"/>
      <c r="E443" s="16">
        <f>IFERROR(IF($D443="","",VLOOKUP($D443,'Cari Kartlar'!$B$5:$C$204,2,FALSE)),"— tanımsız cari —")</f>
      </c>
      <c r="F443" s="8"/>
      <c r="G443" s="16">
        <f>IFERROR(IF($F443="","",VLOOKUP($F443,'Ürün Kartlar'!$B$5:$C$204,2,FALSE)),"— tanımsız ürün —")</f>
      </c>
      <c r="H443" s="17"/>
      <c r="I443" s="13">
        <f>IFERROR(IF($F443="","",IF($C443="Alış",VLOOKUP($F443,'Ürün Kartlar'!$B$5:$E$204,4,FALSE),VLOOKUP($F443,'Ürün Kartlar'!$B$5:$F$204,5,FALSE))),"")</f>
      </c>
      <c r="J443" s="11">
        <f>IFERROR(IF($F443="",Ayarlar!$C$9,VLOOKUP($F443,'Ürün Kartlar'!$B$5:$G$204,6,FALSE)),Ayarlar!$C$9)</f>
      </c>
      <c r="K443" s="18">
        <f>IF(OR($H443="",$I443=""),0,$H443*$I443)</f>
      </c>
      <c r="L443" s="18">
        <f>$K443*$J443</f>
      </c>
      <c r="M443" s="18">
        <f>$K443+$L443</f>
      </c>
      <c r="N443" s="8"/>
      <c r="O443" s="8"/>
      <c r="P443" s="8"/>
    </row>
    <row r="444" spans="2:16" x14ac:dyDescent="0.25">
      <c r="B444" s="19"/>
      <c r="C444" s="20"/>
      <c r="D444" s="20"/>
      <c r="E444" s="16">
        <f>IFERROR(IF($D444="","",VLOOKUP($D444,'Cari Kartlar'!$B$5:$C$204,2,FALSE)),"— tanımsız cari —")</f>
      </c>
      <c r="F444" s="20"/>
      <c r="G444" s="16">
        <f>IFERROR(IF($F444="","",VLOOKUP($F444,'Ürün Kartlar'!$B$5:$C$204,2,FALSE)),"— tanımsız ürün —")</f>
      </c>
      <c r="H444" s="21"/>
      <c r="I444" s="22">
        <f>IFERROR(IF($F444="","",IF($C444="Alış",VLOOKUP($F444,'Ürün Kartlar'!$B$5:$E$204,4,FALSE),VLOOKUP($F444,'Ürün Kartlar'!$B$5:$F$204,5,FALSE))),"")</f>
      </c>
      <c r="J444" s="23">
        <f>IFERROR(IF($F444="",Ayarlar!$C$9,VLOOKUP($F444,'Ürün Kartlar'!$B$5:$G$204,6,FALSE)),Ayarlar!$C$9)</f>
      </c>
      <c r="K444" s="18">
        <f>IF(OR($H444="",$I444=""),0,$H444*$I444)</f>
      </c>
      <c r="L444" s="18">
        <f>$K444*$J444</f>
      </c>
      <c r="M444" s="18">
        <f>$K444+$L444</f>
      </c>
      <c r="N444" s="20"/>
      <c r="O444" s="20"/>
      <c r="P444" s="20"/>
    </row>
    <row r="445" spans="2:16" x14ac:dyDescent="0.25">
      <c r="B445" s="15"/>
      <c r="C445" s="8"/>
      <c r="D445" s="8"/>
      <c r="E445" s="16">
        <f>IFERROR(IF($D445="","",VLOOKUP($D445,'Cari Kartlar'!$B$5:$C$204,2,FALSE)),"— tanımsız cari —")</f>
      </c>
      <c r="F445" s="8"/>
      <c r="G445" s="16">
        <f>IFERROR(IF($F445="","",VLOOKUP($F445,'Ürün Kartlar'!$B$5:$C$204,2,FALSE)),"— tanımsız ürün —")</f>
      </c>
      <c r="H445" s="17"/>
      <c r="I445" s="13">
        <f>IFERROR(IF($F445="","",IF($C445="Alış",VLOOKUP($F445,'Ürün Kartlar'!$B$5:$E$204,4,FALSE),VLOOKUP($F445,'Ürün Kartlar'!$B$5:$F$204,5,FALSE))),"")</f>
      </c>
      <c r="J445" s="11">
        <f>IFERROR(IF($F445="",Ayarlar!$C$9,VLOOKUP($F445,'Ürün Kartlar'!$B$5:$G$204,6,FALSE)),Ayarlar!$C$9)</f>
      </c>
      <c r="K445" s="18">
        <f>IF(OR($H445="",$I445=""),0,$H445*$I445)</f>
      </c>
      <c r="L445" s="18">
        <f>$K445*$J445</f>
      </c>
      <c r="M445" s="18">
        <f>$K445+$L445</f>
      </c>
      <c r="N445" s="8"/>
      <c r="O445" s="8"/>
      <c r="P445" s="8"/>
    </row>
    <row r="446" spans="2:16" x14ac:dyDescent="0.25">
      <c r="B446" s="19"/>
      <c r="C446" s="20"/>
      <c r="D446" s="20"/>
      <c r="E446" s="16">
        <f>IFERROR(IF($D446="","",VLOOKUP($D446,'Cari Kartlar'!$B$5:$C$204,2,FALSE)),"— tanımsız cari —")</f>
      </c>
      <c r="F446" s="20"/>
      <c r="G446" s="16">
        <f>IFERROR(IF($F446="","",VLOOKUP($F446,'Ürün Kartlar'!$B$5:$C$204,2,FALSE)),"— tanımsız ürün —")</f>
      </c>
      <c r="H446" s="21"/>
      <c r="I446" s="22">
        <f>IFERROR(IF($F446="","",IF($C446="Alış",VLOOKUP($F446,'Ürün Kartlar'!$B$5:$E$204,4,FALSE),VLOOKUP($F446,'Ürün Kartlar'!$B$5:$F$204,5,FALSE))),"")</f>
      </c>
      <c r="J446" s="23">
        <f>IFERROR(IF($F446="",Ayarlar!$C$9,VLOOKUP($F446,'Ürün Kartlar'!$B$5:$G$204,6,FALSE)),Ayarlar!$C$9)</f>
      </c>
      <c r="K446" s="18">
        <f>IF(OR($H446="",$I446=""),0,$H446*$I446)</f>
      </c>
      <c r="L446" s="18">
        <f>$K446*$J446</f>
      </c>
      <c r="M446" s="18">
        <f>$K446+$L446</f>
      </c>
      <c r="N446" s="20"/>
      <c r="O446" s="20"/>
      <c r="P446" s="20"/>
    </row>
    <row r="447" spans="2:16" x14ac:dyDescent="0.25">
      <c r="B447" s="15"/>
      <c r="C447" s="8"/>
      <c r="D447" s="8"/>
      <c r="E447" s="16">
        <f>IFERROR(IF($D447="","",VLOOKUP($D447,'Cari Kartlar'!$B$5:$C$204,2,FALSE)),"— tanımsız cari —")</f>
      </c>
      <c r="F447" s="8"/>
      <c r="G447" s="16">
        <f>IFERROR(IF($F447="","",VLOOKUP($F447,'Ürün Kartlar'!$B$5:$C$204,2,FALSE)),"— tanımsız ürün —")</f>
      </c>
      <c r="H447" s="17"/>
      <c r="I447" s="13">
        <f>IFERROR(IF($F447="","",IF($C447="Alış",VLOOKUP($F447,'Ürün Kartlar'!$B$5:$E$204,4,FALSE),VLOOKUP($F447,'Ürün Kartlar'!$B$5:$F$204,5,FALSE))),"")</f>
      </c>
      <c r="J447" s="11">
        <f>IFERROR(IF($F447="",Ayarlar!$C$9,VLOOKUP($F447,'Ürün Kartlar'!$B$5:$G$204,6,FALSE)),Ayarlar!$C$9)</f>
      </c>
      <c r="K447" s="18">
        <f>IF(OR($H447="",$I447=""),0,$H447*$I447)</f>
      </c>
      <c r="L447" s="18">
        <f>$K447*$J447</f>
      </c>
      <c r="M447" s="18">
        <f>$K447+$L447</f>
      </c>
      <c r="N447" s="8"/>
      <c r="O447" s="8"/>
      <c r="P447" s="8"/>
    </row>
    <row r="448" spans="2:16" x14ac:dyDescent="0.25">
      <c r="B448" s="19"/>
      <c r="C448" s="20"/>
      <c r="D448" s="20"/>
      <c r="E448" s="16">
        <f>IFERROR(IF($D448="","",VLOOKUP($D448,'Cari Kartlar'!$B$5:$C$204,2,FALSE)),"— tanımsız cari —")</f>
      </c>
      <c r="F448" s="20"/>
      <c r="G448" s="16">
        <f>IFERROR(IF($F448="","",VLOOKUP($F448,'Ürün Kartlar'!$B$5:$C$204,2,FALSE)),"— tanımsız ürün —")</f>
      </c>
      <c r="H448" s="21"/>
      <c r="I448" s="22">
        <f>IFERROR(IF($F448="","",IF($C448="Alış",VLOOKUP($F448,'Ürün Kartlar'!$B$5:$E$204,4,FALSE),VLOOKUP($F448,'Ürün Kartlar'!$B$5:$F$204,5,FALSE))),"")</f>
      </c>
      <c r="J448" s="23">
        <f>IFERROR(IF($F448="",Ayarlar!$C$9,VLOOKUP($F448,'Ürün Kartlar'!$B$5:$G$204,6,FALSE)),Ayarlar!$C$9)</f>
      </c>
      <c r="K448" s="18">
        <f>IF(OR($H448="",$I448=""),0,$H448*$I448)</f>
      </c>
      <c r="L448" s="18">
        <f>$K448*$J448</f>
      </c>
      <c r="M448" s="18">
        <f>$K448+$L448</f>
      </c>
      <c r="N448" s="20"/>
      <c r="O448" s="20"/>
      <c r="P448" s="20"/>
    </row>
    <row r="449" spans="2:16" x14ac:dyDescent="0.25">
      <c r="B449" s="15"/>
      <c r="C449" s="8"/>
      <c r="D449" s="8"/>
      <c r="E449" s="16">
        <f>IFERROR(IF($D449="","",VLOOKUP($D449,'Cari Kartlar'!$B$5:$C$204,2,FALSE)),"— tanımsız cari —")</f>
      </c>
      <c r="F449" s="8"/>
      <c r="G449" s="16">
        <f>IFERROR(IF($F449="","",VLOOKUP($F449,'Ürün Kartlar'!$B$5:$C$204,2,FALSE)),"— tanımsız ürün —")</f>
      </c>
      <c r="H449" s="17"/>
      <c r="I449" s="13">
        <f>IFERROR(IF($F449="","",IF($C449="Alış",VLOOKUP($F449,'Ürün Kartlar'!$B$5:$E$204,4,FALSE),VLOOKUP($F449,'Ürün Kartlar'!$B$5:$F$204,5,FALSE))),"")</f>
      </c>
      <c r="J449" s="11">
        <f>IFERROR(IF($F449="",Ayarlar!$C$9,VLOOKUP($F449,'Ürün Kartlar'!$B$5:$G$204,6,FALSE)),Ayarlar!$C$9)</f>
      </c>
      <c r="K449" s="18">
        <f>IF(OR($H449="",$I449=""),0,$H449*$I449)</f>
      </c>
      <c r="L449" s="18">
        <f>$K449*$J449</f>
      </c>
      <c r="M449" s="18">
        <f>$K449+$L449</f>
      </c>
      <c r="N449" s="8"/>
      <c r="O449" s="8"/>
      <c r="P449" s="8"/>
    </row>
    <row r="450" spans="2:16" x14ac:dyDescent="0.25">
      <c r="B450" s="19"/>
      <c r="C450" s="20"/>
      <c r="D450" s="20"/>
      <c r="E450" s="16">
        <f>IFERROR(IF($D450="","",VLOOKUP($D450,'Cari Kartlar'!$B$5:$C$204,2,FALSE)),"— tanımsız cari —")</f>
      </c>
      <c r="F450" s="20"/>
      <c r="G450" s="16">
        <f>IFERROR(IF($F450="","",VLOOKUP($F450,'Ürün Kartlar'!$B$5:$C$204,2,FALSE)),"— tanımsız ürün —")</f>
      </c>
      <c r="H450" s="21"/>
      <c r="I450" s="22">
        <f>IFERROR(IF($F450="","",IF($C450="Alış",VLOOKUP($F450,'Ürün Kartlar'!$B$5:$E$204,4,FALSE),VLOOKUP($F450,'Ürün Kartlar'!$B$5:$F$204,5,FALSE))),"")</f>
      </c>
      <c r="J450" s="23">
        <f>IFERROR(IF($F450="",Ayarlar!$C$9,VLOOKUP($F450,'Ürün Kartlar'!$B$5:$G$204,6,FALSE)),Ayarlar!$C$9)</f>
      </c>
      <c r="K450" s="18">
        <f>IF(OR($H450="",$I450=""),0,$H450*$I450)</f>
      </c>
      <c r="L450" s="18">
        <f>$K450*$J450</f>
      </c>
      <c r="M450" s="18">
        <f>$K450+$L450</f>
      </c>
      <c r="N450" s="20"/>
      <c r="O450" s="20"/>
      <c r="P450" s="20"/>
    </row>
    <row r="451" spans="2:16" x14ac:dyDescent="0.25">
      <c r="B451" s="15"/>
      <c r="C451" s="8"/>
      <c r="D451" s="8"/>
      <c r="E451" s="16">
        <f>IFERROR(IF($D451="","",VLOOKUP($D451,'Cari Kartlar'!$B$5:$C$204,2,FALSE)),"— tanımsız cari —")</f>
      </c>
      <c r="F451" s="8"/>
      <c r="G451" s="16">
        <f>IFERROR(IF($F451="","",VLOOKUP($F451,'Ürün Kartlar'!$B$5:$C$204,2,FALSE)),"— tanımsız ürün —")</f>
      </c>
      <c r="H451" s="17"/>
      <c r="I451" s="13">
        <f>IFERROR(IF($F451="","",IF($C451="Alış",VLOOKUP($F451,'Ürün Kartlar'!$B$5:$E$204,4,FALSE),VLOOKUP($F451,'Ürün Kartlar'!$B$5:$F$204,5,FALSE))),"")</f>
      </c>
      <c r="J451" s="11">
        <f>IFERROR(IF($F451="",Ayarlar!$C$9,VLOOKUP($F451,'Ürün Kartlar'!$B$5:$G$204,6,FALSE)),Ayarlar!$C$9)</f>
      </c>
      <c r="K451" s="18">
        <f>IF(OR($H451="",$I451=""),0,$H451*$I451)</f>
      </c>
      <c r="L451" s="18">
        <f>$K451*$J451</f>
      </c>
      <c r="M451" s="18">
        <f>$K451+$L451</f>
      </c>
      <c r="N451" s="8"/>
      <c r="O451" s="8"/>
      <c r="P451" s="8"/>
    </row>
    <row r="452" spans="2:16" x14ac:dyDescent="0.25">
      <c r="B452" s="19"/>
      <c r="C452" s="20"/>
      <c r="D452" s="20"/>
      <c r="E452" s="16">
        <f>IFERROR(IF($D452="","",VLOOKUP($D452,'Cari Kartlar'!$B$5:$C$204,2,FALSE)),"— tanımsız cari —")</f>
      </c>
      <c r="F452" s="20"/>
      <c r="G452" s="16">
        <f>IFERROR(IF($F452="","",VLOOKUP($F452,'Ürün Kartlar'!$B$5:$C$204,2,FALSE)),"— tanımsız ürün —")</f>
      </c>
      <c r="H452" s="21"/>
      <c r="I452" s="22">
        <f>IFERROR(IF($F452="","",IF($C452="Alış",VLOOKUP($F452,'Ürün Kartlar'!$B$5:$E$204,4,FALSE),VLOOKUP($F452,'Ürün Kartlar'!$B$5:$F$204,5,FALSE))),"")</f>
      </c>
      <c r="J452" s="23">
        <f>IFERROR(IF($F452="",Ayarlar!$C$9,VLOOKUP($F452,'Ürün Kartlar'!$B$5:$G$204,6,FALSE)),Ayarlar!$C$9)</f>
      </c>
      <c r="K452" s="18">
        <f>IF(OR($H452="",$I452=""),0,$H452*$I452)</f>
      </c>
      <c r="L452" s="18">
        <f>$K452*$J452</f>
      </c>
      <c r="M452" s="18">
        <f>$K452+$L452</f>
      </c>
      <c r="N452" s="20"/>
      <c r="O452" s="20"/>
      <c r="P452" s="20"/>
    </row>
    <row r="453" spans="2:16" x14ac:dyDescent="0.25">
      <c r="B453" s="15"/>
      <c r="C453" s="8"/>
      <c r="D453" s="8"/>
      <c r="E453" s="16">
        <f>IFERROR(IF($D453="","",VLOOKUP($D453,'Cari Kartlar'!$B$5:$C$204,2,FALSE)),"— tanımsız cari —")</f>
      </c>
      <c r="F453" s="8"/>
      <c r="G453" s="16">
        <f>IFERROR(IF($F453="","",VLOOKUP($F453,'Ürün Kartlar'!$B$5:$C$204,2,FALSE)),"— tanımsız ürün —")</f>
      </c>
      <c r="H453" s="17"/>
      <c r="I453" s="13">
        <f>IFERROR(IF($F453="","",IF($C453="Alış",VLOOKUP($F453,'Ürün Kartlar'!$B$5:$E$204,4,FALSE),VLOOKUP($F453,'Ürün Kartlar'!$B$5:$F$204,5,FALSE))),"")</f>
      </c>
      <c r="J453" s="11">
        <f>IFERROR(IF($F453="",Ayarlar!$C$9,VLOOKUP($F453,'Ürün Kartlar'!$B$5:$G$204,6,FALSE)),Ayarlar!$C$9)</f>
      </c>
      <c r="K453" s="18">
        <f>IF(OR($H453="",$I453=""),0,$H453*$I453)</f>
      </c>
      <c r="L453" s="18">
        <f>$K453*$J453</f>
      </c>
      <c r="M453" s="18">
        <f>$K453+$L453</f>
      </c>
      <c r="N453" s="8"/>
      <c r="O453" s="8"/>
      <c r="P453" s="8"/>
    </row>
    <row r="454" spans="2:16" x14ac:dyDescent="0.25">
      <c r="B454" s="19"/>
      <c r="C454" s="20"/>
      <c r="D454" s="20"/>
      <c r="E454" s="16">
        <f>IFERROR(IF($D454="","",VLOOKUP($D454,'Cari Kartlar'!$B$5:$C$204,2,FALSE)),"— tanımsız cari —")</f>
      </c>
      <c r="F454" s="20"/>
      <c r="G454" s="16">
        <f>IFERROR(IF($F454="","",VLOOKUP($F454,'Ürün Kartlar'!$B$5:$C$204,2,FALSE)),"— tanımsız ürün —")</f>
      </c>
      <c r="H454" s="21"/>
      <c r="I454" s="22">
        <f>IFERROR(IF($F454="","",IF($C454="Alış",VLOOKUP($F454,'Ürün Kartlar'!$B$5:$E$204,4,FALSE),VLOOKUP($F454,'Ürün Kartlar'!$B$5:$F$204,5,FALSE))),"")</f>
      </c>
      <c r="J454" s="23">
        <f>IFERROR(IF($F454="",Ayarlar!$C$9,VLOOKUP($F454,'Ürün Kartlar'!$B$5:$G$204,6,FALSE)),Ayarlar!$C$9)</f>
      </c>
      <c r="K454" s="18">
        <f>IF(OR($H454="",$I454=""),0,$H454*$I454)</f>
      </c>
      <c r="L454" s="18">
        <f>$K454*$J454</f>
      </c>
      <c r="M454" s="18">
        <f>$K454+$L454</f>
      </c>
      <c r="N454" s="20"/>
      <c r="O454" s="20"/>
      <c r="P454" s="20"/>
    </row>
    <row r="455" spans="2:16" x14ac:dyDescent="0.25">
      <c r="B455" s="15"/>
      <c r="C455" s="8"/>
      <c r="D455" s="8"/>
      <c r="E455" s="16">
        <f>IFERROR(IF($D455="","",VLOOKUP($D455,'Cari Kartlar'!$B$5:$C$204,2,FALSE)),"— tanımsız cari —")</f>
      </c>
      <c r="F455" s="8"/>
      <c r="G455" s="16">
        <f>IFERROR(IF($F455="","",VLOOKUP($F455,'Ürün Kartlar'!$B$5:$C$204,2,FALSE)),"— tanımsız ürün —")</f>
      </c>
      <c r="H455" s="17"/>
      <c r="I455" s="13">
        <f>IFERROR(IF($F455="","",IF($C455="Alış",VLOOKUP($F455,'Ürün Kartlar'!$B$5:$E$204,4,FALSE),VLOOKUP($F455,'Ürün Kartlar'!$B$5:$F$204,5,FALSE))),"")</f>
      </c>
      <c r="J455" s="11">
        <f>IFERROR(IF($F455="",Ayarlar!$C$9,VLOOKUP($F455,'Ürün Kartlar'!$B$5:$G$204,6,FALSE)),Ayarlar!$C$9)</f>
      </c>
      <c r="K455" s="18">
        <f>IF(OR($H455="",$I455=""),0,$H455*$I455)</f>
      </c>
      <c r="L455" s="18">
        <f>$K455*$J455</f>
      </c>
      <c r="M455" s="18">
        <f>$K455+$L455</f>
      </c>
      <c r="N455" s="8"/>
      <c r="O455" s="8"/>
      <c r="P455" s="8"/>
    </row>
    <row r="456" spans="2:16" x14ac:dyDescent="0.25">
      <c r="B456" s="19"/>
      <c r="C456" s="20"/>
      <c r="D456" s="20"/>
      <c r="E456" s="16">
        <f>IFERROR(IF($D456="","",VLOOKUP($D456,'Cari Kartlar'!$B$5:$C$204,2,FALSE)),"— tanımsız cari —")</f>
      </c>
      <c r="F456" s="20"/>
      <c r="G456" s="16">
        <f>IFERROR(IF($F456="","",VLOOKUP($F456,'Ürün Kartlar'!$B$5:$C$204,2,FALSE)),"— tanımsız ürün —")</f>
      </c>
      <c r="H456" s="21"/>
      <c r="I456" s="22">
        <f>IFERROR(IF($F456="","",IF($C456="Alış",VLOOKUP($F456,'Ürün Kartlar'!$B$5:$E$204,4,FALSE),VLOOKUP($F456,'Ürün Kartlar'!$B$5:$F$204,5,FALSE))),"")</f>
      </c>
      <c r="J456" s="23">
        <f>IFERROR(IF($F456="",Ayarlar!$C$9,VLOOKUP($F456,'Ürün Kartlar'!$B$5:$G$204,6,FALSE)),Ayarlar!$C$9)</f>
      </c>
      <c r="K456" s="18">
        <f>IF(OR($H456="",$I456=""),0,$H456*$I456)</f>
      </c>
      <c r="L456" s="18">
        <f>$K456*$J456</f>
      </c>
      <c r="M456" s="18">
        <f>$K456+$L456</f>
      </c>
      <c r="N456" s="20"/>
      <c r="O456" s="20"/>
      <c r="P456" s="20"/>
    </row>
    <row r="457" spans="2:16" x14ac:dyDescent="0.25">
      <c r="B457" s="15"/>
      <c r="C457" s="8"/>
      <c r="D457" s="8"/>
      <c r="E457" s="16">
        <f>IFERROR(IF($D457="","",VLOOKUP($D457,'Cari Kartlar'!$B$5:$C$204,2,FALSE)),"— tanımsız cari —")</f>
      </c>
      <c r="F457" s="8"/>
      <c r="G457" s="16">
        <f>IFERROR(IF($F457="","",VLOOKUP($F457,'Ürün Kartlar'!$B$5:$C$204,2,FALSE)),"— tanımsız ürün —")</f>
      </c>
      <c r="H457" s="17"/>
      <c r="I457" s="13">
        <f>IFERROR(IF($F457="","",IF($C457="Alış",VLOOKUP($F457,'Ürün Kartlar'!$B$5:$E$204,4,FALSE),VLOOKUP($F457,'Ürün Kartlar'!$B$5:$F$204,5,FALSE))),"")</f>
      </c>
      <c r="J457" s="11">
        <f>IFERROR(IF($F457="",Ayarlar!$C$9,VLOOKUP($F457,'Ürün Kartlar'!$B$5:$G$204,6,FALSE)),Ayarlar!$C$9)</f>
      </c>
      <c r="K457" s="18">
        <f>IF(OR($H457="",$I457=""),0,$H457*$I457)</f>
      </c>
      <c r="L457" s="18">
        <f>$K457*$J457</f>
      </c>
      <c r="M457" s="18">
        <f>$K457+$L457</f>
      </c>
      <c r="N457" s="8"/>
      <c r="O457" s="8"/>
      <c r="P457" s="8"/>
    </row>
    <row r="458" spans="2:16" x14ac:dyDescent="0.25">
      <c r="B458" s="19"/>
      <c r="C458" s="20"/>
      <c r="D458" s="20"/>
      <c r="E458" s="16">
        <f>IFERROR(IF($D458="","",VLOOKUP($D458,'Cari Kartlar'!$B$5:$C$204,2,FALSE)),"— tanımsız cari —")</f>
      </c>
      <c r="F458" s="20"/>
      <c r="G458" s="16">
        <f>IFERROR(IF($F458="","",VLOOKUP($F458,'Ürün Kartlar'!$B$5:$C$204,2,FALSE)),"— tanımsız ürün —")</f>
      </c>
      <c r="H458" s="21"/>
      <c r="I458" s="22">
        <f>IFERROR(IF($F458="","",IF($C458="Alış",VLOOKUP($F458,'Ürün Kartlar'!$B$5:$E$204,4,FALSE),VLOOKUP($F458,'Ürün Kartlar'!$B$5:$F$204,5,FALSE))),"")</f>
      </c>
      <c r="J458" s="23">
        <f>IFERROR(IF($F458="",Ayarlar!$C$9,VLOOKUP($F458,'Ürün Kartlar'!$B$5:$G$204,6,FALSE)),Ayarlar!$C$9)</f>
      </c>
      <c r="K458" s="18">
        <f>IF(OR($H458="",$I458=""),0,$H458*$I458)</f>
      </c>
      <c r="L458" s="18">
        <f>$K458*$J458</f>
      </c>
      <c r="M458" s="18">
        <f>$K458+$L458</f>
      </c>
      <c r="N458" s="20"/>
      <c r="O458" s="20"/>
      <c r="P458" s="20"/>
    </row>
    <row r="459" spans="2:16" x14ac:dyDescent="0.25">
      <c r="B459" s="15"/>
      <c r="C459" s="8"/>
      <c r="D459" s="8"/>
      <c r="E459" s="16">
        <f>IFERROR(IF($D459="","",VLOOKUP($D459,'Cari Kartlar'!$B$5:$C$204,2,FALSE)),"— tanımsız cari —")</f>
      </c>
      <c r="F459" s="8"/>
      <c r="G459" s="16">
        <f>IFERROR(IF($F459="","",VLOOKUP($F459,'Ürün Kartlar'!$B$5:$C$204,2,FALSE)),"— tanımsız ürün —")</f>
      </c>
      <c r="H459" s="17"/>
      <c r="I459" s="13">
        <f>IFERROR(IF($F459="","",IF($C459="Alış",VLOOKUP($F459,'Ürün Kartlar'!$B$5:$E$204,4,FALSE),VLOOKUP($F459,'Ürün Kartlar'!$B$5:$F$204,5,FALSE))),"")</f>
      </c>
      <c r="J459" s="11">
        <f>IFERROR(IF($F459="",Ayarlar!$C$9,VLOOKUP($F459,'Ürün Kartlar'!$B$5:$G$204,6,FALSE)),Ayarlar!$C$9)</f>
      </c>
      <c r="K459" s="18">
        <f>IF(OR($H459="",$I459=""),0,$H459*$I459)</f>
      </c>
      <c r="L459" s="18">
        <f>$K459*$J459</f>
      </c>
      <c r="M459" s="18">
        <f>$K459+$L459</f>
      </c>
      <c r="N459" s="8"/>
      <c r="O459" s="8"/>
      <c r="P459" s="8"/>
    </row>
    <row r="460" spans="2:16" x14ac:dyDescent="0.25">
      <c r="B460" s="19"/>
      <c r="C460" s="20"/>
      <c r="D460" s="20"/>
      <c r="E460" s="16">
        <f>IFERROR(IF($D460="","",VLOOKUP($D460,'Cari Kartlar'!$B$5:$C$204,2,FALSE)),"— tanımsız cari —")</f>
      </c>
      <c r="F460" s="20"/>
      <c r="G460" s="16">
        <f>IFERROR(IF($F460="","",VLOOKUP($F460,'Ürün Kartlar'!$B$5:$C$204,2,FALSE)),"— tanımsız ürün —")</f>
      </c>
      <c r="H460" s="21"/>
      <c r="I460" s="22">
        <f>IFERROR(IF($F460="","",IF($C460="Alış",VLOOKUP($F460,'Ürün Kartlar'!$B$5:$E$204,4,FALSE),VLOOKUP($F460,'Ürün Kartlar'!$B$5:$F$204,5,FALSE))),"")</f>
      </c>
      <c r="J460" s="23">
        <f>IFERROR(IF($F460="",Ayarlar!$C$9,VLOOKUP($F460,'Ürün Kartlar'!$B$5:$G$204,6,FALSE)),Ayarlar!$C$9)</f>
      </c>
      <c r="K460" s="18">
        <f>IF(OR($H460="",$I460=""),0,$H460*$I460)</f>
      </c>
      <c r="L460" s="18">
        <f>$K460*$J460</f>
      </c>
      <c r="M460" s="18">
        <f>$K460+$L460</f>
      </c>
      <c r="N460" s="20"/>
      <c r="O460" s="20"/>
      <c r="P460" s="20"/>
    </row>
    <row r="461" spans="2:16" x14ac:dyDescent="0.25">
      <c r="B461" s="15"/>
      <c r="C461" s="8"/>
      <c r="D461" s="8"/>
      <c r="E461" s="16">
        <f>IFERROR(IF($D461="","",VLOOKUP($D461,'Cari Kartlar'!$B$5:$C$204,2,FALSE)),"— tanımsız cari —")</f>
      </c>
      <c r="F461" s="8"/>
      <c r="G461" s="16">
        <f>IFERROR(IF($F461="","",VLOOKUP($F461,'Ürün Kartlar'!$B$5:$C$204,2,FALSE)),"— tanımsız ürün —")</f>
      </c>
      <c r="H461" s="17"/>
      <c r="I461" s="13">
        <f>IFERROR(IF($F461="","",IF($C461="Alış",VLOOKUP($F461,'Ürün Kartlar'!$B$5:$E$204,4,FALSE),VLOOKUP($F461,'Ürün Kartlar'!$B$5:$F$204,5,FALSE))),"")</f>
      </c>
      <c r="J461" s="11">
        <f>IFERROR(IF($F461="",Ayarlar!$C$9,VLOOKUP($F461,'Ürün Kartlar'!$B$5:$G$204,6,FALSE)),Ayarlar!$C$9)</f>
      </c>
      <c r="K461" s="18">
        <f>IF(OR($H461="",$I461=""),0,$H461*$I461)</f>
      </c>
      <c r="L461" s="18">
        <f>$K461*$J461</f>
      </c>
      <c r="M461" s="18">
        <f>$K461+$L461</f>
      </c>
      <c r="N461" s="8"/>
      <c r="O461" s="8"/>
      <c r="P461" s="8"/>
    </row>
    <row r="462" spans="2:16" x14ac:dyDescent="0.25">
      <c r="B462" s="19"/>
      <c r="C462" s="20"/>
      <c r="D462" s="20"/>
      <c r="E462" s="16">
        <f>IFERROR(IF($D462="","",VLOOKUP($D462,'Cari Kartlar'!$B$5:$C$204,2,FALSE)),"— tanımsız cari —")</f>
      </c>
      <c r="F462" s="20"/>
      <c r="G462" s="16">
        <f>IFERROR(IF($F462="","",VLOOKUP($F462,'Ürün Kartlar'!$B$5:$C$204,2,FALSE)),"— tanımsız ürün —")</f>
      </c>
      <c r="H462" s="21"/>
      <c r="I462" s="22">
        <f>IFERROR(IF($F462="","",IF($C462="Alış",VLOOKUP($F462,'Ürün Kartlar'!$B$5:$E$204,4,FALSE),VLOOKUP($F462,'Ürün Kartlar'!$B$5:$F$204,5,FALSE))),"")</f>
      </c>
      <c r="J462" s="23">
        <f>IFERROR(IF($F462="",Ayarlar!$C$9,VLOOKUP($F462,'Ürün Kartlar'!$B$5:$G$204,6,FALSE)),Ayarlar!$C$9)</f>
      </c>
      <c r="K462" s="18">
        <f>IF(OR($H462="",$I462=""),0,$H462*$I462)</f>
      </c>
      <c r="L462" s="18">
        <f>$K462*$J462</f>
      </c>
      <c r="M462" s="18">
        <f>$K462+$L462</f>
      </c>
      <c r="N462" s="20"/>
      <c r="O462" s="20"/>
      <c r="P462" s="20"/>
    </row>
    <row r="463" spans="2:16" x14ac:dyDescent="0.25">
      <c r="B463" s="15"/>
      <c r="C463" s="8"/>
      <c r="D463" s="8"/>
      <c r="E463" s="16">
        <f>IFERROR(IF($D463="","",VLOOKUP($D463,'Cari Kartlar'!$B$5:$C$204,2,FALSE)),"— tanımsız cari —")</f>
      </c>
      <c r="F463" s="8"/>
      <c r="G463" s="16">
        <f>IFERROR(IF($F463="","",VLOOKUP($F463,'Ürün Kartlar'!$B$5:$C$204,2,FALSE)),"— tanımsız ürün —")</f>
      </c>
      <c r="H463" s="17"/>
      <c r="I463" s="13">
        <f>IFERROR(IF($F463="","",IF($C463="Alış",VLOOKUP($F463,'Ürün Kartlar'!$B$5:$E$204,4,FALSE),VLOOKUP($F463,'Ürün Kartlar'!$B$5:$F$204,5,FALSE))),"")</f>
      </c>
      <c r="J463" s="11">
        <f>IFERROR(IF($F463="",Ayarlar!$C$9,VLOOKUP($F463,'Ürün Kartlar'!$B$5:$G$204,6,FALSE)),Ayarlar!$C$9)</f>
      </c>
      <c r="K463" s="18">
        <f>IF(OR($H463="",$I463=""),0,$H463*$I463)</f>
      </c>
      <c r="L463" s="18">
        <f>$K463*$J463</f>
      </c>
      <c r="M463" s="18">
        <f>$K463+$L463</f>
      </c>
      <c r="N463" s="8"/>
      <c r="O463" s="8"/>
      <c r="P463" s="8"/>
    </row>
    <row r="464" spans="2:16" x14ac:dyDescent="0.25">
      <c r="B464" s="19"/>
      <c r="C464" s="20"/>
      <c r="D464" s="20"/>
      <c r="E464" s="16">
        <f>IFERROR(IF($D464="","",VLOOKUP($D464,'Cari Kartlar'!$B$5:$C$204,2,FALSE)),"— tanımsız cari —")</f>
      </c>
      <c r="F464" s="20"/>
      <c r="G464" s="16">
        <f>IFERROR(IF($F464="","",VLOOKUP($F464,'Ürün Kartlar'!$B$5:$C$204,2,FALSE)),"— tanımsız ürün —")</f>
      </c>
      <c r="H464" s="21"/>
      <c r="I464" s="22">
        <f>IFERROR(IF($F464="","",IF($C464="Alış",VLOOKUP($F464,'Ürün Kartlar'!$B$5:$E$204,4,FALSE),VLOOKUP($F464,'Ürün Kartlar'!$B$5:$F$204,5,FALSE))),"")</f>
      </c>
      <c r="J464" s="23">
        <f>IFERROR(IF($F464="",Ayarlar!$C$9,VLOOKUP($F464,'Ürün Kartlar'!$B$5:$G$204,6,FALSE)),Ayarlar!$C$9)</f>
      </c>
      <c r="K464" s="18">
        <f>IF(OR($H464="",$I464=""),0,$H464*$I464)</f>
      </c>
      <c r="L464" s="18">
        <f>$K464*$J464</f>
      </c>
      <c r="M464" s="18">
        <f>$K464+$L464</f>
      </c>
      <c r="N464" s="20"/>
      <c r="O464" s="20"/>
      <c r="P464" s="20"/>
    </row>
    <row r="465" spans="2:16" x14ac:dyDescent="0.25">
      <c r="B465" s="15"/>
      <c r="C465" s="8"/>
      <c r="D465" s="8"/>
      <c r="E465" s="16">
        <f>IFERROR(IF($D465="","",VLOOKUP($D465,'Cari Kartlar'!$B$5:$C$204,2,FALSE)),"— tanımsız cari —")</f>
      </c>
      <c r="F465" s="8"/>
      <c r="G465" s="16">
        <f>IFERROR(IF($F465="","",VLOOKUP($F465,'Ürün Kartlar'!$B$5:$C$204,2,FALSE)),"— tanımsız ürün —")</f>
      </c>
      <c r="H465" s="17"/>
      <c r="I465" s="13">
        <f>IFERROR(IF($F465="","",IF($C465="Alış",VLOOKUP($F465,'Ürün Kartlar'!$B$5:$E$204,4,FALSE),VLOOKUP($F465,'Ürün Kartlar'!$B$5:$F$204,5,FALSE))),"")</f>
      </c>
      <c r="J465" s="11">
        <f>IFERROR(IF($F465="",Ayarlar!$C$9,VLOOKUP($F465,'Ürün Kartlar'!$B$5:$G$204,6,FALSE)),Ayarlar!$C$9)</f>
      </c>
      <c r="K465" s="18">
        <f>IF(OR($H465="",$I465=""),0,$H465*$I465)</f>
      </c>
      <c r="L465" s="18">
        <f>$K465*$J465</f>
      </c>
      <c r="M465" s="18">
        <f>$K465+$L465</f>
      </c>
      <c r="N465" s="8"/>
      <c r="O465" s="8"/>
      <c r="P465" s="8"/>
    </row>
    <row r="466" spans="2:16" x14ac:dyDescent="0.25">
      <c r="B466" s="19"/>
      <c r="C466" s="20"/>
      <c r="D466" s="20"/>
      <c r="E466" s="16">
        <f>IFERROR(IF($D466="","",VLOOKUP($D466,'Cari Kartlar'!$B$5:$C$204,2,FALSE)),"— tanımsız cari —")</f>
      </c>
      <c r="F466" s="20"/>
      <c r="G466" s="16">
        <f>IFERROR(IF($F466="","",VLOOKUP($F466,'Ürün Kartlar'!$B$5:$C$204,2,FALSE)),"— tanımsız ürün —")</f>
      </c>
      <c r="H466" s="21"/>
      <c r="I466" s="22">
        <f>IFERROR(IF($F466="","",IF($C466="Alış",VLOOKUP($F466,'Ürün Kartlar'!$B$5:$E$204,4,FALSE),VLOOKUP($F466,'Ürün Kartlar'!$B$5:$F$204,5,FALSE))),"")</f>
      </c>
      <c r="J466" s="23">
        <f>IFERROR(IF($F466="",Ayarlar!$C$9,VLOOKUP($F466,'Ürün Kartlar'!$B$5:$G$204,6,FALSE)),Ayarlar!$C$9)</f>
      </c>
      <c r="K466" s="18">
        <f>IF(OR($H466="",$I466=""),0,$H466*$I466)</f>
      </c>
      <c r="L466" s="18">
        <f>$K466*$J466</f>
      </c>
      <c r="M466" s="18">
        <f>$K466+$L466</f>
      </c>
      <c r="N466" s="20"/>
      <c r="O466" s="20"/>
      <c r="P466" s="20"/>
    </row>
    <row r="467" spans="2:16" x14ac:dyDescent="0.25">
      <c r="B467" s="15"/>
      <c r="C467" s="8"/>
      <c r="D467" s="8"/>
      <c r="E467" s="16">
        <f>IFERROR(IF($D467="","",VLOOKUP($D467,'Cari Kartlar'!$B$5:$C$204,2,FALSE)),"— tanımsız cari —")</f>
      </c>
      <c r="F467" s="8"/>
      <c r="G467" s="16">
        <f>IFERROR(IF($F467="","",VLOOKUP($F467,'Ürün Kartlar'!$B$5:$C$204,2,FALSE)),"— tanımsız ürün —")</f>
      </c>
      <c r="H467" s="17"/>
      <c r="I467" s="13">
        <f>IFERROR(IF($F467="","",IF($C467="Alış",VLOOKUP($F467,'Ürün Kartlar'!$B$5:$E$204,4,FALSE),VLOOKUP($F467,'Ürün Kartlar'!$B$5:$F$204,5,FALSE))),"")</f>
      </c>
      <c r="J467" s="11">
        <f>IFERROR(IF($F467="",Ayarlar!$C$9,VLOOKUP($F467,'Ürün Kartlar'!$B$5:$G$204,6,FALSE)),Ayarlar!$C$9)</f>
      </c>
      <c r="K467" s="18">
        <f>IF(OR($H467="",$I467=""),0,$H467*$I467)</f>
      </c>
      <c r="L467" s="18">
        <f>$K467*$J467</f>
      </c>
      <c r="M467" s="18">
        <f>$K467+$L467</f>
      </c>
      <c r="N467" s="8"/>
      <c r="O467" s="8"/>
      <c r="P467" s="8"/>
    </row>
    <row r="468" spans="2:16" x14ac:dyDescent="0.25">
      <c r="B468" s="19"/>
      <c r="C468" s="20"/>
      <c r="D468" s="20"/>
      <c r="E468" s="16">
        <f>IFERROR(IF($D468="","",VLOOKUP($D468,'Cari Kartlar'!$B$5:$C$204,2,FALSE)),"— tanımsız cari —")</f>
      </c>
      <c r="F468" s="20"/>
      <c r="G468" s="16">
        <f>IFERROR(IF($F468="","",VLOOKUP($F468,'Ürün Kartlar'!$B$5:$C$204,2,FALSE)),"— tanımsız ürün —")</f>
      </c>
      <c r="H468" s="21"/>
      <c r="I468" s="22">
        <f>IFERROR(IF($F468="","",IF($C468="Alış",VLOOKUP($F468,'Ürün Kartlar'!$B$5:$E$204,4,FALSE),VLOOKUP($F468,'Ürün Kartlar'!$B$5:$F$204,5,FALSE))),"")</f>
      </c>
      <c r="J468" s="23">
        <f>IFERROR(IF($F468="",Ayarlar!$C$9,VLOOKUP($F468,'Ürün Kartlar'!$B$5:$G$204,6,FALSE)),Ayarlar!$C$9)</f>
      </c>
      <c r="K468" s="18">
        <f>IF(OR($H468="",$I468=""),0,$H468*$I468)</f>
      </c>
      <c r="L468" s="18">
        <f>$K468*$J468</f>
      </c>
      <c r="M468" s="18">
        <f>$K468+$L468</f>
      </c>
      <c r="N468" s="20"/>
      <c r="O468" s="20"/>
      <c r="P468" s="20"/>
    </row>
    <row r="469" spans="2:16" x14ac:dyDescent="0.25">
      <c r="B469" s="15"/>
      <c r="C469" s="8"/>
      <c r="D469" s="8"/>
      <c r="E469" s="16">
        <f>IFERROR(IF($D469="","",VLOOKUP($D469,'Cari Kartlar'!$B$5:$C$204,2,FALSE)),"— tanımsız cari —")</f>
      </c>
      <c r="F469" s="8"/>
      <c r="G469" s="16">
        <f>IFERROR(IF($F469="","",VLOOKUP($F469,'Ürün Kartlar'!$B$5:$C$204,2,FALSE)),"— tanımsız ürün —")</f>
      </c>
      <c r="H469" s="17"/>
      <c r="I469" s="13">
        <f>IFERROR(IF($F469="","",IF($C469="Alış",VLOOKUP($F469,'Ürün Kartlar'!$B$5:$E$204,4,FALSE),VLOOKUP($F469,'Ürün Kartlar'!$B$5:$F$204,5,FALSE))),"")</f>
      </c>
      <c r="J469" s="11">
        <f>IFERROR(IF($F469="",Ayarlar!$C$9,VLOOKUP($F469,'Ürün Kartlar'!$B$5:$G$204,6,FALSE)),Ayarlar!$C$9)</f>
      </c>
      <c r="K469" s="18">
        <f>IF(OR($H469="",$I469=""),0,$H469*$I469)</f>
      </c>
      <c r="L469" s="18">
        <f>$K469*$J469</f>
      </c>
      <c r="M469" s="18">
        <f>$K469+$L469</f>
      </c>
      <c r="N469" s="8"/>
      <c r="O469" s="8"/>
      <c r="P469" s="8"/>
    </row>
    <row r="470" spans="2:16" x14ac:dyDescent="0.25">
      <c r="B470" s="19"/>
      <c r="C470" s="20"/>
      <c r="D470" s="20"/>
      <c r="E470" s="16">
        <f>IFERROR(IF($D470="","",VLOOKUP($D470,'Cari Kartlar'!$B$5:$C$204,2,FALSE)),"— tanımsız cari —")</f>
      </c>
      <c r="F470" s="20"/>
      <c r="G470" s="16">
        <f>IFERROR(IF($F470="","",VLOOKUP($F470,'Ürün Kartlar'!$B$5:$C$204,2,FALSE)),"— tanımsız ürün —")</f>
      </c>
      <c r="H470" s="21"/>
      <c r="I470" s="22">
        <f>IFERROR(IF($F470="","",IF($C470="Alış",VLOOKUP($F470,'Ürün Kartlar'!$B$5:$E$204,4,FALSE),VLOOKUP($F470,'Ürün Kartlar'!$B$5:$F$204,5,FALSE))),"")</f>
      </c>
      <c r="J470" s="23">
        <f>IFERROR(IF($F470="",Ayarlar!$C$9,VLOOKUP($F470,'Ürün Kartlar'!$B$5:$G$204,6,FALSE)),Ayarlar!$C$9)</f>
      </c>
      <c r="K470" s="18">
        <f>IF(OR($H470="",$I470=""),0,$H470*$I470)</f>
      </c>
      <c r="L470" s="18">
        <f>$K470*$J470</f>
      </c>
      <c r="M470" s="18">
        <f>$K470+$L470</f>
      </c>
      <c r="N470" s="20"/>
      <c r="O470" s="20"/>
      <c r="P470" s="20"/>
    </row>
    <row r="471" spans="2:16" x14ac:dyDescent="0.25">
      <c r="B471" s="15"/>
      <c r="C471" s="8"/>
      <c r="D471" s="8"/>
      <c r="E471" s="16">
        <f>IFERROR(IF($D471="","",VLOOKUP($D471,'Cari Kartlar'!$B$5:$C$204,2,FALSE)),"— tanımsız cari —")</f>
      </c>
      <c r="F471" s="8"/>
      <c r="G471" s="16">
        <f>IFERROR(IF($F471="","",VLOOKUP($F471,'Ürün Kartlar'!$B$5:$C$204,2,FALSE)),"— tanımsız ürün —")</f>
      </c>
      <c r="H471" s="17"/>
      <c r="I471" s="13">
        <f>IFERROR(IF($F471="","",IF($C471="Alış",VLOOKUP($F471,'Ürün Kartlar'!$B$5:$E$204,4,FALSE),VLOOKUP($F471,'Ürün Kartlar'!$B$5:$F$204,5,FALSE))),"")</f>
      </c>
      <c r="J471" s="11">
        <f>IFERROR(IF($F471="",Ayarlar!$C$9,VLOOKUP($F471,'Ürün Kartlar'!$B$5:$G$204,6,FALSE)),Ayarlar!$C$9)</f>
      </c>
      <c r="K471" s="18">
        <f>IF(OR($H471="",$I471=""),0,$H471*$I471)</f>
      </c>
      <c r="L471" s="18">
        <f>$K471*$J471</f>
      </c>
      <c r="M471" s="18">
        <f>$K471+$L471</f>
      </c>
      <c r="N471" s="8"/>
      <c r="O471" s="8"/>
      <c r="P471" s="8"/>
    </row>
    <row r="472" spans="2:16" x14ac:dyDescent="0.25">
      <c r="B472" s="19"/>
      <c r="C472" s="20"/>
      <c r="D472" s="20"/>
      <c r="E472" s="16">
        <f>IFERROR(IF($D472="","",VLOOKUP($D472,'Cari Kartlar'!$B$5:$C$204,2,FALSE)),"— tanımsız cari —")</f>
      </c>
      <c r="F472" s="20"/>
      <c r="G472" s="16">
        <f>IFERROR(IF($F472="","",VLOOKUP($F472,'Ürün Kartlar'!$B$5:$C$204,2,FALSE)),"— tanımsız ürün —")</f>
      </c>
      <c r="H472" s="21"/>
      <c r="I472" s="22">
        <f>IFERROR(IF($F472="","",IF($C472="Alış",VLOOKUP($F472,'Ürün Kartlar'!$B$5:$E$204,4,FALSE),VLOOKUP($F472,'Ürün Kartlar'!$B$5:$F$204,5,FALSE))),"")</f>
      </c>
      <c r="J472" s="23">
        <f>IFERROR(IF($F472="",Ayarlar!$C$9,VLOOKUP($F472,'Ürün Kartlar'!$B$5:$G$204,6,FALSE)),Ayarlar!$C$9)</f>
      </c>
      <c r="K472" s="18">
        <f>IF(OR($H472="",$I472=""),0,$H472*$I472)</f>
      </c>
      <c r="L472" s="18">
        <f>$K472*$J472</f>
      </c>
      <c r="M472" s="18">
        <f>$K472+$L472</f>
      </c>
      <c r="N472" s="20"/>
      <c r="O472" s="20"/>
      <c r="P472" s="20"/>
    </row>
    <row r="473" spans="2:16" x14ac:dyDescent="0.25">
      <c r="B473" s="15"/>
      <c r="C473" s="8"/>
      <c r="D473" s="8"/>
      <c r="E473" s="16">
        <f>IFERROR(IF($D473="","",VLOOKUP($D473,'Cari Kartlar'!$B$5:$C$204,2,FALSE)),"— tanımsız cari —")</f>
      </c>
      <c r="F473" s="8"/>
      <c r="G473" s="16">
        <f>IFERROR(IF($F473="","",VLOOKUP($F473,'Ürün Kartlar'!$B$5:$C$204,2,FALSE)),"— tanımsız ürün —")</f>
      </c>
      <c r="H473" s="17"/>
      <c r="I473" s="13">
        <f>IFERROR(IF($F473="","",IF($C473="Alış",VLOOKUP($F473,'Ürün Kartlar'!$B$5:$E$204,4,FALSE),VLOOKUP($F473,'Ürün Kartlar'!$B$5:$F$204,5,FALSE))),"")</f>
      </c>
      <c r="J473" s="11">
        <f>IFERROR(IF($F473="",Ayarlar!$C$9,VLOOKUP($F473,'Ürün Kartlar'!$B$5:$G$204,6,FALSE)),Ayarlar!$C$9)</f>
      </c>
      <c r="K473" s="18">
        <f>IF(OR($H473="",$I473=""),0,$H473*$I473)</f>
      </c>
      <c r="L473" s="18">
        <f>$K473*$J473</f>
      </c>
      <c r="M473" s="18">
        <f>$K473+$L473</f>
      </c>
      <c r="N473" s="8"/>
      <c r="O473" s="8"/>
      <c r="P473" s="8"/>
    </row>
    <row r="474" spans="2:16" x14ac:dyDescent="0.25">
      <c r="B474" s="19"/>
      <c r="C474" s="20"/>
      <c r="D474" s="20"/>
      <c r="E474" s="16">
        <f>IFERROR(IF($D474="","",VLOOKUP($D474,'Cari Kartlar'!$B$5:$C$204,2,FALSE)),"— tanımsız cari —")</f>
      </c>
      <c r="F474" s="20"/>
      <c r="G474" s="16">
        <f>IFERROR(IF($F474="","",VLOOKUP($F474,'Ürün Kartlar'!$B$5:$C$204,2,FALSE)),"— tanımsız ürün —")</f>
      </c>
      <c r="H474" s="21"/>
      <c r="I474" s="22">
        <f>IFERROR(IF($F474="","",IF($C474="Alış",VLOOKUP($F474,'Ürün Kartlar'!$B$5:$E$204,4,FALSE),VLOOKUP($F474,'Ürün Kartlar'!$B$5:$F$204,5,FALSE))),"")</f>
      </c>
      <c r="J474" s="23">
        <f>IFERROR(IF($F474="",Ayarlar!$C$9,VLOOKUP($F474,'Ürün Kartlar'!$B$5:$G$204,6,FALSE)),Ayarlar!$C$9)</f>
      </c>
      <c r="K474" s="18">
        <f>IF(OR($H474="",$I474=""),0,$H474*$I474)</f>
      </c>
      <c r="L474" s="18">
        <f>$K474*$J474</f>
      </c>
      <c r="M474" s="18">
        <f>$K474+$L474</f>
      </c>
      <c r="N474" s="20"/>
      <c r="O474" s="20"/>
      <c r="P474" s="20"/>
    </row>
    <row r="475" spans="2:16" x14ac:dyDescent="0.25">
      <c r="B475" s="15"/>
      <c r="C475" s="8"/>
      <c r="D475" s="8"/>
      <c r="E475" s="16">
        <f>IFERROR(IF($D475="","",VLOOKUP($D475,'Cari Kartlar'!$B$5:$C$204,2,FALSE)),"— tanımsız cari —")</f>
      </c>
      <c r="F475" s="8"/>
      <c r="G475" s="16">
        <f>IFERROR(IF($F475="","",VLOOKUP($F475,'Ürün Kartlar'!$B$5:$C$204,2,FALSE)),"— tanımsız ürün —")</f>
      </c>
      <c r="H475" s="17"/>
      <c r="I475" s="13">
        <f>IFERROR(IF($F475="","",IF($C475="Alış",VLOOKUP($F475,'Ürün Kartlar'!$B$5:$E$204,4,FALSE),VLOOKUP($F475,'Ürün Kartlar'!$B$5:$F$204,5,FALSE))),"")</f>
      </c>
      <c r="J475" s="11">
        <f>IFERROR(IF($F475="",Ayarlar!$C$9,VLOOKUP($F475,'Ürün Kartlar'!$B$5:$G$204,6,FALSE)),Ayarlar!$C$9)</f>
      </c>
      <c r="K475" s="18">
        <f>IF(OR($H475="",$I475=""),0,$H475*$I475)</f>
      </c>
      <c r="L475" s="18">
        <f>$K475*$J475</f>
      </c>
      <c r="M475" s="18">
        <f>$K475+$L475</f>
      </c>
      <c r="N475" s="8"/>
      <c r="O475" s="8"/>
      <c r="P475" s="8"/>
    </row>
    <row r="476" spans="2:16" x14ac:dyDescent="0.25">
      <c r="B476" s="19"/>
      <c r="C476" s="20"/>
      <c r="D476" s="20"/>
      <c r="E476" s="16">
        <f>IFERROR(IF($D476="","",VLOOKUP($D476,'Cari Kartlar'!$B$5:$C$204,2,FALSE)),"— tanımsız cari —")</f>
      </c>
      <c r="F476" s="20"/>
      <c r="G476" s="16">
        <f>IFERROR(IF($F476="","",VLOOKUP($F476,'Ürün Kartlar'!$B$5:$C$204,2,FALSE)),"— tanımsız ürün —")</f>
      </c>
      <c r="H476" s="21"/>
      <c r="I476" s="22">
        <f>IFERROR(IF($F476="","",IF($C476="Alış",VLOOKUP($F476,'Ürün Kartlar'!$B$5:$E$204,4,FALSE),VLOOKUP($F476,'Ürün Kartlar'!$B$5:$F$204,5,FALSE))),"")</f>
      </c>
      <c r="J476" s="23">
        <f>IFERROR(IF($F476="",Ayarlar!$C$9,VLOOKUP($F476,'Ürün Kartlar'!$B$5:$G$204,6,FALSE)),Ayarlar!$C$9)</f>
      </c>
      <c r="K476" s="18">
        <f>IF(OR($H476="",$I476=""),0,$H476*$I476)</f>
      </c>
      <c r="L476" s="18">
        <f>$K476*$J476</f>
      </c>
      <c r="M476" s="18">
        <f>$K476+$L476</f>
      </c>
      <c r="N476" s="20"/>
      <c r="O476" s="20"/>
      <c r="P476" s="20"/>
    </row>
    <row r="477" spans="2:16" x14ac:dyDescent="0.25">
      <c r="B477" s="15"/>
      <c r="C477" s="8"/>
      <c r="D477" s="8"/>
      <c r="E477" s="16">
        <f>IFERROR(IF($D477="","",VLOOKUP($D477,'Cari Kartlar'!$B$5:$C$204,2,FALSE)),"— tanımsız cari —")</f>
      </c>
      <c r="F477" s="8"/>
      <c r="G477" s="16">
        <f>IFERROR(IF($F477="","",VLOOKUP($F477,'Ürün Kartlar'!$B$5:$C$204,2,FALSE)),"— tanımsız ürün —")</f>
      </c>
      <c r="H477" s="17"/>
      <c r="I477" s="13">
        <f>IFERROR(IF($F477="","",IF($C477="Alış",VLOOKUP($F477,'Ürün Kartlar'!$B$5:$E$204,4,FALSE),VLOOKUP($F477,'Ürün Kartlar'!$B$5:$F$204,5,FALSE))),"")</f>
      </c>
      <c r="J477" s="11">
        <f>IFERROR(IF($F477="",Ayarlar!$C$9,VLOOKUP($F477,'Ürün Kartlar'!$B$5:$G$204,6,FALSE)),Ayarlar!$C$9)</f>
      </c>
      <c r="K477" s="18">
        <f>IF(OR($H477="",$I477=""),0,$H477*$I477)</f>
      </c>
      <c r="L477" s="18">
        <f>$K477*$J477</f>
      </c>
      <c r="M477" s="18">
        <f>$K477+$L477</f>
      </c>
      <c r="N477" s="8"/>
      <c r="O477" s="8"/>
      <c r="P477" s="8"/>
    </row>
    <row r="478" spans="2:16" x14ac:dyDescent="0.25">
      <c r="B478" s="19"/>
      <c r="C478" s="20"/>
      <c r="D478" s="20"/>
      <c r="E478" s="16">
        <f>IFERROR(IF($D478="","",VLOOKUP($D478,'Cari Kartlar'!$B$5:$C$204,2,FALSE)),"— tanımsız cari —")</f>
      </c>
      <c r="F478" s="20"/>
      <c r="G478" s="16">
        <f>IFERROR(IF($F478="","",VLOOKUP($F478,'Ürün Kartlar'!$B$5:$C$204,2,FALSE)),"— tanımsız ürün —")</f>
      </c>
      <c r="H478" s="21"/>
      <c r="I478" s="22">
        <f>IFERROR(IF($F478="","",IF($C478="Alış",VLOOKUP($F478,'Ürün Kartlar'!$B$5:$E$204,4,FALSE),VLOOKUP($F478,'Ürün Kartlar'!$B$5:$F$204,5,FALSE))),"")</f>
      </c>
      <c r="J478" s="23">
        <f>IFERROR(IF($F478="",Ayarlar!$C$9,VLOOKUP($F478,'Ürün Kartlar'!$B$5:$G$204,6,FALSE)),Ayarlar!$C$9)</f>
      </c>
      <c r="K478" s="18">
        <f>IF(OR($H478="",$I478=""),0,$H478*$I478)</f>
      </c>
      <c r="L478" s="18">
        <f>$K478*$J478</f>
      </c>
      <c r="M478" s="18">
        <f>$K478+$L478</f>
      </c>
      <c r="N478" s="20"/>
      <c r="O478" s="20"/>
      <c r="P478" s="20"/>
    </row>
    <row r="479" spans="2:16" x14ac:dyDescent="0.25">
      <c r="B479" s="15"/>
      <c r="C479" s="8"/>
      <c r="D479" s="8"/>
      <c r="E479" s="16">
        <f>IFERROR(IF($D479="","",VLOOKUP($D479,'Cari Kartlar'!$B$5:$C$204,2,FALSE)),"— tanımsız cari —")</f>
      </c>
      <c r="F479" s="8"/>
      <c r="G479" s="16">
        <f>IFERROR(IF($F479="","",VLOOKUP($F479,'Ürün Kartlar'!$B$5:$C$204,2,FALSE)),"— tanımsız ürün —")</f>
      </c>
      <c r="H479" s="17"/>
      <c r="I479" s="13">
        <f>IFERROR(IF($F479="","",IF($C479="Alış",VLOOKUP($F479,'Ürün Kartlar'!$B$5:$E$204,4,FALSE),VLOOKUP($F479,'Ürün Kartlar'!$B$5:$F$204,5,FALSE))),"")</f>
      </c>
      <c r="J479" s="11">
        <f>IFERROR(IF($F479="",Ayarlar!$C$9,VLOOKUP($F479,'Ürün Kartlar'!$B$5:$G$204,6,FALSE)),Ayarlar!$C$9)</f>
      </c>
      <c r="K479" s="18">
        <f>IF(OR($H479="",$I479=""),0,$H479*$I479)</f>
      </c>
      <c r="L479" s="18">
        <f>$K479*$J479</f>
      </c>
      <c r="M479" s="18">
        <f>$K479+$L479</f>
      </c>
      <c r="N479" s="8"/>
      <c r="O479" s="8"/>
      <c r="P479" s="8"/>
    </row>
    <row r="480" spans="2:16" x14ac:dyDescent="0.25">
      <c r="B480" s="19"/>
      <c r="C480" s="20"/>
      <c r="D480" s="20"/>
      <c r="E480" s="16">
        <f>IFERROR(IF($D480="","",VLOOKUP($D480,'Cari Kartlar'!$B$5:$C$204,2,FALSE)),"— tanımsız cari —")</f>
      </c>
      <c r="F480" s="20"/>
      <c r="G480" s="16">
        <f>IFERROR(IF($F480="","",VLOOKUP($F480,'Ürün Kartlar'!$B$5:$C$204,2,FALSE)),"— tanımsız ürün —")</f>
      </c>
      <c r="H480" s="21"/>
      <c r="I480" s="22">
        <f>IFERROR(IF($F480="","",IF($C480="Alış",VLOOKUP($F480,'Ürün Kartlar'!$B$5:$E$204,4,FALSE),VLOOKUP($F480,'Ürün Kartlar'!$B$5:$F$204,5,FALSE))),"")</f>
      </c>
      <c r="J480" s="23">
        <f>IFERROR(IF($F480="",Ayarlar!$C$9,VLOOKUP($F480,'Ürün Kartlar'!$B$5:$G$204,6,FALSE)),Ayarlar!$C$9)</f>
      </c>
      <c r="K480" s="18">
        <f>IF(OR($H480="",$I480=""),0,$H480*$I480)</f>
      </c>
      <c r="L480" s="18">
        <f>$K480*$J480</f>
      </c>
      <c r="M480" s="18">
        <f>$K480+$L480</f>
      </c>
      <c r="N480" s="20"/>
      <c r="O480" s="20"/>
      <c r="P480" s="20"/>
    </row>
    <row r="481" spans="2:16" x14ac:dyDescent="0.25">
      <c r="B481" s="15"/>
      <c r="C481" s="8"/>
      <c r="D481" s="8"/>
      <c r="E481" s="16">
        <f>IFERROR(IF($D481="","",VLOOKUP($D481,'Cari Kartlar'!$B$5:$C$204,2,FALSE)),"— tanımsız cari —")</f>
      </c>
      <c r="F481" s="8"/>
      <c r="G481" s="16">
        <f>IFERROR(IF($F481="","",VLOOKUP($F481,'Ürün Kartlar'!$B$5:$C$204,2,FALSE)),"— tanımsız ürün —")</f>
      </c>
      <c r="H481" s="17"/>
      <c r="I481" s="13">
        <f>IFERROR(IF($F481="","",IF($C481="Alış",VLOOKUP($F481,'Ürün Kartlar'!$B$5:$E$204,4,FALSE),VLOOKUP($F481,'Ürün Kartlar'!$B$5:$F$204,5,FALSE))),"")</f>
      </c>
      <c r="J481" s="11">
        <f>IFERROR(IF($F481="",Ayarlar!$C$9,VLOOKUP($F481,'Ürün Kartlar'!$B$5:$G$204,6,FALSE)),Ayarlar!$C$9)</f>
      </c>
      <c r="K481" s="18">
        <f>IF(OR($H481="",$I481=""),0,$H481*$I481)</f>
      </c>
      <c r="L481" s="18">
        <f>$K481*$J481</f>
      </c>
      <c r="M481" s="18">
        <f>$K481+$L481</f>
      </c>
      <c r="N481" s="8"/>
      <c r="O481" s="8"/>
      <c r="P481" s="8"/>
    </row>
    <row r="482" spans="2:16" x14ac:dyDescent="0.25">
      <c r="B482" s="19"/>
      <c r="C482" s="20"/>
      <c r="D482" s="20"/>
      <c r="E482" s="16">
        <f>IFERROR(IF($D482="","",VLOOKUP($D482,'Cari Kartlar'!$B$5:$C$204,2,FALSE)),"— tanımsız cari —")</f>
      </c>
      <c r="F482" s="20"/>
      <c r="G482" s="16">
        <f>IFERROR(IF($F482="","",VLOOKUP($F482,'Ürün Kartlar'!$B$5:$C$204,2,FALSE)),"— tanımsız ürün —")</f>
      </c>
      <c r="H482" s="21"/>
      <c r="I482" s="22">
        <f>IFERROR(IF($F482="","",IF($C482="Alış",VLOOKUP($F482,'Ürün Kartlar'!$B$5:$E$204,4,FALSE),VLOOKUP($F482,'Ürün Kartlar'!$B$5:$F$204,5,FALSE))),"")</f>
      </c>
      <c r="J482" s="23">
        <f>IFERROR(IF($F482="",Ayarlar!$C$9,VLOOKUP($F482,'Ürün Kartlar'!$B$5:$G$204,6,FALSE)),Ayarlar!$C$9)</f>
      </c>
      <c r="K482" s="18">
        <f>IF(OR($H482="",$I482=""),0,$H482*$I482)</f>
      </c>
      <c r="L482" s="18">
        <f>$K482*$J482</f>
      </c>
      <c r="M482" s="18">
        <f>$K482+$L482</f>
      </c>
      <c r="N482" s="20"/>
      <c r="O482" s="20"/>
      <c r="P482" s="20"/>
    </row>
    <row r="483" spans="2:16" x14ac:dyDescent="0.25">
      <c r="B483" s="15"/>
      <c r="C483" s="8"/>
      <c r="D483" s="8"/>
      <c r="E483" s="16">
        <f>IFERROR(IF($D483="","",VLOOKUP($D483,'Cari Kartlar'!$B$5:$C$204,2,FALSE)),"— tanımsız cari —")</f>
      </c>
      <c r="F483" s="8"/>
      <c r="G483" s="16">
        <f>IFERROR(IF($F483="","",VLOOKUP($F483,'Ürün Kartlar'!$B$5:$C$204,2,FALSE)),"— tanımsız ürün —")</f>
      </c>
      <c r="H483" s="17"/>
      <c r="I483" s="13">
        <f>IFERROR(IF($F483="","",IF($C483="Alış",VLOOKUP($F483,'Ürün Kartlar'!$B$5:$E$204,4,FALSE),VLOOKUP($F483,'Ürün Kartlar'!$B$5:$F$204,5,FALSE))),"")</f>
      </c>
      <c r="J483" s="11">
        <f>IFERROR(IF($F483="",Ayarlar!$C$9,VLOOKUP($F483,'Ürün Kartlar'!$B$5:$G$204,6,FALSE)),Ayarlar!$C$9)</f>
      </c>
      <c r="K483" s="18">
        <f>IF(OR($H483="",$I483=""),0,$H483*$I483)</f>
      </c>
      <c r="L483" s="18">
        <f>$K483*$J483</f>
      </c>
      <c r="M483" s="18">
        <f>$K483+$L483</f>
      </c>
      <c r="N483" s="8"/>
      <c r="O483" s="8"/>
      <c r="P483" s="8"/>
    </row>
    <row r="484" spans="2:16" x14ac:dyDescent="0.25">
      <c r="B484" s="19"/>
      <c r="C484" s="20"/>
      <c r="D484" s="20"/>
      <c r="E484" s="16">
        <f>IFERROR(IF($D484="","",VLOOKUP($D484,'Cari Kartlar'!$B$5:$C$204,2,FALSE)),"— tanımsız cari —")</f>
      </c>
      <c r="F484" s="20"/>
      <c r="G484" s="16">
        <f>IFERROR(IF($F484="","",VLOOKUP($F484,'Ürün Kartlar'!$B$5:$C$204,2,FALSE)),"— tanımsız ürün —")</f>
      </c>
      <c r="H484" s="21"/>
      <c r="I484" s="22">
        <f>IFERROR(IF($F484="","",IF($C484="Alış",VLOOKUP($F484,'Ürün Kartlar'!$B$5:$E$204,4,FALSE),VLOOKUP($F484,'Ürün Kartlar'!$B$5:$F$204,5,FALSE))),"")</f>
      </c>
      <c r="J484" s="23">
        <f>IFERROR(IF($F484="",Ayarlar!$C$9,VLOOKUP($F484,'Ürün Kartlar'!$B$5:$G$204,6,FALSE)),Ayarlar!$C$9)</f>
      </c>
      <c r="K484" s="18">
        <f>IF(OR($H484="",$I484=""),0,$H484*$I484)</f>
      </c>
      <c r="L484" s="18">
        <f>$K484*$J484</f>
      </c>
      <c r="M484" s="18">
        <f>$K484+$L484</f>
      </c>
      <c r="N484" s="20"/>
      <c r="O484" s="20"/>
      <c r="P484" s="20"/>
    </row>
    <row r="485" spans="2:16" x14ac:dyDescent="0.25">
      <c r="B485" s="15"/>
      <c r="C485" s="8"/>
      <c r="D485" s="8"/>
      <c r="E485" s="16">
        <f>IFERROR(IF($D485="","",VLOOKUP($D485,'Cari Kartlar'!$B$5:$C$204,2,FALSE)),"— tanımsız cari —")</f>
      </c>
      <c r="F485" s="8"/>
      <c r="G485" s="16">
        <f>IFERROR(IF($F485="","",VLOOKUP($F485,'Ürün Kartlar'!$B$5:$C$204,2,FALSE)),"— tanımsız ürün —")</f>
      </c>
      <c r="H485" s="17"/>
      <c r="I485" s="13">
        <f>IFERROR(IF($F485="","",IF($C485="Alış",VLOOKUP($F485,'Ürün Kartlar'!$B$5:$E$204,4,FALSE),VLOOKUP($F485,'Ürün Kartlar'!$B$5:$F$204,5,FALSE))),"")</f>
      </c>
      <c r="J485" s="11">
        <f>IFERROR(IF($F485="",Ayarlar!$C$9,VLOOKUP($F485,'Ürün Kartlar'!$B$5:$G$204,6,FALSE)),Ayarlar!$C$9)</f>
      </c>
      <c r="K485" s="18">
        <f>IF(OR($H485="",$I485=""),0,$H485*$I485)</f>
      </c>
      <c r="L485" s="18">
        <f>$K485*$J485</f>
      </c>
      <c r="M485" s="18">
        <f>$K485+$L485</f>
      </c>
      <c r="N485" s="8"/>
      <c r="O485" s="8"/>
      <c r="P485" s="8"/>
    </row>
    <row r="486" spans="2:16" x14ac:dyDescent="0.25">
      <c r="B486" s="19"/>
      <c r="C486" s="20"/>
      <c r="D486" s="20"/>
      <c r="E486" s="16">
        <f>IFERROR(IF($D486="","",VLOOKUP($D486,'Cari Kartlar'!$B$5:$C$204,2,FALSE)),"— tanımsız cari —")</f>
      </c>
      <c r="F486" s="20"/>
      <c r="G486" s="16">
        <f>IFERROR(IF($F486="","",VLOOKUP($F486,'Ürün Kartlar'!$B$5:$C$204,2,FALSE)),"— tanımsız ürün —")</f>
      </c>
      <c r="H486" s="21"/>
      <c r="I486" s="22">
        <f>IFERROR(IF($F486="","",IF($C486="Alış",VLOOKUP($F486,'Ürün Kartlar'!$B$5:$E$204,4,FALSE),VLOOKUP($F486,'Ürün Kartlar'!$B$5:$F$204,5,FALSE))),"")</f>
      </c>
      <c r="J486" s="23">
        <f>IFERROR(IF($F486="",Ayarlar!$C$9,VLOOKUP($F486,'Ürün Kartlar'!$B$5:$G$204,6,FALSE)),Ayarlar!$C$9)</f>
      </c>
      <c r="K486" s="18">
        <f>IF(OR($H486="",$I486=""),0,$H486*$I486)</f>
      </c>
      <c r="L486" s="18">
        <f>$K486*$J486</f>
      </c>
      <c r="M486" s="18">
        <f>$K486+$L486</f>
      </c>
      <c r="N486" s="20"/>
      <c r="O486" s="20"/>
      <c r="P486" s="20"/>
    </row>
    <row r="487" spans="2:16" x14ac:dyDescent="0.25">
      <c r="B487" s="15"/>
      <c r="C487" s="8"/>
      <c r="D487" s="8"/>
      <c r="E487" s="16">
        <f>IFERROR(IF($D487="","",VLOOKUP($D487,'Cari Kartlar'!$B$5:$C$204,2,FALSE)),"— tanımsız cari —")</f>
      </c>
      <c r="F487" s="8"/>
      <c r="G487" s="16">
        <f>IFERROR(IF($F487="","",VLOOKUP($F487,'Ürün Kartlar'!$B$5:$C$204,2,FALSE)),"— tanımsız ürün —")</f>
      </c>
      <c r="H487" s="17"/>
      <c r="I487" s="13">
        <f>IFERROR(IF($F487="","",IF($C487="Alış",VLOOKUP($F487,'Ürün Kartlar'!$B$5:$E$204,4,FALSE),VLOOKUP($F487,'Ürün Kartlar'!$B$5:$F$204,5,FALSE))),"")</f>
      </c>
      <c r="J487" s="11">
        <f>IFERROR(IF($F487="",Ayarlar!$C$9,VLOOKUP($F487,'Ürün Kartlar'!$B$5:$G$204,6,FALSE)),Ayarlar!$C$9)</f>
      </c>
      <c r="K487" s="18">
        <f>IF(OR($H487="",$I487=""),0,$H487*$I487)</f>
      </c>
      <c r="L487" s="18">
        <f>$K487*$J487</f>
      </c>
      <c r="M487" s="18">
        <f>$K487+$L487</f>
      </c>
      <c r="N487" s="8"/>
      <c r="O487" s="8"/>
      <c r="P487" s="8"/>
    </row>
    <row r="488" spans="2:16" x14ac:dyDescent="0.25">
      <c r="B488" s="19"/>
      <c r="C488" s="20"/>
      <c r="D488" s="20"/>
      <c r="E488" s="16">
        <f>IFERROR(IF($D488="","",VLOOKUP($D488,'Cari Kartlar'!$B$5:$C$204,2,FALSE)),"— tanımsız cari —")</f>
      </c>
      <c r="F488" s="20"/>
      <c r="G488" s="16">
        <f>IFERROR(IF($F488="","",VLOOKUP($F488,'Ürün Kartlar'!$B$5:$C$204,2,FALSE)),"— tanımsız ürün —")</f>
      </c>
      <c r="H488" s="21"/>
      <c r="I488" s="22">
        <f>IFERROR(IF($F488="","",IF($C488="Alış",VLOOKUP($F488,'Ürün Kartlar'!$B$5:$E$204,4,FALSE),VLOOKUP($F488,'Ürün Kartlar'!$B$5:$F$204,5,FALSE))),"")</f>
      </c>
      <c r="J488" s="23">
        <f>IFERROR(IF($F488="",Ayarlar!$C$9,VLOOKUP($F488,'Ürün Kartlar'!$B$5:$G$204,6,FALSE)),Ayarlar!$C$9)</f>
      </c>
      <c r="K488" s="18">
        <f>IF(OR($H488="",$I488=""),0,$H488*$I488)</f>
      </c>
      <c r="L488" s="18">
        <f>$K488*$J488</f>
      </c>
      <c r="M488" s="18">
        <f>$K488+$L488</f>
      </c>
      <c r="N488" s="20"/>
      <c r="O488" s="20"/>
      <c r="P488" s="20"/>
    </row>
    <row r="489" spans="2:16" x14ac:dyDescent="0.25">
      <c r="B489" s="15"/>
      <c r="C489" s="8"/>
      <c r="D489" s="8"/>
      <c r="E489" s="16">
        <f>IFERROR(IF($D489="","",VLOOKUP($D489,'Cari Kartlar'!$B$5:$C$204,2,FALSE)),"— tanımsız cari —")</f>
      </c>
      <c r="F489" s="8"/>
      <c r="G489" s="16">
        <f>IFERROR(IF($F489="","",VLOOKUP($F489,'Ürün Kartlar'!$B$5:$C$204,2,FALSE)),"— tanımsız ürün —")</f>
      </c>
      <c r="H489" s="17"/>
      <c r="I489" s="13">
        <f>IFERROR(IF($F489="","",IF($C489="Alış",VLOOKUP($F489,'Ürün Kartlar'!$B$5:$E$204,4,FALSE),VLOOKUP($F489,'Ürün Kartlar'!$B$5:$F$204,5,FALSE))),"")</f>
      </c>
      <c r="J489" s="11">
        <f>IFERROR(IF($F489="",Ayarlar!$C$9,VLOOKUP($F489,'Ürün Kartlar'!$B$5:$G$204,6,FALSE)),Ayarlar!$C$9)</f>
      </c>
      <c r="K489" s="18">
        <f>IF(OR($H489="",$I489=""),0,$H489*$I489)</f>
      </c>
      <c r="L489" s="18">
        <f>$K489*$J489</f>
      </c>
      <c r="M489" s="18">
        <f>$K489+$L489</f>
      </c>
      <c r="N489" s="8"/>
      <c r="O489" s="8"/>
      <c r="P489" s="8"/>
    </row>
    <row r="490" spans="2:16" x14ac:dyDescent="0.25">
      <c r="B490" s="19"/>
      <c r="C490" s="20"/>
      <c r="D490" s="20"/>
      <c r="E490" s="16">
        <f>IFERROR(IF($D490="","",VLOOKUP($D490,'Cari Kartlar'!$B$5:$C$204,2,FALSE)),"— tanımsız cari —")</f>
      </c>
      <c r="F490" s="20"/>
      <c r="G490" s="16">
        <f>IFERROR(IF($F490="","",VLOOKUP($F490,'Ürün Kartlar'!$B$5:$C$204,2,FALSE)),"— tanımsız ürün —")</f>
      </c>
      <c r="H490" s="21"/>
      <c r="I490" s="22">
        <f>IFERROR(IF($F490="","",IF($C490="Alış",VLOOKUP($F490,'Ürün Kartlar'!$B$5:$E$204,4,FALSE),VLOOKUP($F490,'Ürün Kartlar'!$B$5:$F$204,5,FALSE))),"")</f>
      </c>
      <c r="J490" s="23">
        <f>IFERROR(IF($F490="",Ayarlar!$C$9,VLOOKUP($F490,'Ürün Kartlar'!$B$5:$G$204,6,FALSE)),Ayarlar!$C$9)</f>
      </c>
      <c r="K490" s="18">
        <f>IF(OR($H490="",$I490=""),0,$H490*$I490)</f>
      </c>
      <c r="L490" s="18">
        <f>$K490*$J490</f>
      </c>
      <c r="M490" s="18">
        <f>$K490+$L490</f>
      </c>
      <c r="N490" s="20"/>
      <c r="O490" s="20"/>
      <c r="P490" s="20"/>
    </row>
    <row r="491" spans="2:16" x14ac:dyDescent="0.25">
      <c r="B491" s="15"/>
      <c r="C491" s="8"/>
      <c r="D491" s="8"/>
      <c r="E491" s="16">
        <f>IFERROR(IF($D491="","",VLOOKUP($D491,'Cari Kartlar'!$B$5:$C$204,2,FALSE)),"— tanımsız cari —")</f>
      </c>
      <c r="F491" s="8"/>
      <c r="G491" s="16">
        <f>IFERROR(IF($F491="","",VLOOKUP($F491,'Ürün Kartlar'!$B$5:$C$204,2,FALSE)),"— tanımsız ürün —")</f>
      </c>
      <c r="H491" s="17"/>
      <c r="I491" s="13">
        <f>IFERROR(IF($F491="","",IF($C491="Alış",VLOOKUP($F491,'Ürün Kartlar'!$B$5:$E$204,4,FALSE),VLOOKUP($F491,'Ürün Kartlar'!$B$5:$F$204,5,FALSE))),"")</f>
      </c>
      <c r="J491" s="11">
        <f>IFERROR(IF($F491="",Ayarlar!$C$9,VLOOKUP($F491,'Ürün Kartlar'!$B$5:$G$204,6,FALSE)),Ayarlar!$C$9)</f>
      </c>
      <c r="K491" s="18">
        <f>IF(OR($H491="",$I491=""),0,$H491*$I491)</f>
      </c>
      <c r="L491" s="18">
        <f>$K491*$J491</f>
      </c>
      <c r="M491" s="18">
        <f>$K491+$L491</f>
      </c>
      <c r="N491" s="8"/>
      <c r="O491" s="8"/>
      <c r="P491" s="8"/>
    </row>
    <row r="492" spans="2:16" x14ac:dyDescent="0.25">
      <c r="B492" s="19"/>
      <c r="C492" s="20"/>
      <c r="D492" s="20"/>
      <c r="E492" s="16">
        <f>IFERROR(IF($D492="","",VLOOKUP($D492,'Cari Kartlar'!$B$5:$C$204,2,FALSE)),"— tanımsız cari —")</f>
      </c>
      <c r="F492" s="20"/>
      <c r="G492" s="16">
        <f>IFERROR(IF($F492="","",VLOOKUP($F492,'Ürün Kartlar'!$B$5:$C$204,2,FALSE)),"— tanımsız ürün —")</f>
      </c>
      <c r="H492" s="21"/>
      <c r="I492" s="22">
        <f>IFERROR(IF($F492="","",IF($C492="Alış",VLOOKUP($F492,'Ürün Kartlar'!$B$5:$E$204,4,FALSE),VLOOKUP($F492,'Ürün Kartlar'!$B$5:$F$204,5,FALSE))),"")</f>
      </c>
      <c r="J492" s="23">
        <f>IFERROR(IF($F492="",Ayarlar!$C$9,VLOOKUP($F492,'Ürün Kartlar'!$B$5:$G$204,6,FALSE)),Ayarlar!$C$9)</f>
      </c>
      <c r="K492" s="18">
        <f>IF(OR($H492="",$I492=""),0,$H492*$I492)</f>
      </c>
      <c r="L492" s="18">
        <f>$K492*$J492</f>
      </c>
      <c r="M492" s="18">
        <f>$K492+$L492</f>
      </c>
      <c r="N492" s="20"/>
      <c r="O492" s="20"/>
      <c r="P492" s="20"/>
    </row>
    <row r="493" spans="2:16" x14ac:dyDescent="0.25">
      <c r="B493" s="15"/>
      <c r="C493" s="8"/>
      <c r="D493" s="8"/>
      <c r="E493" s="16">
        <f>IFERROR(IF($D493="","",VLOOKUP($D493,'Cari Kartlar'!$B$5:$C$204,2,FALSE)),"— tanımsız cari —")</f>
      </c>
      <c r="F493" s="8"/>
      <c r="G493" s="16">
        <f>IFERROR(IF($F493="","",VLOOKUP($F493,'Ürün Kartlar'!$B$5:$C$204,2,FALSE)),"— tanımsız ürün —")</f>
      </c>
      <c r="H493" s="17"/>
      <c r="I493" s="13">
        <f>IFERROR(IF($F493="","",IF($C493="Alış",VLOOKUP($F493,'Ürün Kartlar'!$B$5:$E$204,4,FALSE),VLOOKUP($F493,'Ürün Kartlar'!$B$5:$F$204,5,FALSE))),"")</f>
      </c>
      <c r="J493" s="11">
        <f>IFERROR(IF($F493="",Ayarlar!$C$9,VLOOKUP($F493,'Ürün Kartlar'!$B$5:$G$204,6,FALSE)),Ayarlar!$C$9)</f>
      </c>
      <c r="K493" s="18">
        <f>IF(OR($H493="",$I493=""),0,$H493*$I493)</f>
      </c>
      <c r="L493" s="18">
        <f>$K493*$J493</f>
      </c>
      <c r="M493" s="18">
        <f>$K493+$L493</f>
      </c>
      <c r="N493" s="8"/>
      <c r="O493" s="8"/>
      <c r="P493" s="8"/>
    </row>
    <row r="494" spans="2:16" x14ac:dyDescent="0.25">
      <c r="B494" s="19"/>
      <c r="C494" s="20"/>
      <c r="D494" s="20"/>
      <c r="E494" s="16">
        <f>IFERROR(IF($D494="","",VLOOKUP($D494,'Cari Kartlar'!$B$5:$C$204,2,FALSE)),"— tanımsız cari —")</f>
      </c>
      <c r="F494" s="20"/>
      <c r="G494" s="16">
        <f>IFERROR(IF($F494="","",VLOOKUP($F494,'Ürün Kartlar'!$B$5:$C$204,2,FALSE)),"— tanımsız ürün —")</f>
      </c>
      <c r="H494" s="21"/>
      <c r="I494" s="22">
        <f>IFERROR(IF($F494="","",IF($C494="Alış",VLOOKUP($F494,'Ürün Kartlar'!$B$5:$E$204,4,FALSE),VLOOKUP($F494,'Ürün Kartlar'!$B$5:$F$204,5,FALSE))),"")</f>
      </c>
      <c r="J494" s="23">
        <f>IFERROR(IF($F494="",Ayarlar!$C$9,VLOOKUP($F494,'Ürün Kartlar'!$B$5:$G$204,6,FALSE)),Ayarlar!$C$9)</f>
      </c>
      <c r="K494" s="18">
        <f>IF(OR($H494="",$I494=""),0,$H494*$I494)</f>
      </c>
      <c r="L494" s="18">
        <f>$K494*$J494</f>
      </c>
      <c r="M494" s="18">
        <f>$K494+$L494</f>
      </c>
      <c r="N494" s="20"/>
      <c r="O494" s="20"/>
      <c r="P494" s="20"/>
    </row>
    <row r="495" spans="2:16" x14ac:dyDescent="0.25">
      <c r="B495" s="15"/>
      <c r="C495" s="8"/>
      <c r="D495" s="8"/>
      <c r="E495" s="16">
        <f>IFERROR(IF($D495="","",VLOOKUP($D495,'Cari Kartlar'!$B$5:$C$204,2,FALSE)),"— tanımsız cari —")</f>
      </c>
      <c r="F495" s="8"/>
      <c r="G495" s="16">
        <f>IFERROR(IF($F495="","",VLOOKUP($F495,'Ürün Kartlar'!$B$5:$C$204,2,FALSE)),"— tanımsız ürün —")</f>
      </c>
      <c r="H495" s="17"/>
      <c r="I495" s="13">
        <f>IFERROR(IF($F495="","",IF($C495="Alış",VLOOKUP($F495,'Ürün Kartlar'!$B$5:$E$204,4,FALSE),VLOOKUP($F495,'Ürün Kartlar'!$B$5:$F$204,5,FALSE))),"")</f>
      </c>
      <c r="J495" s="11">
        <f>IFERROR(IF($F495="",Ayarlar!$C$9,VLOOKUP($F495,'Ürün Kartlar'!$B$5:$G$204,6,FALSE)),Ayarlar!$C$9)</f>
      </c>
      <c r="K495" s="18">
        <f>IF(OR($H495="",$I495=""),0,$H495*$I495)</f>
      </c>
      <c r="L495" s="18">
        <f>$K495*$J495</f>
      </c>
      <c r="M495" s="18">
        <f>$K495+$L495</f>
      </c>
      <c r="N495" s="8"/>
      <c r="O495" s="8"/>
      <c r="P495" s="8"/>
    </row>
    <row r="496" spans="2:16" x14ac:dyDescent="0.25">
      <c r="B496" s="19"/>
      <c r="C496" s="20"/>
      <c r="D496" s="20"/>
      <c r="E496" s="16">
        <f>IFERROR(IF($D496="","",VLOOKUP($D496,'Cari Kartlar'!$B$5:$C$204,2,FALSE)),"— tanımsız cari —")</f>
      </c>
      <c r="F496" s="20"/>
      <c r="G496" s="16">
        <f>IFERROR(IF($F496="","",VLOOKUP($F496,'Ürün Kartlar'!$B$5:$C$204,2,FALSE)),"— tanımsız ürün —")</f>
      </c>
      <c r="H496" s="21"/>
      <c r="I496" s="22">
        <f>IFERROR(IF($F496="","",IF($C496="Alış",VLOOKUP($F496,'Ürün Kartlar'!$B$5:$E$204,4,FALSE),VLOOKUP($F496,'Ürün Kartlar'!$B$5:$F$204,5,FALSE))),"")</f>
      </c>
      <c r="J496" s="23">
        <f>IFERROR(IF($F496="",Ayarlar!$C$9,VLOOKUP($F496,'Ürün Kartlar'!$B$5:$G$204,6,FALSE)),Ayarlar!$C$9)</f>
      </c>
      <c r="K496" s="18">
        <f>IF(OR($H496="",$I496=""),0,$H496*$I496)</f>
      </c>
      <c r="L496" s="18">
        <f>$K496*$J496</f>
      </c>
      <c r="M496" s="18">
        <f>$K496+$L496</f>
      </c>
      <c r="N496" s="20"/>
      <c r="O496" s="20"/>
      <c r="P496" s="20"/>
    </row>
    <row r="497" spans="2:16" x14ac:dyDescent="0.25">
      <c r="B497" s="15"/>
      <c r="C497" s="8"/>
      <c r="D497" s="8"/>
      <c r="E497" s="16">
        <f>IFERROR(IF($D497="","",VLOOKUP($D497,'Cari Kartlar'!$B$5:$C$204,2,FALSE)),"— tanımsız cari —")</f>
      </c>
      <c r="F497" s="8"/>
      <c r="G497" s="16">
        <f>IFERROR(IF($F497="","",VLOOKUP($F497,'Ürün Kartlar'!$B$5:$C$204,2,FALSE)),"— tanımsız ürün —")</f>
      </c>
      <c r="H497" s="17"/>
      <c r="I497" s="13">
        <f>IFERROR(IF($F497="","",IF($C497="Alış",VLOOKUP($F497,'Ürün Kartlar'!$B$5:$E$204,4,FALSE),VLOOKUP($F497,'Ürün Kartlar'!$B$5:$F$204,5,FALSE))),"")</f>
      </c>
      <c r="J497" s="11">
        <f>IFERROR(IF($F497="",Ayarlar!$C$9,VLOOKUP($F497,'Ürün Kartlar'!$B$5:$G$204,6,FALSE)),Ayarlar!$C$9)</f>
      </c>
      <c r="K497" s="18">
        <f>IF(OR($H497="",$I497=""),0,$H497*$I497)</f>
      </c>
      <c r="L497" s="18">
        <f>$K497*$J497</f>
      </c>
      <c r="M497" s="18">
        <f>$K497+$L497</f>
      </c>
      <c r="N497" s="8"/>
      <c r="O497" s="8"/>
      <c r="P497" s="8"/>
    </row>
    <row r="498" spans="2:16" x14ac:dyDescent="0.25">
      <c r="B498" s="19"/>
      <c r="C498" s="20"/>
      <c r="D498" s="20"/>
      <c r="E498" s="16">
        <f>IFERROR(IF($D498="","",VLOOKUP($D498,'Cari Kartlar'!$B$5:$C$204,2,FALSE)),"— tanımsız cari —")</f>
      </c>
      <c r="F498" s="20"/>
      <c r="G498" s="16">
        <f>IFERROR(IF($F498="","",VLOOKUP($F498,'Ürün Kartlar'!$B$5:$C$204,2,FALSE)),"— tanımsız ürün —")</f>
      </c>
      <c r="H498" s="21"/>
      <c r="I498" s="22">
        <f>IFERROR(IF($F498="","",IF($C498="Alış",VLOOKUP($F498,'Ürün Kartlar'!$B$5:$E$204,4,FALSE),VLOOKUP($F498,'Ürün Kartlar'!$B$5:$F$204,5,FALSE))),"")</f>
      </c>
      <c r="J498" s="23">
        <f>IFERROR(IF($F498="",Ayarlar!$C$9,VLOOKUP($F498,'Ürün Kartlar'!$B$5:$G$204,6,FALSE)),Ayarlar!$C$9)</f>
      </c>
      <c r="K498" s="18">
        <f>IF(OR($H498="",$I498=""),0,$H498*$I498)</f>
      </c>
      <c r="L498" s="18">
        <f>$K498*$J498</f>
      </c>
      <c r="M498" s="18">
        <f>$K498+$L498</f>
      </c>
      <c r="N498" s="20"/>
      <c r="O498" s="20"/>
      <c r="P498" s="20"/>
    </row>
    <row r="499" spans="2:16" x14ac:dyDescent="0.25">
      <c r="B499" s="15"/>
      <c r="C499" s="8"/>
      <c r="D499" s="8"/>
      <c r="E499" s="16">
        <f>IFERROR(IF($D499="","",VLOOKUP($D499,'Cari Kartlar'!$B$5:$C$204,2,FALSE)),"— tanımsız cari —")</f>
      </c>
      <c r="F499" s="8"/>
      <c r="G499" s="16">
        <f>IFERROR(IF($F499="","",VLOOKUP($F499,'Ürün Kartlar'!$B$5:$C$204,2,FALSE)),"— tanımsız ürün —")</f>
      </c>
      <c r="H499" s="17"/>
      <c r="I499" s="13">
        <f>IFERROR(IF($F499="","",IF($C499="Alış",VLOOKUP($F499,'Ürün Kartlar'!$B$5:$E$204,4,FALSE),VLOOKUP($F499,'Ürün Kartlar'!$B$5:$F$204,5,FALSE))),"")</f>
      </c>
      <c r="J499" s="11">
        <f>IFERROR(IF($F499="",Ayarlar!$C$9,VLOOKUP($F499,'Ürün Kartlar'!$B$5:$G$204,6,FALSE)),Ayarlar!$C$9)</f>
      </c>
      <c r="K499" s="18">
        <f>IF(OR($H499="",$I499=""),0,$H499*$I499)</f>
      </c>
      <c r="L499" s="18">
        <f>$K499*$J499</f>
      </c>
      <c r="M499" s="18">
        <f>$K499+$L499</f>
      </c>
      <c r="N499" s="8"/>
      <c r="O499" s="8"/>
      <c r="P499" s="8"/>
    </row>
    <row r="500" spans="2:16" x14ac:dyDescent="0.25">
      <c r="B500" s="19"/>
      <c r="C500" s="20"/>
      <c r="D500" s="20"/>
      <c r="E500" s="16">
        <f>IFERROR(IF($D500="","",VLOOKUP($D500,'Cari Kartlar'!$B$5:$C$204,2,FALSE)),"— tanımsız cari —")</f>
      </c>
      <c r="F500" s="20"/>
      <c r="G500" s="16">
        <f>IFERROR(IF($F500="","",VLOOKUP($F500,'Ürün Kartlar'!$B$5:$C$204,2,FALSE)),"— tanımsız ürün —")</f>
      </c>
      <c r="H500" s="21"/>
      <c r="I500" s="22">
        <f>IFERROR(IF($F500="","",IF($C500="Alış",VLOOKUP($F500,'Ürün Kartlar'!$B$5:$E$204,4,FALSE),VLOOKUP($F500,'Ürün Kartlar'!$B$5:$F$204,5,FALSE))),"")</f>
      </c>
      <c r="J500" s="23">
        <f>IFERROR(IF($F500="",Ayarlar!$C$9,VLOOKUP($F500,'Ürün Kartlar'!$B$5:$G$204,6,FALSE)),Ayarlar!$C$9)</f>
      </c>
      <c r="K500" s="18">
        <f>IF(OR($H500="",$I500=""),0,$H500*$I500)</f>
      </c>
      <c r="L500" s="18">
        <f>$K500*$J500</f>
      </c>
      <c r="M500" s="18">
        <f>$K500+$L500</f>
      </c>
      <c r="N500" s="20"/>
      <c r="O500" s="20"/>
      <c r="P500" s="20"/>
    </row>
    <row r="501" spans="2:16" x14ac:dyDescent="0.25">
      <c r="B501" s="15"/>
      <c r="C501" s="8"/>
      <c r="D501" s="8"/>
      <c r="E501" s="16">
        <f>IFERROR(IF($D501="","",VLOOKUP($D501,'Cari Kartlar'!$B$5:$C$204,2,FALSE)),"— tanımsız cari —")</f>
      </c>
      <c r="F501" s="8"/>
      <c r="G501" s="16">
        <f>IFERROR(IF($F501="","",VLOOKUP($F501,'Ürün Kartlar'!$B$5:$C$204,2,FALSE)),"— tanımsız ürün —")</f>
      </c>
      <c r="H501" s="17"/>
      <c r="I501" s="13">
        <f>IFERROR(IF($F501="","",IF($C501="Alış",VLOOKUP($F501,'Ürün Kartlar'!$B$5:$E$204,4,FALSE),VLOOKUP($F501,'Ürün Kartlar'!$B$5:$F$204,5,FALSE))),"")</f>
      </c>
      <c r="J501" s="11">
        <f>IFERROR(IF($F501="",Ayarlar!$C$9,VLOOKUP($F501,'Ürün Kartlar'!$B$5:$G$204,6,FALSE)),Ayarlar!$C$9)</f>
      </c>
      <c r="K501" s="18">
        <f>IF(OR($H501="",$I501=""),0,$H501*$I501)</f>
      </c>
      <c r="L501" s="18">
        <f>$K501*$J501</f>
      </c>
      <c r="M501" s="18">
        <f>$K501+$L501</f>
      </c>
      <c r="N501" s="8"/>
      <c r="O501" s="8"/>
      <c r="P501" s="8"/>
    </row>
    <row r="502" spans="2:16" x14ac:dyDescent="0.25">
      <c r="B502" s="19"/>
      <c r="C502" s="20"/>
      <c r="D502" s="20"/>
      <c r="E502" s="16">
        <f>IFERROR(IF($D502="","",VLOOKUP($D502,'Cari Kartlar'!$B$5:$C$204,2,FALSE)),"— tanımsız cari —")</f>
      </c>
      <c r="F502" s="20"/>
      <c r="G502" s="16">
        <f>IFERROR(IF($F502="","",VLOOKUP($F502,'Ürün Kartlar'!$B$5:$C$204,2,FALSE)),"— tanımsız ürün —")</f>
      </c>
      <c r="H502" s="21"/>
      <c r="I502" s="22">
        <f>IFERROR(IF($F502="","",IF($C502="Alış",VLOOKUP($F502,'Ürün Kartlar'!$B$5:$E$204,4,FALSE),VLOOKUP($F502,'Ürün Kartlar'!$B$5:$F$204,5,FALSE))),"")</f>
      </c>
      <c r="J502" s="23">
        <f>IFERROR(IF($F502="",Ayarlar!$C$9,VLOOKUP($F502,'Ürün Kartlar'!$B$5:$G$204,6,FALSE)),Ayarlar!$C$9)</f>
      </c>
      <c r="K502" s="18">
        <f>IF(OR($H502="",$I502=""),0,$H502*$I502)</f>
      </c>
      <c r="L502" s="18">
        <f>$K502*$J502</f>
      </c>
      <c r="M502" s="18">
        <f>$K502+$L502</f>
      </c>
      <c r="N502" s="20"/>
      <c r="O502" s="20"/>
      <c r="P502" s="20"/>
    </row>
    <row r="503" spans="2:16" x14ac:dyDescent="0.25">
      <c r="B503" s="15"/>
      <c r="C503" s="8"/>
      <c r="D503" s="8"/>
      <c r="E503" s="16">
        <f>IFERROR(IF($D503="","",VLOOKUP($D503,'Cari Kartlar'!$B$5:$C$204,2,FALSE)),"— tanımsız cari —")</f>
      </c>
      <c r="F503" s="8"/>
      <c r="G503" s="16">
        <f>IFERROR(IF($F503="","",VLOOKUP($F503,'Ürün Kartlar'!$B$5:$C$204,2,FALSE)),"— tanımsız ürün —")</f>
      </c>
      <c r="H503" s="17"/>
      <c r="I503" s="13">
        <f>IFERROR(IF($F503="","",IF($C503="Alış",VLOOKUP($F503,'Ürün Kartlar'!$B$5:$E$204,4,FALSE),VLOOKUP($F503,'Ürün Kartlar'!$B$5:$F$204,5,FALSE))),"")</f>
      </c>
      <c r="J503" s="11">
        <f>IFERROR(IF($F503="",Ayarlar!$C$9,VLOOKUP($F503,'Ürün Kartlar'!$B$5:$G$204,6,FALSE)),Ayarlar!$C$9)</f>
      </c>
      <c r="K503" s="18">
        <f>IF(OR($H503="",$I503=""),0,$H503*$I503)</f>
      </c>
      <c r="L503" s="18">
        <f>$K503*$J503</f>
      </c>
      <c r="M503" s="18">
        <f>$K503+$L503</f>
      </c>
      <c r="N503" s="8"/>
      <c r="O503" s="8"/>
      <c r="P503" s="8"/>
    </row>
    <row r="504" spans="2:16" x14ac:dyDescent="0.25">
      <c r="B504" s="19"/>
      <c r="C504" s="20"/>
      <c r="D504" s="20"/>
      <c r="E504" s="16">
        <f>IFERROR(IF($D504="","",VLOOKUP($D504,'Cari Kartlar'!$B$5:$C$204,2,FALSE)),"— tanımsız cari —")</f>
      </c>
      <c r="F504" s="20"/>
      <c r="G504" s="16">
        <f>IFERROR(IF($F504="","",VLOOKUP($F504,'Ürün Kartlar'!$B$5:$C$204,2,FALSE)),"— tanımsız ürün —")</f>
      </c>
      <c r="H504" s="21"/>
      <c r="I504" s="22">
        <f>IFERROR(IF($F504="","",IF($C504="Alış",VLOOKUP($F504,'Ürün Kartlar'!$B$5:$E$204,4,FALSE),VLOOKUP($F504,'Ürün Kartlar'!$B$5:$F$204,5,FALSE))),"")</f>
      </c>
      <c r="J504" s="23">
        <f>IFERROR(IF($F504="",Ayarlar!$C$9,VLOOKUP($F504,'Ürün Kartlar'!$B$5:$G$204,6,FALSE)),Ayarlar!$C$9)</f>
      </c>
      <c r="K504" s="18">
        <f>IF(OR($H504="",$I504=""),0,$H504*$I504)</f>
      </c>
      <c r="L504" s="18">
        <f>$K504*$J504</f>
      </c>
      <c r="M504" s="18">
        <f>$K504+$L504</f>
      </c>
      <c r="N504" s="20"/>
      <c r="O504" s="20"/>
      <c r="P504" s="20"/>
    </row>
    <row r="505" spans="2:16" x14ac:dyDescent="0.25">
      <c r="B505" s="15"/>
      <c r="C505" s="8"/>
      <c r="D505" s="8"/>
      <c r="E505" s="16">
        <f>IFERROR(IF($D505="","",VLOOKUP($D505,'Cari Kartlar'!$B$5:$C$204,2,FALSE)),"— tanımsız cari —")</f>
      </c>
      <c r="F505" s="8"/>
      <c r="G505" s="16">
        <f>IFERROR(IF($F505="","",VLOOKUP($F505,'Ürün Kartlar'!$B$5:$C$204,2,FALSE)),"— tanımsız ürün —")</f>
      </c>
      <c r="H505" s="17"/>
      <c r="I505" s="13">
        <f>IFERROR(IF($F505="","",IF($C505="Alış",VLOOKUP($F505,'Ürün Kartlar'!$B$5:$E$204,4,FALSE),VLOOKUP($F505,'Ürün Kartlar'!$B$5:$F$204,5,FALSE))),"")</f>
      </c>
      <c r="J505" s="11">
        <f>IFERROR(IF($F505="",Ayarlar!$C$9,VLOOKUP($F505,'Ürün Kartlar'!$B$5:$G$204,6,FALSE)),Ayarlar!$C$9)</f>
      </c>
      <c r="K505" s="18">
        <f>IF(OR($H505="",$I505=""),0,$H505*$I505)</f>
      </c>
      <c r="L505" s="18">
        <f>$K505*$J505</f>
      </c>
      <c r="M505" s="18">
        <f>$K505+$L505</f>
      </c>
      <c r="N505" s="8"/>
      <c r="O505" s="8"/>
      <c r="P505" s="8"/>
    </row>
    <row r="506" spans="2:16" x14ac:dyDescent="0.25">
      <c r="B506" s="19"/>
      <c r="C506" s="20"/>
      <c r="D506" s="20"/>
      <c r="E506" s="16">
        <f>IFERROR(IF($D506="","",VLOOKUP($D506,'Cari Kartlar'!$B$5:$C$204,2,FALSE)),"— tanımsız cari —")</f>
      </c>
      <c r="F506" s="20"/>
      <c r="G506" s="16">
        <f>IFERROR(IF($F506="","",VLOOKUP($F506,'Ürün Kartlar'!$B$5:$C$204,2,FALSE)),"— tanımsız ürün —")</f>
      </c>
      <c r="H506" s="21"/>
      <c r="I506" s="22">
        <f>IFERROR(IF($F506="","",IF($C506="Alış",VLOOKUP($F506,'Ürün Kartlar'!$B$5:$E$204,4,FALSE),VLOOKUP($F506,'Ürün Kartlar'!$B$5:$F$204,5,FALSE))),"")</f>
      </c>
      <c r="J506" s="23">
        <f>IFERROR(IF($F506="",Ayarlar!$C$9,VLOOKUP($F506,'Ürün Kartlar'!$B$5:$G$204,6,FALSE)),Ayarlar!$C$9)</f>
      </c>
      <c r="K506" s="18">
        <f>IF(OR($H506="",$I506=""),0,$H506*$I506)</f>
      </c>
      <c r="L506" s="18">
        <f>$K506*$J506</f>
      </c>
      <c r="M506" s="18">
        <f>$K506+$L506</f>
      </c>
      <c r="N506" s="20"/>
      <c r="O506" s="20"/>
      <c r="P506" s="20"/>
    </row>
    <row r="507" spans="2:16" x14ac:dyDescent="0.25">
      <c r="B507" s="15"/>
      <c r="C507" s="8"/>
      <c r="D507" s="8"/>
      <c r="E507" s="16">
        <f>IFERROR(IF($D507="","",VLOOKUP($D507,'Cari Kartlar'!$B$5:$C$204,2,FALSE)),"— tanımsız cari —")</f>
      </c>
      <c r="F507" s="8"/>
      <c r="G507" s="16">
        <f>IFERROR(IF($F507="","",VLOOKUP($F507,'Ürün Kartlar'!$B$5:$C$204,2,FALSE)),"— tanımsız ürün —")</f>
      </c>
      <c r="H507" s="17"/>
      <c r="I507" s="13">
        <f>IFERROR(IF($F507="","",IF($C507="Alış",VLOOKUP($F507,'Ürün Kartlar'!$B$5:$E$204,4,FALSE),VLOOKUP($F507,'Ürün Kartlar'!$B$5:$F$204,5,FALSE))),"")</f>
      </c>
      <c r="J507" s="11">
        <f>IFERROR(IF($F507="",Ayarlar!$C$9,VLOOKUP($F507,'Ürün Kartlar'!$B$5:$G$204,6,FALSE)),Ayarlar!$C$9)</f>
      </c>
      <c r="K507" s="18">
        <f>IF(OR($H507="",$I507=""),0,$H507*$I507)</f>
      </c>
      <c r="L507" s="18">
        <f>$K507*$J507</f>
      </c>
      <c r="M507" s="18">
        <f>$K507+$L507</f>
      </c>
      <c r="N507" s="8"/>
      <c r="O507" s="8"/>
      <c r="P507" s="8"/>
    </row>
    <row r="508" spans="2:16" x14ac:dyDescent="0.25">
      <c r="B508" s="19"/>
      <c r="C508" s="20"/>
      <c r="D508" s="20"/>
      <c r="E508" s="16">
        <f>IFERROR(IF($D508="","",VLOOKUP($D508,'Cari Kartlar'!$B$5:$C$204,2,FALSE)),"— tanımsız cari —")</f>
      </c>
      <c r="F508" s="20"/>
      <c r="G508" s="16">
        <f>IFERROR(IF($F508="","",VLOOKUP($F508,'Ürün Kartlar'!$B$5:$C$204,2,FALSE)),"— tanımsız ürün —")</f>
      </c>
      <c r="H508" s="21"/>
      <c r="I508" s="22">
        <f>IFERROR(IF($F508="","",IF($C508="Alış",VLOOKUP($F508,'Ürün Kartlar'!$B$5:$E$204,4,FALSE),VLOOKUP($F508,'Ürün Kartlar'!$B$5:$F$204,5,FALSE))),"")</f>
      </c>
      <c r="J508" s="23">
        <f>IFERROR(IF($F508="",Ayarlar!$C$9,VLOOKUP($F508,'Ürün Kartlar'!$B$5:$G$204,6,FALSE)),Ayarlar!$C$9)</f>
      </c>
      <c r="K508" s="18">
        <f>IF(OR($H508="",$I508=""),0,$H508*$I508)</f>
      </c>
      <c r="L508" s="18">
        <f>$K508*$J508</f>
      </c>
      <c r="M508" s="18">
        <f>$K508+$L508</f>
      </c>
      <c r="N508" s="20"/>
      <c r="O508" s="20"/>
      <c r="P508" s="20"/>
    </row>
    <row r="509" spans="2:16" x14ac:dyDescent="0.25">
      <c r="B509" s="15"/>
      <c r="C509" s="8"/>
      <c r="D509" s="8"/>
      <c r="E509" s="16">
        <f>IFERROR(IF($D509="","",VLOOKUP($D509,'Cari Kartlar'!$B$5:$C$204,2,FALSE)),"— tanımsız cari —")</f>
      </c>
      <c r="F509" s="8"/>
      <c r="G509" s="16">
        <f>IFERROR(IF($F509="","",VLOOKUP($F509,'Ürün Kartlar'!$B$5:$C$204,2,FALSE)),"— tanımsız ürün —")</f>
      </c>
      <c r="H509" s="17"/>
      <c r="I509" s="13">
        <f>IFERROR(IF($F509="","",IF($C509="Alış",VLOOKUP($F509,'Ürün Kartlar'!$B$5:$E$204,4,FALSE),VLOOKUP($F509,'Ürün Kartlar'!$B$5:$F$204,5,FALSE))),"")</f>
      </c>
      <c r="J509" s="11">
        <f>IFERROR(IF($F509="",Ayarlar!$C$9,VLOOKUP($F509,'Ürün Kartlar'!$B$5:$G$204,6,FALSE)),Ayarlar!$C$9)</f>
      </c>
      <c r="K509" s="18">
        <f>IF(OR($H509="",$I509=""),0,$H509*$I509)</f>
      </c>
      <c r="L509" s="18">
        <f>$K509*$J509</f>
      </c>
      <c r="M509" s="18">
        <f>$K509+$L509</f>
      </c>
      <c r="N509" s="8"/>
      <c r="O509" s="8"/>
      <c r="P509" s="8"/>
    </row>
    <row r="510" spans="2:16" x14ac:dyDescent="0.25">
      <c r="B510" s="19"/>
      <c r="C510" s="20"/>
      <c r="D510" s="20"/>
      <c r="E510" s="16">
        <f>IFERROR(IF($D510="","",VLOOKUP($D510,'Cari Kartlar'!$B$5:$C$204,2,FALSE)),"— tanımsız cari —")</f>
      </c>
      <c r="F510" s="20"/>
      <c r="G510" s="16">
        <f>IFERROR(IF($F510="","",VLOOKUP($F510,'Ürün Kartlar'!$B$5:$C$204,2,FALSE)),"— tanımsız ürün —")</f>
      </c>
      <c r="H510" s="21"/>
      <c r="I510" s="22">
        <f>IFERROR(IF($F510="","",IF($C510="Alış",VLOOKUP($F510,'Ürün Kartlar'!$B$5:$E$204,4,FALSE),VLOOKUP($F510,'Ürün Kartlar'!$B$5:$F$204,5,FALSE))),"")</f>
      </c>
      <c r="J510" s="23">
        <f>IFERROR(IF($F510="",Ayarlar!$C$9,VLOOKUP($F510,'Ürün Kartlar'!$B$5:$G$204,6,FALSE)),Ayarlar!$C$9)</f>
      </c>
      <c r="K510" s="18">
        <f>IF(OR($H510="",$I510=""),0,$H510*$I510)</f>
      </c>
      <c r="L510" s="18">
        <f>$K510*$J510</f>
      </c>
      <c r="M510" s="18">
        <f>$K510+$L510</f>
      </c>
      <c r="N510" s="20"/>
      <c r="O510" s="20"/>
      <c r="P510" s="20"/>
    </row>
    <row r="511" spans="2:16" x14ac:dyDescent="0.25">
      <c r="B511" s="15"/>
      <c r="C511" s="8"/>
      <c r="D511" s="8"/>
      <c r="E511" s="16">
        <f>IFERROR(IF($D511="","",VLOOKUP($D511,'Cari Kartlar'!$B$5:$C$204,2,FALSE)),"— tanımsız cari —")</f>
      </c>
      <c r="F511" s="8"/>
      <c r="G511" s="16">
        <f>IFERROR(IF($F511="","",VLOOKUP($F511,'Ürün Kartlar'!$B$5:$C$204,2,FALSE)),"— tanımsız ürün —")</f>
      </c>
      <c r="H511" s="17"/>
      <c r="I511" s="13">
        <f>IFERROR(IF($F511="","",IF($C511="Alış",VLOOKUP($F511,'Ürün Kartlar'!$B$5:$E$204,4,FALSE),VLOOKUP($F511,'Ürün Kartlar'!$B$5:$F$204,5,FALSE))),"")</f>
      </c>
      <c r="J511" s="11">
        <f>IFERROR(IF($F511="",Ayarlar!$C$9,VLOOKUP($F511,'Ürün Kartlar'!$B$5:$G$204,6,FALSE)),Ayarlar!$C$9)</f>
      </c>
      <c r="K511" s="18">
        <f>IF(OR($H511="",$I511=""),0,$H511*$I511)</f>
      </c>
      <c r="L511" s="18">
        <f>$K511*$J511</f>
      </c>
      <c r="M511" s="18">
        <f>$K511+$L511</f>
      </c>
      <c r="N511" s="8"/>
      <c r="O511" s="8"/>
      <c r="P511" s="8"/>
    </row>
    <row r="512" spans="2:16" x14ac:dyDescent="0.25">
      <c r="B512" s="19"/>
      <c r="C512" s="20"/>
      <c r="D512" s="20"/>
      <c r="E512" s="16">
        <f>IFERROR(IF($D512="","",VLOOKUP($D512,'Cari Kartlar'!$B$5:$C$204,2,FALSE)),"— tanımsız cari —")</f>
      </c>
      <c r="F512" s="20"/>
      <c r="G512" s="16">
        <f>IFERROR(IF($F512="","",VLOOKUP($F512,'Ürün Kartlar'!$B$5:$C$204,2,FALSE)),"— tanımsız ürün —")</f>
      </c>
      <c r="H512" s="21"/>
      <c r="I512" s="22">
        <f>IFERROR(IF($F512="","",IF($C512="Alış",VLOOKUP($F512,'Ürün Kartlar'!$B$5:$E$204,4,FALSE),VLOOKUP($F512,'Ürün Kartlar'!$B$5:$F$204,5,FALSE))),"")</f>
      </c>
      <c r="J512" s="23">
        <f>IFERROR(IF($F512="",Ayarlar!$C$9,VLOOKUP($F512,'Ürün Kartlar'!$B$5:$G$204,6,FALSE)),Ayarlar!$C$9)</f>
      </c>
      <c r="K512" s="18">
        <f>IF(OR($H512="",$I512=""),0,$H512*$I512)</f>
      </c>
      <c r="L512" s="18">
        <f>$K512*$J512</f>
      </c>
      <c r="M512" s="18">
        <f>$K512+$L512</f>
      </c>
      <c r="N512" s="20"/>
      <c r="O512" s="20"/>
      <c r="P512" s="20"/>
    </row>
    <row r="513" spans="2:16" x14ac:dyDescent="0.25">
      <c r="B513" s="15"/>
      <c r="C513" s="8"/>
      <c r="D513" s="8"/>
      <c r="E513" s="16">
        <f>IFERROR(IF($D513="","",VLOOKUP($D513,'Cari Kartlar'!$B$5:$C$204,2,FALSE)),"— tanımsız cari —")</f>
      </c>
      <c r="F513" s="8"/>
      <c r="G513" s="16">
        <f>IFERROR(IF($F513="","",VLOOKUP($F513,'Ürün Kartlar'!$B$5:$C$204,2,FALSE)),"— tanımsız ürün —")</f>
      </c>
      <c r="H513" s="17"/>
      <c r="I513" s="13">
        <f>IFERROR(IF($F513="","",IF($C513="Alış",VLOOKUP($F513,'Ürün Kartlar'!$B$5:$E$204,4,FALSE),VLOOKUP($F513,'Ürün Kartlar'!$B$5:$F$204,5,FALSE))),"")</f>
      </c>
      <c r="J513" s="11">
        <f>IFERROR(IF($F513="",Ayarlar!$C$9,VLOOKUP($F513,'Ürün Kartlar'!$B$5:$G$204,6,FALSE)),Ayarlar!$C$9)</f>
      </c>
      <c r="K513" s="18">
        <f>IF(OR($H513="",$I513=""),0,$H513*$I513)</f>
      </c>
      <c r="L513" s="18">
        <f>$K513*$J513</f>
      </c>
      <c r="M513" s="18">
        <f>$K513+$L513</f>
      </c>
      <c r="N513" s="8"/>
      <c r="O513" s="8"/>
      <c r="P513" s="8"/>
    </row>
    <row r="514" spans="2:16" x14ac:dyDescent="0.25">
      <c r="B514" s="19"/>
      <c r="C514" s="20"/>
      <c r="D514" s="20"/>
      <c r="E514" s="16">
        <f>IFERROR(IF($D514="","",VLOOKUP($D514,'Cari Kartlar'!$B$5:$C$204,2,FALSE)),"— tanımsız cari —")</f>
      </c>
      <c r="F514" s="20"/>
      <c r="G514" s="16">
        <f>IFERROR(IF($F514="","",VLOOKUP($F514,'Ürün Kartlar'!$B$5:$C$204,2,FALSE)),"— tanımsız ürün —")</f>
      </c>
      <c r="H514" s="21"/>
      <c r="I514" s="22">
        <f>IFERROR(IF($F514="","",IF($C514="Alış",VLOOKUP($F514,'Ürün Kartlar'!$B$5:$E$204,4,FALSE),VLOOKUP($F514,'Ürün Kartlar'!$B$5:$F$204,5,FALSE))),"")</f>
      </c>
      <c r="J514" s="23">
        <f>IFERROR(IF($F514="",Ayarlar!$C$9,VLOOKUP($F514,'Ürün Kartlar'!$B$5:$G$204,6,FALSE)),Ayarlar!$C$9)</f>
      </c>
      <c r="K514" s="18">
        <f>IF(OR($H514="",$I514=""),0,$H514*$I514)</f>
      </c>
      <c r="L514" s="18">
        <f>$K514*$J514</f>
      </c>
      <c r="M514" s="18">
        <f>$K514+$L514</f>
      </c>
      <c r="N514" s="20"/>
      <c r="O514" s="20"/>
      <c r="P514" s="20"/>
    </row>
    <row r="515" spans="2:16" x14ac:dyDescent="0.25">
      <c r="B515" s="15"/>
      <c r="C515" s="8"/>
      <c r="D515" s="8"/>
      <c r="E515" s="16">
        <f>IFERROR(IF($D515="","",VLOOKUP($D515,'Cari Kartlar'!$B$5:$C$204,2,FALSE)),"— tanımsız cari —")</f>
      </c>
      <c r="F515" s="8"/>
      <c r="G515" s="16">
        <f>IFERROR(IF($F515="","",VLOOKUP($F515,'Ürün Kartlar'!$B$5:$C$204,2,FALSE)),"— tanımsız ürün —")</f>
      </c>
      <c r="H515" s="17"/>
      <c r="I515" s="13">
        <f>IFERROR(IF($F515="","",IF($C515="Alış",VLOOKUP($F515,'Ürün Kartlar'!$B$5:$E$204,4,FALSE),VLOOKUP($F515,'Ürün Kartlar'!$B$5:$F$204,5,FALSE))),"")</f>
      </c>
      <c r="J515" s="11">
        <f>IFERROR(IF($F515="",Ayarlar!$C$9,VLOOKUP($F515,'Ürün Kartlar'!$B$5:$G$204,6,FALSE)),Ayarlar!$C$9)</f>
      </c>
      <c r="K515" s="18">
        <f>IF(OR($H515="",$I515=""),0,$H515*$I515)</f>
      </c>
      <c r="L515" s="18">
        <f>$K515*$J515</f>
      </c>
      <c r="M515" s="18">
        <f>$K515+$L515</f>
      </c>
      <c r="N515" s="8"/>
      <c r="O515" s="8"/>
      <c r="P515" s="8"/>
    </row>
    <row r="516" spans="2:16" x14ac:dyDescent="0.25">
      <c r="B516" s="19"/>
      <c r="C516" s="20"/>
      <c r="D516" s="20"/>
      <c r="E516" s="16">
        <f>IFERROR(IF($D516="","",VLOOKUP($D516,'Cari Kartlar'!$B$5:$C$204,2,FALSE)),"— tanımsız cari —")</f>
      </c>
      <c r="F516" s="20"/>
      <c r="G516" s="16">
        <f>IFERROR(IF($F516="","",VLOOKUP($F516,'Ürün Kartlar'!$B$5:$C$204,2,FALSE)),"— tanımsız ürün —")</f>
      </c>
      <c r="H516" s="21"/>
      <c r="I516" s="22">
        <f>IFERROR(IF($F516="","",IF($C516="Alış",VLOOKUP($F516,'Ürün Kartlar'!$B$5:$E$204,4,FALSE),VLOOKUP($F516,'Ürün Kartlar'!$B$5:$F$204,5,FALSE))),"")</f>
      </c>
      <c r="J516" s="23">
        <f>IFERROR(IF($F516="",Ayarlar!$C$9,VLOOKUP($F516,'Ürün Kartlar'!$B$5:$G$204,6,FALSE)),Ayarlar!$C$9)</f>
      </c>
      <c r="K516" s="18">
        <f>IF(OR($H516="",$I516=""),0,$H516*$I516)</f>
      </c>
      <c r="L516" s="18">
        <f>$K516*$J516</f>
      </c>
      <c r="M516" s="18">
        <f>$K516+$L516</f>
      </c>
      <c r="N516" s="20"/>
      <c r="O516" s="20"/>
      <c r="P516" s="20"/>
    </row>
    <row r="517" spans="2:16" x14ac:dyDescent="0.25">
      <c r="B517" s="15"/>
      <c r="C517" s="8"/>
      <c r="D517" s="8"/>
      <c r="E517" s="16">
        <f>IFERROR(IF($D517="","",VLOOKUP($D517,'Cari Kartlar'!$B$5:$C$204,2,FALSE)),"— tanımsız cari —")</f>
      </c>
      <c r="F517" s="8"/>
      <c r="G517" s="16">
        <f>IFERROR(IF($F517="","",VLOOKUP($F517,'Ürün Kartlar'!$B$5:$C$204,2,FALSE)),"— tanımsız ürün —")</f>
      </c>
      <c r="H517" s="17"/>
      <c r="I517" s="13">
        <f>IFERROR(IF($F517="","",IF($C517="Alış",VLOOKUP($F517,'Ürün Kartlar'!$B$5:$E$204,4,FALSE),VLOOKUP($F517,'Ürün Kartlar'!$B$5:$F$204,5,FALSE))),"")</f>
      </c>
      <c r="J517" s="11">
        <f>IFERROR(IF($F517="",Ayarlar!$C$9,VLOOKUP($F517,'Ürün Kartlar'!$B$5:$G$204,6,FALSE)),Ayarlar!$C$9)</f>
      </c>
      <c r="K517" s="18">
        <f>IF(OR($H517="",$I517=""),0,$H517*$I517)</f>
      </c>
      <c r="L517" s="18">
        <f>$K517*$J517</f>
      </c>
      <c r="M517" s="18">
        <f>$K517+$L517</f>
      </c>
      <c r="N517" s="8"/>
      <c r="O517" s="8"/>
      <c r="P517" s="8"/>
    </row>
    <row r="518" spans="2:16" x14ac:dyDescent="0.25">
      <c r="B518" s="19"/>
      <c r="C518" s="20"/>
      <c r="D518" s="20"/>
      <c r="E518" s="16">
        <f>IFERROR(IF($D518="","",VLOOKUP($D518,'Cari Kartlar'!$B$5:$C$204,2,FALSE)),"— tanımsız cari —")</f>
      </c>
      <c r="F518" s="20"/>
      <c r="G518" s="16">
        <f>IFERROR(IF($F518="","",VLOOKUP($F518,'Ürün Kartlar'!$B$5:$C$204,2,FALSE)),"— tanımsız ürün —")</f>
      </c>
      <c r="H518" s="21"/>
      <c r="I518" s="22">
        <f>IFERROR(IF($F518="","",IF($C518="Alış",VLOOKUP($F518,'Ürün Kartlar'!$B$5:$E$204,4,FALSE),VLOOKUP($F518,'Ürün Kartlar'!$B$5:$F$204,5,FALSE))),"")</f>
      </c>
      <c r="J518" s="23">
        <f>IFERROR(IF($F518="",Ayarlar!$C$9,VLOOKUP($F518,'Ürün Kartlar'!$B$5:$G$204,6,FALSE)),Ayarlar!$C$9)</f>
      </c>
      <c r="K518" s="18">
        <f>IF(OR($H518="",$I518=""),0,$H518*$I518)</f>
      </c>
      <c r="L518" s="18">
        <f>$K518*$J518</f>
      </c>
      <c r="M518" s="18">
        <f>$K518+$L518</f>
      </c>
      <c r="N518" s="20"/>
      <c r="O518" s="20"/>
      <c r="P518" s="20"/>
    </row>
    <row r="519" spans="2:16" x14ac:dyDescent="0.25">
      <c r="B519" s="15"/>
      <c r="C519" s="8"/>
      <c r="D519" s="8"/>
      <c r="E519" s="16">
        <f>IFERROR(IF($D519="","",VLOOKUP($D519,'Cari Kartlar'!$B$5:$C$204,2,FALSE)),"— tanımsız cari —")</f>
      </c>
      <c r="F519" s="8"/>
      <c r="G519" s="16">
        <f>IFERROR(IF($F519="","",VLOOKUP($F519,'Ürün Kartlar'!$B$5:$C$204,2,FALSE)),"— tanımsız ürün —")</f>
      </c>
      <c r="H519" s="17"/>
      <c r="I519" s="13">
        <f>IFERROR(IF($F519="","",IF($C519="Alış",VLOOKUP($F519,'Ürün Kartlar'!$B$5:$E$204,4,FALSE),VLOOKUP($F519,'Ürün Kartlar'!$B$5:$F$204,5,FALSE))),"")</f>
      </c>
      <c r="J519" s="11">
        <f>IFERROR(IF($F519="",Ayarlar!$C$9,VLOOKUP($F519,'Ürün Kartlar'!$B$5:$G$204,6,FALSE)),Ayarlar!$C$9)</f>
      </c>
      <c r="K519" s="18">
        <f>IF(OR($H519="",$I519=""),0,$H519*$I519)</f>
      </c>
      <c r="L519" s="18">
        <f>$K519*$J519</f>
      </c>
      <c r="M519" s="18">
        <f>$K519+$L519</f>
      </c>
      <c r="N519" s="8"/>
      <c r="O519" s="8"/>
      <c r="P519" s="8"/>
    </row>
    <row r="520" spans="2:16" x14ac:dyDescent="0.25">
      <c r="B520" s="19"/>
      <c r="C520" s="20"/>
      <c r="D520" s="20"/>
      <c r="E520" s="16">
        <f>IFERROR(IF($D520="","",VLOOKUP($D520,'Cari Kartlar'!$B$5:$C$204,2,FALSE)),"— tanımsız cari —")</f>
      </c>
      <c r="F520" s="20"/>
      <c r="G520" s="16">
        <f>IFERROR(IF($F520="","",VLOOKUP($F520,'Ürün Kartlar'!$B$5:$C$204,2,FALSE)),"— tanımsız ürün —")</f>
      </c>
      <c r="H520" s="21"/>
      <c r="I520" s="22">
        <f>IFERROR(IF($F520="","",IF($C520="Alış",VLOOKUP($F520,'Ürün Kartlar'!$B$5:$E$204,4,FALSE),VLOOKUP($F520,'Ürün Kartlar'!$B$5:$F$204,5,FALSE))),"")</f>
      </c>
      <c r="J520" s="23">
        <f>IFERROR(IF($F520="",Ayarlar!$C$9,VLOOKUP($F520,'Ürün Kartlar'!$B$5:$G$204,6,FALSE)),Ayarlar!$C$9)</f>
      </c>
      <c r="K520" s="18">
        <f>IF(OR($H520="",$I520=""),0,$H520*$I520)</f>
      </c>
      <c r="L520" s="18">
        <f>$K520*$J520</f>
      </c>
      <c r="M520" s="18">
        <f>$K520+$L520</f>
      </c>
      <c r="N520" s="20"/>
      <c r="O520" s="20"/>
      <c r="P520" s="20"/>
    </row>
    <row r="521" spans="2:16" x14ac:dyDescent="0.25">
      <c r="B521" s="15"/>
      <c r="C521" s="8"/>
      <c r="D521" s="8"/>
      <c r="E521" s="16">
        <f>IFERROR(IF($D521="","",VLOOKUP($D521,'Cari Kartlar'!$B$5:$C$204,2,FALSE)),"— tanımsız cari —")</f>
      </c>
      <c r="F521" s="8"/>
      <c r="G521" s="16">
        <f>IFERROR(IF($F521="","",VLOOKUP($F521,'Ürün Kartlar'!$B$5:$C$204,2,FALSE)),"— tanımsız ürün —")</f>
      </c>
      <c r="H521" s="17"/>
      <c r="I521" s="13">
        <f>IFERROR(IF($F521="","",IF($C521="Alış",VLOOKUP($F521,'Ürün Kartlar'!$B$5:$E$204,4,FALSE),VLOOKUP($F521,'Ürün Kartlar'!$B$5:$F$204,5,FALSE))),"")</f>
      </c>
      <c r="J521" s="11">
        <f>IFERROR(IF($F521="",Ayarlar!$C$9,VLOOKUP($F521,'Ürün Kartlar'!$B$5:$G$204,6,FALSE)),Ayarlar!$C$9)</f>
      </c>
      <c r="K521" s="18">
        <f>IF(OR($H521="",$I521=""),0,$H521*$I521)</f>
      </c>
      <c r="L521" s="18">
        <f>$K521*$J521</f>
      </c>
      <c r="M521" s="18">
        <f>$K521+$L521</f>
      </c>
      <c r="N521" s="8"/>
      <c r="O521" s="8"/>
      <c r="P521" s="8"/>
    </row>
    <row r="522" spans="2:16" x14ac:dyDescent="0.25">
      <c r="B522" s="19"/>
      <c r="C522" s="20"/>
      <c r="D522" s="20"/>
      <c r="E522" s="16">
        <f>IFERROR(IF($D522="","",VLOOKUP($D522,'Cari Kartlar'!$B$5:$C$204,2,FALSE)),"— tanımsız cari —")</f>
      </c>
      <c r="F522" s="20"/>
      <c r="G522" s="16">
        <f>IFERROR(IF($F522="","",VLOOKUP($F522,'Ürün Kartlar'!$B$5:$C$204,2,FALSE)),"— tanımsız ürün —")</f>
      </c>
      <c r="H522" s="21"/>
      <c r="I522" s="22">
        <f>IFERROR(IF($F522="","",IF($C522="Alış",VLOOKUP($F522,'Ürün Kartlar'!$B$5:$E$204,4,FALSE),VLOOKUP($F522,'Ürün Kartlar'!$B$5:$F$204,5,FALSE))),"")</f>
      </c>
      <c r="J522" s="23">
        <f>IFERROR(IF($F522="",Ayarlar!$C$9,VLOOKUP($F522,'Ürün Kartlar'!$B$5:$G$204,6,FALSE)),Ayarlar!$C$9)</f>
      </c>
      <c r="K522" s="18">
        <f>IF(OR($H522="",$I522=""),0,$H522*$I522)</f>
      </c>
      <c r="L522" s="18">
        <f>$K522*$J522</f>
      </c>
      <c r="M522" s="18">
        <f>$K522+$L522</f>
      </c>
      <c r="N522" s="20"/>
      <c r="O522" s="20"/>
      <c r="P522" s="20"/>
    </row>
    <row r="523" spans="2:16" x14ac:dyDescent="0.25">
      <c r="B523" s="15"/>
      <c r="C523" s="8"/>
      <c r="D523" s="8"/>
      <c r="E523" s="16">
        <f>IFERROR(IF($D523="","",VLOOKUP($D523,'Cari Kartlar'!$B$5:$C$204,2,FALSE)),"— tanımsız cari —")</f>
      </c>
      <c r="F523" s="8"/>
      <c r="G523" s="16">
        <f>IFERROR(IF($F523="","",VLOOKUP($F523,'Ürün Kartlar'!$B$5:$C$204,2,FALSE)),"— tanımsız ürün —")</f>
      </c>
      <c r="H523" s="17"/>
      <c r="I523" s="13">
        <f>IFERROR(IF($F523="","",IF($C523="Alış",VLOOKUP($F523,'Ürün Kartlar'!$B$5:$E$204,4,FALSE),VLOOKUP($F523,'Ürün Kartlar'!$B$5:$F$204,5,FALSE))),"")</f>
      </c>
      <c r="J523" s="11">
        <f>IFERROR(IF($F523="",Ayarlar!$C$9,VLOOKUP($F523,'Ürün Kartlar'!$B$5:$G$204,6,FALSE)),Ayarlar!$C$9)</f>
      </c>
      <c r="K523" s="18">
        <f>IF(OR($H523="",$I523=""),0,$H523*$I523)</f>
      </c>
      <c r="L523" s="18">
        <f>$K523*$J523</f>
      </c>
      <c r="M523" s="18">
        <f>$K523+$L523</f>
      </c>
      <c r="N523" s="8"/>
      <c r="O523" s="8"/>
      <c r="P523" s="8"/>
    </row>
    <row r="524" spans="2:16" x14ac:dyDescent="0.25">
      <c r="B524" s="19"/>
      <c r="C524" s="20"/>
      <c r="D524" s="20"/>
      <c r="E524" s="16">
        <f>IFERROR(IF($D524="","",VLOOKUP($D524,'Cari Kartlar'!$B$5:$C$204,2,FALSE)),"— tanımsız cari —")</f>
      </c>
      <c r="F524" s="20"/>
      <c r="G524" s="16">
        <f>IFERROR(IF($F524="","",VLOOKUP($F524,'Ürün Kartlar'!$B$5:$C$204,2,FALSE)),"— tanımsız ürün —")</f>
      </c>
      <c r="H524" s="21"/>
      <c r="I524" s="22">
        <f>IFERROR(IF($F524="","",IF($C524="Alış",VLOOKUP($F524,'Ürün Kartlar'!$B$5:$E$204,4,FALSE),VLOOKUP($F524,'Ürün Kartlar'!$B$5:$F$204,5,FALSE))),"")</f>
      </c>
      <c r="J524" s="23">
        <f>IFERROR(IF($F524="",Ayarlar!$C$9,VLOOKUP($F524,'Ürün Kartlar'!$B$5:$G$204,6,FALSE)),Ayarlar!$C$9)</f>
      </c>
      <c r="K524" s="18">
        <f>IF(OR($H524="",$I524=""),0,$H524*$I524)</f>
      </c>
      <c r="L524" s="18">
        <f>$K524*$J524</f>
      </c>
      <c r="M524" s="18">
        <f>$K524+$L524</f>
      </c>
      <c r="N524" s="20"/>
      <c r="O524" s="20"/>
      <c r="P524" s="20"/>
    </row>
    <row r="525" spans="2:16" x14ac:dyDescent="0.25">
      <c r="B525" s="15"/>
      <c r="C525" s="8"/>
      <c r="D525" s="8"/>
      <c r="E525" s="16">
        <f>IFERROR(IF($D525="","",VLOOKUP($D525,'Cari Kartlar'!$B$5:$C$204,2,FALSE)),"— tanımsız cari —")</f>
      </c>
      <c r="F525" s="8"/>
      <c r="G525" s="16">
        <f>IFERROR(IF($F525="","",VLOOKUP($F525,'Ürün Kartlar'!$B$5:$C$204,2,FALSE)),"— tanımsız ürün —")</f>
      </c>
      <c r="H525" s="17"/>
      <c r="I525" s="13">
        <f>IFERROR(IF($F525="","",IF($C525="Alış",VLOOKUP($F525,'Ürün Kartlar'!$B$5:$E$204,4,FALSE),VLOOKUP($F525,'Ürün Kartlar'!$B$5:$F$204,5,FALSE))),"")</f>
      </c>
      <c r="J525" s="11">
        <f>IFERROR(IF($F525="",Ayarlar!$C$9,VLOOKUP($F525,'Ürün Kartlar'!$B$5:$G$204,6,FALSE)),Ayarlar!$C$9)</f>
      </c>
      <c r="K525" s="18">
        <f>IF(OR($H525="",$I525=""),0,$H525*$I525)</f>
      </c>
      <c r="L525" s="18">
        <f>$K525*$J525</f>
      </c>
      <c r="M525" s="18">
        <f>$K525+$L525</f>
      </c>
      <c r="N525" s="8"/>
      <c r="O525" s="8"/>
      <c r="P525" s="8"/>
    </row>
    <row r="526" spans="2:16" x14ac:dyDescent="0.25">
      <c r="B526" s="19"/>
      <c r="C526" s="20"/>
      <c r="D526" s="20"/>
      <c r="E526" s="16">
        <f>IFERROR(IF($D526="","",VLOOKUP($D526,'Cari Kartlar'!$B$5:$C$204,2,FALSE)),"— tanımsız cari —")</f>
      </c>
      <c r="F526" s="20"/>
      <c r="G526" s="16">
        <f>IFERROR(IF($F526="","",VLOOKUP($F526,'Ürün Kartlar'!$B$5:$C$204,2,FALSE)),"— tanımsız ürün —")</f>
      </c>
      <c r="H526" s="21"/>
      <c r="I526" s="22">
        <f>IFERROR(IF($F526="","",IF($C526="Alış",VLOOKUP($F526,'Ürün Kartlar'!$B$5:$E$204,4,FALSE),VLOOKUP($F526,'Ürün Kartlar'!$B$5:$F$204,5,FALSE))),"")</f>
      </c>
      <c r="J526" s="23">
        <f>IFERROR(IF($F526="",Ayarlar!$C$9,VLOOKUP($F526,'Ürün Kartlar'!$B$5:$G$204,6,FALSE)),Ayarlar!$C$9)</f>
      </c>
      <c r="K526" s="18">
        <f>IF(OR($H526="",$I526=""),0,$H526*$I526)</f>
      </c>
      <c r="L526" s="18">
        <f>$K526*$J526</f>
      </c>
      <c r="M526" s="18">
        <f>$K526+$L526</f>
      </c>
      <c r="N526" s="20"/>
      <c r="O526" s="20"/>
      <c r="P526" s="20"/>
    </row>
    <row r="527" spans="2:16" x14ac:dyDescent="0.25">
      <c r="B527" s="15"/>
      <c r="C527" s="8"/>
      <c r="D527" s="8"/>
      <c r="E527" s="16">
        <f>IFERROR(IF($D527="","",VLOOKUP($D527,'Cari Kartlar'!$B$5:$C$204,2,FALSE)),"— tanımsız cari —")</f>
      </c>
      <c r="F527" s="8"/>
      <c r="G527" s="16">
        <f>IFERROR(IF($F527="","",VLOOKUP($F527,'Ürün Kartlar'!$B$5:$C$204,2,FALSE)),"— tanımsız ürün —")</f>
      </c>
      <c r="H527" s="17"/>
      <c r="I527" s="13">
        <f>IFERROR(IF($F527="","",IF($C527="Alış",VLOOKUP($F527,'Ürün Kartlar'!$B$5:$E$204,4,FALSE),VLOOKUP($F527,'Ürün Kartlar'!$B$5:$F$204,5,FALSE))),"")</f>
      </c>
      <c r="J527" s="11">
        <f>IFERROR(IF($F527="",Ayarlar!$C$9,VLOOKUP($F527,'Ürün Kartlar'!$B$5:$G$204,6,FALSE)),Ayarlar!$C$9)</f>
      </c>
      <c r="K527" s="18">
        <f>IF(OR($H527="",$I527=""),0,$H527*$I527)</f>
      </c>
      <c r="L527" s="18">
        <f>$K527*$J527</f>
      </c>
      <c r="M527" s="18">
        <f>$K527+$L527</f>
      </c>
      <c r="N527" s="8"/>
      <c r="O527" s="8"/>
      <c r="P527" s="8"/>
    </row>
    <row r="528" spans="2:16" x14ac:dyDescent="0.25">
      <c r="B528" s="19"/>
      <c r="C528" s="20"/>
      <c r="D528" s="20"/>
      <c r="E528" s="16">
        <f>IFERROR(IF($D528="","",VLOOKUP($D528,'Cari Kartlar'!$B$5:$C$204,2,FALSE)),"— tanımsız cari —")</f>
      </c>
      <c r="F528" s="20"/>
      <c r="G528" s="16">
        <f>IFERROR(IF($F528="","",VLOOKUP($F528,'Ürün Kartlar'!$B$5:$C$204,2,FALSE)),"— tanımsız ürün —")</f>
      </c>
      <c r="H528" s="21"/>
      <c r="I528" s="22">
        <f>IFERROR(IF($F528="","",IF($C528="Alış",VLOOKUP($F528,'Ürün Kartlar'!$B$5:$E$204,4,FALSE),VLOOKUP($F528,'Ürün Kartlar'!$B$5:$F$204,5,FALSE))),"")</f>
      </c>
      <c r="J528" s="23">
        <f>IFERROR(IF($F528="",Ayarlar!$C$9,VLOOKUP($F528,'Ürün Kartlar'!$B$5:$G$204,6,FALSE)),Ayarlar!$C$9)</f>
      </c>
      <c r="K528" s="18">
        <f>IF(OR($H528="",$I528=""),0,$H528*$I528)</f>
      </c>
      <c r="L528" s="18">
        <f>$K528*$J528</f>
      </c>
      <c r="M528" s="18">
        <f>$K528+$L528</f>
      </c>
      <c r="N528" s="20"/>
      <c r="O528" s="20"/>
      <c r="P528" s="20"/>
    </row>
    <row r="529" spans="2:16" x14ac:dyDescent="0.25">
      <c r="B529" s="15"/>
      <c r="C529" s="8"/>
      <c r="D529" s="8"/>
      <c r="E529" s="16">
        <f>IFERROR(IF($D529="","",VLOOKUP($D529,'Cari Kartlar'!$B$5:$C$204,2,FALSE)),"— tanımsız cari —")</f>
      </c>
      <c r="F529" s="8"/>
      <c r="G529" s="16">
        <f>IFERROR(IF($F529="","",VLOOKUP($F529,'Ürün Kartlar'!$B$5:$C$204,2,FALSE)),"— tanımsız ürün —")</f>
      </c>
      <c r="H529" s="17"/>
      <c r="I529" s="13">
        <f>IFERROR(IF($F529="","",IF($C529="Alış",VLOOKUP($F529,'Ürün Kartlar'!$B$5:$E$204,4,FALSE),VLOOKUP($F529,'Ürün Kartlar'!$B$5:$F$204,5,FALSE))),"")</f>
      </c>
      <c r="J529" s="11">
        <f>IFERROR(IF($F529="",Ayarlar!$C$9,VLOOKUP($F529,'Ürün Kartlar'!$B$5:$G$204,6,FALSE)),Ayarlar!$C$9)</f>
      </c>
      <c r="K529" s="18">
        <f>IF(OR($H529="",$I529=""),0,$H529*$I529)</f>
      </c>
      <c r="L529" s="18">
        <f>$K529*$J529</f>
      </c>
      <c r="M529" s="18">
        <f>$K529+$L529</f>
      </c>
      <c r="N529" s="8"/>
      <c r="O529" s="8"/>
      <c r="P529" s="8"/>
    </row>
    <row r="530" spans="2:16" x14ac:dyDescent="0.25">
      <c r="B530" s="19"/>
      <c r="C530" s="20"/>
      <c r="D530" s="20"/>
      <c r="E530" s="16">
        <f>IFERROR(IF($D530="","",VLOOKUP($D530,'Cari Kartlar'!$B$5:$C$204,2,FALSE)),"— tanımsız cari —")</f>
      </c>
      <c r="F530" s="20"/>
      <c r="G530" s="16">
        <f>IFERROR(IF($F530="","",VLOOKUP($F530,'Ürün Kartlar'!$B$5:$C$204,2,FALSE)),"— tanımsız ürün —")</f>
      </c>
      <c r="H530" s="21"/>
      <c r="I530" s="22">
        <f>IFERROR(IF($F530="","",IF($C530="Alış",VLOOKUP($F530,'Ürün Kartlar'!$B$5:$E$204,4,FALSE),VLOOKUP($F530,'Ürün Kartlar'!$B$5:$F$204,5,FALSE))),"")</f>
      </c>
      <c r="J530" s="23">
        <f>IFERROR(IF($F530="",Ayarlar!$C$9,VLOOKUP($F530,'Ürün Kartlar'!$B$5:$G$204,6,FALSE)),Ayarlar!$C$9)</f>
      </c>
      <c r="K530" s="18">
        <f>IF(OR($H530="",$I530=""),0,$H530*$I530)</f>
      </c>
      <c r="L530" s="18">
        <f>$K530*$J530</f>
      </c>
      <c r="M530" s="18">
        <f>$K530+$L530</f>
      </c>
      <c r="N530" s="20"/>
      <c r="O530" s="20"/>
      <c r="P530" s="20"/>
    </row>
    <row r="531" spans="2:16" x14ac:dyDescent="0.25">
      <c r="B531" s="15"/>
      <c r="C531" s="8"/>
      <c r="D531" s="8"/>
      <c r="E531" s="16">
        <f>IFERROR(IF($D531="","",VLOOKUP($D531,'Cari Kartlar'!$B$5:$C$204,2,FALSE)),"— tanımsız cari —")</f>
      </c>
      <c r="F531" s="8"/>
      <c r="G531" s="16">
        <f>IFERROR(IF($F531="","",VLOOKUP($F531,'Ürün Kartlar'!$B$5:$C$204,2,FALSE)),"— tanımsız ürün —")</f>
      </c>
      <c r="H531" s="17"/>
      <c r="I531" s="13">
        <f>IFERROR(IF($F531="","",IF($C531="Alış",VLOOKUP($F531,'Ürün Kartlar'!$B$5:$E$204,4,FALSE),VLOOKUP($F531,'Ürün Kartlar'!$B$5:$F$204,5,FALSE))),"")</f>
      </c>
      <c r="J531" s="11">
        <f>IFERROR(IF($F531="",Ayarlar!$C$9,VLOOKUP($F531,'Ürün Kartlar'!$B$5:$G$204,6,FALSE)),Ayarlar!$C$9)</f>
      </c>
      <c r="K531" s="18">
        <f>IF(OR($H531="",$I531=""),0,$H531*$I531)</f>
      </c>
      <c r="L531" s="18">
        <f>$K531*$J531</f>
      </c>
      <c r="M531" s="18">
        <f>$K531+$L531</f>
      </c>
      <c r="N531" s="8"/>
      <c r="O531" s="8"/>
      <c r="P531" s="8"/>
    </row>
    <row r="532" spans="2:16" x14ac:dyDescent="0.25">
      <c r="B532" s="19"/>
      <c r="C532" s="20"/>
      <c r="D532" s="20"/>
      <c r="E532" s="16">
        <f>IFERROR(IF($D532="","",VLOOKUP($D532,'Cari Kartlar'!$B$5:$C$204,2,FALSE)),"— tanımsız cari —")</f>
      </c>
      <c r="F532" s="20"/>
      <c r="G532" s="16">
        <f>IFERROR(IF($F532="","",VLOOKUP($F532,'Ürün Kartlar'!$B$5:$C$204,2,FALSE)),"— tanımsız ürün —")</f>
      </c>
      <c r="H532" s="21"/>
      <c r="I532" s="22">
        <f>IFERROR(IF($F532="","",IF($C532="Alış",VLOOKUP($F532,'Ürün Kartlar'!$B$5:$E$204,4,FALSE),VLOOKUP($F532,'Ürün Kartlar'!$B$5:$F$204,5,FALSE))),"")</f>
      </c>
      <c r="J532" s="23">
        <f>IFERROR(IF($F532="",Ayarlar!$C$9,VLOOKUP($F532,'Ürün Kartlar'!$B$5:$G$204,6,FALSE)),Ayarlar!$C$9)</f>
      </c>
      <c r="K532" s="18">
        <f>IF(OR($H532="",$I532=""),0,$H532*$I532)</f>
      </c>
      <c r="L532" s="18">
        <f>$K532*$J532</f>
      </c>
      <c r="M532" s="18">
        <f>$K532+$L532</f>
      </c>
      <c r="N532" s="20"/>
      <c r="O532" s="20"/>
      <c r="P532" s="20"/>
    </row>
    <row r="533" spans="2:16" x14ac:dyDescent="0.25">
      <c r="B533" s="15"/>
      <c r="C533" s="8"/>
      <c r="D533" s="8"/>
      <c r="E533" s="16">
        <f>IFERROR(IF($D533="","",VLOOKUP($D533,'Cari Kartlar'!$B$5:$C$204,2,FALSE)),"— tanımsız cari —")</f>
      </c>
      <c r="F533" s="8"/>
      <c r="G533" s="16">
        <f>IFERROR(IF($F533="","",VLOOKUP($F533,'Ürün Kartlar'!$B$5:$C$204,2,FALSE)),"— tanımsız ürün —")</f>
      </c>
      <c r="H533" s="17"/>
      <c r="I533" s="13">
        <f>IFERROR(IF($F533="","",IF($C533="Alış",VLOOKUP($F533,'Ürün Kartlar'!$B$5:$E$204,4,FALSE),VLOOKUP($F533,'Ürün Kartlar'!$B$5:$F$204,5,FALSE))),"")</f>
      </c>
      <c r="J533" s="11">
        <f>IFERROR(IF($F533="",Ayarlar!$C$9,VLOOKUP($F533,'Ürün Kartlar'!$B$5:$G$204,6,FALSE)),Ayarlar!$C$9)</f>
      </c>
      <c r="K533" s="18">
        <f>IF(OR($H533="",$I533=""),0,$H533*$I533)</f>
      </c>
      <c r="L533" s="18">
        <f>$K533*$J533</f>
      </c>
      <c r="M533" s="18">
        <f>$K533+$L533</f>
      </c>
      <c r="N533" s="8"/>
      <c r="O533" s="8"/>
      <c r="P533" s="8"/>
    </row>
    <row r="534" spans="2:16" x14ac:dyDescent="0.25">
      <c r="B534" s="19"/>
      <c r="C534" s="20"/>
      <c r="D534" s="20"/>
      <c r="E534" s="16">
        <f>IFERROR(IF($D534="","",VLOOKUP($D534,'Cari Kartlar'!$B$5:$C$204,2,FALSE)),"— tanımsız cari —")</f>
      </c>
      <c r="F534" s="20"/>
      <c r="G534" s="16">
        <f>IFERROR(IF($F534="","",VLOOKUP($F534,'Ürün Kartlar'!$B$5:$C$204,2,FALSE)),"— tanımsız ürün —")</f>
      </c>
      <c r="H534" s="21"/>
      <c r="I534" s="22">
        <f>IFERROR(IF($F534="","",IF($C534="Alış",VLOOKUP($F534,'Ürün Kartlar'!$B$5:$E$204,4,FALSE),VLOOKUP($F534,'Ürün Kartlar'!$B$5:$F$204,5,FALSE))),"")</f>
      </c>
      <c r="J534" s="23">
        <f>IFERROR(IF($F534="",Ayarlar!$C$9,VLOOKUP($F534,'Ürün Kartlar'!$B$5:$G$204,6,FALSE)),Ayarlar!$C$9)</f>
      </c>
      <c r="K534" s="18">
        <f>IF(OR($H534="",$I534=""),0,$H534*$I534)</f>
      </c>
      <c r="L534" s="18">
        <f>$K534*$J534</f>
      </c>
      <c r="M534" s="18">
        <f>$K534+$L534</f>
      </c>
      <c r="N534" s="20"/>
      <c r="O534" s="20"/>
      <c r="P534" s="20"/>
    </row>
    <row r="535" spans="2:16" x14ac:dyDescent="0.25">
      <c r="B535" s="15"/>
      <c r="C535" s="8"/>
      <c r="D535" s="8"/>
      <c r="E535" s="16">
        <f>IFERROR(IF($D535="","",VLOOKUP($D535,'Cari Kartlar'!$B$5:$C$204,2,FALSE)),"— tanımsız cari —")</f>
      </c>
      <c r="F535" s="8"/>
      <c r="G535" s="16">
        <f>IFERROR(IF($F535="","",VLOOKUP($F535,'Ürün Kartlar'!$B$5:$C$204,2,FALSE)),"— tanımsız ürün —")</f>
      </c>
      <c r="H535" s="17"/>
      <c r="I535" s="13">
        <f>IFERROR(IF($F535="","",IF($C535="Alış",VLOOKUP($F535,'Ürün Kartlar'!$B$5:$E$204,4,FALSE),VLOOKUP($F535,'Ürün Kartlar'!$B$5:$F$204,5,FALSE))),"")</f>
      </c>
      <c r="J535" s="11">
        <f>IFERROR(IF($F535="",Ayarlar!$C$9,VLOOKUP($F535,'Ürün Kartlar'!$B$5:$G$204,6,FALSE)),Ayarlar!$C$9)</f>
      </c>
      <c r="K535" s="18">
        <f>IF(OR($H535="",$I535=""),0,$H535*$I535)</f>
      </c>
      <c r="L535" s="18">
        <f>$K535*$J535</f>
      </c>
      <c r="M535" s="18">
        <f>$K535+$L535</f>
      </c>
      <c r="N535" s="8"/>
      <c r="O535" s="8"/>
      <c r="P535" s="8"/>
    </row>
    <row r="536" spans="2:16" x14ac:dyDescent="0.25">
      <c r="B536" s="19"/>
      <c r="C536" s="20"/>
      <c r="D536" s="20"/>
      <c r="E536" s="16">
        <f>IFERROR(IF($D536="","",VLOOKUP($D536,'Cari Kartlar'!$B$5:$C$204,2,FALSE)),"— tanımsız cari —")</f>
      </c>
      <c r="F536" s="20"/>
      <c r="G536" s="16">
        <f>IFERROR(IF($F536="","",VLOOKUP($F536,'Ürün Kartlar'!$B$5:$C$204,2,FALSE)),"— tanımsız ürün —")</f>
      </c>
      <c r="H536" s="21"/>
      <c r="I536" s="22">
        <f>IFERROR(IF($F536="","",IF($C536="Alış",VLOOKUP($F536,'Ürün Kartlar'!$B$5:$E$204,4,FALSE),VLOOKUP($F536,'Ürün Kartlar'!$B$5:$F$204,5,FALSE))),"")</f>
      </c>
      <c r="J536" s="23">
        <f>IFERROR(IF($F536="",Ayarlar!$C$9,VLOOKUP($F536,'Ürün Kartlar'!$B$5:$G$204,6,FALSE)),Ayarlar!$C$9)</f>
      </c>
      <c r="K536" s="18">
        <f>IF(OR($H536="",$I536=""),0,$H536*$I536)</f>
      </c>
      <c r="L536" s="18">
        <f>$K536*$J536</f>
      </c>
      <c r="M536" s="18">
        <f>$K536+$L536</f>
      </c>
      <c r="N536" s="20"/>
      <c r="O536" s="20"/>
      <c r="P536" s="20"/>
    </row>
    <row r="537" spans="2:16" x14ac:dyDescent="0.25">
      <c r="B537" s="15"/>
      <c r="C537" s="8"/>
      <c r="D537" s="8"/>
      <c r="E537" s="16">
        <f>IFERROR(IF($D537="","",VLOOKUP($D537,'Cari Kartlar'!$B$5:$C$204,2,FALSE)),"— tanımsız cari —")</f>
      </c>
      <c r="F537" s="8"/>
      <c r="G537" s="16">
        <f>IFERROR(IF($F537="","",VLOOKUP($F537,'Ürün Kartlar'!$B$5:$C$204,2,FALSE)),"— tanımsız ürün —")</f>
      </c>
      <c r="H537" s="17"/>
      <c r="I537" s="13">
        <f>IFERROR(IF($F537="","",IF($C537="Alış",VLOOKUP($F537,'Ürün Kartlar'!$B$5:$E$204,4,FALSE),VLOOKUP($F537,'Ürün Kartlar'!$B$5:$F$204,5,FALSE))),"")</f>
      </c>
      <c r="J537" s="11">
        <f>IFERROR(IF($F537="",Ayarlar!$C$9,VLOOKUP($F537,'Ürün Kartlar'!$B$5:$G$204,6,FALSE)),Ayarlar!$C$9)</f>
      </c>
      <c r="K537" s="18">
        <f>IF(OR($H537="",$I537=""),0,$H537*$I537)</f>
      </c>
      <c r="L537" s="18">
        <f>$K537*$J537</f>
      </c>
      <c r="M537" s="18">
        <f>$K537+$L537</f>
      </c>
      <c r="N537" s="8"/>
      <c r="O537" s="8"/>
      <c r="P537" s="8"/>
    </row>
    <row r="538" spans="2:16" x14ac:dyDescent="0.25">
      <c r="B538" s="19"/>
      <c r="C538" s="20"/>
      <c r="D538" s="20"/>
      <c r="E538" s="16">
        <f>IFERROR(IF($D538="","",VLOOKUP($D538,'Cari Kartlar'!$B$5:$C$204,2,FALSE)),"— tanımsız cari —")</f>
      </c>
      <c r="F538" s="20"/>
      <c r="G538" s="16">
        <f>IFERROR(IF($F538="","",VLOOKUP($F538,'Ürün Kartlar'!$B$5:$C$204,2,FALSE)),"— tanımsız ürün —")</f>
      </c>
      <c r="H538" s="21"/>
      <c r="I538" s="22">
        <f>IFERROR(IF($F538="","",IF($C538="Alış",VLOOKUP($F538,'Ürün Kartlar'!$B$5:$E$204,4,FALSE),VLOOKUP($F538,'Ürün Kartlar'!$B$5:$F$204,5,FALSE))),"")</f>
      </c>
      <c r="J538" s="23">
        <f>IFERROR(IF($F538="",Ayarlar!$C$9,VLOOKUP($F538,'Ürün Kartlar'!$B$5:$G$204,6,FALSE)),Ayarlar!$C$9)</f>
      </c>
      <c r="K538" s="18">
        <f>IF(OR($H538="",$I538=""),0,$H538*$I538)</f>
      </c>
      <c r="L538" s="18">
        <f>$K538*$J538</f>
      </c>
      <c r="M538" s="18">
        <f>$K538+$L538</f>
      </c>
      <c r="N538" s="20"/>
      <c r="O538" s="20"/>
      <c r="P538" s="20"/>
    </row>
    <row r="539" spans="2:16" x14ac:dyDescent="0.25">
      <c r="B539" s="15"/>
      <c r="C539" s="8"/>
      <c r="D539" s="8"/>
      <c r="E539" s="16">
        <f>IFERROR(IF($D539="","",VLOOKUP($D539,'Cari Kartlar'!$B$5:$C$204,2,FALSE)),"— tanımsız cari —")</f>
      </c>
      <c r="F539" s="8"/>
      <c r="G539" s="16">
        <f>IFERROR(IF($F539="","",VLOOKUP($F539,'Ürün Kartlar'!$B$5:$C$204,2,FALSE)),"— tanımsız ürün —")</f>
      </c>
      <c r="H539" s="17"/>
      <c r="I539" s="13">
        <f>IFERROR(IF($F539="","",IF($C539="Alış",VLOOKUP($F539,'Ürün Kartlar'!$B$5:$E$204,4,FALSE),VLOOKUP($F539,'Ürün Kartlar'!$B$5:$F$204,5,FALSE))),"")</f>
      </c>
      <c r="J539" s="11">
        <f>IFERROR(IF($F539="",Ayarlar!$C$9,VLOOKUP($F539,'Ürün Kartlar'!$B$5:$G$204,6,FALSE)),Ayarlar!$C$9)</f>
      </c>
      <c r="K539" s="18">
        <f>IF(OR($H539="",$I539=""),0,$H539*$I539)</f>
      </c>
      <c r="L539" s="18">
        <f>$K539*$J539</f>
      </c>
      <c r="M539" s="18">
        <f>$K539+$L539</f>
      </c>
      <c r="N539" s="8"/>
      <c r="O539" s="8"/>
      <c r="P539" s="8"/>
    </row>
    <row r="540" spans="2:16" x14ac:dyDescent="0.25">
      <c r="B540" s="19"/>
      <c r="C540" s="20"/>
      <c r="D540" s="20"/>
      <c r="E540" s="16">
        <f>IFERROR(IF($D540="","",VLOOKUP($D540,'Cari Kartlar'!$B$5:$C$204,2,FALSE)),"— tanımsız cari —")</f>
      </c>
      <c r="F540" s="20"/>
      <c r="G540" s="16">
        <f>IFERROR(IF($F540="","",VLOOKUP($F540,'Ürün Kartlar'!$B$5:$C$204,2,FALSE)),"— tanımsız ürün —")</f>
      </c>
      <c r="H540" s="21"/>
      <c r="I540" s="22">
        <f>IFERROR(IF($F540="","",IF($C540="Alış",VLOOKUP($F540,'Ürün Kartlar'!$B$5:$E$204,4,FALSE),VLOOKUP($F540,'Ürün Kartlar'!$B$5:$F$204,5,FALSE))),"")</f>
      </c>
      <c r="J540" s="23">
        <f>IFERROR(IF($F540="",Ayarlar!$C$9,VLOOKUP($F540,'Ürün Kartlar'!$B$5:$G$204,6,FALSE)),Ayarlar!$C$9)</f>
      </c>
      <c r="K540" s="18">
        <f>IF(OR($H540="",$I540=""),0,$H540*$I540)</f>
      </c>
      <c r="L540" s="18">
        <f>$K540*$J540</f>
      </c>
      <c r="M540" s="18">
        <f>$K540+$L540</f>
      </c>
      <c r="N540" s="20"/>
      <c r="O540" s="20"/>
      <c r="P540" s="20"/>
    </row>
    <row r="541" spans="2:16" x14ac:dyDescent="0.25">
      <c r="B541" s="15"/>
      <c r="C541" s="8"/>
      <c r="D541" s="8"/>
      <c r="E541" s="16">
        <f>IFERROR(IF($D541="","",VLOOKUP($D541,'Cari Kartlar'!$B$5:$C$204,2,FALSE)),"— tanımsız cari —")</f>
      </c>
      <c r="F541" s="8"/>
      <c r="G541" s="16">
        <f>IFERROR(IF($F541="","",VLOOKUP($F541,'Ürün Kartlar'!$B$5:$C$204,2,FALSE)),"— tanımsız ürün —")</f>
      </c>
      <c r="H541" s="17"/>
      <c r="I541" s="13">
        <f>IFERROR(IF($F541="","",IF($C541="Alış",VLOOKUP($F541,'Ürün Kartlar'!$B$5:$E$204,4,FALSE),VLOOKUP($F541,'Ürün Kartlar'!$B$5:$F$204,5,FALSE))),"")</f>
      </c>
      <c r="J541" s="11">
        <f>IFERROR(IF($F541="",Ayarlar!$C$9,VLOOKUP($F541,'Ürün Kartlar'!$B$5:$G$204,6,FALSE)),Ayarlar!$C$9)</f>
      </c>
      <c r="K541" s="18">
        <f>IF(OR($H541="",$I541=""),0,$H541*$I541)</f>
      </c>
      <c r="L541" s="18">
        <f>$K541*$J541</f>
      </c>
      <c r="M541" s="18">
        <f>$K541+$L541</f>
      </c>
      <c r="N541" s="8"/>
      <c r="O541" s="8"/>
      <c r="P541" s="8"/>
    </row>
    <row r="542" spans="2:16" x14ac:dyDescent="0.25">
      <c r="B542" s="19"/>
      <c r="C542" s="20"/>
      <c r="D542" s="20"/>
      <c r="E542" s="16">
        <f>IFERROR(IF($D542="","",VLOOKUP($D542,'Cari Kartlar'!$B$5:$C$204,2,FALSE)),"— tanımsız cari —")</f>
      </c>
      <c r="F542" s="20"/>
      <c r="G542" s="16">
        <f>IFERROR(IF($F542="","",VLOOKUP($F542,'Ürün Kartlar'!$B$5:$C$204,2,FALSE)),"— tanımsız ürün —")</f>
      </c>
      <c r="H542" s="21"/>
      <c r="I542" s="22">
        <f>IFERROR(IF($F542="","",IF($C542="Alış",VLOOKUP($F542,'Ürün Kartlar'!$B$5:$E$204,4,FALSE),VLOOKUP($F542,'Ürün Kartlar'!$B$5:$F$204,5,FALSE))),"")</f>
      </c>
      <c r="J542" s="23">
        <f>IFERROR(IF($F542="",Ayarlar!$C$9,VLOOKUP($F542,'Ürün Kartlar'!$B$5:$G$204,6,FALSE)),Ayarlar!$C$9)</f>
      </c>
      <c r="K542" s="18">
        <f>IF(OR($H542="",$I542=""),0,$H542*$I542)</f>
      </c>
      <c r="L542" s="18">
        <f>$K542*$J542</f>
      </c>
      <c r="M542" s="18">
        <f>$K542+$L542</f>
      </c>
      <c r="N542" s="20"/>
      <c r="O542" s="20"/>
      <c r="P542" s="20"/>
    </row>
    <row r="543" spans="2:16" x14ac:dyDescent="0.25">
      <c r="B543" s="15"/>
      <c r="C543" s="8"/>
      <c r="D543" s="8"/>
      <c r="E543" s="16">
        <f>IFERROR(IF($D543="","",VLOOKUP($D543,'Cari Kartlar'!$B$5:$C$204,2,FALSE)),"— tanımsız cari —")</f>
      </c>
      <c r="F543" s="8"/>
      <c r="G543" s="16">
        <f>IFERROR(IF($F543="","",VLOOKUP($F543,'Ürün Kartlar'!$B$5:$C$204,2,FALSE)),"— tanımsız ürün —")</f>
      </c>
      <c r="H543" s="17"/>
      <c r="I543" s="13">
        <f>IFERROR(IF($F543="","",IF($C543="Alış",VLOOKUP($F543,'Ürün Kartlar'!$B$5:$E$204,4,FALSE),VLOOKUP($F543,'Ürün Kartlar'!$B$5:$F$204,5,FALSE))),"")</f>
      </c>
      <c r="J543" s="11">
        <f>IFERROR(IF($F543="",Ayarlar!$C$9,VLOOKUP($F543,'Ürün Kartlar'!$B$5:$G$204,6,FALSE)),Ayarlar!$C$9)</f>
      </c>
      <c r="K543" s="18">
        <f>IF(OR($H543="",$I543=""),0,$H543*$I543)</f>
      </c>
      <c r="L543" s="18">
        <f>$K543*$J543</f>
      </c>
      <c r="M543" s="18">
        <f>$K543+$L543</f>
      </c>
      <c r="N543" s="8"/>
      <c r="O543" s="8"/>
      <c r="P543" s="8"/>
    </row>
    <row r="544" spans="2:16" x14ac:dyDescent="0.25">
      <c r="B544" s="19"/>
      <c r="C544" s="20"/>
      <c r="D544" s="20"/>
      <c r="E544" s="16">
        <f>IFERROR(IF($D544="","",VLOOKUP($D544,'Cari Kartlar'!$B$5:$C$204,2,FALSE)),"— tanımsız cari —")</f>
      </c>
      <c r="F544" s="20"/>
      <c r="G544" s="16">
        <f>IFERROR(IF($F544="","",VLOOKUP($F544,'Ürün Kartlar'!$B$5:$C$204,2,FALSE)),"— tanımsız ürün —")</f>
      </c>
      <c r="H544" s="21"/>
      <c r="I544" s="22">
        <f>IFERROR(IF($F544="","",IF($C544="Alış",VLOOKUP($F544,'Ürün Kartlar'!$B$5:$E$204,4,FALSE),VLOOKUP($F544,'Ürün Kartlar'!$B$5:$F$204,5,FALSE))),"")</f>
      </c>
      <c r="J544" s="23">
        <f>IFERROR(IF($F544="",Ayarlar!$C$9,VLOOKUP($F544,'Ürün Kartlar'!$B$5:$G$204,6,FALSE)),Ayarlar!$C$9)</f>
      </c>
      <c r="K544" s="18">
        <f>IF(OR($H544="",$I544=""),0,$H544*$I544)</f>
      </c>
      <c r="L544" s="18">
        <f>$K544*$J544</f>
      </c>
      <c r="M544" s="18">
        <f>$K544+$L544</f>
      </c>
      <c r="N544" s="20"/>
      <c r="O544" s="20"/>
      <c r="P544" s="20"/>
    </row>
    <row r="545" spans="2:16" x14ac:dyDescent="0.25">
      <c r="B545" s="15"/>
      <c r="C545" s="8"/>
      <c r="D545" s="8"/>
      <c r="E545" s="16">
        <f>IFERROR(IF($D545="","",VLOOKUP($D545,'Cari Kartlar'!$B$5:$C$204,2,FALSE)),"— tanımsız cari —")</f>
      </c>
      <c r="F545" s="8"/>
      <c r="G545" s="16">
        <f>IFERROR(IF($F545="","",VLOOKUP($F545,'Ürün Kartlar'!$B$5:$C$204,2,FALSE)),"— tanımsız ürün —")</f>
      </c>
      <c r="H545" s="17"/>
      <c r="I545" s="13">
        <f>IFERROR(IF($F545="","",IF($C545="Alış",VLOOKUP($F545,'Ürün Kartlar'!$B$5:$E$204,4,FALSE),VLOOKUP($F545,'Ürün Kartlar'!$B$5:$F$204,5,FALSE))),"")</f>
      </c>
      <c r="J545" s="11">
        <f>IFERROR(IF($F545="",Ayarlar!$C$9,VLOOKUP($F545,'Ürün Kartlar'!$B$5:$G$204,6,FALSE)),Ayarlar!$C$9)</f>
      </c>
      <c r="K545" s="18">
        <f>IF(OR($H545="",$I545=""),0,$H545*$I545)</f>
      </c>
      <c r="L545" s="18">
        <f>$K545*$J545</f>
      </c>
      <c r="M545" s="18">
        <f>$K545+$L545</f>
      </c>
      <c r="N545" s="8"/>
      <c r="O545" s="8"/>
      <c r="P545" s="8"/>
    </row>
    <row r="546" spans="2:16" x14ac:dyDescent="0.25">
      <c r="B546" s="19"/>
      <c r="C546" s="20"/>
      <c r="D546" s="20"/>
      <c r="E546" s="16">
        <f>IFERROR(IF($D546="","",VLOOKUP($D546,'Cari Kartlar'!$B$5:$C$204,2,FALSE)),"— tanımsız cari —")</f>
      </c>
      <c r="F546" s="20"/>
      <c r="G546" s="16">
        <f>IFERROR(IF($F546="","",VLOOKUP($F546,'Ürün Kartlar'!$B$5:$C$204,2,FALSE)),"— tanımsız ürün —")</f>
      </c>
      <c r="H546" s="21"/>
      <c r="I546" s="22">
        <f>IFERROR(IF($F546="","",IF($C546="Alış",VLOOKUP($F546,'Ürün Kartlar'!$B$5:$E$204,4,FALSE),VLOOKUP($F546,'Ürün Kartlar'!$B$5:$F$204,5,FALSE))),"")</f>
      </c>
      <c r="J546" s="23">
        <f>IFERROR(IF($F546="",Ayarlar!$C$9,VLOOKUP($F546,'Ürün Kartlar'!$B$5:$G$204,6,FALSE)),Ayarlar!$C$9)</f>
      </c>
      <c r="K546" s="18">
        <f>IF(OR($H546="",$I546=""),0,$H546*$I546)</f>
      </c>
      <c r="L546" s="18">
        <f>$K546*$J546</f>
      </c>
      <c r="M546" s="18">
        <f>$K546+$L546</f>
      </c>
      <c r="N546" s="20"/>
      <c r="O546" s="20"/>
      <c r="P546" s="20"/>
    </row>
    <row r="547" spans="2:16" x14ac:dyDescent="0.25">
      <c r="B547" s="15"/>
      <c r="C547" s="8"/>
      <c r="D547" s="8"/>
      <c r="E547" s="16">
        <f>IFERROR(IF($D547="","",VLOOKUP($D547,'Cari Kartlar'!$B$5:$C$204,2,FALSE)),"— tanımsız cari —")</f>
      </c>
      <c r="F547" s="8"/>
      <c r="G547" s="16">
        <f>IFERROR(IF($F547="","",VLOOKUP($F547,'Ürün Kartlar'!$B$5:$C$204,2,FALSE)),"— tanımsız ürün —")</f>
      </c>
      <c r="H547" s="17"/>
      <c r="I547" s="13">
        <f>IFERROR(IF($F547="","",IF($C547="Alış",VLOOKUP($F547,'Ürün Kartlar'!$B$5:$E$204,4,FALSE),VLOOKUP($F547,'Ürün Kartlar'!$B$5:$F$204,5,FALSE))),"")</f>
      </c>
      <c r="J547" s="11">
        <f>IFERROR(IF($F547="",Ayarlar!$C$9,VLOOKUP($F547,'Ürün Kartlar'!$B$5:$G$204,6,FALSE)),Ayarlar!$C$9)</f>
      </c>
      <c r="K547" s="18">
        <f>IF(OR($H547="",$I547=""),0,$H547*$I547)</f>
      </c>
      <c r="L547" s="18">
        <f>$K547*$J547</f>
      </c>
      <c r="M547" s="18">
        <f>$K547+$L547</f>
      </c>
      <c r="N547" s="8"/>
      <c r="O547" s="8"/>
      <c r="P547" s="8"/>
    </row>
    <row r="548" spans="2:16" x14ac:dyDescent="0.25">
      <c r="B548" s="19"/>
      <c r="C548" s="20"/>
      <c r="D548" s="20"/>
      <c r="E548" s="16">
        <f>IFERROR(IF($D548="","",VLOOKUP($D548,'Cari Kartlar'!$B$5:$C$204,2,FALSE)),"— tanımsız cari —")</f>
      </c>
      <c r="F548" s="20"/>
      <c r="G548" s="16">
        <f>IFERROR(IF($F548="","",VLOOKUP($F548,'Ürün Kartlar'!$B$5:$C$204,2,FALSE)),"— tanımsız ürün —")</f>
      </c>
      <c r="H548" s="21"/>
      <c r="I548" s="22">
        <f>IFERROR(IF($F548="","",IF($C548="Alış",VLOOKUP($F548,'Ürün Kartlar'!$B$5:$E$204,4,FALSE),VLOOKUP($F548,'Ürün Kartlar'!$B$5:$F$204,5,FALSE))),"")</f>
      </c>
      <c r="J548" s="23">
        <f>IFERROR(IF($F548="",Ayarlar!$C$9,VLOOKUP($F548,'Ürün Kartlar'!$B$5:$G$204,6,FALSE)),Ayarlar!$C$9)</f>
      </c>
      <c r="K548" s="18">
        <f>IF(OR($H548="",$I548=""),0,$H548*$I548)</f>
      </c>
      <c r="L548" s="18">
        <f>$K548*$J548</f>
      </c>
      <c r="M548" s="18">
        <f>$K548+$L548</f>
      </c>
      <c r="N548" s="20"/>
      <c r="O548" s="20"/>
      <c r="P548" s="20"/>
    </row>
    <row r="549" spans="2:16" x14ac:dyDescent="0.25">
      <c r="B549" s="15"/>
      <c r="C549" s="8"/>
      <c r="D549" s="8"/>
      <c r="E549" s="16">
        <f>IFERROR(IF($D549="","",VLOOKUP($D549,'Cari Kartlar'!$B$5:$C$204,2,FALSE)),"— tanımsız cari —")</f>
      </c>
      <c r="F549" s="8"/>
      <c r="G549" s="16">
        <f>IFERROR(IF($F549="","",VLOOKUP($F549,'Ürün Kartlar'!$B$5:$C$204,2,FALSE)),"— tanımsız ürün —")</f>
      </c>
      <c r="H549" s="17"/>
      <c r="I549" s="13">
        <f>IFERROR(IF($F549="","",IF($C549="Alış",VLOOKUP($F549,'Ürün Kartlar'!$B$5:$E$204,4,FALSE),VLOOKUP($F549,'Ürün Kartlar'!$B$5:$F$204,5,FALSE))),"")</f>
      </c>
      <c r="J549" s="11">
        <f>IFERROR(IF($F549="",Ayarlar!$C$9,VLOOKUP($F549,'Ürün Kartlar'!$B$5:$G$204,6,FALSE)),Ayarlar!$C$9)</f>
      </c>
      <c r="K549" s="18">
        <f>IF(OR($H549="",$I549=""),0,$H549*$I549)</f>
      </c>
      <c r="L549" s="18">
        <f>$K549*$J549</f>
      </c>
      <c r="M549" s="18">
        <f>$K549+$L549</f>
      </c>
      <c r="N549" s="8"/>
      <c r="O549" s="8"/>
      <c r="P549" s="8"/>
    </row>
    <row r="550" spans="2:16" x14ac:dyDescent="0.25">
      <c r="B550" s="19"/>
      <c r="C550" s="20"/>
      <c r="D550" s="20"/>
      <c r="E550" s="16">
        <f>IFERROR(IF($D550="","",VLOOKUP($D550,'Cari Kartlar'!$B$5:$C$204,2,FALSE)),"— tanımsız cari —")</f>
      </c>
      <c r="F550" s="20"/>
      <c r="G550" s="16">
        <f>IFERROR(IF($F550="","",VLOOKUP($F550,'Ürün Kartlar'!$B$5:$C$204,2,FALSE)),"— tanımsız ürün —")</f>
      </c>
      <c r="H550" s="21"/>
      <c r="I550" s="22">
        <f>IFERROR(IF($F550="","",IF($C550="Alış",VLOOKUP($F550,'Ürün Kartlar'!$B$5:$E$204,4,FALSE),VLOOKUP($F550,'Ürün Kartlar'!$B$5:$F$204,5,FALSE))),"")</f>
      </c>
      <c r="J550" s="23">
        <f>IFERROR(IF($F550="",Ayarlar!$C$9,VLOOKUP($F550,'Ürün Kartlar'!$B$5:$G$204,6,FALSE)),Ayarlar!$C$9)</f>
      </c>
      <c r="K550" s="18">
        <f>IF(OR($H550="",$I550=""),0,$H550*$I550)</f>
      </c>
      <c r="L550" s="18">
        <f>$K550*$J550</f>
      </c>
      <c r="M550" s="18">
        <f>$K550+$L550</f>
      </c>
      <c r="N550" s="20"/>
      <c r="O550" s="20"/>
      <c r="P550" s="20"/>
    </row>
    <row r="551" spans="2:16" x14ac:dyDescent="0.25">
      <c r="B551" s="15"/>
      <c r="C551" s="8"/>
      <c r="D551" s="8"/>
      <c r="E551" s="16">
        <f>IFERROR(IF($D551="","",VLOOKUP($D551,'Cari Kartlar'!$B$5:$C$204,2,FALSE)),"— tanımsız cari —")</f>
      </c>
      <c r="F551" s="8"/>
      <c r="G551" s="16">
        <f>IFERROR(IF($F551="","",VLOOKUP($F551,'Ürün Kartlar'!$B$5:$C$204,2,FALSE)),"— tanımsız ürün —")</f>
      </c>
      <c r="H551" s="17"/>
      <c r="I551" s="13">
        <f>IFERROR(IF($F551="","",IF($C551="Alış",VLOOKUP($F551,'Ürün Kartlar'!$B$5:$E$204,4,FALSE),VLOOKUP($F551,'Ürün Kartlar'!$B$5:$F$204,5,FALSE))),"")</f>
      </c>
      <c r="J551" s="11">
        <f>IFERROR(IF($F551="",Ayarlar!$C$9,VLOOKUP($F551,'Ürün Kartlar'!$B$5:$G$204,6,FALSE)),Ayarlar!$C$9)</f>
      </c>
      <c r="K551" s="18">
        <f>IF(OR($H551="",$I551=""),0,$H551*$I551)</f>
      </c>
      <c r="L551" s="18">
        <f>$K551*$J551</f>
      </c>
      <c r="M551" s="18">
        <f>$K551+$L551</f>
      </c>
      <c r="N551" s="8"/>
      <c r="O551" s="8"/>
      <c r="P551" s="8"/>
    </row>
    <row r="552" spans="2:16" x14ac:dyDescent="0.25">
      <c r="B552" s="19"/>
      <c r="C552" s="20"/>
      <c r="D552" s="20"/>
      <c r="E552" s="16">
        <f>IFERROR(IF($D552="","",VLOOKUP($D552,'Cari Kartlar'!$B$5:$C$204,2,FALSE)),"— tanımsız cari —")</f>
      </c>
      <c r="F552" s="20"/>
      <c r="G552" s="16">
        <f>IFERROR(IF($F552="","",VLOOKUP($F552,'Ürün Kartlar'!$B$5:$C$204,2,FALSE)),"— tanımsız ürün —")</f>
      </c>
      <c r="H552" s="21"/>
      <c r="I552" s="22">
        <f>IFERROR(IF($F552="","",IF($C552="Alış",VLOOKUP($F552,'Ürün Kartlar'!$B$5:$E$204,4,FALSE),VLOOKUP($F552,'Ürün Kartlar'!$B$5:$F$204,5,FALSE))),"")</f>
      </c>
      <c r="J552" s="23">
        <f>IFERROR(IF($F552="",Ayarlar!$C$9,VLOOKUP($F552,'Ürün Kartlar'!$B$5:$G$204,6,FALSE)),Ayarlar!$C$9)</f>
      </c>
      <c r="K552" s="18">
        <f>IF(OR($H552="",$I552=""),0,$H552*$I552)</f>
      </c>
      <c r="L552" s="18">
        <f>$K552*$J552</f>
      </c>
      <c r="M552" s="18">
        <f>$K552+$L552</f>
      </c>
      <c r="N552" s="20"/>
      <c r="O552" s="20"/>
      <c r="P552" s="20"/>
    </row>
    <row r="553" spans="2:16" x14ac:dyDescent="0.25">
      <c r="B553" s="15"/>
      <c r="C553" s="8"/>
      <c r="D553" s="8"/>
      <c r="E553" s="16">
        <f>IFERROR(IF($D553="","",VLOOKUP($D553,'Cari Kartlar'!$B$5:$C$204,2,FALSE)),"— tanımsız cari —")</f>
      </c>
      <c r="F553" s="8"/>
      <c r="G553" s="16">
        <f>IFERROR(IF($F553="","",VLOOKUP($F553,'Ürün Kartlar'!$B$5:$C$204,2,FALSE)),"— tanımsız ürün —")</f>
      </c>
      <c r="H553" s="17"/>
      <c r="I553" s="13">
        <f>IFERROR(IF($F553="","",IF($C553="Alış",VLOOKUP($F553,'Ürün Kartlar'!$B$5:$E$204,4,FALSE),VLOOKUP($F553,'Ürün Kartlar'!$B$5:$F$204,5,FALSE))),"")</f>
      </c>
      <c r="J553" s="11">
        <f>IFERROR(IF($F553="",Ayarlar!$C$9,VLOOKUP($F553,'Ürün Kartlar'!$B$5:$G$204,6,FALSE)),Ayarlar!$C$9)</f>
      </c>
      <c r="K553" s="18">
        <f>IF(OR($H553="",$I553=""),0,$H553*$I553)</f>
      </c>
      <c r="L553" s="18">
        <f>$K553*$J553</f>
      </c>
      <c r="M553" s="18">
        <f>$K553+$L553</f>
      </c>
      <c r="N553" s="8"/>
      <c r="O553" s="8"/>
      <c r="P553" s="8"/>
    </row>
    <row r="554" spans="2:16" x14ac:dyDescent="0.25">
      <c r="B554" s="19"/>
      <c r="C554" s="20"/>
      <c r="D554" s="20"/>
      <c r="E554" s="16">
        <f>IFERROR(IF($D554="","",VLOOKUP($D554,'Cari Kartlar'!$B$5:$C$204,2,FALSE)),"— tanımsız cari —")</f>
      </c>
      <c r="F554" s="20"/>
      <c r="G554" s="16">
        <f>IFERROR(IF($F554="","",VLOOKUP($F554,'Ürün Kartlar'!$B$5:$C$204,2,FALSE)),"— tanımsız ürün —")</f>
      </c>
      <c r="H554" s="21"/>
      <c r="I554" s="22">
        <f>IFERROR(IF($F554="","",IF($C554="Alış",VLOOKUP($F554,'Ürün Kartlar'!$B$5:$E$204,4,FALSE),VLOOKUP($F554,'Ürün Kartlar'!$B$5:$F$204,5,FALSE))),"")</f>
      </c>
      <c r="J554" s="23">
        <f>IFERROR(IF($F554="",Ayarlar!$C$9,VLOOKUP($F554,'Ürün Kartlar'!$B$5:$G$204,6,FALSE)),Ayarlar!$C$9)</f>
      </c>
      <c r="K554" s="18">
        <f>IF(OR($H554="",$I554=""),0,$H554*$I554)</f>
      </c>
      <c r="L554" s="18">
        <f>$K554*$J554</f>
      </c>
      <c r="M554" s="18">
        <f>$K554+$L554</f>
      </c>
      <c r="N554" s="20"/>
      <c r="O554" s="20"/>
      <c r="P554" s="20"/>
    </row>
    <row r="555" spans="2:16" x14ac:dyDescent="0.25">
      <c r="B555" s="15"/>
      <c r="C555" s="8"/>
      <c r="D555" s="8"/>
      <c r="E555" s="16">
        <f>IFERROR(IF($D555="","",VLOOKUP($D555,'Cari Kartlar'!$B$5:$C$204,2,FALSE)),"— tanımsız cari —")</f>
      </c>
      <c r="F555" s="8"/>
      <c r="G555" s="16">
        <f>IFERROR(IF($F555="","",VLOOKUP($F555,'Ürün Kartlar'!$B$5:$C$204,2,FALSE)),"— tanımsız ürün —")</f>
      </c>
      <c r="H555" s="17"/>
      <c r="I555" s="13">
        <f>IFERROR(IF($F555="","",IF($C555="Alış",VLOOKUP($F555,'Ürün Kartlar'!$B$5:$E$204,4,FALSE),VLOOKUP($F555,'Ürün Kartlar'!$B$5:$F$204,5,FALSE))),"")</f>
      </c>
      <c r="J555" s="11">
        <f>IFERROR(IF($F555="",Ayarlar!$C$9,VLOOKUP($F555,'Ürün Kartlar'!$B$5:$G$204,6,FALSE)),Ayarlar!$C$9)</f>
      </c>
      <c r="K555" s="18">
        <f>IF(OR($H555="",$I555=""),0,$H555*$I555)</f>
      </c>
      <c r="L555" s="18">
        <f>$K555*$J555</f>
      </c>
      <c r="M555" s="18">
        <f>$K555+$L555</f>
      </c>
      <c r="N555" s="8"/>
      <c r="O555" s="8"/>
      <c r="P555" s="8"/>
    </row>
    <row r="556" spans="2:16" x14ac:dyDescent="0.25">
      <c r="B556" s="19"/>
      <c r="C556" s="20"/>
      <c r="D556" s="20"/>
      <c r="E556" s="16">
        <f>IFERROR(IF($D556="","",VLOOKUP($D556,'Cari Kartlar'!$B$5:$C$204,2,FALSE)),"— tanımsız cari —")</f>
      </c>
      <c r="F556" s="20"/>
      <c r="G556" s="16">
        <f>IFERROR(IF($F556="","",VLOOKUP($F556,'Ürün Kartlar'!$B$5:$C$204,2,FALSE)),"— tanımsız ürün —")</f>
      </c>
      <c r="H556" s="21"/>
      <c r="I556" s="22">
        <f>IFERROR(IF($F556="","",IF($C556="Alış",VLOOKUP($F556,'Ürün Kartlar'!$B$5:$E$204,4,FALSE),VLOOKUP($F556,'Ürün Kartlar'!$B$5:$F$204,5,FALSE))),"")</f>
      </c>
      <c r="J556" s="23">
        <f>IFERROR(IF($F556="",Ayarlar!$C$9,VLOOKUP($F556,'Ürün Kartlar'!$B$5:$G$204,6,FALSE)),Ayarlar!$C$9)</f>
      </c>
      <c r="K556" s="18">
        <f>IF(OR($H556="",$I556=""),0,$H556*$I556)</f>
      </c>
      <c r="L556" s="18">
        <f>$K556*$J556</f>
      </c>
      <c r="M556" s="18">
        <f>$K556+$L556</f>
      </c>
      <c r="N556" s="20"/>
      <c r="O556" s="20"/>
      <c r="P556" s="20"/>
    </row>
    <row r="557" spans="2:16" x14ac:dyDescent="0.25">
      <c r="B557" s="15"/>
      <c r="C557" s="8"/>
      <c r="D557" s="8"/>
      <c r="E557" s="16">
        <f>IFERROR(IF($D557="","",VLOOKUP($D557,'Cari Kartlar'!$B$5:$C$204,2,FALSE)),"— tanımsız cari —")</f>
      </c>
      <c r="F557" s="8"/>
      <c r="G557" s="16">
        <f>IFERROR(IF($F557="","",VLOOKUP($F557,'Ürün Kartlar'!$B$5:$C$204,2,FALSE)),"— tanımsız ürün —")</f>
      </c>
      <c r="H557" s="17"/>
      <c r="I557" s="13">
        <f>IFERROR(IF($F557="","",IF($C557="Alış",VLOOKUP($F557,'Ürün Kartlar'!$B$5:$E$204,4,FALSE),VLOOKUP($F557,'Ürün Kartlar'!$B$5:$F$204,5,FALSE))),"")</f>
      </c>
      <c r="J557" s="11">
        <f>IFERROR(IF($F557="",Ayarlar!$C$9,VLOOKUP($F557,'Ürün Kartlar'!$B$5:$G$204,6,FALSE)),Ayarlar!$C$9)</f>
      </c>
      <c r="K557" s="18">
        <f>IF(OR($H557="",$I557=""),0,$H557*$I557)</f>
      </c>
      <c r="L557" s="18">
        <f>$K557*$J557</f>
      </c>
      <c r="M557" s="18">
        <f>$K557+$L557</f>
      </c>
      <c r="N557" s="8"/>
      <c r="O557" s="8"/>
      <c r="P557" s="8"/>
    </row>
    <row r="558" spans="2:16" x14ac:dyDescent="0.25">
      <c r="B558" s="19"/>
      <c r="C558" s="20"/>
      <c r="D558" s="20"/>
      <c r="E558" s="16">
        <f>IFERROR(IF($D558="","",VLOOKUP($D558,'Cari Kartlar'!$B$5:$C$204,2,FALSE)),"— tanımsız cari —")</f>
      </c>
      <c r="F558" s="20"/>
      <c r="G558" s="16">
        <f>IFERROR(IF($F558="","",VLOOKUP($F558,'Ürün Kartlar'!$B$5:$C$204,2,FALSE)),"— tanımsız ürün —")</f>
      </c>
      <c r="H558" s="21"/>
      <c r="I558" s="22">
        <f>IFERROR(IF($F558="","",IF($C558="Alış",VLOOKUP($F558,'Ürün Kartlar'!$B$5:$E$204,4,FALSE),VLOOKUP($F558,'Ürün Kartlar'!$B$5:$F$204,5,FALSE))),"")</f>
      </c>
      <c r="J558" s="23">
        <f>IFERROR(IF($F558="",Ayarlar!$C$9,VLOOKUP($F558,'Ürün Kartlar'!$B$5:$G$204,6,FALSE)),Ayarlar!$C$9)</f>
      </c>
      <c r="K558" s="18">
        <f>IF(OR($H558="",$I558=""),0,$H558*$I558)</f>
      </c>
      <c r="L558" s="18">
        <f>$K558*$J558</f>
      </c>
      <c r="M558" s="18">
        <f>$K558+$L558</f>
      </c>
      <c r="N558" s="20"/>
      <c r="O558" s="20"/>
      <c r="P558" s="20"/>
    </row>
    <row r="559" spans="2:16" x14ac:dyDescent="0.25">
      <c r="B559" s="15"/>
      <c r="C559" s="8"/>
      <c r="D559" s="8"/>
      <c r="E559" s="16">
        <f>IFERROR(IF($D559="","",VLOOKUP($D559,'Cari Kartlar'!$B$5:$C$204,2,FALSE)),"— tanımsız cari —")</f>
      </c>
      <c r="F559" s="8"/>
      <c r="G559" s="16">
        <f>IFERROR(IF($F559="","",VLOOKUP($F559,'Ürün Kartlar'!$B$5:$C$204,2,FALSE)),"— tanımsız ürün —")</f>
      </c>
      <c r="H559" s="17"/>
      <c r="I559" s="13">
        <f>IFERROR(IF($F559="","",IF($C559="Alış",VLOOKUP($F559,'Ürün Kartlar'!$B$5:$E$204,4,FALSE),VLOOKUP($F559,'Ürün Kartlar'!$B$5:$F$204,5,FALSE))),"")</f>
      </c>
      <c r="J559" s="11">
        <f>IFERROR(IF($F559="",Ayarlar!$C$9,VLOOKUP($F559,'Ürün Kartlar'!$B$5:$G$204,6,FALSE)),Ayarlar!$C$9)</f>
      </c>
      <c r="K559" s="18">
        <f>IF(OR($H559="",$I559=""),0,$H559*$I559)</f>
      </c>
      <c r="L559" s="18">
        <f>$K559*$J559</f>
      </c>
      <c r="M559" s="18">
        <f>$K559+$L559</f>
      </c>
      <c r="N559" s="8"/>
      <c r="O559" s="8"/>
      <c r="P559" s="8"/>
    </row>
    <row r="560" spans="2:16" x14ac:dyDescent="0.25">
      <c r="B560" s="19"/>
      <c r="C560" s="20"/>
      <c r="D560" s="20"/>
      <c r="E560" s="16">
        <f>IFERROR(IF($D560="","",VLOOKUP($D560,'Cari Kartlar'!$B$5:$C$204,2,FALSE)),"— tanımsız cari —")</f>
      </c>
      <c r="F560" s="20"/>
      <c r="G560" s="16">
        <f>IFERROR(IF($F560="","",VLOOKUP($F560,'Ürün Kartlar'!$B$5:$C$204,2,FALSE)),"— tanımsız ürün —")</f>
      </c>
      <c r="H560" s="21"/>
      <c r="I560" s="22">
        <f>IFERROR(IF($F560="","",IF($C560="Alış",VLOOKUP($F560,'Ürün Kartlar'!$B$5:$E$204,4,FALSE),VLOOKUP($F560,'Ürün Kartlar'!$B$5:$F$204,5,FALSE))),"")</f>
      </c>
      <c r="J560" s="23">
        <f>IFERROR(IF($F560="",Ayarlar!$C$9,VLOOKUP($F560,'Ürün Kartlar'!$B$5:$G$204,6,FALSE)),Ayarlar!$C$9)</f>
      </c>
      <c r="K560" s="18">
        <f>IF(OR($H560="",$I560=""),0,$H560*$I560)</f>
      </c>
      <c r="L560" s="18">
        <f>$K560*$J560</f>
      </c>
      <c r="M560" s="18">
        <f>$K560+$L560</f>
      </c>
      <c r="N560" s="20"/>
      <c r="O560" s="20"/>
      <c r="P560" s="20"/>
    </row>
    <row r="561" spans="2:16" x14ac:dyDescent="0.25">
      <c r="B561" s="15"/>
      <c r="C561" s="8"/>
      <c r="D561" s="8"/>
      <c r="E561" s="16">
        <f>IFERROR(IF($D561="","",VLOOKUP($D561,'Cari Kartlar'!$B$5:$C$204,2,FALSE)),"— tanımsız cari —")</f>
      </c>
      <c r="F561" s="8"/>
      <c r="G561" s="16">
        <f>IFERROR(IF($F561="","",VLOOKUP($F561,'Ürün Kartlar'!$B$5:$C$204,2,FALSE)),"— tanımsız ürün —")</f>
      </c>
      <c r="H561" s="17"/>
      <c r="I561" s="13">
        <f>IFERROR(IF($F561="","",IF($C561="Alış",VLOOKUP($F561,'Ürün Kartlar'!$B$5:$E$204,4,FALSE),VLOOKUP($F561,'Ürün Kartlar'!$B$5:$F$204,5,FALSE))),"")</f>
      </c>
      <c r="J561" s="11">
        <f>IFERROR(IF($F561="",Ayarlar!$C$9,VLOOKUP($F561,'Ürün Kartlar'!$B$5:$G$204,6,FALSE)),Ayarlar!$C$9)</f>
      </c>
      <c r="K561" s="18">
        <f>IF(OR($H561="",$I561=""),0,$H561*$I561)</f>
      </c>
      <c r="L561" s="18">
        <f>$K561*$J561</f>
      </c>
      <c r="M561" s="18">
        <f>$K561+$L561</f>
      </c>
      <c r="N561" s="8"/>
      <c r="O561" s="8"/>
      <c r="P561" s="8"/>
    </row>
    <row r="562" spans="2:16" x14ac:dyDescent="0.25">
      <c r="B562" s="19"/>
      <c r="C562" s="20"/>
      <c r="D562" s="20"/>
      <c r="E562" s="16">
        <f>IFERROR(IF($D562="","",VLOOKUP($D562,'Cari Kartlar'!$B$5:$C$204,2,FALSE)),"— tanımsız cari —")</f>
      </c>
      <c r="F562" s="20"/>
      <c r="G562" s="16">
        <f>IFERROR(IF($F562="","",VLOOKUP($F562,'Ürün Kartlar'!$B$5:$C$204,2,FALSE)),"— tanımsız ürün —")</f>
      </c>
      <c r="H562" s="21"/>
      <c r="I562" s="22">
        <f>IFERROR(IF($F562="","",IF($C562="Alış",VLOOKUP($F562,'Ürün Kartlar'!$B$5:$E$204,4,FALSE),VLOOKUP($F562,'Ürün Kartlar'!$B$5:$F$204,5,FALSE))),"")</f>
      </c>
      <c r="J562" s="23">
        <f>IFERROR(IF($F562="",Ayarlar!$C$9,VLOOKUP($F562,'Ürün Kartlar'!$B$5:$G$204,6,FALSE)),Ayarlar!$C$9)</f>
      </c>
      <c r="K562" s="18">
        <f>IF(OR($H562="",$I562=""),0,$H562*$I562)</f>
      </c>
      <c r="L562" s="18">
        <f>$K562*$J562</f>
      </c>
      <c r="M562" s="18">
        <f>$K562+$L562</f>
      </c>
      <c r="N562" s="20"/>
      <c r="O562" s="20"/>
      <c r="P562" s="20"/>
    </row>
    <row r="563" spans="2:16" x14ac:dyDescent="0.25">
      <c r="B563" s="15"/>
      <c r="C563" s="8"/>
      <c r="D563" s="8"/>
      <c r="E563" s="16">
        <f>IFERROR(IF($D563="","",VLOOKUP($D563,'Cari Kartlar'!$B$5:$C$204,2,FALSE)),"— tanımsız cari —")</f>
      </c>
      <c r="F563" s="8"/>
      <c r="G563" s="16">
        <f>IFERROR(IF($F563="","",VLOOKUP($F563,'Ürün Kartlar'!$B$5:$C$204,2,FALSE)),"— tanımsız ürün —")</f>
      </c>
      <c r="H563" s="17"/>
      <c r="I563" s="13">
        <f>IFERROR(IF($F563="","",IF($C563="Alış",VLOOKUP($F563,'Ürün Kartlar'!$B$5:$E$204,4,FALSE),VLOOKUP($F563,'Ürün Kartlar'!$B$5:$F$204,5,FALSE))),"")</f>
      </c>
      <c r="J563" s="11">
        <f>IFERROR(IF($F563="",Ayarlar!$C$9,VLOOKUP($F563,'Ürün Kartlar'!$B$5:$G$204,6,FALSE)),Ayarlar!$C$9)</f>
      </c>
      <c r="K563" s="18">
        <f>IF(OR($H563="",$I563=""),0,$H563*$I563)</f>
      </c>
      <c r="L563" s="18">
        <f>$K563*$J563</f>
      </c>
      <c r="M563" s="18">
        <f>$K563+$L563</f>
      </c>
      <c r="N563" s="8"/>
      <c r="O563" s="8"/>
      <c r="P563" s="8"/>
    </row>
    <row r="564" spans="2:16" x14ac:dyDescent="0.25">
      <c r="B564" s="19"/>
      <c r="C564" s="20"/>
      <c r="D564" s="20"/>
      <c r="E564" s="16">
        <f>IFERROR(IF($D564="","",VLOOKUP($D564,'Cari Kartlar'!$B$5:$C$204,2,FALSE)),"— tanımsız cari —")</f>
      </c>
      <c r="F564" s="20"/>
      <c r="G564" s="16">
        <f>IFERROR(IF($F564="","",VLOOKUP($F564,'Ürün Kartlar'!$B$5:$C$204,2,FALSE)),"— tanımsız ürün —")</f>
      </c>
      <c r="H564" s="21"/>
      <c r="I564" s="22">
        <f>IFERROR(IF($F564="","",IF($C564="Alış",VLOOKUP($F564,'Ürün Kartlar'!$B$5:$E$204,4,FALSE),VLOOKUP($F564,'Ürün Kartlar'!$B$5:$F$204,5,FALSE))),"")</f>
      </c>
      <c r="J564" s="23">
        <f>IFERROR(IF($F564="",Ayarlar!$C$9,VLOOKUP($F564,'Ürün Kartlar'!$B$5:$G$204,6,FALSE)),Ayarlar!$C$9)</f>
      </c>
      <c r="K564" s="18">
        <f>IF(OR($H564="",$I564=""),0,$H564*$I564)</f>
      </c>
      <c r="L564" s="18">
        <f>$K564*$J564</f>
      </c>
      <c r="M564" s="18">
        <f>$K564+$L564</f>
      </c>
      <c r="N564" s="20"/>
      <c r="O564" s="20"/>
      <c r="P564" s="20"/>
    </row>
    <row r="565" spans="2:16" x14ac:dyDescent="0.25">
      <c r="B565" s="15"/>
      <c r="C565" s="8"/>
      <c r="D565" s="8"/>
      <c r="E565" s="16">
        <f>IFERROR(IF($D565="","",VLOOKUP($D565,'Cari Kartlar'!$B$5:$C$204,2,FALSE)),"— tanımsız cari —")</f>
      </c>
      <c r="F565" s="8"/>
      <c r="G565" s="16">
        <f>IFERROR(IF($F565="","",VLOOKUP($F565,'Ürün Kartlar'!$B$5:$C$204,2,FALSE)),"— tanımsız ürün —")</f>
      </c>
      <c r="H565" s="17"/>
      <c r="I565" s="13">
        <f>IFERROR(IF($F565="","",IF($C565="Alış",VLOOKUP($F565,'Ürün Kartlar'!$B$5:$E$204,4,FALSE),VLOOKUP($F565,'Ürün Kartlar'!$B$5:$F$204,5,FALSE))),"")</f>
      </c>
      <c r="J565" s="11">
        <f>IFERROR(IF($F565="",Ayarlar!$C$9,VLOOKUP($F565,'Ürün Kartlar'!$B$5:$G$204,6,FALSE)),Ayarlar!$C$9)</f>
      </c>
      <c r="K565" s="18">
        <f>IF(OR($H565="",$I565=""),0,$H565*$I565)</f>
      </c>
      <c r="L565" s="18">
        <f>$K565*$J565</f>
      </c>
      <c r="M565" s="18">
        <f>$K565+$L565</f>
      </c>
      <c r="N565" s="8"/>
      <c r="O565" s="8"/>
      <c r="P565" s="8"/>
    </row>
    <row r="566" spans="2:16" x14ac:dyDescent="0.25">
      <c r="B566" s="19"/>
      <c r="C566" s="20"/>
      <c r="D566" s="20"/>
      <c r="E566" s="16">
        <f>IFERROR(IF($D566="","",VLOOKUP($D566,'Cari Kartlar'!$B$5:$C$204,2,FALSE)),"— tanımsız cari —")</f>
      </c>
      <c r="F566" s="20"/>
      <c r="G566" s="16">
        <f>IFERROR(IF($F566="","",VLOOKUP($F566,'Ürün Kartlar'!$B$5:$C$204,2,FALSE)),"— tanımsız ürün —")</f>
      </c>
      <c r="H566" s="21"/>
      <c r="I566" s="22">
        <f>IFERROR(IF($F566="","",IF($C566="Alış",VLOOKUP($F566,'Ürün Kartlar'!$B$5:$E$204,4,FALSE),VLOOKUP($F566,'Ürün Kartlar'!$B$5:$F$204,5,FALSE))),"")</f>
      </c>
      <c r="J566" s="23">
        <f>IFERROR(IF($F566="",Ayarlar!$C$9,VLOOKUP($F566,'Ürün Kartlar'!$B$5:$G$204,6,FALSE)),Ayarlar!$C$9)</f>
      </c>
      <c r="K566" s="18">
        <f>IF(OR($H566="",$I566=""),0,$H566*$I566)</f>
      </c>
      <c r="L566" s="18">
        <f>$K566*$J566</f>
      </c>
      <c r="M566" s="18">
        <f>$K566+$L566</f>
      </c>
      <c r="N566" s="20"/>
      <c r="O566" s="20"/>
      <c r="P566" s="20"/>
    </row>
    <row r="567" spans="2:16" x14ac:dyDescent="0.25">
      <c r="B567" s="15"/>
      <c r="C567" s="8"/>
      <c r="D567" s="8"/>
      <c r="E567" s="16">
        <f>IFERROR(IF($D567="","",VLOOKUP($D567,'Cari Kartlar'!$B$5:$C$204,2,FALSE)),"— tanımsız cari —")</f>
      </c>
      <c r="F567" s="8"/>
      <c r="G567" s="16">
        <f>IFERROR(IF($F567="","",VLOOKUP($F567,'Ürün Kartlar'!$B$5:$C$204,2,FALSE)),"— tanımsız ürün —")</f>
      </c>
      <c r="H567" s="17"/>
      <c r="I567" s="13">
        <f>IFERROR(IF($F567="","",IF($C567="Alış",VLOOKUP($F567,'Ürün Kartlar'!$B$5:$E$204,4,FALSE),VLOOKUP($F567,'Ürün Kartlar'!$B$5:$F$204,5,FALSE))),"")</f>
      </c>
      <c r="J567" s="11">
        <f>IFERROR(IF($F567="",Ayarlar!$C$9,VLOOKUP($F567,'Ürün Kartlar'!$B$5:$G$204,6,FALSE)),Ayarlar!$C$9)</f>
      </c>
      <c r="K567" s="18">
        <f>IF(OR($H567="",$I567=""),0,$H567*$I567)</f>
      </c>
      <c r="L567" s="18">
        <f>$K567*$J567</f>
      </c>
      <c r="M567" s="18">
        <f>$K567+$L567</f>
      </c>
      <c r="N567" s="8"/>
      <c r="O567" s="8"/>
      <c r="P567" s="8"/>
    </row>
    <row r="568" spans="2:16" x14ac:dyDescent="0.25">
      <c r="B568" s="19"/>
      <c r="C568" s="20"/>
      <c r="D568" s="20"/>
      <c r="E568" s="16">
        <f>IFERROR(IF($D568="","",VLOOKUP($D568,'Cari Kartlar'!$B$5:$C$204,2,FALSE)),"— tanımsız cari —")</f>
      </c>
      <c r="F568" s="20"/>
      <c r="G568" s="16">
        <f>IFERROR(IF($F568="","",VLOOKUP($F568,'Ürün Kartlar'!$B$5:$C$204,2,FALSE)),"— tanımsız ürün —")</f>
      </c>
      <c r="H568" s="21"/>
      <c r="I568" s="22">
        <f>IFERROR(IF($F568="","",IF($C568="Alış",VLOOKUP($F568,'Ürün Kartlar'!$B$5:$E$204,4,FALSE),VLOOKUP($F568,'Ürün Kartlar'!$B$5:$F$204,5,FALSE))),"")</f>
      </c>
      <c r="J568" s="23">
        <f>IFERROR(IF($F568="",Ayarlar!$C$9,VLOOKUP($F568,'Ürün Kartlar'!$B$5:$G$204,6,FALSE)),Ayarlar!$C$9)</f>
      </c>
      <c r="K568" s="18">
        <f>IF(OR($H568="",$I568=""),0,$H568*$I568)</f>
      </c>
      <c r="L568" s="18">
        <f>$K568*$J568</f>
      </c>
      <c r="M568" s="18">
        <f>$K568+$L568</f>
      </c>
      <c r="N568" s="20"/>
      <c r="O568" s="20"/>
      <c r="P568" s="20"/>
    </row>
    <row r="569" spans="2:16" x14ac:dyDescent="0.25">
      <c r="B569" s="15"/>
      <c r="C569" s="8"/>
      <c r="D569" s="8"/>
      <c r="E569" s="16">
        <f>IFERROR(IF($D569="","",VLOOKUP($D569,'Cari Kartlar'!$B$5:$C$204,2,FALSE)),"— tanımsız cari —")</f>
      </c>
      <c r="F569" s="8"/>
      <c r="G569" s="16">
        <f>IFERROR(IF($F569="","",VLOOKUP($F569,'Ürün Kartlar'!$B$5:$C$204,2,FALSE)),"— tanımsız ürün —")</f>
      </c>
      <c r="H569" s="17"/>
      <c r="I569" s="13">
        <f>IFERROR(IF($F569="","",IF($C569="Alış",VLOOKUP($F569,'Ürün Kartlar'!$B$5:$E$204,4,FALSE),VLOOKUP($F569,'Ürün Kartlar'!$B$5:$F$204,5,FALSE))),"")</f>
      </c>
      <c r="J569" s="11">
        <f>IFERROR(IF($F569="",Ayarlar!$C$9,VLOOKUP($F569,'Ürün Kartlar'!$B$5:$G$204,6,FALSE)),Ayarlar!$C$9)</f>
      </c>
      <c r="K569" s="18">
        <f>IF(OR($H569="",$I569=""),0,$H569*$I569)</f>
      </c>
      <c r="L569" s="18">
        <f>$K569*$J569</f>
      </c>
      <c r="M569" s="18">
        <f>$K569+$L569</f>
      </c>
      <c r="N569" s="8"/>
      <c r="O569" s="8"/>
      <c r="P569" s="8"/>
    </row>
    <row r="570" spans="2:16" x14ac:dyDescent="0.25">
      <c r="B570" s="19"/>
      <c r="C570" s="20"/>
      <c r="D570" s="20"/>
      <c r="E570" s="16">
        <f>IFERROR(IF($D570="","",VLOOKUP($D570,'Cari Kartlar'!$B$5:$C$204,2,FALSE)),"— tanımsız cari —")</f>
      </c>
      <c r="F570" s="20"/>
      <c r="G570" s="16">
        <f>IFERROR(IF($F570="","",VLOOKUP($F570,'Ürün Kartlar'!$B$5:$C$204,2,FALSE)),"— tanımsız ürün —")</f>
      </c>
      <c r="H570" s="21"/>
      <c r="I570" s="22">
        <f>IFERROR(IF($F570="","",IF($C570="Alış",VLOOKUP($F570,'Ürün Kartlar'!$B$5:$E$204,4,FALSE),VLOOKUP($F570,'Ürün Kartlar'!$B$5:$F$204,5,FALSE))),"")</f>
      </c>
      <c r="J570" s="23">
        <f>IFERROR(IF($F570="",Ayarlar!$C$9,VLOOKUP($F570,'Ürün Kartlar'!$B$5:$G$204,6,FALSE)),Ayarlar!$C$9)</f>
      </c>
      <c r="K570" s="18">
        <f>IF(OR($H570="",$I570=""),0,$H570*$I570)</f>
      </c>
      <c r="L570" s="18">
        <f>$K570*$J570</f>
      </c>
      <c r="M570" s="18">
        <f>$K570+$L570</f>
      </c>
      <c r="N570" s="20"/>
      <c r="O570" s="20"/>
      <c r="P570" s="20"/>
    </row>
    <row r="571" spans="2:16" x14ac:dyDescent="0.25">
      <c r="B571" s="15"/>
      <c r="C571" s="8"/>
      <c r="D571" s="8"/>
      <c r="E571" s="16">
        <f>IFERROR(IF($D571="","",VLOOKUP($D571,'Cari Kartlar'!$B$5:$C$204,2,FALSE)),"— tanımsız cari —")</f>
      </c>
      <c r="F571" s="8"/>
      <c r="G571" s="16">
        <f>IFERROR(IF($F571="","",VLOOKUP($F571,'Ürün Kartlar'!$B$5:$C$204,2,FALSE)),"— tanımsız ürün —")</f>
      </c>
      <c r="H571" s="17"/>
      <c r="I571" s="13">
        <f>IFERROR(IF($F571="","",IF($C571="Alış",VLOOKUP($F571,'Ürün Kartlar'!$B$5:$E$204,4,FALSE),VLOOKUP($F571,'Ürün Kartlar'!$B$5:$F$204,5,FALSE))),"")</f>
      </c>
      <c r="J571" s="11">
        <f>IFERROR(IF($F571="",Ayarlar!$C$9,VLOOKUP($F571,'Ürün Kartlar'!$B$5:$G$204,6,FALSE)),Ayarlar!$C$9)</f>
      </c>
      <c r="K571" s="18">
        <f>IF(OR($H571="",$I571=""),0,$H571*$I571)</f>
      </c>
      <c r="L571" s="18">
        <f>$K571*$J571</f>
      </c>
      <c r="M571" s="18">
        <f>$K571+$L571</f>
      </c>
      <c r="N571" s="8"/>
      <c r="O571" s="8"/>
      <c r="P571" s="8"/>
    </row>
    <row r="572" spans="2:16" x14ac:dyDescent="0.25">
      <c r="B572" s="19"/>
      <c r="C572" s="20"/>
      <c r="D572" s="20"/>
      <c r="E572" s="16">
        <f>IFERROR(IF($D572="","",VLOOKUP($D572,'Cari Kartlar'!$B$5:$C$204,2,FALSE)),"— tanımsız cari —")</f>
      </c>
      <c r="F572" s="20"/>
      <c r="G572" s="16">
        <f>IFERROR(IF($F572="","",VLOOKUP($F572,'Ürün Kartlar'!$B$5:$C$204,2,FALSE)),"— tanımsız ürün —")</f>
      </c>
      <c r="H572" s="21"/>
      <c r="I572" s="22">
        <f>IFERROR(IF($F572="","",IF($C572="Alış",VLOOKUP($F572,'Ürün Kartlar'!$B$5:$E$204,4,FALSE),VLOOKUP($F572,'Ürün Kartlar'!$B$5:$F$204,5,FALSE))),"")</f>
      </c>
      <c r="J572" s="23">
        <f>IFERROR(IF($F572="",Ayarlar!$C$9,VLOOKUP($F572,'Ürün Kartlar'!$B$5:$G$204,6,FALSE)),Ayarlar!$C$9)</f>
      </c>
      <c r="K572" s="18">
        <f>IF(OR($H572="",$I572=""),0,$H572*$I572)</f>
      </c>
      <c r="L572" s="18">
        <f>$K572*$J572</f>
      </c>
      <c r="M572" s="18">
        <f>$K572+$L572</f>
      </c>
      <c r="N572" s="20"/>
      <c r="O572" s="20"/>
      <c r="P572" s="20"/>
    </row>
    <row r="573" spans="2:16" x14ac:dyDescent="0.25">
      <c r="B573" s="15"/>
      <c r="C573" s="8"/>
      <c r="D573" s="8"/>
      <c r="E573" s="16">
        <f>IFERROR(IF($D573="","",VLOOKUP($D573,'Cari Kartlar'!$B$5:$C$204,2,FALSE)),"— tanımsız cari —")</f>
      </c>
      <c r="F573" s="8"/>
      <c r="G573" s="16">
        <f>IFERROR(IF($F573="","",VLOOKUP($F573,'Ürün Kartlar'!$B$5:$C$204,2,FALSE)),"— tanımsız ürün —")</f>
      </c>
      <c r="H573" s="17"/>
      <c r="I573" s="13">
        <f>IFERROR(IF($F573="","",IF($C573="Alış",VLOOKUP($F573,'Ürün Kartlar'!$B$5:$E$204,4,FALSE),VLOOKUP($F573,'Ürün Kartlar'!$B$5:$F$204,5,FALSE))),"")</f>
      </c>
      <c r="J573" s="11">
        <f>IFERROR(IF($F573="",Ayarlar!$C$9,VLOOKUP($F573,'Ürün Kartlar'!$B$5:$G$204,6,FALSE)),Ayarlar!$C$9)</f>
      </c>
      <c r="K573" s="18">
        <f>IF(OR($H573="",$I573=""),0,$H573*$I573)</f>
      </c>
      <c r="L573" s="18">
        <f>$K573*$J573</f>
      </c>
      <c r="M573" s="18">
        <f>$K573+$L573</f>
      </c>
      <c r="N573" s="8"/>
      <c r="O573" s="8"/>
      <c r="P573" s="8"/>
    </row>
    <row r="574" spans="2:16" x14ac:dyDescent="0.25">
      <c r="B574" s="19"/>
      <c r="C574" s="20"/>
      <c r="D574" s="20"/>
      <c r="E574" s="16">
        <f>IFERROR(IF($D574="","",VLOOKUP($D574,'Cari Kartlar'!$B$5:$C$204,2,FALSE)),"— tanımsız cari —")</f>
      </c>
      <c r="F574" s="20"/>
      <c r="G574" s="16">
        <f>IFERROR(IF($F574="","",VLOOKUP($F574,'Ürün Kartlar'!$B$5:$C$204,2,FALSE)),"— tanımsız ürün —")</f>
      </c>
      <c r="H574" s="21"/>
      <c r="I574" s="22">
        <f>IFERROR(IF($F574="","",IF($C574="Alış",VLOOKUP($F574,'Ürün Kartlar'!$B$5:$E$204,4,FALSE),VLOOKUP($F574,'Ürün Kartlar'!$B$5:$F$204,5,FALSE))),"")</f>
      </c>
      <c r="J574" s="23">
        <f>IFERROR(IF($F574="",Ayarlar!$C$9,VLOOKUP($F574,'Ürün Kartlar'!$B$5:$G$204,6,FALSE)),Ayarlar!$C$9)</f>
      </c>
      <c r="K574" s="18">
        <f>IF(OR($H574="",$I574=""),0,$H574*$I574)</f>
      </c>
      <c r="L574" s="18">
        <f>$K574*$J574</f>
      </c>
      <c r="M574" s="18">
        <f>$K574+$L574</f>
      </c>
      <c r="N574" s="20"/>
      <c r="O574" s="20"/>
      <c r="P574" s="20"/>
    </row>
    <row r="575" spans="2:16" x14ac:dyDescent="0.25">
      <c r="B575" s="15"/>
      <c r="C575" s="8"/>
      <c r="D575" s="8"/>
      <c r="E575" s="16">
        <f>IFERROR(IF($D575="","",VLOOKUP($D575,'Cari Kartlar'!$B$5:$C$204,2,FALSE)),"— tanımsız cari —")</f>
      </c>
      <c r="F575" s="8"/>
      <c r="G575" s="16">
        <f>IFERROR(IF($F575="","",VLOOKUP($F575,'Ürün Kartlar'!$B$5:$C$204,2,FALSE)),"— tanımsız ürün —")</f>
      </c>
      <c r="H575" s="17"/>
      <c r="I575" s="13">
        <f>IFERROR(IF($F575="","",IF($C575="Alış",VLOOKUP($F575,'Ürün Kartlar'!$B$5:$E$204,4,FALSE),VLOOKUP($F575,'Ürün Kartlar'!$B$5:$F$204,5,FALSE))),"")</f>
      </c>
      <c r="J575" s="11">
        <f>IFERROR(IF($F575="",Ayarlar!$C$9,VLOOKUP($F575,'Ürün Kartlar'!$B$5:$G$204,6,FALSE)),Ayarlar!$C$9)</f>
      </c>
      <c r="K575" s="18">
        <f>IF(OR($H575="",$I575=""),0,$H575*$I575)</f>
      </c>
      <c r="L575" s="18">
        <f>$K575*$J575</f>
      </c>
      <c r="M575" s="18">
        <f>$K575+$L575</f>
      </c>
      <c r="N575" s="8"/>
      <c r="O575" s="8"/>
      <c r="P575" s="8"/>
    </row>
    <row r="576" spans="2:16" x14ac:dyDescent="0.25">
      <c r="B576" s="19"/>
      <c r="C576" s="20"/>
      <c r="D576" s="20"/>
      <c r="E576" s="16">
        <f>IFERROR(IF($D576="","",VLOOKUP($D576,'Cari Kartlar'!$B$5:$C$204,2,FALSE)),"— tanımsız cari —")</f>
      </c>
      <c r="F576" s="20"/>
      <c r="G576" s="16">
        <f>IFERROR(IF($F576="","",VLOOKUP($F576,'Ürün Kartlar'!$B$5:$C$204,2,FALSE)),"— tanımsız ürün —")</f>
      </c>
      <c r="H576" s="21"/>
      <c r="I576" s="22">
        <f>IFERROR(IF($F576="","",IF($C576="Alış",VLOOKUP($F576,'Ürün Kartlar'!$B$5:$E$204,4,FALSE),VLOOKUP($F576,'Ürün Kartlar'!$B$5:$F$204,5,FALSE))),"")</f>
      </c>
      <c r="J576" s="23">
        <f>IFERROR(IF($F576="",Ayarlar!$C$9,VLOOKUP($F576,'Ürün Kartlar'!$B$5:$G$204,6,FALSE)),Ayarlar!$C$9)</f>
      </c>
      <c r="K576" s="18">
        <f>IF(OR($H576="",$I576=""),0,$H576*$I576)</f>
      </c>
      <c r="L576" s="18">
        <f>$K576*$J576</f>
      </c>
      <c r="M576" s="18">
        <f>$K576+$L576</f>
      </c>
      <c r="N576" s="20"/>
      <c r="O576" s="20"/>
      <c r="P576" s="20"/>
    </row>
    <row r="577" spans="2:16" x14ac:dyDescent="0.25">
      <c r="B577" s="15"/>
      <c r="C577" s="8"/>
      <c r="D577" s="8"/>
      <c r="E577" s="16">
        <f>IFERROR(IF($D577="","",VLOOKUP($D577,'Cari Kartlar'!$B$5:$C$204,2,FALSE)),"— tanımsız cari —")</f>
      </c>
      <c r="F577" s="8"/>
      <c r="G577" s="16">
        <f>IFERROR(IF($F577="","",VLOOKUP($F577,'Ürün Kartlar'!$B$5:$C$204,2,FALSE)),"— tanımsız ürün —")</f>
      </c>
      <c r="H577" s="17"/>
      <c r="I577" s="13">
        <f>IFERROR(IF($F577="","",IF($C577="Alış",VLOOKUP($F577,'Ürün Kartlar'!$B$5:$E$204,4,FALSE),VLOOKUP($F577,'Ürün Kartlar'!$B$5:$F$204,5,FALSE))),"")</f>
      </c>
      <c r="J577" s="11">
        <f>IFERROR(IF($F577="",Ayarlar!$C$9,VLOOKUP($F577,'Ürün Kartlar'!$B$5:$G$204,6,FALSE)),Ayarlar!$C$9)</f>
      </c>
      <c r="K577" s="18">
        <f>IF(OR($H577="",$I577=""),0,$H577*$I577)</f>
      </c>
      <c r="L577" s="18">
        <f>$K577*$J577</f>
      </c>
      <c r="M577" s="18">
        <f>$K577+$L577</f>
      </c>
      <c r="N577" s="8"/>
      <c r="O577" s="8"/>
      <c r="P577" s="8"/>
    </row>
    <row r="578" spans="2:16" x14ac:dyDescent="0.25">
      <c r="B578" s="19"/>
      <c r="C578" s="20"/>
      <c r="D578" s="20"/>
      <c r="E578" s="16">
        <f>IFERROR(IF($D578="","",VLOOKUP($D578,'Cari Kartlar'!$B$5:$C$204,2,FALSE)),"— tanımsız cari —")</f>
      </c>
      <c r="F578" s="20"/>
      <c r="G578" s="16">
        <f>IFERROR(IF($F578="","",VLOOKUP($F578,'Ürün Kartlar'!$B$5:$C$204,2,FALSE)),"— tanımsız ürün —")</f>
      </c>
      <c r="H578" s="21"/>
      <c r="I578" s="22">
        <f>IFERROR(IF($F578="","",IF($C578="Alış",VLOOKUP($F578,'Ürün Kartlar'!$B$5:$E$204,4,FALSE),VLOOKUP($F578,'Ürün Kartlar'!$B$5:$F$204,5,FALSE))),"")</f>
      </c>
      <c r="J578" s="23">
        <f>IFERROR(IF($F578="",Ayarlar!$C$9,VLOOKUP($F578,'Ürün Kartlar'!$B$5:$G$204,6,FALSE)),Ayarlar!$C$9)</f>
      </c>
      <c r="K578" s="18">
        <f>IF(OR($H578="",$I578=""),0,$H578*$I578)</f>
      </c>
      <c r="L578" s="18">
        <f>$K578*$J578</f>
      </c>
      <c r="M578" s="18">
        <f>$K578+$L578</f>
      </c>
      <c r="N578" s="20"/>
      <c r="O578" s="20"/>
      <c r="P578" s="20"/>
    </row>
    <row r="579" spans="2:16" x14ac:dyDescent="0.25">
      <c r="B579" s="15"/>
      <c r="C579" s="8"/>
      <c r="D579" s="8"/>
      <c r="E579" s="16">
        <f>IFERROR(IF($D579="","",VLOOKUP($D579,'Cari Kartlar'!$B$5:$C$204,2,FALSE)),"— tanımsız cari —")</f>
      </c>
      <c r="F579" s="8"/>
      <c r="G579" s="16">
        <f>IFERROR(IF($F579="","",VLOOKUP($F579,'Ürün Kartlar'!$B$5:$C$204,2,FALSE)),"— tanımsız ürün —")</f>
      </c>
      <c r="H579" s="17"/>
      <c r="I579" s="13">
        <f>IFERROR(IF($F579="","",IF($C579="Alış",VLOOKUP($F579,'Ürün Kartlar'!$B$5:$E$204,4,FALSE),VLOOKUP($F579,'Ürün Kartlar'!$B$5:$F$204,5,FALSE))),"")</f>
      </c>
      <c r="J579" s="11">
        <f>IFERROR(IF($F579="",Ayarlar!$C$9,VLOOKUP($F579,'Ürün Kartlar'!$B$5:$G$204,6,FALSE)),Ayarlar!$C$9)</f>
      </c>
      <c r="K579" s="18">
        <f>IF(OR($H579="",$I579=""),0,$H579*$I579)</f>
      </c>
      <c r="L579" s="18">
        <f>$K579*$J579</f>
      </c>
      <c r="M579" s="18">
        <f>$K579+$L579</f>
      </c>
      <c r="N579" s="8"/>
      <c r="O579" s="8"/>
      <c r="P579" s="8"/>
    </row>
    <row r="580" spans="2:16" x14ac:dyDescent="0.25">
      <c r="B580" s="19"/>
      <c r="C580" s="20"/>
      <c r="D580" s="20"/>
      <c r="E580" s="16">
        <f>IFERROR(IF($D580="","",VLOOKUP($D580,'Cari Kartlar'!$B$5:$C$204,2,FALSE)),"— tanımsız cari —")</f>
      </c>
      <c r="F580" s="20"/>
      <c r="G580" s="16">
        <f>IFERROR(IF($F580="","",VLOOKUP($F580,'Ürün Kartlar'!$B$5:$C$204,2,FALSE)),"— tanımsız ürün —")</f>
      </c>
      <c r="H580" s="21"/>
      <c r="I580" s="22">
        <f>IFERROR(IF($F580="","",IF($C580="Alış",VLOOKUP($F580,'Ürün Kartlar'!$B$5:$E$204,4,FALSE),VLOOKUP($F580,'Ürün Kartlar'!$B$5:$F$204,5,FALSE))),"")</f>
      </c>
      <c r="J580" s="23">
        <f>IFERROR(IF($F580="",Ayarlar!$C$9,VLOOKUP($F580,'Ürün Kartlar'!$B$5:$G$204,6,FALSE)),Ayarlar!$C$9)</f>
      </c>
      <c r="K580" s="18">
        <f>IF(OR($H580="",$I580=""),0,$H580*$I580)</f>
      </c>
      <c r="L580" s="18">
        <f>$K580*$J580</f>
      </c>
      <c r="M580" s="18">
        <f>$K580+$L580</f>
      </c>
      <c r="N580" s="20"/>
      <c r="O580" s="20"/>
      <c r="P580" s="20"/>
    </row>
    <row r="581" spans="2:16" x14ac:dyDescent="0.25">
      <c r="B581" s="15"/>
      <c r="C581" s="8"/>
      <c r="D581" s="8"/>
      <c r="E581" s="16">
        <f>IFERROR(IF($D581="","",VLOOKUP($D581,'Cari Kartlar'!$B$5:$C$204,2,FALSE)),"— tanımsız cari —")</f>
      </c>
      <c r="F581" s="8"/>
      <c r="G581" s="16">
        <f>IFERROR(IF($F581="","",VLOOKUP($F581,'Ürün Kartlar'!$B$5:$C$204,2,FALSE)),"— tanımsız ürün —")</f>
      </c>
      <c r="H581" s="17"/>
      <c r="I581" s="13">
        <f>IFERROR(IF($F581="","",IF($C581="Alış",VLOOKUP($F581,'Ürün Kartlar'!$B$5:$E$204,4,FALSE),VLOOKUP($F581,'Ürün Kartlar'!$B$5:$F$204,5,FALSE))),"")</f>
      </c>
      <c r="J581" s="11">
        <f>IFERROR(IF($F581="",Ayarlar!$C$9,VLOOKUP($F581,'Ürün Kartlar'!$B$5:$G$204,6,FALSE)),Ayarlar!$C$9)</f>
      </c>
      <c r="K581" s="18">
        <f>IF(OR($H581="",$I581=""),0,$H581*$I581)</f>
      </c>
      <c r="L581" s="18">
        <f>$K581*$J581</f>
      </c>
      <c r="M581" s="18">
        <f>$K581+$L581</f>
      </c>
      <c r="N581" s="8"/>
      <c r="O581" s="8"/>
      <c r="P581" s="8"/>
    </row>
    <row r="582" spans="2:16" x14ac:dyDescent="0.25">
      <c r="B582" s="19"/>
      <c r="C582" s="20"/>
      <c r="D582" s="20"/>
      <c r="E582" s="16">
        <f>IFERROR(IF($D582="","",VLOOKUP($D582,'Cari Kartlar'!$B$5:$C$204,2,FALSE)),"— tanımsız cari —")</f>
      </c>
      <c r="F582" s="20"/>
      <c r="G582" s="16">
        <f>IFERROR(IF($F582="","",VLOOKUP($F582,'Ürün Kartlar'!$B$5:$C$204,2,FALSE)),"— tanımsız ürün —")</f>
      </c>
      <c r="H582" s="21"/>
      <c r="I582" s="22">
        <f>IFERROR(IF($F582="","",IF($C582="Alış",VLOOKUP($F582,'Ürün Kartlar'!$B$5:$E$204,4,FALSE),VLOOKUP($F582,'Ürün Kartlar'!$B$5:$F$204,5,FALSE))),"")</f>
      </c>
      <c r="J582" s="23">
        <f>IFERROR(IF($F582="",Ayarlar!$C$9,VLOOKUP($F582,'Ürün Kartlar'!$B$5:$G$204,6,FALSE)),Ayarlar!$C$9)</f>
      </c>
      <c r="K582" s="18">
        <f>IF(OR($H582="",$I582=""),0,$H582*$I582)</f>
      </c>
      <c r="L582" s="18">
        <f>$K582*$J582</f>
      </c>
      <c r="M582" s="18">
        <f>$K582+$L582</f>
      </c>
      <c r="N582" s="20"/>
      <c r="O582" s="20"/>
      <c r="P582" s="20"/>
    </row>
    <row r="583" spans="2:16" x14ac:dyDescent="0.25">
      <c r="B583" s="15"/>
      <c r="C583" s="8"/>
      <c r="D583" s="8"/>
      <c r="E583" s="16">
        <f>IFERROR(IF($D583="","",VLOOKUP($D583,'Cari Kartlar'!$B$5:$C$204,2,FALSE)),"— tanımsız cari —")</f>
      </c>
      <c r="F583" s="8"/>
      <c r="G583" s="16">
        <f>IFERROR(IF($F583="","",VLOOKUP($F583,'Ürün Kartlar'!$B$5:$C$204,2,FALSE)),"— tanımsız ürün —")</f>
      </c>
      <c r="H583" s="17"/>
      <c r="I583" s="13">
        <f>IFERROR(IF($F583="","",IF($C583="Alış",VLOOKUP($F583,'Ürün Kartlar'!$B$5:$E$204,4,FALSE),VLOOKUP($F583,'Ürün Kartlar'!$B$5:$F$204,5,FALSE))),"")</f>
      </c>
      <c r="J583" s="11">
        <f>IFERROR(IF($F583="",Ayarlar!$C$9,VLOOKUP($F583,'Ürün Kartlar'!$B$5:$G$204,6,FALSE)),Ayarlar!$C$9)</f>
      </c>
      <c r="K583" s="18">
        <f>IF(OR($H583="",$I583=""),0,$H583*$I583)</f>
      </c>
      <c r="L583" s="18">
        <f>$K583*$J583</f>
      </c>
      <c r="M583" s="18">
        <f>$K583+$L583</f>
      </c>
      <c r="N583" s="8"/>
      <c r="O583" s="8"/>
      <c r="P583" s="8"/>
    </row>
    <row r="584" spans="2:16" x14ac:dyDescent="0.25">
      <c r="B584" s="19"/>
      <c r="C584" s="20"/>
      <c r="D584" s="20"/>
      <c r="E584" s="16">
        <f>IFERROR(IF($D584="","",VLOOKUP($D584,'Cari Kartlar'!$B$5:$C$204,2,FALSE)),"— tanımsız cari —")</f>
      </c>
      <c r="F584" s="20"/>
      <c r="G584" s="16">
        <f>IFERROR(IF($F584="","",VLOOKUP($F584,'Ürün Kartlar'!$B$5:$C$204,2,FALSE)),"— tanımsız ürün —")</f>
      </c>
      <c r="H584" s="21"/>
      <c r="I584" s="22">
        <f>IFERROR(IF($F584="","",IF($C584="Alış",VLOOKUP($F584,'Ürün Kartlar'!$B$5:$E$204,4,FALSE),VLOOKUP($F584,'Ürün Kartlar'!$B$5:$F$204,5,FALSE))),"")</f>
      </c>
      <c r="J584" s="23">
        <f>IFERROR(IF($F584="",Ayarlar!$C$9,VLOOKUP($F584,'Ürün Kartlar'!$B$5:$G$204,6,FALSE)),Ayarlar!$C$9)</f>
      </c>
      <c r="K584" s="18">
        <f>IF(OR($H584="",$I584=""),0,$H584*$I584)</f>
      </c>
      <c r="L584" s="18">
        <f>$K584*$J584</f>
      </c>
      <c r="M584" s="18">
        <f>$K584+$L584</f>
      </c>
      <c r="N584" s="20"/>
      <c r="O584" s="20"/>
      <c r="P584" s="20"/>
    </row>
    <row r="585" spans="2:16" x14ac:dyDescent="0.25">
      <c r="B585" s="15"/>
      <c r="C585" s="8"/>
      <c r="D585" s="8"/>
      <c r="E585" s="16">
        <f>IFERROR(IF($D585="","",VLOOKUP($D585,'Cari Kartlar'!$B$5:$C$204,2,FALSE)),"— tanımsız cari —")</f>
      </c>
      <c r="F585" s="8"/>
      <c r="G585" s="16">
        <f>IFERROR(IF($F585="","",VLOOKUP($F585,'Ürün Kartlar'!$B$5:$C$204,2,FALSE)),"— tanımsız ürün —")</f>
      </c>
      <c r="H585" s="17"/>
      <c r="I585" s="13">
        <f>IFERROR(IF($F585="","",IF($C585="Alış",VLOOKUP($F585,'Ürün Kartlar'!$B$5:$E$204,4,FALSE),VLOOKUP($F585,'Ürün Kartlar'!$B$5:$F$204,5,FALSE))),"")</f>
      </c>
      <c r="J585" s="11">
        <f>IFERROR(IF($F585="",Ayarlar!$C$9,VLOOKUP($F585,'Ürün Kartlar'!$B$5:$G$204,6,FALSE)),Ayarlar!$C$9)</f>
      </c>
      <c r="K585" s="18">
        <f>IF(OR($H585="",$I585=""),0,$H585*$I585)</f>
      </c>
      <c r="L585" s="18">
        <f>$K585*$J585</f>
      </c>
      <c r="M585" s="18">
        <f>$K585+$L585</f>
      </c>
      <c r="N585" s="8"/>
      <c r="O585" s="8"/>
      <c r="P585" s="8"/>
    </row>
    <row r="586" spans="2:16" x14ac:dyDescent="0.25">
      <c r="B586" s="19"/>
      <c r="C586" s="20"/>
      <c r="D586" s="20"/>
      <c r="E586" s="16">
        <f>IFERROR(IF($D586="","",VLOOKUP($D586,'Cari Kartlar'!$B$5:$C$204,2,FALSE)),"— tanımsız cari —")</f>
      </c>
      <c r="F586" s="20"/>
      <c r="G586" s="16">
        <f>IFERROR(IF($F586="","",VLOOKUP($F586,'Ürün Kartlar'!$B$5:$C$204,2,FALSE)),"— tanımsız ürün —")</f>
      </c>
      <c r="H586" s="21"/>
      <c r="I586" s="22">
        <f>IFERROR(IF($F586="","",IF($C586="Alış",VLOOKUP($F586,'Ürün Kartlar'!$B$5:$E$204,4,FALSE),VLOOKUP($F586,'Ürün Kartlar'!$B$5:$F$204,5,FALSE))),"")</f>
      </c>
      <c r="J586" s="23">
        <f>IFERROR(IF($F586="",Ayarlar!$C$9,VLOOKUP($F586,'Ürün Kartlar'!$B$5:$G$204,6,FALSE)),Ayarlar!$C$9)</f>
      </c>
      <c r="K586" s="18">
        <f>IF(OR($H586="",$I586=""),0,$H586*$I586)</f>
      </c>
      <c r="L586" s="18">
        <f>$K586*$J586</f>
      </c>
      <c r="M586" s="18">
        <f>$K586+$L586</f>
      </c>
      <c r="N586" s="20"/>
      <c r="O586" s="20"/>
      <c r="P586" s="20"/>
    </row>
    <row r="587" spans="2:16" x14ac:dyDescent="0.25">
      <c r="B587" s="15"/>
      <c r="C587" s="8"/>
      <c r="D587" s="8"/>
      <c r="E587" s="16">
        <f>IFERROR(IF($D587="","",VLOOKUP($D587,'Cari Kartlar'!$B$5:$C$204,2,FALSE)),"— tanımsız cari —")</f>
      </c>
      <c r="F587" s="8"/>
      <c r="G587" s="16">
        <f>IFERROR(IF($F587="","",VLOOKUP($F587,'Ürün Kartlar'!$B$5:$C$204,2,FALSE)),"— tanımsız ürün —")</f>
      </c>
      <c r="H587" s="17"/>
      <c r="I587" s="13">
        <f>IFERROR(IF($F587="","",IF($C587="Alış",VLOOKUP($F587,'Ürün Kartlar'!$B$5:$E$204,4,FALSE),VLOOKUP($F587,'Ürün Kartlar'!$B$5:$F$204,5,FALSE))),"")</f>
      </c>
      <c r="J587" s="11">
        <f>IFERROR(IF($F587="",Ayarlar!$C$9,VLOOKUP($F587,'Ürün Kartlar'!$B$5:$G$204,6,FALSE)),Ayarlar!$C$9)</f>
      </c>
      <c r="K587" s="18">
        <f>IF(OR($H587="",$I587=""),0,$H587*$I587)</f>
      </c>
      <c r="L587" s="18">
        <f>$K587*$J587</f>
      </c>
      <c r="M587" s="18">
        <f>$K587+$L587</f>
      </c>
      <c r="N587" s="8"/>
      <c r="O587" s="8"/>
      <c r="P587" s="8"/>
    </row>
    <row r="588" spans="2:16" x14ac:dyDescent="0.25">
      <c r="B588" s="19"/>
      <c r="C588" s="20"/>
      <c r="D588" s="20"/>
      <c r="E588" s="16">
        <f>IFERROR(IF($D588="","",VLOOKUP($D588,'Cari Kartlar'!$B$5:$C$204,2,FALSE)),"— tanımsız cari —")</f>
      </c>
      <c r="F588" s="20"/>
      <c r="G588" s="16">
        <f>IFERROR(IF($F588="","",VLOOKUP($F588,'Ürün Kartlar'!$B$5:$C$204,2,FALSE)),"— tanımsız ürün —")</f>
      </c>
      <c r="H588" s="21"/>
      <c r="I588" s="22">
        <f>IFERROR(IF($F588="","",IF($C588="Alış",VLOOKUP($F588,'Ürün Kartlar'!$B$5:$E$204,4,FALSE),VLOOKUP($F588,'Ürün Kartlar'!$B$5:$F$204,5,FALSE))),"")</f>
      </c>
      <c r="J588" s="23">
        <f>IFERROR(IF($F588="",Ayarlar!$C$9,VLOOKUP($F588,'Ürün Kartlar'!$B$5:$G$204,6,FALSE)),Ayarlar!$C$9)</f>
      </c>
      <c r="K588" s="18">
        <f>IF(OR($H588="",$I588=""),0,$H588*$I588)</f>
      </c>
      <c r="L588" s="18">
        <f>$K588*$J588</f>
      </c>
      <c r="M588" s="18">
        <f>$K588+$L588</f>
      </c>
      <c r="N588" s="20"/>
      <c r="O588" s="20"/>
      <c r="P588" s="20"/>
    </row>
    <row r="589" spans="2:16" x14ac:dyDescent="0.25">
      <c r="B589" s="15"/>
      <c r="C589" s="8"/>
      <c r="D589" s="8"/>
      <c r="E589" s="16">
        <f>IFERROR(IF($D589="","",VLOOKUP($D589,'Cari Kartlar'!$B$5:$C$204,2,FALSE)),"— tanımsız cari —")</f>
      </c>
      <c r="F589" s="8"/>
      <c r="G589" s="16">
        <f>IFERROR(IF($F589="","",VLOOKUP($F589,'Ürün Kartlar'!$B$5:$C$204,2,FALSE)),"— tanımsız ürün —")</f>
      </c>
      <c r="H589" s="17"/>
      <c r="I589" s="13">
        <f>IFERROR(IF($F589="","",IF($C589="Alış",VLOOKUP($F589,'Ürün Kartlar'!$B$5:$E$204,4,FALSE),VLOOKUP($F589,'Ürün Kartlar'!$B$5:$F$204,5,FALSE))),"")</f>
      </c>
      <c r="J589" s="11">
        <f>IFERROR(IF($F589="",Ayarlar!$C$9,VLOOKUP($F589,'Ürün Kartlar'!$B$5:$G$204,6,FALSE)),Ayarlar!$C$9)</f>
      </c>
      <c r="K589" s="18">
        <f>IF(OR($H589="",$I589=""),0,$H589*$I589)</f>
      </c>
      <c r="L589" s="18">
        <f>$K589*$J589</f>
      </c>
      <c r="M589" s="18">
        <f>$K589+$L589</f>
      </c>
      <c r="N589" s="8"/>
      <c r="O589" s="8"/>
      <c r="P589" s="8"/>
    </row>
    <row r="590" spans="2:16" x14ac:dyDescent="0.25">
      <c r="B590" s="19"/>
      <c r="C590" s="20"/>
      <c r="D590" s="20"/>
      <c r="E590" s="16">
        <f>IFERROR(IF($D590="","",VLOOKUP($D590,'Cari Kartlar'!$B$5:$C$204,2,FALSE)),"— tanımsız cari —")</f>
      </c>
      <c r="F590" s="20"/>
      <c r="G590" s="16">
        <f>IFERROR(IF($F590="","",VLOOKUP($F590,'Ürün Kartlar'!$B$5:$C$204,2,FALSE)),"— tanımsız ürün —")</f>
      </c>
      <c r="H590" s="21"/>
      <c r="I590" s="22">
        <f>IFERROR(IF($F590="","",IF($C590="Alış",VLOOKUP($F590,'Ürün Kartlar'!$B$5:$E$204,4,FALSE),VLOOKUP($F590,'Ürün Kartlar'!$B$5:$F$204,5,FALSE))),"")</f>
      </c>
      <c r="J590" s="23">
        <f>IFERROR(IF($F590="",Ayarlar!$C$9,VLOOKUP($F590,'Ürün Kartlar'!$B$5:$G$204,6,FALSE)),Ayarlar!$C$9)</f>
      </c>
      <c r="K590" s="18">
        <f>IF(OR($H590="",$I590=""),0,$H590*$I590)</f>
      </c>
      <c r="L590" s="18">
        <f>$K590*$J590</f>
      </c>
      <c r="M590" s="18">
        <f>$K590+$L590</f>
      </c>
      <c r="N590" s="20"/>
      <c r="O590" s="20"/>
      <c r="P590" s="20"/>
    </row>
    <row r="591" spans="2:16" x14ac:dyDescent="0.25">
      <c r="B591" s="15"/>
      <c r="C591" s="8"/>
      <c r="D591" s="8"/>
      <c r="E591" s="16">
        <f>IFERROR(IF($D591="","",VLOOKUP($D591,'Cari Kartlar'!$B$5:$C$204,2,FALSE)),"— tanımsız cari —")</f>
      </c>
      <c r="F591" s="8"/>
      <c r="G591" s="16">
        <f>IFERROR(IF($F591="","",VLOOKUP($F591,'Ürün Kartlar'!$B$5:$C$204,2,FALSE)),"— tanımsız ürün —")</f>
      </c>
      <c r="H591" s="17"/>
      <c r="I591" s="13">
        <f>IFERROR(IF($F591="","",IF($C591="Alış",VLOOKUP($F591,'Ürün Kartlar'!$B$5:$E$204,4,FALSE),VLOOKUP($F591,'Ürün Kartlar'!$B$5:$F$204,5,FALSE))),"")</f>
      </c>
      <c r="J591" s="11">
        <f>IFERROR(IF($F591="",Ayarlar!$C$9,VLOOKUP($F591,'Ürün Kartlar'!$B$5:$G$204,6,FALSE)),Ayarlar!$C$9)</f>
      </c>
      <c r="K591" s="18">
        <f>IF(OR($H591="",$I591=""),0,$H591*$I591)</f>
      </c>
      <c r="L591" s="18">
        <f>$K591*$J591</f>
      </c>
      <c r="M591" s="18">
        <f>$K591+$L591</f>
      </c>
      <c r="N591" s="8"/>
      <c r="O591" s="8"/>
      <c r="P591" s="8"/>
    </row>
    <row r="592" spans="2:16" x14ac:dyDescent="0.25">
      <c r="B592" s="19"/>
      <c r="C592" s="20"/>
      <c r="D592" s="20"/>
      <c r="E592" s="16">
        <f>IFERROR(IF($D592="","",VLOOKUP($D592,'Cari Kartlar'!$B$5:$C$204,2,FALSE)),"— tanımsız cari —")</f>
      </c>
      <c r="F592" s="20"/>
      <c r="G592" s="16">
        <f>IFERROR(IF($F592="","",VLOOKUP($F592,'Ürün Kartlar'!$B$5:$C$204,2,FALSE)),"— tanımsız ürün —")</f>
      </c>
      <c r="H592" s="21"/>
      <c r="I592" s="22">
        <f>IFERROR(IF($F592="","",IF($C592="Alış",VLOOKUP($F592,'Ürün Kartlar'!$B$5:$E$204,4,FALSE),VLOOKUP($F592,'Ürün Kartlar'!$B$5:$F$204,5,FALSE))),"")</f>
      </c>
      <c r="J592" s="23">
        <f>IFERROR(IF($F592="",Ayarlar!$C$9,VLOOKUP($F592,'Ürün Kartlar'!$B$5:$G$204,6,FALSE)),Ayarlar!$C$9)</f>
      </c>
      <c r="K592" s="18">
        <f>IF(OR($H592="",$I592=""),0,$H592*$I592)</f>
      </c>
      <c r="L592" s="18">
        <f>$K592*$J592</f>
      </c>
      <c r="M592" s="18">
        <f>$K592+$L592</f>
      </c>
      <c r="N592" s="20"/>
      <c r="O592" s="20"/>
      <c r="P592" s="20"/>
    </row>
    <row r="593" spans="2:16" x14ac:dyDescent="0.25">
      <c r="B593" s="15"/>
      <c r="C593" s="8"/>
      <c r="D593" s="8"/>
      <c r="E593" s="16">
        <f>IFERROR(IF($D593="","",VLOOKUP($D593,'Cari Kartlar'!$B$5:$C$204,2,FALSE)),"— tanımsız cari —")</f>
      </c>
      <c r="F593" s="8"/>
      <c r="G593" s="16">
        <f>IFERROR(IF($F593="","",VLOOKUP($F593,'Ürün Kartlar'!$B$5:$C$204,2,FALSE)),"— tanımsız ürün —")</f>
      </c>
      <c r="H593" s="17"/>
      <c r="I593" s="13">
        <f>IFERROR(IF($F593="","",IF($C593="Alış",VLOOKUP($F593,'Ürün Kartlar'!$B$5:$E$204,4,FALSE),VLOOKUP($F593,'Ürün Kartlar'!$B$5:$F$204,5,FALSE))),"")</f>
      </c>
      <c r="J593" s="11">
        <f>IFERROR(IF($F593="",Ayarlar!$C$9,VLOOKUP($F593,'Ürün Kartlar'!$B$5:$G$204,6,FALSE)),Ayarlar!$C$9)</f>
      </c>
      <c r="K593" s="18">
        <f>IF(OR($H593="",$I593=""),0,$H593*$I593)</f>
      </c>
      <c r="L593" s="18">
        <f>$K593*$J593</f>
      </c>
      <c r="M593" s="18">
        <f>$K593+$L593</f>
      </c>
      <c r="N593" s="8"/>
      <c r="O593" s="8"/>
      <c r="P593" s="8"/>
    </row>
    <row r="594" spans="2:16" x14ac:dyDescent="0.25">
      <c r="B594" s="19"/>
      <c r="C594" s="20"/>
      <c r="D594" s="20"/>
      <c r="E594" s="16">
        <f>IFERROR(IF($D594="","",VLOOKUP($D594,'Cari Kartlar'!$B$5:$C$204,2,FALSE)),"— tanımsız cari —")</f>
      </c>
      <c r="F594" s="20"/>
      <c r="G594" s="16">
        <f>IFERROR(IF($F594="","",VLOOKUP($F594,'Ürün Kartlar'!$B$5:$C$204,2,FALSE)),"— tanımsız ürün —")</f>
      </c>
      <c r="H594" s="21"/>
      <c r="I594" s="22">
        <f>IFERROR(IF($F594="","",IF($C594="Alış",VLOOKUP($F594,'Ürün Kartlar'!$B$5:$E$204,4,FALSE),VLOOKUP($F594,'Ürün Kartlar'!$B$5:$F$204,5,FALSE))),"")</f>
      </c>
      <c r="J594" s="23">
        <f>IFERROR(IF($F594="",Ayarlar!$C$9,VLOOKUP($F594,'Ürün Kartlar'!$B$5:$G$204,6,FALSE)),Ayarlar!$C$9)</f>
      </c>
      <c r="K594" s="18">
        <f>IF(OR($H594="",$I594=""),0,$H594*$I594)</f>
      </c>
      <c r="L594" s="18">
        <f>$K594*$J594</f>
      </c>
      <c r="M594" s="18">
        <f>$K594+$L594</f>
      </c>
      <c r="N594" s="20"/>
      <c r="O594" s="20"/>
      <c r="P594" s="20"/>
    </row>
    <row r="595" spans="2:16" x14ac:dyDescent="0.25">
      <c r="B595" s="15"/>
      <c r="C595" s="8"/>
      <c r="D595" s="8"/>
      <c r="E595" s="16">
        <f>IFERROR(IF($D595="","",VLOOKUP($D595,'Cari Kartlar'!$B$5:$C$204,2,FALSE)),"— tanımsız cari —")</f>
      </c>
      <c r="F595" s="8"/>
      <c r="G595" s="16">
        <f>IFERROR(IF($F595="","",VLOOKUP($F595,'Ürün Kartlar'!$B$5:$C$204,2,FALSE)),"— tanımsız ürün —")</f>
      </c>
      <c r="H595" s="17"/>
      <c r="I595" s="13">
        <f>IFERROR(IF($F595="","",IF($C595="Alış",VLOOKUP($F595,'Ürün Kartlar'!$B$5:$E$204,4,FALSE),VLOOKUP($F595,'Ürün Kartlar'!$B$5:$F$204,5,FALSE))),"")</f>
      </c>
      <c r="J595" s="11">
        <f>IFERROR(IF($F595="",Ayarlar!$C$9,VLOOKUP($F595,'Ürün Kartlar'!$B$5:$G$204,6,FALSE)),Ayarlar!$C$9)</f>
      </c>
      <c r="K595" s="18">
        <f>IF(OR($H595="",$I595=""),0,$H595*$I595)</f>
      </c>
      <c r="L595" s="18">
        <f>$K595*$J595</f>
      </c>
      <c r="M595" s="18">
        <f>$K595+$L595</f>
      </c>
      <c r="N595" s="8"/>
      <c r="O595" s="8"/>
      <c r="P595" s="8"/>
    </row>
    <row r="596" spans="2:16" x14ac:dyDescent="0.25">
      <c r="B596" s="19"/>
      <c r="C596" s="20"/>
      <c r="D596" s="20"/>
      <c r="E596" s="16">
        <f>IFERROR(IF($D596="","",VLOOKUP($D596,'Cari Kartlar'!$B$5:$C$204,2,FALSE)),"— tanımsız cari —")</f>
      </c>
      <c r="F596" s="20"/>
      <c r="G596" s="16">
        <f>IFERROR(IF($F596="","",VLOOKUP($F596,'Ürün Kartlar'!$B$5:$C$204,2,FALSE)),"— tanımsız ürün —")</f>
      </c>
      <c r="H596" s="21"/>
      <c r="I596" s="22">
        <f>IFERROR(IF($F596="","",IF($C596="Alış",VLOOKUP($F596,'Ürün Kartlar'!$B$5:$E$204,4,FALSE),VLOOKUP($F596,'Ürün Kartlar'!$B$5:$F$204,5,FALSE))),"")</f>
      </c>
      <c r="J596" s="23">
        <f>IFERROR(IF($F596="",Ayarlar!$C$9,VLOOKUP($F596,'Ürün Kartlar'!$B$5:$G$204,6,FALSE)),Ayarlar!$C$9)</f>
      </c>
      <c r="K596" s="18">
        <f>IF(OR($H596="",$I596=""),0,$H596*$I596)</f>
      </c>
      <c r="L596" s="18">
        <f>$K596*$J596</f>
      </c>
      <c r="M596" s="18">
        <f>$K596+$L596</f>
      </c>
      <c r="N596" s="20"/>
      <c r="O596" s="20"/>
      <c r="P596" s="20"/>
    </row>
    <row r="597" spans="2:16" x14ac:dyDescent="0.25">
      <c r="B597" s="15"/>
      <c r="C597" s="8"/>
      <c r="D597" s="8"/>
      <c r="E597" s="16">
        <f>IFERROR(IF($D597="","",VLOOKUP($D597,'Cari Kartlar'!$B$5:$C$204,2,FALSE)),"— tanımsız cari —")</f>
      </c>
      <c r="F597" s="8"/>
      <c r="G597" s="16">
        <f>IFERROR(IF($F597="","",VLOOKUP($F597,'Ürün Kartlar'!$B$5:$C$204,2,FALSE)),"— tanımsız ürün —")</f>
      </c>
      <c r="H597" s="17"/>
      <c r="I597" s="13">
        <f>IFERROR(IF($F597="","",IF($C597="Alış",VLOOKUP($F597,'Ürün Kartlar'!$B$5:$E$204,4,FALSE),VLOOKUP($F597,'Ürün Kartlar'!$B$5:$F$204,5,FALSE))),"")</f>
      </c>
      <c r="J597" s="11">
        <f>IFERROR(IF($F597="",Ayarlar!$C$9,VLOOKUP($F597,'Ürün Kartlar'!$B$5:$G$204,6,FALSE)),Ayarlar!$C$9)</f>
      </c>
      <c r="K597" s="18">
        <f>IF(OR($H597="",$I597=""),0,$H597*$I597)</f>
      </c>
      <c r="L597" s="18">
        <f>$K597*$J597</f>
      </c>
      <c r="M597" s="18">
        <f>$K597+$L597</f>
      </c>
      <c r="N597" s="8"/>
      <c r="O597" s="8"/>
      <c r="P597" s="8"/>
    </row>
    <row r="598" spans="2:16" x14ac:dyDescent="0.25">
      <c r="B598" s="19"/>
      <c r="C598" s="20"/>
      <c r="D598" s="20"/>
      <c r="E598" s="16">
        <f>IFERROR(IF($D598="","",VLOOKUP($D598,'Cari Kartlar'!$B$5:$C$204,2,FALSE)),"— tanımsız cari —")</f>
      </c>
      <c r="F598" s="20"/>
      <c r="G598" s="16">
        <f>IFERROR(IF($F598="","",VLOOKUP($F598,'Ürün Kartlar'!$B$5:$C$204,2,FALSE)),"— tanımsız ürün —")</f>
      </c>
      <c r="H598" s="21"/>
      <c r="I598" s="22">
        <f>IFERROR(IF($F598="","",IF($C598="Alış",VLOOKUP($F598,'Ürün Kartlar'!$B$5:$E$204,4,FALSE),VLOOKUP($F598,'Ürün Kartlar'!$B$5:$F$204,5,FALSE))),"")</f>
      </c>
      <c r="J598" s="23">
        <f>IFERROR(IF($F598="",Ayarlar!$C$9,VLOOKUP($F598,'Ürün Kartlar'!$B$5:$G$204,6,FALSE)),Ayarlar!$C$9)</f>
      </c>
      <c r="K598" s="18">
        <f>IF(OR($H598="",$I598=""),0,$H598*$I598)</f>
      </c>
      <c r="L598" s="18">
        <f>$K598*$J598</f>
      </c>
      <c r="M598" s="18">
        <f>$K598+$L598</f>
      </c>
      <c r="N598" s="20"/>
      <c r="O598" s="20"/>
      <c r="P598" s="20"/>
    </row>
    <row r="599" spans="2:16" x14ac:dyDescent="0.25">
      <c r="B599" s="15"/>
      <c r="C599" s="8"/>
      <c r="D599" s="8"/>
      <c r="E599" s="16">
        <f>IFERROR(IF($D599="","",VLOOKUP($D599,'Cari Kartlar'!$B$5:$C$204,2,FALSE)),"— tanımsız cari —")</f>
      </c>
      <c r="F599" s="8"/>
      <c r="G599" s="16">
        <f>IFERROR(IF($F599="","",VLOOKUP($F599,'Ürün Kartlar'!$B$5:$C$204,2,FALSE)),"— tanımsız ürün —")</f>
      </c>
      <c r="H599" s="17"/>
      <c r="I599" s="13">
        <f>IFERROR(IF($F599="","",IF($C599="Alış",VLOOKUP($F599,'Ürün Kartlar'!$B$5:$E$204,4,FALSE),VLOOKUP($F599,'Ürün Kartlar'!$B$5:$F$204,5,FALSE))),"")</f>
      </c>
      <c r="J599" s="11">
        <f>IFERROR(IF($F599="",Ayarlar!$C$9,VLOOKUP($F599,'Ürün Kartlar'!$B$5:$G$204,6,FALSE)),Ayarlar!$C$9)</f>
      </c>
      <c r="K599" s="18">
        <f>IF(OR($H599="",$I599=""),0,$H599*$I599)</f>
      </c>
      <c r="L599" s="18">
        <f>$K599*$J599</f>
      </c>
      <c r="M599" s="18">
        <f>$K599+$L599</f>
      </c>
      <c r="N599" s="8"/>
      <c r="O599" s="8"/>
      <c r="P599" s="8"/>
    </row>
    <row r="600" spans="2:16" x14ac:dyDescent="0.25">
      <c r="B600" s="19"/>
      <c r="C600" s="20"/>
      <c r="D600" s="20"/>
      <c r="E600" s="16">
        <f>IFERROR(IF($D600="","",VLOOKUP($D600,'Cari Kartlar'!$B$5:$C$204,2,FALSE)),"— tanımsız cari —")</f>
      </c>
      <c r="F600" s="20"/>
      <c r="G600" s="16">
        <f>IFERROR(IF($F600="","",VLOOKUP($F600,'Ürün Kartlar'!$B$5:$C$204,2,FALSE)),"— tanımsız ürün —")</f>
      </c>
      <c r="H600" s="21"/>
      <c r="I600" s="22">
        <f>IFERROR(IF($F600="","",IF($C600="Alış",VLOOKUP($F600,'Ürün Kartlar'!$B$5:$E$204,4,FALSE),VLOOKUP($F600,'Ürün Kartlar'!$B$5:$F$204,5,FALSE))),"")</f>
      </c>
      <c r="J600" s="23">
        <f>IFERROR(IF($F600="",Ayarlar!$C$9,VLOOKUP($F600,'Ürün Kartlar'!$B$5:$G$204,6,FALSE)),Ayarlar!$C$9)</f>
      </c>
      <c r="K600" s="18">
        <f>IF(OR($H600="",$I600=""),0,$H600*$I600)</f>
      </c>
      <c r="L600" s="18">
        <f>$K600*$J600</f>
      </c>
      <c r="M600" s="18">
        <f>$K600+$L600</f>
      </c>
      <c r="N600" s="20"/>
      <c r="O600" s="20"/>
      <c r="P600" s="20"/>
    </row>
    <row r="601" spans="2:16" x14ac:dyDescent="0.25">
      <c r="B601" s="15"/>
      <c r="C601" s="8"/>
      <c r="D601" s="8"/>
      <c r="E601" s="16">
        <f>IFERROR(IF($D601="","",VLOOKUP($D601,'Cari Kartlar'!$B$5:$C$204,2,FALSE)),"— tanımsız cari —")</f>
      </c>
      <c r="F601" s="8"/>
      <c r="G601" s="16">
        <f>IFERROR(IF($F601="","",VLOOKUP($F601,'Ürün Kartlar'!$B$5:$C$204,2,FALSE)),"— tanımsız ürün —")</f>
      </c>
      <c r="H601" s="17"/>
      <c r="I601" s="13">
        <f>IFERROR(IF($F601="","",IF($C601="Alış",VLOOKUP($F601,'Ürün Kartlar'!$B$5:$E$204,4,FALSE),VLOOKUP($F601,'Ürün Kartlar'!$B$5:$F$204,5,FALSE))),"")</f>
      </c>
      <c r="J601" s="11">
        <f>IFERROR(IF($F601="",Ayarlar!$C$9,VLOOKUP($F601,'Ürün Kartlar'!$B$5:$G$204,6,FALSE)),Ayarlar!$C$9)</f>
      </c>
      <c r="K601" s="18">
        <f>IF(OR($H601="",$I601=""),0,$H601*$I601)</f>
      </c>
      <c r="L601" s="18">
        <f>$K601*$J601</f>
      </c>
      <c r="M601" s="18">
        <f>$K601+$L601</f>
      </c>
      <c r="N601" s="8"/>
      <c r="O601" s="8"/>
      <c r="P601" s="8"/>
    </row>
    <row r="602" spans="2:16" x14ac:dyDescent="0.25">
      <c r="B602" s="19"/>
      <c r="C602" s="20"/>
      <c r="D602" s="20"/>
      <c r="E602" s="16">
        <f>IFERROR(IF($D602="","",VLOOKUP($D602,'Cari Kartlar'!$B$5:$C$204,2,FALSE)),"— tanımsız cari —")</f>
      </c>
      <c r="F602" s="20"/>
      <c r="G602" s="16">
        <f>IFERROR(IF($F602="","",VLOOKUP($F602,'Ürün Kartlar'!$B$5:$C$204,2,FALSE)),"— tanımsız ürün —")</f>
      </c>
      <c r="H602" s="21"/>
      <c r="I602" s="22">
        <f>IFERROR(IF($F602="","",IF($C602="Alış",VLOOKUP($F602,'Ürün Kartlar'!$B$5:$E$204,4,FALSE),VLOOKUP($F602,'Ürün Kartlar'!$B$5:$F$204,5,FALSE))),"")</f>
      </c>
      <c r="J602" s="23">
        <f>IFERROR(IF($F602="",Ayarlar!$C$9,VLOOKUP($F602,'Ürün Kartlar'!$B$5:$G$204,6,FALSE)),Ayarlar!$C$9)</f>
      </c>
      <c r="K602" s="18">
        <f>IF(OR($H602="",$I602=""),0,$H602*$I602)</f>
      </c>
      <c r="L602" s="18">
        <f>$K602*$J602</f>
      </c>
      <c r="M602" s="18">
        <f>$K602+$L602</f>
      </c>
      <c r="N602" s="20"/>
      <c r="O602" s="20"/>
      <c r="P602" s="20"/>
    </row>
    <row r="603" spans="2:16" x14ac:dyDescent="0.25">
      <c r="B603" s="15"/>
      <c r="C603" s="8"/>
      <c r="D603" s="8"/>
      <c r="E603" s="16">
        <f>IFERROR(IF($D603="","",VLOOKUP($D603,'Cari Kartlar'!$B$5:$C$204,2,FALSE)),"— tanımsız cari —")</f>
      </c>
      <c r="F603" s="8"/>
      <c r="G603" s="16">
        <f>IFERROR(IF($F603="","",VLOOKUP($F603,'Ürün Kartlar'!$B$5:$C$204,2,FALSE)),"— tanımsız ürün —")</f>
      </c>
      <c r="H603" s="17"/>
      <c r="I603" s="13">
        <f>IFERROR(IF($F603="","",IF($C603="Alış",VLOOKUP($F603,'Ürün Kartlar'!$B$5:$E$204,4,FALSE),VLOOKUP($F603,'Ürün Kartlar'!$B$5:$F$204,5,FALSE))),"")</f>
      </c>
      <c r="J603" s="11">
        <f>IFERROR(IF($F603="",Ayarlar!$C$9,VLOOKUP($F603,'Ürün Kartlar'!$B$5:$G$204,6,FALSE)),Ayarlar!$C$9)</f>
      </c>
      <c r="K603" s="18">
        <f>IF(OR($H603="",$I603=""),0,$H603*$I603)</f>
      </c>
      <c r="L603" s="18">
        <f>$K603*$J603</f>
      </c>
      <c r="M603" s="18">
        <f>$K603+$L603</f>
      </c>
      <c r="N603" s="8"/>
      <c r="O603" s="8"/>
      <c r="P603" s="8"/>
    </row>
    <row r="604" spans="2:16" x14ac:dyDescent="0.25">
      <c r="B604" s="19"/>
      <c r="C604" s="20"/>
      <c r="D604" s="20"/>
      <c r="E604" s="16">
        <f>IFERROR(IF($D604="","",VLOOKUP($D604,'Cari Kartlar'!$B$5:$C$204,2,FALSE)),"— tanımsız cari —")</f>
      </c>
      <c r="F604" s="20"/>
      <c r="G604" s="16">
        <f>IFERROR(IF($F604="","",VLOOKUP($F604,'Ürün Kartlar'!$B$5:$C$204,2,FALSE)),"— tanımsız ürün —")</f>
      </c>
      <c r="H604" s="21"/>
      <c r="I604" s="22">
        <f>IFERROR(IF($F604="","",IF($C604="Alış",VLOOKUP($F604,'Ürün Kartlar'!$B$5:$E$204,4,FALSE),VLOOKUP($F604,'Ürün Kartlar'!$B$5:$F$204,5,FALSE))),"")</f>
      </c>
      <c r="J604" s="23">
        <f>IFERROR(IF($F604="",Ayarlar!$C$9,VLOOKUP($F604,'Ürün Kartlar'!$B$5:$G$204,6,FALSE)),Ayarlar!$C$9)</f>
      </c>
      <c r="K604" s="18">
        <f>IF(OR($H604="",$I604=""),0,$H604*$I604)</f>
      </c>
      <c r="L604" s="18">
        <f>$K604*$J604</f>
      </c>
      <c r="M604" s="18">
        <f>$K604+$L604</f>
      </c>
      <c r="N604" s="20"/>
      <c r="O604" s="20"/>
      <c r="P604" s="20"/>
    </row>
    <row r="605" spans="2:16" x14ac:dyDescent="0.25">
      <c r="B605" s="15"/>
      <c r="C605" s="8"/>
      <c r="D605" s="8"/>
      <c r="E605" s="16">
        <f>IFERROR(IF($D605="","",VLOOKUP($D605,'Cari Kartlar'!$B$5:$C$204,2,FALSE)),"— tanımsız cari —")</f>
      </c>
      <c r="F605" s="8"/>
      <c r="G605" s="16">
        <f>IFERROR(IF($F605="","",VLOOKUP($F605,'Ürün Kartlar'!$B$5:$C$204,2,FALSE)),"— tanımsız ürün —")</f>
      </c>
      <c r="H605" s="17"/>
      <c r="I605" s="13">
        <f>IFERROR(IF($F605="","",IF($C605="Alış",VLOOKUP($F605,'Ürün Kartlar'!$B$5:$E$204,4,FALSE),VLOOKUP($F605,'Ürün Kartlar'!$B$5:$F$204,5,FALSE))),"")</f>
      </c>
      <c r="J605" s="11">
        <f>IFERROR(IF($F605="",Ayarlar!$C$9,VLOOKUP($F605,'Ürün Kartlar'!$B$5:$G$204,6,FALSE)),Ayarlar!$C$9)</f>
      </c>
      <c r="K605" s="18">
        <f>IF(OR($H605="",$I605=""),0,$H605*$I605)</f>
      </c>
      <c r="L605" s="18">
        <f>$K605*$J605</f>
      </c>
      <c r="M605" s="18">
        <f>$K605+$L605</f>
      </c>
      <c r="N605" s="8"/>
      <c r="O605" s="8"/>
      <c r="P605" s="8"/>
    </row>
    <row r="606" spans="2:16" x14ac:dyDescent="0.25">
      <c r="B606" s="19"/>
      <c r="C606" s="20"/>
      <c r="D606" s="20"/>
      <c r="E606" s="16">
        <f>IFERROR(IF($D606="","",VLOOKUP($D606,'Cari Kartlar'!$B$5:$C$204,2,FALSE)),"— tanımsız cari —")</f>
      </c>
      <c r="F606" s="20"/>
      <c r="G606" s="16">
        <f>IFERROR(IF($F606="","",VLOOKUP($F606,'Ürün Kartlar'!$B$5:$C$204,2,FALSE)),"— tanımsız ürün —")</f>
      </c>
      <c r="H606" s="21"/>
      <c r="I606" s="22">
        <f>IFERROR(IF($F606="","",IF($C606="Alış",VLOOKUP($F606,'Ürün Kartlar'!$B$5:$E$204,4,FALSE),VLOOKUP($F606,'Ürün Kartlar'!$B$5:$F$204,5,FALSE))),"")</f>
      </c>
      <c r="J606" s="23">
        <f>IFERROR(IF($F606="",Ayarlar!$C$9,VLOOKUP($F606,'Ürün Kartlar'!$B$5:$G$204,6,FALSE)),Ayarlar!$C$9)</f>
      </c>
      <c r="K606" s="18">
        <f>IF(OR($H606="",$I606=""),0,$H606*$I606)</f>
      </c>
      <c r="L606" s="18">
        <f>$K606*$J606</f>
      </c>
      <c r="M606" s="18">
        <f>$K606+$L606</f>
      </c>
      <c r="N606" s="20"/>
      <c r="O606" s="20"/>
      <c r="P606" s="20"/>
    </row>
    <row r="607" spans="2:16" x14ac:dyDescent="0.25">
      <c r="B607" s="15"/>
      <c r="C607" s="8"/>
      <c r="D607" s="8"/>
      <c r="E607" s="16">
        <f>IFERROR(IF($D607="","",VLOOKUP($D607,'Cari Kartlar'!$B$5:$C$204,2,FALSE)),"— tanımsız cari —")</f>
      </c>
      <c r="F607" s="8"/>
      <c r="G607" s="16">
        <f>IFERROR(IF($F607="","",VLOOKUP($F607,'Ürün Kartlar'!$B$5:$C$204,2,FALSE)),"— tanımsız ürün —")</f>
      </c>
      <c r="H607" s="17"/>
      <c r="I607" s="13">
        <f>IFERROR(IF($F607="","",IF($C607="Alış",VLOOKUP($F607,'Ürün Kartlar'!$B$5:$E$204,4,FALSE),VLOOKUP($F607,'Ürün Kartlar'!$B$5:$F$204,5,FALSE))),"")</f>
      </c>
      <c r="J607" s="11">
        <f>IFERROR(IF($F607="",Ayarlar!$C$9,VLOOKUP($F607,'Ürün Kartlar'!$B$5:$G$204,6,FALSE)),Ayarlar!$C$9)</f>
      </c>
      <c r="K607" s="18">
        <f>IF(OR($H607="",$I607=""),0,$H607*$I607)</f>
      </c>
      <c r="L607" s="18">
        <f>$K607*$J607</f>
      </c>
      <c r="M607" s="18">
        <f>$K607+$L607</f>
      </c>
      <c r="N607" s="8"/>
      <c r="O607" s="8"/>
      <c r="P607" s="8"/>
    </row>
    <row r="608" spans="2:16" x14ac:dyDescent="0.25">
      <c r="B608" s="19"/>
      <c r="C608" s="20"/>
      <c r="D608" s="20"/>
      <c r="E608" s="16">
        <f>IFERROR(IF($D608="","",VLOOKUP($D608,'Cari Kartlar'!$B$5:$C$204,2,FALSE)),"— tanımsız cari —")</f>
      </c>
      <c r="F608" s="20"/>
      <c r="G608" s="16">
        <f>IFERROR(IF($F608="","",VLOOKUP($F608,'Ürün Kartlar'!$B$5:$C$204,2,FALSE)),"— tanımsız ürün —")</f>
      </c>
      <c r="H608" s="21"/>
      <c r="I608" s="22">
        <f>IFERROR(IF($F608="","",IF($C608="Alış",VLOOKUP($F608,'Ürün Kartlar'!$B$5:$E$204,4,FALSE),VLOOKUP($F608,'Ürün Kartlar'!$B$5:$F$204,5,FALSE))),"")</f>
      </c>
      <c r="J608" s="23">
        <f>IFERROR(IF($F608="",Ayarlar!$C$9,VLOOKUP($F608,'Ürün Kartlar'!$B$5:$G$204,6,FALSE)),Ayarlar!$C$9)</f>
      </c>
      <c r="K608" s="18">
        <f>IF(OR($H608="",$I608=""),0,$H608*$I608)</f>
      </c>
      <c r="L608" s="18">
        <f>$K608*$J608</f>
      </c>
      <c r="M608" s="18">
        <f>$K608+$L608</f>
      </c>
      <c r="N608" s="20"/>
      <c r="O608" s="20"/>
      <c r="P608" s="20"/>
    </row>
    <row r="609" spans="2:16" x14ac:dyDescent="0.25">
      <c r="B609" s="15"/>
      <c r="C609" s="8"/>
      <c r="D609" s="8"/>
      <c r="E609" s="16">
        <f>IFERROR(IF($D609="","",VLOOKUP($D609,'Cari Kartlar'!$B$5:$C$204,2,FALSE)),"— tanımsız cari —")</f>
      </c>
      <c r="F609" s="8"/>
      <c r="G609" s="16">
        <f>IFERROR(IF($F609="","",VLOOKUP($F609,'Ürün Kartlar'!$B$5:$C$204,2,FALSE)),"— tanımsız ürün —")</f>
      </c>
      <c r="H609" s="17"/>
      <c r="I609" s="13">
        <f>IFERROR(IF($F609="","",IF($C609="Alış",VLOOKUP($F609,'Ürün Kartlar'!$B$5:$E$204,4,FALSE),VLOOKUP($F609,'Ürün Kartlar'!$B$5:$F$204,5,FALSE))),"")</f>
      </c>
      <c r="J609" s="11">
        <f>IFERROR(IF($F609="",Ayarlar!$C$9,VLOOKUP($F609,'Ürün Kartlar'!$B$5:$G$204,6,FALSE)),Ayarlar!$C$9)</f>
      </c>
      <c r="K609" s="18">
        <f>IF(OR($H609="",$I609=""),0,$H609*$I609)</f>
      </c>
      <c r="L609" s="18">
        <f>$K609*$J609</f>
      </c>
      <c r="M609" s="18">
        <f>$K609+$L609</f>
      </c>
      <c r="N609" s="8"/>
      <c r="O609" s="8"/>
      <c r="P609" s="8"/>
    </row>
    <row r="610" spans="2:16" x14ac:dyDescent="0.25">
      <c r="B610" s="19"/>
      <c r="C610" s="20"/>
      <c r="D610" s="20"/>
      <c r="E610" s="16">
        <f>IFERROR(IF($D610="","",VLOOKUP($D610,'Cari Kartlar'!$B$5:$C$204,2,FALSE)),"— tanımsız cari —")</f>
      </c>
      <c r="F610" s="20"/>
      <c r="G610" s="16">
        <f>IFERROR(IF($F610="","",VLOOKUP($F610,'Ürün Kartlar'!$B$5:$C$204,2,FALSE)),"— tanımsız ürün —")</f>
      </c>
      <c r="H610" s="21"/>
      <c r="I610" s="22">
        <f>IFERROR(IF($F610="","",IF($C610="Alış",VLOOKUP($F610,'Ürün Kartlar'!$B$5:$E$204,4,FALSE),VLOOKUP($F610,'Ürün Kartlar'!$B$5:$F$204,5,FALSE))),"")</f>
      </c>
      <c r="J610" s="23">
        <f>IFERROR(IF($F610="",Ayarlar!$C$9,VLOOKUP($F610,'Ürün Kartlar'!$B$5:$G$204,6,FALSE)),Ayarlar!$C$9)</f>
      </c>
      <c r="K610" s="18">
        <f>IF(OR($H610="",$I610=""),0,$H610*$I610)</f>
      </c>
      <c r="L610" s="18">
        <f>$K610*$J610</f>
      </c>
      <c r="M610" s="18">
        <f>$K610+$L610</f>
      </c>
      <c r="N610" s="20"/>
      <c r="O610" s="20"/>
      <c r="P610" s="20"/>
    </row>
    <row r="611" spans="2:16" x14ac:dyDescent="0.25">
      <c r="B611" s="15"/>
      <c r="C611" s="8"/>
      <c r="D611" s="8"/>
      <c r="E611" s="16">
        <f>IFERROR(IF($D611="","",VLOOKUP($D611,'Cari Kartlar'!$B$5:$C$204,2,FALSE)),"— tanımsız cari —")</f>
      </c>
      <c r="F611" s="8"/>
      <c r="G611" s="16">
        <f>IFERROR(IF($F611="","",VLOOKUP($F611,'Ürün Kartlar'!$B$5:$C$204,2,FALSE)),"— tanımsız ürün —")</f>
      </c>
      <c r="H611" s="17"/>
      <c r="I611" s="13">
        <f>IFERROR(IF($F611="","",IF($C611="Alış",VLOOKUP($F611,'Ürün Kartlar'!$B$5:$E$204,4,FALSE),VLOOKUP($F611,'Ürün Kartlar'!$B$5:$F$204,5,FALSE))),"")</f>
      </c>
      <c r="J611" s="11">
        <f>IFERROR(IF($F611="",Ayarlar!$C$9,VLOOKUP($F611,'Ürün Kartlar'!$B$5:$G$204,6,FALSE)),Ayarlar!$C$9)</f>
      </c>
      <c r="K611" s="18">
        <f>IF(OR($H611="",$I611=""),0,$H611*$I611)</f>
      </c>
      <c r="L611" s="18">
        <f>$K611*$J611</f>
      </c>
      <c r="M611" s="18">
        <f>$K611+$L611</f>
      </c>
      <c r="N611" s="8"/>
      <c r="O611" s="8"/>
      <c r="P611" s="8"/>
    </row>
    <row r="612" spans="2:16" x14ac:dyDescent="0.25">
      <c r="B612" s="19"/>
      <c r="C612" s="20"/>
      <c r="D612" s="20"/>
      <c r="E612" s="16">
        <f>IFERROR(IF($D612="","",VLOOKUP($D612,'Cari Kartlar'!$B$5:$C$204,2,FALSE)),"— tanımsız cari —")</f>
      </c>
      <c r="F612" s="20"/>
      <c r="G612" s="16">
        <f>IFERROR(IF($F612="","",VLOOKUP($F612,'Ürün Kartlar'!$B$5:$C$204,2,FALSE)),"— tanımsız ürün —")</f>
      </c>
      <c r="H612" s="21"/>
      <c r="I612" s="22">
        <f>IFERROR(IF($F612="","",IF($C612="Alış",VLOOKUP($F612,'Ürün Kartlar'!$B$5:$E$204,4,FALSE),VLOOKUP($F612,'Ürün Kartlar'!$B$5:$F$204,5,FALSE))),"")</f>
      </c>
      <c r="J612" s="23">
        <f>IFERROR(IF($F612="",Ayarlar!$C$9,VLOOKUP($F612,'Ürün Kartlar'!$B$5:$G$204,6,FALSE)),Ayarlar!$C$9)</f>
      </c>
      <c r="K612" s="18">
        <f>IF(OR($H612="",$I612=""),0,$H612*$I612)</f>
      </c>
      <c r="L612" s="18">
        <f>$K612*$J612</f>
      </c>
      <c r="M612" s="18">
        <f>$K612+$L612</f>
      </c>
      <c r="N612" s="20"/>
      <c r="O612" s="20"/>
      <c r="P612" s="20"/>
    </row>
    <row r="613" spans="2:16" x14ac:dyDescent="0.25">
      <c r="B613" s="15"/>
      <c r="C613" s="8"/>
      <c r="D613" s="8"/>
      <c r="E613" s="16">
        <f>IFERROR(IF($D613="","",VLOOKUP($D613,'Cari Kartlar'!$B$5:$C$204,2,FALSE)),"— tanımsız cari —")</f>
      </c>
      <c r="F613" s="8"/>
      <c r="G613" s="16">
        <f>IFERROR(IF($F613="","",VLOOKUP($F613,'Ürün Kartlar'!$B$5:$C$204,2,FALSE)),"— tanımsız ürün —")</f>
      </c>
      <c r="H613" s="17"/>
      <c r="I613" s="13">
        <f>IFERROR(IF($F613="","",IF($C613="Alış",VLOOKUP($F613,'Ürün Kartlar'!$B$5:$E$204,4,FALSE),VLOOKUP($F613,'Ürün Kartlar'!$B$5:$F$204,5,FALSE))),"")</f>
      </c>
      <c r="J613" s="11">
        <f>IFERROR(IF($F613="",Ayarlar!$C$9,VLOOKUP($F613,'Ürün Kartlar'!$B$5:$G$204,6,FALSE)),Ayarlar!$C$9)</f>
      </c>
      <c r="K613" s="18">
        <f>IF(OR($H613="",$I613=""),0,$H613*$I613)</f>
      </c>
      <c r="L613" s="18">
        <f>$K613*$J613</f>
      </c>
      <c r="M613" s="18">
        <f>$K613+$L613</f>
      </c>
      <c r="N613" s="8"/>
      <c r="O613" s="8"/>
      <c r="P613" s="8"/>
    </row>
    <row r="614" spans="2:16" x14ac:dyDescent="0.25">
      <c r="B614" s="19"/>
      <c r="C614" s="20"/>
      <c r="D614" s="20"/>
      <c r="E614" s="16">
        <f>IFERROR(IF($D614="","",VLOOKUP($D614,'Cari Kartlar'!$B$5:$C$204,2,FALSE)),"— tanımsız cari —")</f>
      </c>
      <c r="F614" s="20"/>
      <c r="G614" s="16">
        <f>IFERROR(IF($F614="","",VLOOKUP($F614,'Ürün Kartlar'!$B$5:$C$204,2,FALSE)),"— tanımsız ürün —")</f>
      </c>
      <c r="H614" s="21"/>
      <c r="I614" s="22">
        <f>IFERROR(IF($F614="","",IF($C614="Alış",VLOOKUP($F614,'Ürün Kartlar'!$B$5:$E$204,4,FALSE),VLOOKUP($F614,'Ürün Kartlar'!$B$5:$F$204,5,FALSE))),"")</f>
      </c>
      <c r="J614" s="23">
        <f>IFERROR(IF($F614="",Ayarlar!$C$9,VLOOKUP($F614,'Ürün Kartlar'!$B$5:$G$204,6,FALSE)),Ayarlar!$C$9)</f>
      </c>
      <c r="K614" s="18">
        <f>IF(OR($H614="",$I614=""),0,$H614*$I614)</f>
      </c>
      <c r="L614" s="18">
        <f>$K614*$J614</f>
      </c>
      <c r="M614" s="18">
        <f>$K614+$L614</f>
      </c>
      <c r="N614" s="20"/>
      <c r="O614" s="20"/>
      <c r="P614" s="20"/>
    </row>
    <row r="615" spans="2:16" x14ac:dyDescent="0.25">
      <c r="B615" s="15"/>
      <c r="C615" s="8"/>
      <c r="D615" s="8"/>
      <c r="E615" s="16">
        <f>IFERROR(IF($D615="","",VLOOKUP($D615,'Cari Kartlar'!$B$5:$C$204,2,FALSE)),"— tanımsız cari —")</f>
      </c>
      <c r="F615" s="8"/>
      <c r="G615" s="16">
        <f>IFERROR(IF($F615="","",VLOOKUP($F615,'Ürün Kartlar'!$B$5:$C$204,2,FALSE)),"— tanımsız ürün —")</f>
      </c>
      <c r="H615" s="17"/>
      <c r="I615" s="13">
        <f>IFERROR(IF($F615="","",IF($C615="Alış",VLOOKUP($F615,'Ürün Kartlar'!$B$5:$E$204,4,FALSE),VLOOKUP($F615,'Ürün Kartlar'!$B$5:$F$204,5,FALSE))),"")</f>
      </c>
      <c r="J615" s="11">
        <f>IFERROR(IF($F615="",Ayarlar!$C$9,VLOOKUP($F615,'Ürün Kartlar'!$B$5:$G$204,6,FALSE)),Ayarlar!$C$9)</f>
      </c>
      <c r="K615" s="18">
        <f>IF(OR($H615="",$I615=""),0,$H615*$I615)</f>
      </c>
      <c r="L615" s="18">
        <f>$K615*$J615</f>
      </c>
      <c r="M615" s="18">
        <f>$K615+$L615</f>
      </c>
      <c r="N615" s="8"/>
      <c r="O615" s="8"/>
      <c r="P615" s="8"/>
    </row>
    <row r="616" spans="2:16" x14ac:dyDescent="0.25">
      <c r="B616" s="19"/>
      <c r="C616" s="20"/>
      <c r="D616" s="20"/>
      <c r="E616" s="16">
        <f>IFERROR(IF($D616="","",VLOOKUP($D616,'Cari Kartlar'!$B$5:$C$204,2,FALSE)),"— tanımsız cari —")</f>
      </c>
      <c r="F616" s="20"/>
      <c r="G616" s="16">
        <f>IFERROR(IF($F616="","",VLOOKUP($F616,'Ürün Kartlar'!$B$5:$C$204,2,FALSE)),"— tanımsız ürün —")</f>
      </c>
      <c r="H616" s="21"/>
      <c r="I616" s="22">
        <f>IFERROR(IF($F616="","",IF($C616="Alış",VLOOKUP($F616,'Ürün Kartlar'!$B$5:$E$204,4,FALSE),VLOOKUP($F616,'Ürün Kartlar'!$B$5:$F$204,5,FALSE))),"")</f>
      </c>
      <c r="J616" s="23">
        <f>IFERROR(IF($F616="",Ayarlar!$C$9,VLOOKUP($F616,'Ürün Kartlar'!$B$5:$G$204,6,FALSE)),Ayarlar!$C$9)</f>
      </c>
      <c r="K616" s="18">
        <f>IF(OR($H616="",$I616=""),0,$H616*$I616)</f>
      </c>
      <c r="L616" s="18">
        <f>$K616*$J616</f>
      </c>
      <c r="M616" s="18">
        <f>$K616+$L616</f>
      </c>
      <c r="N616" s="20"/>
      <c r="O616" s="20"/>
      <c r="P616" s="20"/>
    </row>
    <row r="617" spans="2:16" x14ac:dyDescent="0.25">
      <c r="B617" s="15"/>
      <c r="C617" s="8"/>
      <c r="D617" s="8"/>
      <c r="E617" s="16">
        <f>IFERROR(IF($D617="","",VLOOKUP($D617,'Cari Kartlar'!$B$5:$C$204,2,FALSE)),"— tanımsız cari —")</f>
      </c>
      <c r="F617" s="8"/>
      <c r="G617" s="16">
        <f>IFERROR(IF($F617="","",VLOOKUP($F617,'Ürün Kartlar'!$B$5:$C$204,2,FALSE)),"— tanımsız ürün —")</f>
      </c>
      <c r="H617" s="17"/>
      <c r="I617" s="13">
        <f>IFERROR(IF($F617="","",IF($C617="Alış",VLOOKUP($F617,'Ürün Kartlar'!$B$5:$E$204,4,FALSE),VLOOKUP($F617,'Ürün Kartlar'!$B$5:$F$204,5,FALSE))),"")</f>
      </c>
      <c r="J617" s="11">
        <f>IFERROR(IF($F617="",Ayarlar!$C$9,VLOOKUP($F617,'Ürün Kartlar'!$B$5:$G$204,6,FALSE)),Ayarlar!$C$9)</f>
      </c>
      <c r="K617" s="18">
        <f>IF(OR($H617="",$I617=""),0,$H617*$I617)</f>
      </c>
      <c r="L617" s="18">
        <f>$K617*$J617</f>
      </c>
      <c r="M617" s="18">
        <f>$K617+$L617</f>
      </c>
      <c r="N617" s="8"/>
      <c r="O617" s="8"/>
      <c r="P617" s="8"/>
    </row>
    <row r="618" spans="2:16" x14ac:dyDescent="0.25">
      <c r="B618" s="19"/>
      <c r="C618" s="20"/>
      <c r="D618" s="20"/>
      <c r="E618" s="16">
        <f>IFERROR(IF($D618="","",VLOOKUP($D618,'Cari Kartlar'!$B$5:$C$204,2,FALSE)),"— tanımsız cari —")</f>
      </c>
      <c r="F618" s="20"/>
      <c r="G618" s="16">
        <f>IFERROR(IF($F618="","",VLOOKUP($F618,'Ürün Kartlar'!$B$5:$C$204,2,FALSE)),"— tanımsız ürün —")</f>
      </c>
      <c r="H618" s="21"/>
      <c r="I618" s="22">
        <f>IFERROR(IF($F618="","",IF($C618="Alış",VLOOKUP($F618,'Ürün Kartlar'!$B$5:$E$204,4,FALSE),VLOOKUP($F618,'Ürün Kartlar'!$B$5:$F$204,5,FALSE))),"")</f>
      </c>
      <c r="J618" s="23">
        <f>IFERROR(IF($F618="",Ayarlar!$C$9,VLOOKUP($F618,'Ürün Kartlar'!$B$5:$G$204,6,FALSE)),Ayarlar!$C$9)</f>
      </c>
      <c r="K618" s="18">
        <f>IF(OR($H618="",$I618=""),0,$H618*$I618)</f>
      </c>
      <c r="L618" s="18">
        <f>$K618*$J618</f>
      </c>
      <c r="M618" s="18">
        <f>$K618+$L618</f>
      </c>
      <c r="N618" s="20"/>
      <c r="O618" s="20"/>
      <c r="P618" s="20"/>
    </row>
    <row r="619" spans="2:16" x14ac:dyDescent="0.25">
      <c r="B619" s="15"/>
      <c r="C619" s="8"/>
      <c r="D619" s="8"/>
      <c r="E619" s="16">
        <f>IFERROR(IF($D619="","",VLOOKUP($D619,'Cari Kartlar'!$B$5:$C$204,2,FALSE)),"— tanımsız cari —")</f>
      </c>
      <c r="F619" s="8"/>
      <c r="G619" s="16">
        <f>IFERROR(IF($F619="","",VLOOKUP($F619,'Ürün Kartlar'!$B$5:$C$204,2,FALSE)),"— tanımsız ürün —")</f>
      </c>
      <c r="H619" s="17"/>
      <c r="I619" s="13">
        <f>IFERROR(IF($F619="","",IF($C619="Alış",VLOOKUP($F619,'Ürün Kartlar'!$B$5:$E$204,4,FALSE),VLOOKUP($F619,'Ürün Kartlar'!$B$5:$F$204,5,FALSE))),"")</f>
      </c>
      <c r="J619" s="11">
        <f>IFERROR(IF($F619="",Ayarlar!$C$9,VLOOKUP($F619,'Ürün Kartlar'!$B$5:$G$204,6,FALSE)),Ayarlar!$C$9)</f>
      </c>
      <c r="K619" s="18">
        <f>IF(OR($H619="",$I619=""),0,$H619*$I619)</f>
      </c>
      <c r="L619" s="18">
        <f>$K619*$J619</f>
      </c>
      <c r="M619" s="18">
        <f>$K619+$L619</f>
      </c>
      <c r="N619" s="8"/>
      <c r="O619" s="8"/>
      <c r="P619" s="8"/>
    </row>
    <row r="620" spans="2:16" x14ac:dyDescent="0.25">
      <c r="B620" s="19"/>
      <c r="C620" s="20"/>
      <c r="D620" s="20"/>
      <c r="E620" s="16">
        <f>IFERROR(IF($D620="","",VLOOKUP($D620,'Cari Kartlar'!$B$5:$C$204,2,FALSE)),"— tanımsız cari —")</f>
      </c>
      <c r="F620" s="20"/>
      <c r="G620" s="16">
        <f>IFERROR(IF($F620="","",VLOOKUP($F620,'Ürün Kartlar'!$B$5:$C$204,2,FALSE)),"— tanımsız ürün —")</f>
      </c>
      <c r="H620" s="21"/>
      <c r="I620" s="22">
        <f>IFERROR(IF($F620="","",IF($C620="Alış",VLOOKUP($F620,'Ürün Kartlar'!$B$5:$E$204,4,FALSE),VLOOKUP($F620,'Ürün Kartlar'!$B$5:$F$204,5,FALSE))),"")</f>
      </c>
      <c r="J620" s="23">
        <f>IFERROR(IF($F620="",Ayarlar!$C$9,VLOOKUP($F620,'Ürün Kartlar'!$B$5:$G$204,6,FALSE)),Ayarlar!$C$9)</f>
      </c>
      <c r="K620" s="18">
        <f>IF(OR($H620="",$I620=""),0,$H620*$I620)</f>
      </c>
      <c r="L620" s="18">
        <f>$K620*$J620</f>
      </c>
      <c r="M620" s="18">
        <f>$K620+$L620</f>
      </c>
      <c r="N620" s="20"/>
      <c r="O620" s="20"/>
      <c r="P620" s="20"/>
    </row>
    <row r="621" spans="2:16" x14ac:dyDescent="0.25">
      <c r="B621" s="15"/>
      <c r="C621" s="8"/>
      <c r="D621" s="8"/>
      <c r="E621" s="16">
        <f>IFERROR(IF($D621="","",VLOOKUP($D621,'Cari Kartlar'!$B$5:$C$204,2,FALSE)),"— tanımsız cari —")</f>
      </c>
      <c r="F621" s="8"/>
      <c r="G621" s="16">
        <f>IFERROR(IF($F621="","",VLOOKUP($F621,'Ürün Kartlar'!$B$5:$C$204,2,FALSE)),"— tanımsız ürün —")</f>
      </c>
      <c r="H621" s="17"/>
      <c r="I621" s="13">
        <f>IFERROR(IF($F621="","",IF($C621="Alış",VLOOKUP($F621,'Ürün Kartlar'!$B$5:$E$204,4,FALSE),VLOOKUP($F621,'Ürün Kartlar'!$B$5:$F$204,5,FALSE))),"")</f>
      </c>
      <c r="J621" s="11">
        <f>IFERROR(IF($F621="",Ayarlar!$C$9,VLOOKUP($F621,'Ürün Kartlar'!$B$5:$G$204,6,FALSE)),Ayarlar!$C$9)</f>
      </c>
      <c r="K621" s="18">
        <f>IF(OR($H621="",$I621=""),0,$H621*$I621)</f>
      </c>
      <c r="L621" s="18">
        <f>$K621*$J621</f>
      </c>
      <c r="M621" s="18">
        <f>$K621+$L621</f>
      </c>
      <c r="N621" s="8"/>
      <c r="O621" s="8"/>
      <c r="P621" s="8"/>
    </row>
    <row r="622" spans="2:16" x14ac:dyDescent="0.25">
      <c r="B622" s="19"/>
      <c r="C622" s="20"/>
      <c r="D622" s="20"/>
      <c r="E622" s="16">
        <f>IFERROR(IF($D622="","",VLOOKUP($D622,'Cari Kartlar'!$B$5:$C$204,2,FALSE)),"— tanımsız cari —")</f>
      </c>
      <c r="F622" s="20"/>
      <c r="G622" s="16">
        <f>IFERROR(IF($F622="","",VLOOKUP($F622,'Ürün Kartlar'!$B$5:$C$204,2,FALSE)),"— tanımsız ürün —")</f>
      </c>
      <c r="H622" s="21"/>
      <c r="I622" s="22">
        <f>IFERROR(IF($F622="","",IF($C622="Alış",VLOOKUP($F622,'Ürün Kartlar'!$B$5:$E$204,4,FALSE),VLOOKUP($F622,'Ürün Kartlar'!$B$5:$F$204,5,FALSE))),"")</f>
      </c>
      <c r="J622" s="23">
        <f>IFERROR(IF($F622="",Ayarlar!$C$9,VLOOKUP($F622,'Ürün Kartlar'!$B$5:$G$204,6,FALSE)),Ayarlar!$C$9)</f>
      </c>
      <c r="K622" s="18">
        <f>IF(OR($H622="",$I622=""),0,$H622*$I622)</f>
      </c>
      <c r="L622" s="18">
        <f>$K622*$J622</f>
      </c>
      <c r="M622" s="18">
        <f>$K622+$L622</f>
      </c>
      <c r="N622" s="20"/>
      <c r="O622" s="20"/>
      <c r="P622" s="20"/>
    </row>
    <row r="623" spans="2:16" x14ac:dyDescent="0.25">
      <c r="B623" s="15"/>
      <c r="C623" s="8"/>
      <c r="D623" s="8"/>
      <c r="E623" s="16">
        <f>IFERROR(IF($D623="","",VLOOKUP($D623,'Cari Kartlar'!$B$5:$C$204,2,FALSE)),"— tanımsız cari —")</f>
      </c>
      <c r="F623" s="8"/>
      <c r="G623" s="16">
        <f>IFERROR(IF($F623="","",VLOOKUP($F623,'Ürün Kartlar'!$B$5:$C$204,2,FALSE)),"— tanımsız ürün —")</f>
      </c>
      <c r="H623" s="17"/>
      <c r="I623" s="13">
        <f>IFERROR(IF($F623="","",IF($C623="Alış",VLOOKUP($F623,'Ürün Kartlar'!$B$5:$E$204,4,FALSE),VLOOKUP($F623,'Ürün Kartlar'!$B$5:$F$204,5,FALSE))),"")</f>
      </c>
      <c r="J623" s="11">
        <f>IFERROR(IF($F623="",Ayarlar!$C$9,VLOOKUP($F623,'Ürün Kartlar'!$B$5:$G$204,6,FALSE)),Ayarlar!$C$9)</f>
      </c>
      <c r="K623" s="18">
        <f>IF(OR($H623="",$I623=""),0,$H623*$I623)</f>
      </c>
      <c r="L623" s="18">
        <f>$K623*$J623</f>
      </c>
      <c r="M623" s="18">
        <f>$K623+$L623</f>
      </c>
      <c r="N623" s="8"/>
      <c r="O623" s="8"/>
      <c r="P623" s="8"/>
    </row>
    <row r="624" spans="2:16" x14ac:dyDescent="0.25">
      <c r="B624" s="19"/>
      <c r="C624" s="20"/>
      <c r="D624" s="20"/>
      <c r="E624" s="16">
        <f>IFERROR(IF($D624="","",VLOOKUP($D624,'Cari Kartlar'!$B$5:$C$204,2,FALSE)),"— tanımsız cari —")</f>
      </c>
      <c r="F624" s="20"/>
      <c r="G624" s="16">
        <f>IFERROR(IF($F624="","",VLOOKUP($F624,'Ürün Kartlar'!$B$5:$C$204,2,FALSE)),"— tanımsız ürün —")</f>
      </c>
      <c r="H624" s="21"/>
      <c r="I624" s="22">
        <f>IFERROR(IF($F624="","",IF($C624="Alış",VLOOKUP($F624,'Ürün Kartlar'!$B$5:$E$204,4,FALSE),VLOOKUP($F624,'Ürün Kartlar'!$B$5:$F$204,5,FALSE))),"")</f>
      </c>
      <c r="J624" s="23">
        <f>IFERROR(IF($F624="",Ayarlar!$C$9,VLOOKUP($F624,'Ürün Kartlar'!$B$5:$G$204,6,FALSE)),Ayarlar!$C$9)</f>
      </c>
      <c r="K624" s="18">
        <f>IF(OR($H624="",$I624=""),0,$H624*$I624)</f>
      </c>
      <c r="L624" s="18">
        <f>$K624*$J624</f>
      </c>
      <c r="M624" s="18">
        <f>$K624+$L624</f>
      </c>
      <c r="N624" s="20"/>
      <c r="O624" s="20"/>
      <c r="P624" s="20"/>
    </row>
    <row r="625" spans="2:16" x14ac:dyDescent="0.25">
      <c r="B625" s="15"/>
      <c r="C625" s="8"/>
      <c r="D625" s="8"/>
      <c r="E625" s="16">
        <f>IFERROR(IF($D625="","",VLOOKUP($D625,'Cari Kartlar'!$B$5:$C$204,2,FALSE)),"— tanımsız cari —")</f>
      </c>
      <c r="F625" s="8"/>
      <c r="G625" s="16">
        <f>IFERROR(IF($F625="","",VLOOKUP($F625,'Ürün Kartlar'!$B$5:$C$204,2,FALSE)),"— tanımsız ürün —")</f>
      </c>
      <c r="H625" s="17"/>
      <c r="I625" s="13">
        <f>IFERROR(IF($F625="","",IF($C625="Alış",VLOOKUP($F625,'Ürün Kartlar'!$B$5:$E$204,4,FALSE),VLOOKUP($F625,'Ürün Kartlar'!$B$5:$F$204,5,FALSE))),"")</f>
      </c>
      <c r="J625" s="11">
        <f>IFERROR(IF($F625="",Ayarlar!$C$9,VLOOKUP($F625,'Ürün Kartlar'!$B$5:$G$204,6,FALSE)),Ayarlar!$C$9)</f>
      </c>
      <c r="K625" s="18">
        <f>IF(OR($H625="",$I625=""),0,$H625*$I625)</f>
      </c>
      <c r="L625" s="18">
        <f>$K625*$J625</f>
      </c>
      <c r="M625" s="18">
        <f>$K625+$L625</f>
      </c>
      <c r="N625" s="8"/>
      <c r="O625" s="8"/>
      <c r="P625" s="8"/>
    </row>
    <row r="626" spans="2:16" x14ac:dyDescent="0.25">
      <c r="B626" s="19"/>
      <c r="C626" s="20"/>
      <c r="D626" s="20"/>
      <c r="E626" s="16">
        <f>IFERROR(IF($D626="","",VLOOKUP($D626,'Cari Kartlar'!$B$5:$C$204,2,FALSE)),"— tanımsız cari —")</f>
      </c>
      <c r="F626" s="20"/>
      <c r="G626" s="16">
        <f>IFERROR(IF($F626="","",VLOOKUP($F626,'Ürün Kartlar'!$B$5:$C$204,2,FALSE)),"— tanımsız ürün —")</f>
      </c>
      <c r="H626" s="21"/>
      <c r="I626" s="22">
        <f>IFERROR(IF($F626="","",IF($C626="Alış",VLOOKUP($F626,'Ürün Kartlar'!$B$5:$E$204,4,FALSE),VLOOKUP($F626,'Ürün Kartlar'!$B$5:$F$204,5,FALSE))),"")</f>
      </c>
      <c r="J626" s="23">
        <f>IFERROR(IF($F626="",Ayarlar!$C$9,VLOOKUP($F626,'Ürün Kartlar'!$B$5:$G$204,6,FALSE)),Ayarlar!$C$9)</f>
      </c>
      <c r="K626" s="18">
        <f>IF(OR($H626="",$I626=""),0,$H626*$I626)</f>
      </c>
      <c r="L626" s="18">
        <f>$K626*$J626</f>
      </c>
      <c r="M626" s="18">
        <f>$K626+$L626</f>
      </c>
      <c r="N626" s="20"/>
      <c r="O626" s="20"/>
      <c r="P626" s="20"/>
    </row>
    <row r="627" spans="2:16" x14ac:dyDescent="0.25">
      <c r="B627" s="15"/>
      <c r="C627" s="8"/>
      <c r="D627" s="8"/>
      <c r="E627" s="16">
        <f>IFERROR(IF($D627="","",VLOOKUP($D627,'Cari Kartlar'!$B$5:$C$204,2,FALSE)),"— tanımsız cari —")</f>
      </c>
      <c r="F627" s="8"/>
      <c r="G627" s="16">
        <f>IFERROR(IF($F627="","",VLOOKUP($F627,'Ürün Kartlar'!$B$5:$C$204,2,FALSE)),"— tanımsız ürün —")</f>
      </c>
      <c r="H627" s="17"/>
      <c r="I627" s="13">
        <f>IFERROR(IF($F627="","",IF($C627="Alış",VLOOKUP($F627,'Ürün Kartlar'!$B$5:$E$204,4,FALSE),VLOOKUP($F627,'Ürün Kartlar'!$B$5:$F$204,5,FALSE))),"")</f>
      </c>
      <c r="J627" s="11">
        <f>IFERROR(IF($F627="",Ayarlar!$C$9,VLOOKUP($F627,'Ürün Kartlar'!$B$5:$G$204,6,FALSE)),Ayarlar!$C$9)</f>
      </c>
      <c r="K627" s="18">
        <f>IF(OR($H627="",$I627=""),0,$H627*$I627)</f>
      </c>
      <c r="L627" s="18">
        <f>$K627*$J627</f>
      </c>
      <c r="M627" s="18">
        <f>$K627+$L627</f>
      </c>
      <c r="N627" s="8"/>
      <c r="O627" s="8"/>
      <c r="P627" s="8"/>
    </row>
    <row r="628" spans="2:16" x14ac:dyDescent="0.25">
      <c r="B628" s="19"/>
      <c r="C628" s="20"/>
      <c r="D628" s="20"/>
      <c r="E628" s="16">
        <f>IFERROR(IF($D628="","",VLOOKUP($D628,'Cari Kartlar'!$B$5:$C$204,2,FALSE)),"— tanımsız cari —")</f>
      </c>
      <c r="F628" s="20"/>
      <c r="G628" s="16">
        <f>IFERROR(IF($F628="","",VLOOKUP($F628,'Ürün Kartlar'!$B$5:$C$204,2,FALSE)),"— tanımsız ürün —")</f>
      </c>
      <c r="H628" s="21"/>
      <c r="I628" s="22">
        <f>IFERROR(IF($F628="","",IF($C628="Alış",VLOOKUP($F628,'Ürün Kartlar'!$B$5:$E$204,4,FALSE),VLOOKUP($F628,'Ürün Kartlar'!$B$5:$F$204,5,FALSE))),"")</f>
      </c>
      <c r="J628" s="23">
        <f>IFERROR(IF($F628="",Ayarlar!$C$9,VLOOKUP($F628,'Ürün Kartlar'!$B$5:$G$204,6,FALSE)),Ayarlar!$C$9)</f>
      </c>
      <c r="K628" s="18">
        <f>IF(OR($H628="",$I628=""),0,$H628*$I628)</f>
      </c>
      <c r="L628" s="18">
        <f>$K628*$J628</f>
      </c>
      <c r="M628" s="18">
        <f>$K628+$L628</f>
      </c>
      <c r="N628" s="20"/>
      <c r="O628" s="20"/>
      <c r="P628" s="20"/>
    </row>
    <row r="629" spans="2:16" x14ac:dyDescent="0.25">
      <c r="B629" s="15"/>
      <c r="C629" s="8"/>
      <c r="D629" s="8"/>
      <c r="E629" s="16">
        <f>IFERROR(IF($D629="","",VLOOKUP($D629,'Cari Kartlar'!$B$5:$C$204,2,FALSE)),"— tanımsız cari —")</f>
      </c>
      <c r="F629" s="8"/>
      <c r="G629" s="16">
        <f>IFERROR(IF($F629="","",VLOOKUP($F629,'Ürün Kartlar'!$B$5:$C$204,2,FALSE)),"— tanımsız ürün —")</f>
      </c>
      <c r="H629" s="17"/>
      <c r="I629" s="13">
        <f>IFERROR(IF($F629="","",IF($C629="Alış",VLOOKUP($F629,'Ürün Kartlar'!$B$5:$E$204,4,FALSE),VLOOKUP($F629,'Ürün Kartlar'!$B$5:$F$204,5,FALSE))),"")</f>
      </c>
      <c r="J629" s="11">
        <f>IFERROR(IF($F629="",Ayarlar!$C$9,VLOOKUP($F629,'Ürün Kartlar'!$B$5:$G$204,6,FALSE)),Ayarlar!$C$9)</f>
      </c>
      <c r="K629" s="18">
        <f>IF(OR($H629="",$I629=""),0,$H629*$I629)</f>
      </c>
      <c r="L629" s="18">
        <f>$K629*$J629</f>
      </c>
      <c r="M629" s="18">
        <f>$K629+$L629</f>
      </c>
      <c r="N629" s="8"/>
      <c r="O629" s="8"/>
      <c r="P629" s="8"/>
    </row>
    <row r="630" spans="2:16" x14ac:dyDescent="0.25">
      <c r="B630" s="19"/>
      <c r="C630" s="20"/>
      <c r="D630" s="20"/>
      <c r="E630" s="16">
        <f>IFERROR(IF($D630="","",VLOOKUP($D630,'Cari Kartlar'!$B$5:$C$204,2,FALSE)),"— tanımsız cari —")</f>
      </c>
      <c r="F630" s="20"/>
      <c r="G630" s="16">
        <f>IFERROR(IF($F630="","",VLOOKUP($F630,'Ürün Kartlar'!$B$5:$C$204,2,FALSE)),"— tanımsız ürün —")</f>
      </c>
      <c r="H630" s="21"/>
      <c r="I630" s="22">
        <f>IFERROR(IF($F630="","",IF($C630="Alış",VLOOKUP($F630,'Ürün Kartlar'!$B$5:$E$204,4,FALSE),VLOOKUP($F630,'Ürün Kartlar'!$B$5:$F$204,5,FALSE))),"")</f>
      </c>
      <c r="J630" s="23">
        <f>IFERROR(IF($F630="",Ayarlar!$C$9,VLOOKUP($F630,'Ürün Kartlar'!$B$5:$G$204,6,FALSE)),Ayarlar!$C$9)</f>
      </c>
      <c r="K630" s="18">
        <f>IF(OR($H630="",$I630=""),0,$H630*$I630)</f>
      </c>
      <c r="L630" s="18">
        <f>$K630*$J630</f>
      </c>
      <c r="M630" s="18">
        <f>$K630+$L630</f>
      </c>
      <c r="N630" s="20"/>
      <c r="O630" s="20"/>
      <c r="P630" s="20"/>
    </row>
    <row r="631" spans="2:16" x14ac:dyDescent="0.25">
      <c r="B631" s="15"/>
      <c r="C631" s="8"/>
      <c r="D631" s="8"/>
      <c r="E631" s="16">
        <f>IFERROR(IF($D631="","",VLOOKUP($D631,'Cari Kartlar'!$B$5:$C$204,2,FALSE)),"— tanımsız cari —")</f>
      </c>
      <c r="F631" s="8"/>
      <c r="G631" s="16">
        <f>IFERROR(IF($F631="","",VLOOKUP($F631,'Ürün Kartlar'!$B$5:$C$204,2,FALSE)),"— tanımsız ürün —")</f>
      </c>
      <c r="H631" s="17"/>
      <c r="I631" s="13">
        <f>IFERROR(IF($F631="","",IF($C631="Alış",VLOOKUP($F631,'Ürün Kartlar'!$B$5:$E$204,4,FALSE),VLOOKUP($F631,'Ürün Kartlar'!$B$5:$F$204,5,FALSE))),"")</f>
      </c>
      <c r="J631" s="11">
        <f>IFERROR(IF($F631="",Ayarlar!$C$9,VLOOKUP($F631,'Ürün Kartlar'!$B$5:$G$204,6,FALSE)),Ayarlar!$C$9)</f>
      </c>
      <c r="K631" s="18">
        <f>IF(OR($H631="",$I631=""),0,$H631*$I631)</f>
      </c>
      <c r="L631" s="18">
        <f>$K631*$J631</f>
      </c>
      <c r="M631" s="18">
        <f>$K631+$L631</f>
      </c>
      <c r="N631" s="8"/>
      <c r="O631" s="8"/>
      <c r="P631" s="8"/>
    </row>
    <row r="632" spans="2:16" x14ac:dyDescent="0.25">
      <c r="B632" s="19"/>
      <c r="C632" s="20"/>
      <c r="D632" s="20"/>
      <c r="E632" s="16">
        <f>IFERROR(IF($D632="","",VLOOKUP($D632,'Cari Kartlar'!$B$5:$C$204,2,FALSE)),"— tanımsız cari —")</f>
      </c>
      <c r="F632" s="20"/>
      <c r="G632" s="16">
        <f>IFERROR(IF($F632="","",VLOOKUP($F632,'Ürün Kartlar'!$B$5:$C$204,2,FALSE)),"— tanımsız ürün —")</f>
      </c>
      <c r="H632" s="21"/>
      <c r="I632" s="22">
        <f>IFERROR(IF($F632="","",IF($C632="Alış",VLOOKUP($F632,'Ürün Kartlar'!$B$5:$E$204,4,FALSE),VLOOKUP($F632,'Ürün Kartlar'!$B$5:$F$204,5,FALSE))),"")</f>
      </c>
      <c r="J632" s="23">
        <f>IFERROR(IF($F632="",Ayarlar!$C$9,VLOOKUP($F632,'Ürün Kartlar'!$B$5:$G$204,6,FALSE)),Ayarlar!$C$9)</f>
      </c>
      <c r="K632" s="18">
        <f>IF(OR($H632="",$I632=""),0,$H632*$I632)</f>
      </c>
      <c r="L632" s="18">
        <f>$K632*$J632</f>
      </c>
      <c r="M632" s="18">
        <f>$K632+$L632</f>
      </c>
      <c r="N632" s="20"/>
      <c r="O632" s="20"/>
      <c r="P632" s="20"/>
    </row>
    <row r="633" spans="2:16" x14ac:dyDescent="0.25">
      <c r="B633" s="15"/>
      <c r="C633" s="8"/>
      <c r="D633" s="8"/>
      <c r="E633" s="16">
        <f>IFERROR(IF($D633="","",VLOOKUP($D633,'Cari Kartlar'!$B$5:$C$204,2,FALSE)),"— tanımsız cari —")</f>
      </c>
      <c r="F633" s="8"/>
      <c r="G633" s="16">
        <f>IFERROR(IF($F633="","",VLOOKUP($F633,'Ürün Kartlar'!$B$5:$C$204,2,FALSE)),"— tanımsız ürün —")</f>
      </c>
      <c r="H633" s="17"/>
      <c r="I633" s="13">
        <f>IFERROR(IF($F633="","",IF($C633="Alış",VLOOKUP($F633,'Ürün Kartlar'!$B$5:$E$204,4,FALSE),VLOOKUP($F633,'Ürün Kartlar'!$B$5:$F$204,5,FALSE))),"")</f>
      </c>
      <c r="J633" s="11">
        <f>IFERROR(IF($F633="",Ayarlar!$C$9,VLOOKUP($F633,'Ürün Kartlar'!$B$5:$G$204,6,FALSE)),Ayarlar!$C$9)</f>
      </c>
      <c r="K633" s="18">
        <f>IF(OR($H633="",$I633=""),0,$H633*$I633)</f>
      </c>
      <c r="L633" s="18">
        <f>$K633*$J633</f>
      </c>
      <c r="M633" s="18">
        <f>$K633+$L633</f>
      </c>
      <c r="N633" s="8"/>
      <c r="O633" s="8"/>
      <c r="P633" s="8"/>
    </row>
    <row r="634" spans="2:16" x14ac:dyDescent="0.25">
      <c r="B634" s="19"/>
      <c r="C634" s="20"/>
      <c r="D634" s="20"/>
      <c r="E634" s="16">
        <f>IFERROR(IF($D634="","",VLOOKUP($D634,'Cari Kartlar'!$B$5:$C$204,2,FALSE)),"— tanımsız cari —")</f>
      </c>
      <c r="F634" s="20"/>
      <c r="G634" s="16">
        <f>IFERROR(IF($F634="","",VLOOKUP($F634,'Ürün Kartlar'!$B$5:$C$204,2,FALSE)),"— tanımsız ürün —")</f>
      </c>
      <c r="H634" s="21"/>
      <c r="I634" s="22">
        <f>IFERROR(IF($F634="","",IF($C634="Alış",VLOOKUP($F634,'Ürün Kartlar'!$B$5:$E$204,4,FALSE),VLOOKUP($F634,'Ürün Kartlar'!$B$5:$F$204,5,FALSE))),"")</f>
      </c>
      <c r="J634" s="23">
        <f>IFERROR(IF($F634="",Ayarlar!$C$9,VLOOKUP($F634,'Ürün Kartlar'!$B$5:$G$204,6,FALSE)),Ayarlar!$C$9)</f>
      </c>
      <c r="K634" s="18">
        <f>IF(OR($H634="",$I634=""),0,$H634*$I634)</f>
      </c>
      <c r="L634" s="18">
        <f>$K634*$J634</f>
      </c>
      <c r="M634" s="18">
        <f>$K634+$L634</f>
      </c>
      <c r="N634" s="20"/>
      <c r="O634" s="20"/>
      <c r="P634" s="20"/>
    </row>
    <row r="635" spans="2:16" x14ac:dyDescent="0.25">
      <c r="B635" s="15"/>
      <c r="C635" s="8"/>
      <c r="D635" s="8"/>
      <c r="E635" s="16">
        <f>IFERROR(IF($D635="","",VLOOKUP($D635,'Cari Kartlar'!$B$5:$C$204,2,FALSE)),"— tanımsız cari —")</f>
      </c>
      <c r="F635" s="8"/>
      <c r="G635" s="16">
        <f>IFERROR(IF($F635="","",VLOOKUP($F635,'Ürün Kartlar'!$B$5:$C$204,2,FALSE)),"— tanımsız ürün —")</f>
      </c>
      <c r="H635" s="17"/>
      <c r="I635" s="13">
        <f>IFERROR(IF($F635="","",IF($C635="Alış",VLOOKUP($F635,'Ürün Kartlar'!$B$5:$E$204,4,FALSE),VLOOKUP($F635,'Ürün Kartlar'!$B$5:$F$204,5,FALSE))),"")</f>
      </c>
      <c r="J635" s="11">
        <f>IFERROR(IF($F635="",Ayarlar!$C$9,VLOOKUP($F635,'Ürün Kartlar'!$B$5:$G$204,6,FALSE)),Ayarlar!$C$9)</f>
      </c>
      <c r="K635" s="18">
        <f>IF(OR($H635="",$I635=""),0,$H635*$I635)</f>
      </c>
      <c r="L635" s="18">
        <f>$K635*$J635</f>
      </c>
      <c r="M635" s="18">
        <f>$K635+$L635</f>
      </c>
      <c r="N635" s="8"/>
      <c r="O635" s="8"/>
      <c r="P635" s="8"/>
    </row>
    <row r="636" spans="2:16" x14ac:dyDescent="0.25">
      <c r="B636" s="19"/>
      <c r="C636" s="20"/>
      <c r="D636" s="20"/>
      <c r="E636" s="16">
        <f>IFERROR(IF($D636="","",VLOOKUP($D636,'Cari Kartlar'!$B$5:$C$204,2,FALSE)),"— tanımsız cari —")</f>
      </c>
      <c r="F636" s="20"/>
      <c r="G636" s="16">
        <f>IFERROR(IF($F636="","",VLOOKUP($F636,'Ürün Kartlar'!$B$5:$C$204,2,FALSE)),"— tanımsız ürün —")</f>
      </c>
      <c r="H636" s="21"/>
      <c r="I636" s="22">
        <f>IFERROR(IF($F636="","",IF($C636="Alış",VLOOKUP($F636,'Ürün Kartlar'!$B$5:$E$204,4,FALSE),VLOOKUP($F636,'Ürün Kartlar'!$B$5:$F$204,5,FALSE))),"")</f>
      </c>
      <c r="J636" s="23">
        <f>IFERROR(IF($F636="",Ayarlar!$C$9,VLOOKUP($F636,'Ürün Kartlar'!$B$5:$G$204,6,FALSE)),Ayarlar!$C$9)</f>
      </c>
      <c r="K636" s="18">
        <f>IF(OR($H636="",$I636=""),0,$H636*$I636)</f>
      </c>
      <c r="L636" s="18">
        <f>$K636*$J636</f>
      </c>
      <c r="M636" s="18">
        <f>$K636+$L636</f>
      </c>
      <c r="N636" s="20"/>
      <c r="O636" s="20"/>
      <c r="P636" s="20"/>
    </row>
    <row r="637" spans="2:16" x14ac:dyDescent="0.25">
      <c r="B637" s="15"/>
      <c r="C637" s="8"/>
      <c r="D637" s="8"/>
      <c r="E637" s="16">
        <f>IFERROR(IF($D637="","",VLOOKUP($D637,'Cari Kartlar'!$B$5:$C$204,2,FALSE)),"— tanımsız cari —")</f>
      </c>
      <c r="F637" s="8"/>
      <c r="G637" s="16">
        <f>IFERROR(IF($F637="","",VLOOKUP($F637,'Ürün Kartlar'!$B$5:$C$204,2,FALSE)),"— tanımsız ürün —")</f>
      </c>
      <c r="H637" s="17"/>
      <c r="I637" s="13">
        <f>IFERROR(IF($F637="","",IF($C637="Alış",VLOOKUP($F637,'Ürün Kartlar'!$B$5:$E$204,4,FALSE),VLOOKUP($F637,'Ürün Kartlar'!$B$5:$F$204,5,FALSE))),"")</f>
      </c>
      <c r="J637" s="11">
        <f>IFERROR(IF($F637="",Ayarlar!$C$9,VLOOKUP($F637,'Ürün Kartlar'!$B$5:$G$204,6,FALSE)),Ayarlar!$C$9)</f>
      </c>
      <c r="K637" s="18">
        <f>IF(OR($H637="",$I637=""),0,$H637*$I637)</f>
      </c>
      <c r="L637" s="18">
        <f>$K637*$J637</f>
      </c>
      <c r="M637" s="18">
        <f>$K637+$L637</f>
      </c>
      <c r="N637" s="8"/>
      <c r="O637" s="8"/>
      <c r="P637" s="8"/>
    </row>
    <row r="638" spans="2:16" x14ac:dyDescent="0.25">
      <c r="B638" s="19"/>
      <c r="C638" s="20"/>
      <c r="D638" s="20"/>
      <c r="E638" s="16">
        <f>IFERROR(IF($D638="","",VLOOKUP($D638,'Cari Kartlar'!$B$5:$C$204,2,FALSE)),"— tanımsız cari —")</f>
      </c>
      <c r="F638" s="20"/>
      <c r="G638" s="16">
        <f>IFERROR(IF($F638="","",VLOOKUP($F638,'Ürün Kartlar'!$B$5:$C$204,2,FALSE)),"— tanımsız ürün —")</f>
      </c>
      <c r="H638" s="21"/>
      <c r="I638" s="22">
        <f>IFERROR(IF($F638="","",IF($C638="Alış",VLOOKUP($F638,'Ürün Kartlar'!$B$5:$E$204,4,FALSE),VLOOKUP($F638,'Ürün Kartlar'!$B$5:$F$204,5,FALSE))),"")</f>
      </c>
      <c r="J638" s="23">
        <f>IFERROR(IF($F638="",Ayarlar!$C$9,VLOOKUP($F638,'Ürün Kartlar'!$B$5:$G$204,6,FALSE)),Ayarlar!$C$9)</f>
      </c>
      <c r="K638" s="18">
        <f>IF(OR($H638="",$I638=""),0,$H638*$I638)</f>
      </c>
      <c r="L638" s="18">
        <f>$K638*$J638</f>
      </c>
      <c r="M638" s="18">
        <f>$K638+$L638</f>
      </c>
      <c r="N638" s="20"/>
      <c r="O638" s="20"/>
      <c r="P638" s="20"/>
    </row>
    <row r="639" spans="2:16" x14ac:dyDescent="0.25">
      <c r="B639" s="15"/>
      <c r="C639" s="8"/>
      <c r="D639" s="8"/>
      <c r="E639" s="16">
        <f>IFERROR(IF($D639="","",VLOOKUP($D639,'Cari Kartlar'!$B$5:$C$204,2,FALSE)),"— tanımsız cari —")</f>
      </c>
      <c r="F639" s="8"/>
      <c r="G639" s="16">
        <f>IFERROR(IF($F639="","",VLOOKUP($F639,'Ürün Kartlar'!$B$5:$C$204,2,FALSE)),"— tanımsız ürün —")</f>
      </c>
      <c r="H639" s="17"/>
      <c r="I639" s="13">
        <f>IFERROR(IF($F639="","",IF($C639="Alış",VLOOKUP($F639,'Ürün Kartlar'!$B$5:$E$204,4,FALSE),VLOOKUP($F639,'Ürün Kartlar'!$B$5:$F$204,5,FALSE))),"")</f>
      </c>
      <c r="J639" s="11">
        <f>IFERROR(IF($F639="",Ayarlar!$C$9,VLOOKUP($F639,'Ürün Kartlar'!$B$5:$G$204,6,FALSE)),Ayarlar!$C$9)</f>
      </c>
      <c r="K639" s="18">
        <f>IF(OR($H639="",$I639=""),0,$H639*$I639)</f>
      </c>
      <c r="L639" s="18">
        <f>$K639*$J639</f>
      </c>
      <c r="M639" s="18">
        <f>$K639+$L639</f>
      </c>
      <c r="N639" s="8"/>
      <c r="O639" s="8"/>
      <c r="P639" s="8"/>
    </row>
    <row r="640" spans="2:16" x14ac:dyDescent="0.25">
      <c r="B640" s="19"/>
      <c r="C640" s="20"/>
      <c r="D640" s="20"/>
      <c r="E640" s="16">
        <f>IFERROR(IF($D640="","",VLOOKUP($D640,'Cari Kartlar'!$B$5:$C$204,2,FALSE)),"— tanımsız cari —")</f>
      </c>
      <c r="F640" s="20"/>
      <c r="G640" s="16">
        <f>IFERROR(IF($F640="","",VLOOKUP($F640,'Ürün Kartlar'!$B$5:$C$204,2,FALSE)),"— tanımsız ürün —")</f>
      </c>
      <c r="H640" s="21"/>
      <c r="I640" s="22">
        <f>IFERROR(IF($F640="","",IF($C640="Alış",VLOOKUP($F640,'Ürün Kartlar'!$B$5:$E$204,4,FALSE),VLOOKUP($F640,'Ürün Kartlar'!$B$5:$F$204,5,FALSE))),"")</f>
      </c>
      <c r="J640" s="23">
        <f>IFERROR(IF($F640="",Ayarlar!$C$9,VLOOKUP($F640,'Ürün Kartlar'!$B$5:$G$204,6,FALSE)),Ayarlar!$C$9)</f>
      </c>
      <c r="K640" s="18">
        <f>IF(OR($H640="",$I640=""),0,$H640*$I640)</f>
      </c>
      <c r="L640" s="18">
        <f>$K640*$J640</f>
      </c>
      <c r="M640" s="18">
        <f>$K640+$L640</f>
      </c>
      <c r="N640" s="20"/>
      <c r="O640" s="20"/>
      <c r="P640" s="20"/>
    </row>
    <row r="641" spans="2:16" x14ac:dyDescent="0.25">
      <c r="B641" s="15"/>
      <c r="C641" s="8"/>
      <c r="D641" s="8"/>
      <c r="E641" s="16">
        <f>IFERROR(IF($D641="","",VLOOKUP($D641,'Cari Kartlar'!$B$5:$C$204,2,FALSE)),"— tanımsız cari —")</f>
      </c>
      <c r="F641" s="8"/>
      <c r="G641" s="16">
        <f>IFERROR(IF($F641="","",VLOOKUP($F641,'Ürün Kartlar'!$B$5:$C$204,2,FALSE)),"— tanımsız ürün —")</f>
      </c>
      <c r="H641" s="17"/>
      <c r="I641" s="13">
        <f>IFERROR(IF($F641="","",IF($C641="Alış",VLOOKUP($F641,'Ürün Kartlar'!$B$5:$E$204,4,FALSE),VLOOKUP($F641,'Ürün Kartlar'!$B$5:$F$204,5,FALSE))),"")</f>
      </c>
      <c r="J641" s="11">
        <f>IFERROR(IF($F641="",Ayarlar!$C$9,VLOOKUP($F641,'Ürün Kartlar'!$B$5:$G$204,6,FALSE)),Ayarlar!$C$9)</f>
      </c>
      <c r="K641" s="18">
        <f>IF(OR($H641="",$I641=""),0,$H641*$I641)</f>
      </c>
      <c r="L641" s="18">
        <f>$K641*$J641</f>
      </c>
      <c r="M641" s="18">
        <f>$K641+$L641</f>
      </c>
      <c r="N641" s="8"/>
      <c r="O641" s="8"/>
      <c r="P641" s="8"/>
    </row>
    <row r="642" spans="2:16" x14ac:dyDescent="0.25">
      <c r="B642" s="19"/>
      <c r="C642" s="20"/>
      <c r="D642" s="20"/>
      <c r="E642" s="16">
        <f>IFERROR(IF($D642="","",VLOOKUP($D642,'Cari Kartlar'!$B$5:$C$204,2,FALSE)),"— tanımsız cari —")</f>
      </c>
      <c r="F642" s="20"/>
      <c r="G642" s="16">
        <f>IFERROR(IF($F642="","",VLOOKUP($F642,'Ürün Kartlar'!$B$5:$C$204,2,FALSE)),"— tanımsız ürün —")</f>
      </c>
      <c r="H642" s="21"/>
      <c r="I642" s="22">
        <f>IFERROR(IF($F642="","",IF($C642="Alış",VLOOKUP($F642,'Ürün Kartlar'!$B$5:$E$204,4,FALSE),VLOOKUP($F642,'Ürün Kartlar'!$B$5:$F$204,5,FALSE))),"")</f>
      </c>
      <c r="J642" s="23">
        <f>IFERROR(IF($F642="",Ayarlar!$C$9,VLOOKUP($F642,'Ürün Kartlar'!$B$5:$G$204,6,FALSE)),Ayarlar!$C$9)</f>
      </c>
      <c r="K642" s="18">
        <f>IF(OR($H642="",$I642=""),0,$H642*$I642)</f>
      </c>
      <c r="L642" s="18">
        <f>$K642*$J642</f>
      </c>
      <c r="M642" s="18">
        <f>$K642+$L642</f>
      </c>
      <c r="N642" s="20"/>
      <c r="O642" s="20"/>
      <c r="P642" s="20"/>
    </row>
    <row r="643" spans="2:16" x14ac:dyDescent="0.25">
      <c r="B643" s="15"/>
      <c r="C643" s="8"/>
      <c r="D643" s="8"/>
      <c r="E643" s="16">
        <f>IFERROR(IF($D643="","",VLOOKUP($D643,'Cari Kartlar'!$B$5:$C$204,2,FALSE)),"— tanımsız cari —")</f>
      </c>
      <c r="F643" s="8"/>
      <c r="G643" s="16">
        <f>IFERROR(IF($F643="","",VLOOKUP($F643,'Ürün Kartlar'!$B$5:$C$204,2,FALSE)),"— tanımsız ürün —")</f>
      </c>
      <c r="H643" s="17"/>
      <c r="I643" s="13">
        <f>IFERROR(IF($F643="","",IF($C643="Alış",VLOOKUP($F643,'Ürün Kartlar'!$B$5:$E$204,4,FALSE),VLOOKUP($F643,'Ürün Kartlar'!$B$5:$F$204,5,FALSE))),"")</f>
      </c>
      <c r="J643" s="11">
        <f>IFERROR(IF($F643="",Ayarlar!$C$9,VLOOKUP($F643,'Ürün Kartlar'!$B$5:$G$204,6,FALSE)),Ayarlar!$C$9)</f>
      </c>
      <c r="K643" s="18">
        <f>IF(OR($H643="",$I643=""),0,$H643*$I643)</f>
      </c>
      <c r="L643" s="18">
        <f>$K643*$J643</f>
      </c>
      <c r="M643" s="18">
        <f>$K643+$L643</f>
      </c>
      <c r="N643" s="8"/>
      <c r="O643" s="8"/>
      <c r="P643" s="8"/>
    </row>
    <row r="644" spans="2:16" x14ac:dyDescent="0.25">
      <c r="B644" s="19"/>
      <c r="C644" s="20"/>
      <c r="D644" s="20"/>
      <c r="E644" s="16">
        <f>IFERROR(IF($D644="","",VLOOKUP($D644,'Cari Kartlar'!$B$5:$C$204,2,FALSE)),"— tanımsız cari —")</f>
      </c>
      <c r="F644" s="20"/>
      <c r="G644" s="16">
        <f>IFERROR(IF($F644="","",VLOOKUP($F644,'Ürün Kartlar'!$B$5:$C$204,2,FALSE)),"— tanımsız ürün —")</f>
      </c>
      <c r="H644" s="21"/>
      <c r="I644" s="22">
        <f>IFERROR(IF($F644="","",IF($C644="Alış",VLOOKUP($F644,'Ürün Kartlar'!$B$5:$E$204,4,FALSE),VLOOKUP($F644,'Ürün Kartlar'!$B$5:$F$204,5,FALSE))),"")</f>
      </c>
      <c r="J644" s="23">
        <f>IFERROR(IF($F644="",Ayarlar!$C$9,VLOOKUP($F644,'Ürün Kartlar'!$B$5:$G$204,6,FALSE)),Ayarlar!$C$9)</f>
      </c>
      <c r="K644" s="18">
        <f>IF(OR($H644="",$I644=""),0,$H644*$I644)</f>
      </c>
      <c r="L644" s="18">
        <f>$K644*$J644</f>
      </c>
      <c r="M644" s="18">
        <f>$K644+$L644</f>
      </c>
      <c r="N644" s="20"/>
      <c r="O644" s="20"/>
      <c r="P644" s="20"/>
    </row>
    <row r="645" spans="2:16" x14ac:dyDescent="0.25">
      <c r="B645" s="15"/>
      <c r="C645" s="8"/>
      <c r="D645" s="8"/>
      <c r="E645" s="16">
        <f>IFERROR(IF($D645="","",VLOOKUP($D645,'Cari Kartlar'!$B$5:$C$204,2,FALSE)),"— tanımsız cari —")</f>
      </c>
      <c r="F645" s="8"/>
      <c r="G645" s="16">
        <f>IFERROR(IF($F645="","",VLOOKUP($F645,'Ürün Kartlar'!$B$5:$C$204,2,FALSE)),"— tanımsız ürün —")</f>
      </c>
      <c r="H645" s="17"/>
      <c r="I645" s="13">
        <f>IFERROR(IF($F645="","",IF($C645="Alış",VLOOKUP($F645,'Ürün Kartlar'!$B$5:$E$204,4,FALSE),VLOOKUP($F645,'Ürün Kartlar'!$B$5:$F$204,5,FALSE))),"")</f>
      </c>
      <c r="J645" s="11">
        <f>IFERROR(IF($F645="",Ayarlar!$C$9,VLOOKUP($F645,'Ürün Kartlar'!$B$5:$G$204,6,FALSE)),Ayarlar!$C$9)</f>
      </c>
      <c r="K645" s="18">
        <f>IF(OR($H645="",$I645=""),0,$H645*$I645)</f>
      </c>
      <c r="L645" s="18">
        <f>$K645*$J645</f>
      </c>
      <c r="M645" s="18">
        <f>$K645+$L645</f>
      </c>
      <c r="N645" s="8"/>
      <c r="O645" s="8"/>
      <c r="P645" s="8"/>
    </row>
    <row r="646" spans="2:16" x14ac:dyDescent="0.25">
      <c r="B646" s="19"/>
      <c r="C646" s="20"/>
      <c r="D646" s="20"/>
      <c r="E646" s="16">
        <f>IFERROR(IF($D646="","",VLOOKUP($D646,'Cari Kartlar'!$B$5:$C$204,2,FALSE)),"— tanımsız cari —")</f>
      </c>
      <c r="F646" s="20"/>
      <c r="G646" s="16">
        <f>IFERROR(IF($F646="","",VLOOKUP($F646,'Ürün Kartlar'!$B$5:$C$204,2,FALSE)),"— tanımsız ürün —")</f>
      </c>
      <c r="H646" s="21"/>
      <c r="I646" s="22">
        <f>IFERROR(IF($F646="","",IF($C646="Alış",VLOOKUP($F646,'Ürün Kartlar'!$B$5:$E$204,4,FALSE),VLOOKUP($F646,'Ürün Kartlar'!$B$5:$F$204,5,FALSE))),"")</f>
      </c>
      <c r="J646" s="23">
        <f>IFERROR(IF($F646="",Ayarlar!$C$9,VLOOKUP($F646,'Ürün Kartlar'!$B$5:$G$204,6,FALSE)),Ayarlar!$C$9)</f>
      </c>
      <c r="K646" s="18">
        <f>IF(OR($H646="",$I646=""),0,$H646*$I646)</f>
      </c>
      <c r="L646" s="18">
        <f>$K646*$J646</f>
      </c>
      <c r="M646" s="18">
        <f>$K646+$L646</f>
      </c>
      <c r="N646" s="20"/>
      <c r="O646" s="20"/>
      <c r="P646" s="20"/>
    </row>
    <row r="647" spans="2:16" x14ac:dyDescent="0.25">
      <c r="B647" s="15"/>
      <c r="C647" s="8"/>
      <c r="D647" s="8"/>
      <c r="E647" s="16">
        <f>IFERROR(IF($D647="","",VLOOKUP($D647,'Cari Kartlar'!$B$5:$C$204,2,FALSE)),"— tanımsız cari —")</f>
      </c>
      <c r="F647" s="8"/>
      <c r="G647" s="16">
        <f>IFERROR(IF($F647="","",VLOOKUP($F647,'Ürün Kartlar'!$B$5:$C$204,2,FALSE)),"— tanımsız ürün —")</f>
      </c>
      <c r="H647" s="17"/>
      <c r="I647" s="13">
        <f>IFERROR(IF($F647="","",IF($C647="Alış",VLOOKUP($F647,'Ürün Kartlar'!$B$5:$E$204,4,FALSE),VLOOKUP($F647,'Ürün Kartlar'!$B$5:$F$204,5,FALSE))),"")</f>
      </c>
      <c r="J647" s="11">
        <f>IFERROR(IF($F647="",Ayarlar!$C$9,VLOOKUP($F647,'Ürün Kartlar'!$B$5:$G$204,6,FALSE)),Ayarlar!$C$9)</f>
      </c>
      <c r="K647" s="18">
        <f>IF(OR($H647="",$I647=""),0,$H647*$I647)</f>
      </c>
      <c r="L647" s="18">
        <f>$K647*$J647</f>
      </c>
      <c r="M647" s="18">
        <f>$K647+$L647</f>
      </c>
      <c r="N647" s="8"/>
      <c r="O647" s="8"/>
      <c r="P647" s="8"/>
    </row>
    <row r="648" spans="2:16" x14ac:dyDescent="0.25">
      <c r="B648" s="19"/>
      <c r="C648" s="20"/>
      <c r="D648" s="20"/>
      <c r="E648" s="16">
        <f>IFERROR(IF($D648="","",VLOOKUP($D648,'Cari Kartlar'!$B$5:$C$204,2,FALSE)),"— tanımsız cari —")</f>
      </c>
      <c r="F648" s="20"/>
      <c r="G648" s="16">
        <f>IFERROR(IF($F648="","",VLOOKUP($F648,'Ürün Kartlar'!$B$5:$C$204,2,FALSE)),"— tanımsız ürün —")</f>
      </c>
      <c r="H648" s="21"/>
      <c r="I648" s="22">
        <f>IFERROR(IF($F648="","",IF($C648="Alış",VLOOKUP($F648,'Ürün Kartlar'!$B$5:$E$204,4,FALSE),VLOOKUP($F648,'Ürün Kartlar'!$B$5:$F$204,5,FALSE))),"")</f>
      </c>
      <c r="J648" s="23">
        <f>IFERROR(IF($F648="",Ayarlar!$C$9,VLOOKUP($F648,'Ürün Kartlar'!$B$5:$G$204,6,FALSE)),Ayarlar!$C$9)</f>
      </c>
      <c r="K648" s="18">
        <f>IF(OR($H648="",$I648=""),0,$H648*$I648)</f>
      </c>
      <c r="L648" s="18">
        <f>$K648*$J648</f>
      </c>
      <c r="M648" s="18">
        <f>$K648+$L648</f>
      </c>
      <c r="N648" s="20"/>
      <c r="O648" s="20"/>
      <c r="P648" s="20"/>
    </row>
    <row r="649" spans="2:16" x14ac:dyDescent="0.25">
      <c r="B649" s="15"/>
      <c r="C649" s="8"/>
      <c r="D649" s="8"/>
      <c r="E649" s="16">
        <f>IFERROR(IF($D649="","",VLOOKUP($D649,'Cari Kartlar'!$B$5:$C$204,2,FALSE)),"— tanımsız cari —")</f>
      </c>
      <c r="F649" s="8"/>
      <c r="G649" s="16">
        <f>IFERROR(IF($F649="","",VLOOKUP($F649,'Ürün Kartlar'!$B$5:$C$204,2,FALSE)),"— tanımsız ürün —")</f>
      </c>
      <c r="H649" s="17"/>
      <c r="I649" s="13">
        <f>IFERROR(IF($F649="","",IF($C649="Alış",VLOOKUP($F649,'Ürün Kartlar'!$B$5:$E$204,4,FALSE),VLOOKUP($F649,'Ürün Kartlar'!$B$5:$F$204,5,FALSE))),"")</f>
      </c>
      <c r="J649" s="11">
        <f>IFERROR(IF($F649="",Ayarlar!$C$9,VLOOKUP($F649,'Ürün Kartlar'!$B$5:$G$204,6,FALSE)),Ayarlar!$C$9)</f>
      </c>
      <c r="K649" s="18">
        <f>IF(OR($H649="",$I649=""),0,$H649*$I649)</f>
      </c>
      <c r="L649" s="18">
        <f>$K649*$J649</f>
      </c>
      <c r="M649" s="18">
        <f>$K649+$L649</f>
      </c>
      <c r="N649" s="8"/>
      <c r="O649" s="8"/>
      <c r="P649" s="8"/>
    </row>
    <row r="650" spans="2:16" x14ac:dyDescent="0.25">
      <c r="B650" s="19"/>
      <c r="C650" s="20"/>
      <c r="D650" s="20"/>
      <c r="E650" s="16">
        <f>IFERROR(IF($D650="","",VLOOKUP($D650,'Cari Kartlar'!$B$5:$C$204,2,FALSE)),"— tanımsız cari —")</f>
      </c>
      <c r="F650" s="20"/>
      <c r="G650" s="16">
        <f>IFERROR(IF($F650="","",VLOOKUP($F650,'Ürün Kartlar'!$B$5:$C$204,2,FALSE)),"— tanımsız ürün —")</f>
      </c>
      <c r="H650" s="21"/>
      <c r="I650" s="22">
        <f>IFERROR(IF($F650="","",IF($C650="Alış",VLOOKUP($F650,'Ürün Kartlar'!$B$5:$E$204,4,FALSE),VLOOKUP($F650,'Ürün Kartlar'!$B$5:$F$204,5,FALSE))),"")</f>
      </c>
      <c r="J650" s="23">
        <f>IFERROR(IF($F650="",Ayarlar!$C$9,VLOOKUP($F650,'Ürün Kartlar'!$B$5:$G$204,6,FALSE)),Ayarlar!$C$9)</f>
      </c>
      <c r="K650" s="18">
        <f>IF(OR($H650="",$I650=""),0,$H650*$I650)</f>
      </c>
      <c r="L650" s="18">
        <f>$K650*$J650</f>
      </c>
      <c r="M650" s="18">
        <f>$K650+$L650</f>
      </c>
      <c r="N650" s="20"/>
      <c r="O650" s="20"/>
      <c r="P650" s="20"/>
    </row>
    <row r="651" spans="2:16" x14ac:dyDescent="0.25">
      <c r="B651" s="15"/>
      <c r="C651" s="8"/>
      <c r="D651" s="8"/>
      <c r="E651" s="16">
        <f>IFERROR(IF($D651="","",VLOOKUP($D651,'Cari Kartlar'!$B$5:$C$204,2,FALSE)),"— tanımsız cari —")</f>
      </c>
      <c r="F651" s="8"/>
      <c r="G651" s="16">
        <f>IFERROR(IF($F651="","",VLOOKUP($F651,'Ürün Kartlar'!$B$5:$C$204,2,FALSE)),"— tanımsız ürün —")</f>
      </c>
      <c r="H651" s="17"/>
      <c r="I651" s="13">
        <f>IFERROR(IF($F651="","",IF($C651="Alış",VLOOKUP($F651,'Ürün Kartlar'!$B$5:$E$204,4,FALSE),VLOOKUP($F651,'Ürün Kartlar'!$B$5:$F$204,5,FALSE))),"")</f>
      </c>
      <c r="J651" s="11">
        <f>IFERROR(IF($F651="",Ayarlar!$C$9,VLOOKUP($F651,'Ürün Kartlar'!$B$5:$G$204,6,FALSE)),Ayarlar!$C$9)</f>
      </c>
      <c r="K651" s="18">
        <f>IF(OR($H651="",$I651=""),0,$H651*$I651)</f>
      </c>
      <c r="L651" s="18">
        <f>$K651*$J651</f>
      </c>
      <c r="M651" s="18">
        <f>$K651+$L651</f>
      </c>
      <c r="N651" s="8"/>
      <c r="O651" s="8"/>
      <c r="P651" s="8"/>
    </row>
    <row r="652" spans="2:16" x14ac:dyDescent="0.25">
      <c r="B652" s="19"/>
      <c r="C652" s="20"/>
      <c r="D652" s="20"/>
      <c r="E652" s="16">
        <f>IFERROR(IF($D652="","",VLOOKUP($D652,'Cari Kartlar'!$B$5:$C$204,2,FALSE)),"— tanımsız cari —")</f>
      </c>
      <c r="F652" s="20"/>
      <c r="G652" s="16">
        <f>IFERROR(IF($F652="","",VLOOKUP($F652,'Ürün Kartlar'!$B$5:$C$204,2,FALSE)),"— tanımsız ürün —")</f>
      </c>
      <c r="H652" s="21"/>
      <c r="I652" s="22">
        <f>IFERROR(IF($F652="","",IF($C652="Alış",VLOOKUP($F652,'Ürün Kartlar'!$B$5:$E$204,4,FALSE),VLOOKUP($F652,'Ürün Kartlar'!$B$5:$F$204,5,FALSE))),"")</f>
      </c>
      <c r="J652" s="23">
        <f>IFERROR(IF($F652="",Ayarlar!$C$9,VLOOKUP($F652,'Ürün Kartlar'!$B$5:$G$204,6,FALSE)),Ayarlar!$C$9)</f>
      </c>
      <c r="K652" s="18">
        <f>IF(OR($H652="",$I652=""),0,$H652*$I652)</f>
      </c>
      <c r="L652" s="18">
        <f>$K652*$J652</f>
      </c>
      <c r="M652" s="18">
        <f>$K652+$L652</f>
      </c>
      <c r="N652" s="20"/>
      <c r="O652" s="20"/>
      <c r="P652" s="20"/>
    </row>
    <row r="653" spans="2:16" x14ac:dyDescent="0.25">
      <c r="B653" s="15"/>
      <c r="C653" s="8"/>
      <c r="D653" s="8"/>
      <c r="E653" s="16">
        <f>IFERROR(IF($D653="","",VLOOKUP($D653,'Cari Kartlar'!$B$5:$C$204,2,FALSE)),"— tanımsız cari —")</f>
      </c>
      <c r="F653" s="8"/>
      <c r="G653" s="16">
        <f>IFERROR(IF($F653="","",VLOOKUP($F653,'Ürün Kartlar'!$B$5:$C$204,2,FALSE)),"— tanımsız ürün —")</f>
      </c>
      <c r="H653" s="17"/>
      <c r="I653" s="13">
        <f>IFERROR(IF($F653="","",IF($C653="Alış",VLOOKUP($F653,'Ürün Kartlar'!$B$5:$E$204,4,FALSE),VLOOKUP($F653,'Ürün Kartlar'!$B$5:$F$204,5,FALSE))),"")</f>
      </c>
      <c r="J653" s="11">
        <f>IFERROR(IF($F653="",Ayarlar!$C$9,VLOOKUP($F653,'Ürün Kartlar'!$B$5:$G$204,6,FALSE)),Ayarlar!$C$9)</f>
      </c>
      <c r="K653" s="18">
        <f>IF(OR($H653="",$I653=""),0,$H653*$I653)</f>
      </c>
      <c r="L653" s="18">
        <f>$K653*$J653</f>
      </c>
      <c r="M653" s="18">
        <f>$K653+$L653</f>
      </c>
      <c r="N653" s="8"/>
      <c r="O653" s="8"/>
      <c r="P653" s="8"/>
    </row>
    <row r="654" spans="2:16" x14ac:dyDescent="0.25">
      <c r="B654" s="19"/>
      <c r="C654" s="20"/>
      <c r="D654" s="20"/>
      <c r="E654" s="16">
        <f>IFERROR(IF($D654="","",VLOOKUP($D654,'Cari Kartlar'!$B$5:$C$204,2,FALSE)),"— tanımsız cari —")</f>
      </c>
      <c r="F654" s="20"/>
      <c r="G654" s="16">
        <f>IFERROR(IF($F654="","",VLOOKUP($F654,'Ürün Kartlar'!$B$5:$C$204,2,FALSE)),"— tanımsız ürün —")</f>
      </c>
      <c r="H654" s="21"/>
      <c r="I654" s="22">
        <f>IFERROR(IF($F654="","",IF($C654="Alış",VLOOKUP($F654,'Ürün Kartlar'!$B$5:$E$204,4,FALSE),VLOOKUP($F654,'Ürün Kartlar'!$B$5:$F$204,5,FALSE))),"")</f>
      </c>
      <c r="J654" s="23">
        <f>IFERROR(IF($F654="",Ayarlar!$C$9,VLOOKUP($F654,'Ürün Kartlar'!$B$5:$G$204,6,FALSE)),Ayarlar!$C$9)</f>
      </c>
      <c r="K654" s="18">
        <f>IF(OR($H654="",$I654=""),0,$H654*$I654)</f>
      </c>
      <c r="L654" s="18">
        <f>$K654*$J654</f>
      </c>
      <c r="M654" s="18">
        <f>$K654+$L654</f>
      </c>
      <c r="N654" s="20"/>
      <c r="O654" s="20"/>
      <c r="P654" s="20"/>
    </row>
    <row r="655" spans="2:16" x14ac:dyDescent="0.25">
      <c r="B655" s="15"/>
      <c r="C655" s="8"/>
      <c r="D655" s="8"/>
      <c r="E655" s="16">
        <f>IFERROR(IF($D655="","",VLOOKUP($D655,'Cari Kartlar'!$B$5:$C$204,2,FALSE)),"— tanımsız cari —")</f>
      </c>
      <c r="F655" s="8"/>
      <c r="G655" s="16">
        <f>IFERROR(IF($F655="","",VLOOKUP($F655,'Ürün Kartlar'!$B$5:$C$204,2,FALSE)),"— tanımsız ürün —")</f>
      </c>
      <c r="H655" s="17"/>
      <c r="I655" s="13">
        <f>IFERROR(IF($F655="","",IF($C655="Alış",VLOOKUP($F655,'Ürün Kartlar'!$B$5:$E$204,4,FALSE),VLOOKUP($F655,'Ürün Kartlar'!$B$5:$F$204,5,FALSE))),"")</f>
      </c>
      <c r="J655" s="11">
        <f>IFERROR(IF($F655="",Ayarlar!$C$9,VLOOKUP($F655,'Ürün Kartlar'!$B$5:$G$204,6,FALSE)),Ayarlar!$C$9)</f>
      </c>
      <c r="K655" s="18">
        <f>IF(OR($H655="",$I655=""),0,$H655*$I655)</f>
      </c>
      <c r="L655" s="18">
        <f>$K655*$J655</f>
      </c>
      <c r="M655" s="18">
        <f>$K655+$L655</f>
      </c>
      <c r="N655" s="8"/>
      <c r="O655" s="8"/>
      <c r="P655" s="8"/>
    </row>
    <row r="656" spans="2:16" x14ac:dyDescent="0.25">
      <c r="B656" s="19"/>
      <c r="C656" s="20"/>
      <c r="D656" s="20"/>
      <c r="E656" s="16">
        <f>IFERROR(IF($D656="","",VLOOKUP($D656,'Cari Kartlar'!$B$5:$C$204,2,FALSE)),"— tanımsız cari —")</f>
      </c>
      <c r="F656" s="20"/>
      <c r="G656" s="16">
        <f>IFERROR(IF($F656="","",VLOOKUP($F656,'Ürün Kartlar'!$B$5:$C$204,2,FALSE)),"— tanımsız ürün —")</f>
      </c>
      <c r="H656" s="21"/>
      <c r="I656" s="22">
        <f>IFERROR(IF($F656="","",IF($C656="Alış",VLOOKUP($F656,'Ürün Kartlar'!$B$5:$E$204,4,FALSE),VLOOKUP($F656,'Ürün Kartlar'!$B$5:$F$204,5,FALSE))),"")</f>
      </c>
      <c r="J656" s="23">
        <f>IFERROR(IF($F656="",Ayarlar!$C$9,VLOOKUP($F656,'Ürün Kartlar'!$B$5:$G$204,6,FALSE)),Ayarlar!$C$9)</f>
      </c>
      <c r="K656" s="18">
        <f>IF(OR($H656="",$I656=""),0,$H656*$I656)</f>
      </c>
      <c r="L656" s="18">
        <f>$K656*$J656</f>
      </c>
      <c r="M656" s="18">
        <f>$K656+$L656</f>
      </c>
      <c r="N656" s="20"/>
      <c r="O656" s="20"/>
      <c r="P656" s="20"/>
    </row>
    <row r="657" spans="2:16" x14ac:dyDescent="0.25">
      <c r="B657" s="15"/>
      <c r="C657" s="8"/>
      <c r="D657" s="8"/>
      <c r="E657" s="16">
        <f>IFERROR(IF($D657="","",VLOOKUP($D657,'Cari Kartlar'!$B$5:$C$204,2,FALSE)),"— tanımsız cari —")</f>
      </c>
      <c r="F657" s="8"/>
      <c r="G657" s="16">
        <f>IFERROR(IF($F657="","",VLOOKUP($F657,'Ürün Kartlar'!$B$5:$C$204,2,FALSE)),"— tanımsız ürün —")</f>
      </c>
      <c r="H657" s="17"/>
      <c r="I657" s="13">
        <f>IFERROR(IF($F657="","",IF($C657="Alış",VLOOKUP($F657,'Ürün Kartlar'!$B$5:$E$204,4,FALSE),VLOOKUP($F657,'Ürün Kartlar'!$B$5:$F$204,5,FALSE))),"")</f>
      </c>
      <c r="J657" s="11">
        <f>IFERROR(IF($F657="",Ayarlar!$C$9,VLOOKUP($F657,'Ürün Kartlar'!$B$5:$G$204,6,FALSE)),Ayarlar!$C$9)</f>
      </c>
      <c r="K657" s="18">
        <f>IF(OR($H657="",$I657=""),0,$H657*$I657)</f>
      </c>
      <c r="L657" s="18">
        <f>$K657*$J657</f>
      </c>
      <c r="M657" s="18">
        <f>$K657+$L657</f>
      </c>
      <c r="N657" s="8"/>
      <c r="O657" s="8"/>
      <c r="P657" s="8"/>
    </row>
    <row r="658" spans="2:16" x14ac:dyDescent="0.25">
      <c r="B658" s="19"/>
      <c r="C658" s="20"/>
      <c r="D658" s="20"/>
      <c r="E658" s="16">
        <f>IFERROR(IF($D658="","",VLOOKUP($D658,'Cari Kartlar'!$B$5:$C$204,2,FALSE)),"— tanımsız cari —")</f>
      </c>
      <c r="F658" s="20"/>
      <c r="G658" s="16">
        <f>IFERROR(IF($F658="","",VLOOKUP($F658,'Ürün Kartlar'!$B$5:$C$204,2,FALSE)),"— tanımsız ürün —")</f>
      </c>
      <c r="H658" s="21"/>
      <c r="I658" s="22">
        <f>IFERROR(IF($F658="","",IF($C658="Alış",VLOOKUP($F658,'Ürün Kartlar'!$B$5:$E$204,4,FALSE),VLOOKUP($F658,'Ürün Kartlar'!$B$5:$F$204,5,FALSE))),"")</f>
      </c>
      <c r="J658" s="23">
        <f>IFERROR(IF($F658="",Ayarlar!$C$9,VLOOKUP($F658,'Ürün Kartlar'!$B$5:$G$204,6,FALSE)),Ayarlar!$C$9)</f>
      </c>
      <c r="K658" s="18">
        <f>IF(OR($H658="",$I658=""),0,$H658*$I658)</f>
      </c>
      <c r="L658" s="18">
        <f>$K658*$J658</f>
      </c>
      <c r="M658" s="18">
        <f>$K658+$L658</f>
      </c>
      <c r="N658" s="20"/>
      <c r="O658" s="20"/>
      <c r="P658" s="20"/>
    </row>
    <row r="659" spans="2:16" x14ac:dyDescent="0.25">
      <c r="B659" s="15"/>
      <c r="C659" s="8"/>
      <c r="D659" s="8"/>
      <c r="E659" s="16">
        <f>IFERROR(IF($D659="","",VLOOKUP($D659,'Cari Kartlar'!$B$5:$C$204,2,FALSE)),"— tanımsız cari —")</f>
      </c>
      <c r="F659" s="8"/>
      <c r="G659" s="16">
        <f>IFERROR(IF($F659="","",VLOOKUP($F659,'Ürün Kartlar'!$B$5:$C$204,2,FALSE)),"— tanımsız ürün —")</f>
      </c>
      <c r="H659" s="17"/>
      <c r="I659" s="13">
        <f>IFERROR(IF($F659="","",IF($C659="Alış",VLOOKUP($F659,'Ürün Kartlar'!$B$5:$E$204,4,FALSE),VLOOKUP($F659,'Ürün Kartlar'!$B$5:$F$204,5,FALSE))),"")</f>
      </c>
      <c r="J659" s="11">
        <f>IFERROR(IF($F659="",Ayarlar!$C$9,VLOOKUP($F659,'Ürün Kartlar'!$B$5:$G$204,6,FALSE)),Ayarlar!$C$9)</f>
      </c>
      <c r="K659" s="18">
        <f>IF(OR($H659="",$I659=""),0,$H659*$I659)</f>
      </c>
      <c r="L659" s="18">
        <f>$K659*$J659</f>
      </c>
      <c r="M659" s="18">
        <f>$K659+$L659</f>
      </c>
      <c r="N659" s="8"/>
      <c r="O659" s="8"/>
      <c r="P659" s="8"/>
    </row>
    <row r="660" spans="2:16" x14ac:dyDescent="0.25">
      <c r="B660" s="19"/>
      <c r="C660" s="20"/>
      <c r="D660" s="20"/>
      <c r="E660" s="16">
        <f>IFERROR(IF($D660="","",VLOOKUP($D660,'Cari Kartlar'!$B$5:$C$204,2,FALSE)),"— tanımsız cari —")</f>
      </c>
      <c r="F660" s="20"/>
      <c r="G660" s="16">
        <f>IFERROR(IF($F660="","",VLOOKUP($F660,'Ürün Kartlar'!$B$5:$C$204,2,FALSE)),"— tanımsız ürün —")</f>
      </c>
      <c r="H660" s="21"/>
      <c r="I660" s="22">
        <f>IFERROR(IF($F660="","",IF($C660="Alış",VLOOKUP($F660,'Ürün Kartlar'!$B$5:$E$204,4,FALSE),VLOOKUP($F660,'Ürün Kartlar'!$B$5:$F$204,5,FALSE))),"")</f>
      </c>
      <c r="J660" s="23">
        <f>IFERROR(IF($F660="",Ayarlar!$C$9,VLOOKUP($F660,'Ürün Kartlar'!$B$5:$G$204,6,FALSE)),Ayarlar!$C$9)</f>
      </c>
      <c r="K660" s="18">
        <f>IF(OR($H660="",$I660=""),0,$H660*$I660)</f>
      </c>
      <c r="L660" s="18">
        <f>$K660*$J660</f>
      </c>
      <c r="M660" s="18">
        <f>$K660+$L660</f>
      </c>
      <c r="N660" s="20"/>
      <c r="O660" s="20"/>
      <c r="P660" s="20"/>
    </row>
    <row r="661" spans="2:16" x14ac:dyDescent="0.25">
      <c r="B661" s="15"/>
      <c r="C661" s="8"/>
      <c r="D661" s="8"/>
      <c r="E661" s="16">
        <f>IFERROR(IF($D661="","",VLOOKUP($D661,'Cari Kartlar'!$B$5:$C$204,2,FALSE)),"— tanımsız cari —")</f>
      </c>
      <c r="F661" s="8"/>
      <c r="G661" s="16">
        <f>IFERROR(IF($F661="","",VLOOKUP($F661,'Ürün Kartlar'!$B$5:$C$204,2,FALSE)),"— tanımsız ürün —")</f>
      </c>
      <c r="H661" s="17"/>
      <c r="I661" s="13">
        <f>IFERROR(IF($F661="","",IF($C661="Alış",VLOOKUP($F661,'Ürün Kartlar'!$B$5:$E$204,4,FALSE),VLOOKUP($F661,'Ürün Kartlar'!$B$5:$F$204,5,FALSE))),"")</f>
      </c>
      <c r="J661" s="11">
        <f>IFERROR(IF($F661="",Ayarlar!$C$9,VLOOKUP($F661,'Ürün Kartlar'!$B$5:$G$204,6,FALSE)),Ayarlar!$C$9)</f>
      </c>
      <c r="K661" s="18">
        <f>IF(OR($H661="",$I661=""),0,$H661*$I661)</f>
      </c>
      <c r="L661" s="18">
        <f>$K661*$J661</f>
      </c>
      <c r="M661" s="18">
        <f>$K661+$L661</f>
      </c>
      <c r="N661" s="8"/>
      <c r="O661" s="8"/>
      <c r="P661" s="8"/>
    </row>
    <row r="662" spans="2:16" x14ac:dyDescent="0.25">
      <c r="B662" s="19"/>
      <c r="C662" s="20"/>
      <c r="D662" s="20"/>
      <c r="E662" s="16">
        <f>IFERROR(IF($D662="","",VLOOKUP($D662,'Cari Kartlar'!$B$5:$C$204,2,FALSE)),"— tanımsız cari —")</f>
      </c>
      <c r="F662" s="20"/>
      <c r="G662" s="16">
        <f>IFERROR(IF($F662="","",VLOOKUP($F662,'Ürün Kartlar'!$B$5:$C$204,2,FALSE)),"— tanımsız ürün —")</f>
      </c>
      <c r="H662" s="21"/>
      <c r="I662" s="22">
        <f>IFERROR(IF($F662="","",IF($C662="Alış",VLOOKUP($F662,'Ürün Kartlar'!$B$5:$E$204,4,FALSE),VLOOKUP($F662,'Ürün Kartlar'!$B$5:$F$204,5,FALSE))),"")</f>
      </c>
      <c r="J662" s="23">
        <f>IFERROR(IF($F662="",Ayarlar!$C$9,VLOOKUP($F662,'Ürün Kartlar'!$B$5:$G$204,6,FALSE)),Ayarlar!$C$9)</f>
      </c>
      <c r="K662" s="18">
        <f>IF(OR($H662="",$I662=""),0,$H662*$I662)</f>
      </c>
      <c r="L662" s="18">
        <f>$K662*$J662</f>
      </c>
      <c r="M662" s="18">
        <f>$K662+$L662</f>
      </c>
      <c r="N662" s="20"/>
      <c r="O662" s="20"/>
      <c r="P662" s="20"/>
    </row>
    <row r="663" spans="2:16" x14ac:dyDescent="0.25">
      <c r="B663" s="15"/>
      <c r="C663" s="8"/>
      <c r="D663" s="8"/>
      <c r="E663" s="16">
        <f>IFERROR(IF($D663="","",VLOOKUP($D663,'Cari Kartlar'!$B$5:$C$204,2,FALSE)),"— tanımsız cari —")</f>
      </c>
      <c r="F663" s="8"/>
      <c r="G663" s="16">
        <f>IFERROR(IF($F663="","",VLOOKUP($F663,'Ürün Kartlar'!$B$5:$C$204,2,FALSE)),"— tanımsız ürün —")</f>
      </c>
      <c r="H663" s="17"/>
      <c r="I663" s="13">
        <f>IFERROR(IF($F663="","",IF($C663="Alış",VLOOKUP($F663,'Ürün Kartlar'!$B$5:$E$204,4,FALSE),VLOOKUP($F663,'Ürün Kartlar'!$B$5:$F$204,5,FALSE))),"")</f>
      </c>
      <c r="J663" s="11">
        <f>IFERROR(IF($F663="",Ayarlar!$C$9,VLOOKUP($F663,'Ürün Kartlar'!$B$5:$G$204,6,FALSE)),Ayarlar!$C$9)</f>
      </c>
      <c r="K663" s="18">
        <f>IF(OR($H663="",$I663=""),0,$H663*$I663)</f>
      </c>
      <c r="L663" s="18">
        <f>$K663*$J663</f>
      </c>
      <c r="M663" s="18">
        <f>$K663+$L663</f>
      </c>
      <c r="N663" s="8"/>
      <c r="O663" s="8"/>
      <c r="P663" s="8"/>
    </row>
    <row r="664" spans="2:16" x14ac:dyDescent="0.25">
      <c r="B664" s="19"/>
      <c r="C664" s="20"/>
      <c r="D664" s="20"/>
      <c r="E664" s="16">
        <f>IFERROR(IF($D664="","",VLOOKUP($D664,'Cari Kartlar'!$B$5:$C$204,2,FALSE)),"— tanımsız cari —")</f>
      </c>
      <c r="F664" s="20"/>
      <c r="G664" s="16">
        <f>IFERROR(IF($F664="","",VLOOKUP($F664,'Ürün Kartlar'!$B$5:$C$204,2,FALSE)),"— tanımsız ürün —")</f>
      </c>
      <c r="H664" s="21"/>
      <c r="I664" s="22">
        <f>IFERROR(IF($F664="","",IF($C664="Alış",VLOOKUP($F664,'Ürün Kartlar'!$B$5:$E$204,4,FALSE),VLOOKUP($F664,'Ürün Kartlar'!$B$5:$F$204,5,FALSE))),"")</f>
      </c>
      <c r="J664" s="23">
        <f>IFERROR(IF($F664="",Ayarlar!$C$9,VLOOKUP($F664,'Ürün Kartlar'!$B$5:$G$204,6,FALSE)),Ayarlar!$C$9)</f>
      </c>
      <c r="K664" s="18">
        <f>IF(OR($H664="",$I664=""),0,$H664*$I664)</f>
      </c>
      <c r="L664" s="18">
        <f>$K664*$J664</f>
      </c>
      <c r="M664" s="18">
        <f>$K664+$L664</f>
      </c>
      <c r="N664" s="20"/>
      <c r="O664" s="20"/>
      <c r="P664" s="20"/>
    </row>
    <row r="665" spans="2:16" x14ac:dyDescent="0.25">
      <c r="B665" s="15"/>
      <c r="C665" s="8"/>
      <c r="D665" s="8"/>
      <c r="E665" s="16">
        <f>IFERROR(IF($D665="","",VLOOKUP($D665,'Cari Kartlar'!$B$5:$C$204,2,FALSE)),"— tanımsız cari —")</f>
      </c>
      <c r="F665" s="8"/>
      <c r="G665" s="16">
        <f>IFERROR(IF($F665="","",VLOOKUP($F665,'Ürün Kartlar'!$B$5:$C$204,2,FALSE)),"— tanımsız ürün —")</f>
      </c>
      <c r="H665" s="17"/>
      <c r="I665" s="13">
        <f>IFERROR(IF($F665="","",IF($C665="Alış",VLOOKUP($F665,'Ürün Kartlar'!$B$5:$E$204,4,FALSE),VLOOKUP($F665,'Ürün Kartlar'!$B$5:$F$204,5,FALSE))),"")</f>
      </c>
      <c r="J665" s="11">
        <f>IFERROR(IF($F665="",Ayarlar!$C$9,VLOOKUP($F665,'Ürün Kartlar'!$B$5:$G$204,6,FALSE)),Ayarlar!$C$9)</f>
      </c>
      <c r="K665" s="18">
        <f>IF(OR($H665="",$I665=""),0,$H665*$I665)</f>
      </c>
      <c r="L665" s="18">
        <f>$K665*$J665</f>
      </c>
      <c r="M665" s="18">
        <f>$K665+$L665</f>
      </c>
      <c r="N665" s="8"/>
      <c r="O665" s="8"/>
      <c r="P665" s="8"/>
    </row>
    <row r="666" spans="2:16" x14ac:dyDescent="0.25">
      <c r="B666" s="19"/>
      <c r="C666" s="20"/>
      <c r="D666" s="20"/>
      <c r="E666" s="16">
        <f>IFERROR(IF($D666="","",VLOOKUP($D666,'Cari Kartlar'!$B$5:$C$204,2,FALSE)),"— tanımsız cari —")</f>
      </c>
      <c r="F666" s="20"/>
      <c r="G666" s="16">
        <f>IFERROR(IF($F666="","",VLOOKUP($F666,'Ürün Kartlar'!$B$5:$C$204,2,FALSE)),"— tanımsız ürün —")</f>
      </c>
      <c r="H666" s="21"/>
      <c r="I666" s="22">
        <f>IFERROR(IF($F666="","",IF($C666="Alış",VLOOKUP($F666,'Ürün Kartlar'!$B$5:$E$204,4,FALSE),VLOOKUP($F666,'Ürün Kartlar'!$B$5:$F$204,5,FALSE))),"")</f>
      </c>
      <c r="J666" s="23">
        <f>IFERROR(IF($F666="",Ayarlar!$C$9,VLOOKUP($F666,'Ürün Kartlar'!$B$5:$G$204,6,FALSE)),Ayarlar!$C$9)</f>
      </c>
      <c r="K666" s="18">
        <f>IF(OR($H666="",$I666=""),0,$H666*$I666)</f>
      </c>
      <c r="L666" s="18">
        <f>$K666*$J666</f>
      </c>
      <c r="M666" s="18">
        <f>$K666+$L666</f>
      </c>
      <c r="N666" s="20"/>
      <c r="O666" s="20"/>
      <c r="P666" s="20"/>
    </row>
    <row r="667" spans="2:16" x14ac:dyDescent="0.25">
      <c r="B667" s="15"/>
      <c r="C667" s="8"/>
      <c r="D667" s="8"/>
      <c r="E667" s="16">
        <f>IFERROR(IF($D667="","",VLOOKUP($D667,'Cari Kartlar'!$B$5:$C$204,2,FALSE)),"— tanımsız cari —")</f>
      </c>
      <c r="F667" s="8"/>
      <c r="G667" s="16">
        <f>IFERROR(IF($F667="","",VLOOKUP($F667,'Ürün Kartlar'!$B$5:$C$204,2,FALSE)),"— tanımsız ürün —")</f>
      </c>
      <c r="H667" s="17"/>
      <c r="I667" s="13">
        <f>IFERROR(IF($F667="","",IF($C667="Alış",VLOOKUP($F667,'Ürün Kartlar'!$B$5:$E$204,4,FALSE),VLOOKUP($F667,'Ürün Kartlar'!$B$5:$F$204,5,FALSE))),"")</f>
      </c>
      <c r="J667" s="11">
        <f>IFERROR(IF($F667="",Ayarlar!$C$9,VLOOKUP($F667,'Ürün Kartlar'!$B$5:$G$204,6,FALSE)),Ayarlar!$C$9)</f>
      </c>
      <c r="K667" s="18">
        <f>IF(OR($H667="",$I667=""),0,$H667*$I667)</f>
      </c>
      <c r="L667" s="18">
        <f>$K667*$J667</f>
      </c>
      <c r="M667" s="18">
        <f>$K667+$L667</f>
      </c>
      <c r="N667" s="8"/>
      <c r="O667" s="8"/>
      <c r="P667" s="8"/>
    </row>
    <row r="668" spans="2:16" x14ac:dyDescent="0.25">
      <c r="B668" s="19"/>
      <c r="C668" s="20"/>
      <c r="D668" s="20"/>
      <c r="E668" s="16">
        <f>IFERROR(IF($D668="","",VLOOKUP($D668,'Cari Kartlar'!$B$5:$C$204,2,FALSE)),"— tanımsız cari —")</f>
      </c>
      <c r="F668" s="20"/>
      <c r="G668" s="16">
        <f>IFERROR(IF($F668="","",VLOOKUP($F668,'Ürün Kartlar'!$B$5:$C$204,2,FALSE)),"— tanımsız ürün —")</f>
      </c>
      <c r="H668" s="21"/>
      <c r="I668" s="22">
        <f>IFERROR(IF($F668="","",IF($C668="Alış",VLOOKUP($F668,'Ürün Kartlar'!$B$5:$E$204,4,FALSE),VLOOKUP($F668,'Ürün Kartlar'!$B$5:$F$204,5,FALSE))),"")</f>
      </c>
      <c r="J668" s="23">
        <f>IFERROR(IF($F668="",Ayarlar!$C$9,VLOOKUP($F668,'Ürün Kartlar'!$B$5:$G$204,6,FALSE)),Ayarlar!$C$9)</f>
      </c>
      <c r="K668" s="18">
        <f>IF(OR($H668="",$I668=""),0,$H668*$I668)</f>
      </c>
      <c r="L668" s="18">
        <f>$K668*$J668</f>
      </c>
      <c r="M668" s="18">
        <f>$K668+$L668</f>
      </c>
      <c r="N668" s="20"/>
      <c r="O668" s="20"/>
      <c r="P668" s="20"/>
    </row>
    <row r="669" spans="2:16" x14ac:dyDescent="0.25">
      <c r="B669" s="15"/>
      <c r="C669" s="8"/>
      <c r="D669" s="8"/>
      <c r="E669" s="16">
        <f>IFERROR(IF($D669="","",VLOOKUP($D669,'Cari Kartlar'!$B$5:$C$204,2,FALSE)),"— tanımsız cari —")</f>
      </c>
      <c r="F669" s="8"/>
      <c r="G669" s="16">
        <f>IFERROR(IF($F669="","",VLOOKUP($F669,'Ürün Kartlar'!$B$5:$C$204,2,FALSE)),"— tanımsız ürün —")</f>
      </c>
      <c r="H669" s="17"/>
      <c r="I669" s="13">
        <f>IFERROR(IF($F669="","",IF($C669="Alış",VLOOKUP($F669,'Ürün Kartlar'!$B$5:$E$204,4,FALSE),VLOOKUP($F669,'Ürün Kartlar'!$B$5:$F$204,5,FALSE))),"")</f>
      </c>
      <c r="J669" s="11">
        <f>IFERROR(IF($F669="",Ayarlar!$C$9,VLOOKUP($F669,'Ürün Kartlar'!$B$5:$G$204,6,FALSE)),Ayarlar!$C$9)</f>
      </c>
      <c r="K669" s="18">
        <f>IF(OR($H669="",$I669=""),0,$H669*$I669)</f>
      </c>
      <c r="L669" s="18">
        <f>$K669*$J669</f>
      </c>
      <c r="M669" s="18">
        <f>$K669+$L669</f>
      </c>
      <c r="N669" s="8"/>
      <c r="O669" s="8"/>
      <c r="P669" s="8"/>
    </row>
    <row r="670" spans="2:16" x14ac:dyDescent="0.25">
      <c r="B670" s="19"/>
      <c r="C670" s="20"/>
      <c r="D670" s="20"/>
      <c r="E670" s="16">
        <f>IFERROR(IF($D670="","",VLOOKUP($D670,'Cari Kartlar'!$B$5:$C$204,2,FALSE)),"— tanımsız cari —")</f>
      </c>
      <c r="F670" s="20"/>
      <c r="G670" s="16">
        <f>IFERROR(IF($F670="","",VLOOKUP($F670,'Ürün Kartlar'!$B$5:$C$204,2,FALSE)),"— tanımsız ürün —")</f>
      </c>
      <c r="H670" s="21"/>
      <c r="I670" s="22">
        <f>IFERROR(IF($F670="","",IF($C670="Alış",VLOOKUP($F670,'Ürün Kartlar'!$B$5:$E$204,4,FALSE),VLOOKUP($F670,'Ürün Kartlar'!$B$5:$F$204,5,FALSE))),"")</f>
      </c>
      <c r="J670" s="23">
        <f>IFERROR(IF($F670="",Ayarlar!$C$9,VLOOKUP($F670,'Ürün Kartlar'!$B$5:$G$204,6,FALSE)),Ayarlar!$C$9)</f>
      </c>
      <c r="K670" s="18">
        <f>IF(OR($H670="",$I670=""),0,$H670*$I670)</f>
      </c>
      <c r="L670" s="18">
        <f>$K670*$J670</f>
      </c>
      <c r="M670" s="18">
        <f>$K670+$L670</f>
      </c>
      <c r="N670" s="20"/>
      <c r="O670" s="20"/>
      <c r="P670" s="20"/>
    </row>
    <row r="671" spans="2:16" x14ac:dyDescent="0.25">
      <c r="B671" s="15"/>
      <c r="C671" s="8"/>
      <c r="D671" s="8"/>
      <c r="E671" s="16">
        <f>IFERROR(IF($D671="","",VLOOKUP($D671,'Cari Kartlar'!$B$5:$C$204,2,FALSE)),"— tanımsız cari —")</f>
      </c>
      <c r="F671" s="8"/>
      <c r="G671" s="16">
        <f>IFERROR(IF($F671="","",VLOOKUP($F671,'Ürün Kartlar'!$B$5:$C$204,2,FALSE)),"— tanımsız ürün —")</f>
      </c>
      <c r="H671" s="17"/>
      <c r="I671" s="13">
        <f>IFERROR(IF($F671="","",IF($C671="Alış",VLOOKUP($F671,'Ürün Kartlar'!$B$5:$E$204,4,FALSE),VLOOKUP($F671,'Ürün Kartlar'!$B$5:$F$204,5,FALSE))),"")</f>
      </c>
      <c r="J671" s="11">
        <f>IFERROR(IF($F671="",Ayarlar!$C$9,VLOOKUP($F671,'Ürün Kartlar'!$B$5:$G$204,6,FALSE)),Ayarlar!$C$9)</f>
      </c>
      <c r="K671" s="18">
        <f>IF(OR($H671="",$I671=""),0,$H671*$I671)</f>
      </c>
      <c r="L671" s="18">
        <f>$K671*$J671</f>
      </c>
      <c r="M671" s="18">
        <f>$K671+$L671</f>
      </c>
      <c r="N671" s="8"/>
      <c r="O671" s="8"/>
      <c r="P671" s="8"/>
    </row>
    <row r="672" spans="2:16" x14ac:dyDescent="0.25">
      <c r="B672" s="19"/>
      <c r="C672" s="20"/>
      <c r="D672" s="20"/>
      <c r="E672" s="16">
        <f>IFERROR(IF($D672="","",VLOOKUP($D672,'Cari Kartlar'!$B$5:$C$204,2,FALSE)),"— tanımsız cari —")</f>
      </c>
      <c r="F672" s="20"/>
      <c r="G672" s="16">
        <f>IFERROR(IF($F672="","",VLOOKUP($F672,'Ürün Kartlar'!$B$5:$C$204,2,FALSE)),"— tanımsız ürün —")</f>
      </c>
      <c r="H672" s="21"/>
      <c r="I672" s="22">
        <f>IFERROR(IF($F672="","",IF($C672="Alış",VLOOKUP($F672,'Ürün Kartlar'!$B$5:$E$204,4,FALSE),VLOOKUP($F672,'Ürün Kartlar'!$B$5:$F$204,5,FALSE))),"")</f>
      </c>
      <c r="J672" s="23">
        <f>IFERROR(IF($F672="",Ayarlar!$C$9,VLOOKUP($F672,'Ürün Kartlar'!$B$5:$G$204,6,FALSE)),Ayarlar!$C$9)</f>
      </c>
      <c r="K672" s="18">
        <f>IF(OR($H672="",$I672=""),0,$H672*$I672)</f>
      </c>
      <c r="L672" s="18">
        <f>$K672*$J672</f>
      </c>
      <c r="M672" s="18">
        <f>$K672+$L672</f>
      </c>
      <c r="N672" s="20"/>
      <c r="O672" s="20"/>
      <c r="P672" s="20"/>
    </row>
    <row r="673" spans="2:16" x14ac:dyDescent="0.25">
      <c r="B673" s="15"/>
      <c r="C673" s="8"/>
      <c r="D673" s="8"/>
      <c r="E673" s="16">
        <f>IFERROR(IF($D673="","",VLOOKUP($D673,'Cari Kartlar'!$B$5:$C$204,2,FALSE)),"— tanımsız cari —")</f>
      </c>
      <c r="F673" s="8"/>
      <c r="G673" s="16">
        <f>IFERROR(IF($F673="","",VLOOKUP($F673,'Ürün Kartlar'!$B$5:$C$204,2,FALSE)),"— tanımsız ürün —")</f>
      </c>
      <c r="H673" s="17"/>
      <c r="I673" s="13">
        <f>IFERROR(IF($F673="","",IF($C673="Alış",VLOOKUP($F673,'Ürün Kartlar'!$B$5:$E$204,4,FALSE),VLOOKUP($F673,'Ürün Kartlar'!$B$5:$F$204,5,FALSE))),"")</f>
      </c>
      <c r="J673" s="11">
        <f>IFERROR(IF($F673="",Ayarlar!$C$9,VLOOKUP($F673,'Ürün Kartlar'!$B$5:$G$204,6,FALSE)),Ayarlar!$C$9)</f>
      </c>
      <c r="K673" s="18">
        <f>IF(OR($H673="",$I673=""),0,$H673*$I673)</f>
      </c>
      <c r="L673" s="18">
        <f>$K673*$J673</f>
      </c>
      <c r="M673" s="18">
        <f>$K673+$L673</f>
      </c>
      <c r="N673" s="8"/>
      <c r="O673" s="8"/>
      <c r="P673" s="8"/>
    </row>
    <row r="674" spans="2:16" x14ac:dyDescent="0.25">
      <c r="B674" s="19"/>
      <c r="C674" s="20"/>
      <c r="D674" s="20"/>
      <c r="E674" s="16">
        <f>IFERROR(IF($D674="","",VLOOKUP($D674,'Cari Kartlar'!$B$5:$C$204,2,FALSE)),"— tanımsız cari —")</f>
      </c>
      <c r="F674" s="20"/>
      <c r="G674" s="16">
        <f>IFERROR(IF($F674="","",VLOOKUP($F674,'Ürün Kartlar'!$B$5:$C$204,2,FALSE)),"— tanımsız ürün —")</f>
      </c>
      <c r="H674" s="21"/>
      <c r="I674" s="22">
        <f>IFERROR(IF($F674="","",IF($C674="Alış",VLOOKUP($F674,'Ürün Kartlar'!$B$5:$E$204,4,FALSE),VLOOKUP($F674,'Ürün Kartlar'!$B$5:$F$204,5,FALSE))),"")</f>
      </c>
      <c r="J674" s="23">
        <f>IFERROR(IF($F674="",Ayarlar!$C$9,VLOOKUP($F674,'Ürün Kartlar'!$B$5:$G$204,6,FALSE)),Ayarlar!$C$9)</f>
      </c>
      <c r="K674" s="18">
        <f>IF(OR($H674="",$I674=""),0,$H674*$I674)</f>
      </c>
      <c r="L674" s="18">
        <f>$K674*$J674</f>
      </c>
      <c r="M674" s="18">
        <f>$K674+$L674</f>
      </c>
      <c r="N674" s="20"/>
      <c r="O674" s="20"/>
      <c r="P674" s="20"/>
    </row>
    <row r="675" spans="2:16" x14ac:dyDescent="0.25">
      <c r="B675" s="15"/>
      <c r="C675" s="8"/>
      <c r="D675" s="8"/>
      <c r="E675" s="16">
        <f>IFERROR(IF($D675="","",VLOOKUP($D675,'Cari Kartlar'!$B$5:$C$204,2,FALSE)),"— tanımsız cari —")</f>
      </c>
      <c r="F675" s="8"/>
      <c r="G675" s="16">
        <f>IFERROR(IF($F675="","",VLOOKUP($F675,'Ürün Kartlar'!$B$5:$C$204,2,FALSE)),"— tanımsız ürün —")</f>
      </c>
      <c r="H675" s="17"/>
      <c r="I675" s="13">
        <f>IFERROR(IF($F675="","",IF($C675="Alış",VLOOKUP($F675,'Ürün Kartlar'!$B$5:$E$204,4,FALSE),VLOOKUP($F675,'Ürün Kartlar'!$B$5:$F$204,5,FALSE))),"")</f>
      </c>
      <c r="J675" s="11">
        <f>IFERROR(IF($F675="",Ayarlar!$C$9,VLOOKUP($F675,'Ürün Kartlar'!$B$5:$G$204,6,FALSE)),Ayarlar!$C$9)</f>
      </c>
      <c r="K675" s="18">
        <f>IF(OR($H675="",$I675=""),0,$H675*$I675)</f>
      </c>
      <c r="L675" s="18">
        <f>$K675*$J675</f>
      </c>
      <c r="M675" s="18">
        <f>$K675+$L675</f>
      </c>
      <c r="N675" s="8"/>
      <c r="O675" s="8"/>
      <c r="P675" s="8"/>
    </row>
    <row r="676" spans="2:16" x14ac:dyDescent="0.25">
      <c r="B676" s="19"/>
      <c r="C676" s="20"/>
      <c r="D676" s="20"/>
      <c r="E676" s="16">
        <f>IFERROR(IF($D676="","",VLOOKUP($D676,'Cari Kartlar'!$B$5:$C$204,2,FALSE)),"— tanımsız cari —")</f>
      </c>
      <c r="F676" s="20"/>
      <c r="G676" s="16">
        <f>IFERROR(IF($F676="","",VLOOKUP($F676,'Ürün Kartlar'!$B$5:$C$204,2,FALSE)),"— tanımsız ürün —")</f>
      </c>
      <c r="H676" s="21"/>
      <c r="I676" s="22">
        <f>IFERROR(IF($F676="","",IF($C676="Alış",VLOOKUP($F676,'Ürün Kartlar'!$B$5:$E$204,4,FALSE),VLOOKUP($F676,'Ürün Kartlar'!$B$5:$F$204,5,FALSE))),"")</f>
      </c>
      <c r="J676" s="23">
        <f>IFERROR(IF($F676="",Ayarlar!$C$9,VLOOKUP($F676,'Ürün Kartlar'!$B$5:$G$204,6,FALSE)),Ayarlar!$C$9)</f>
      </c>
      <c r="K676" s="18">
        <f>IF(OR($H676="",$I676=""),0,$H676*$I676)</f>
      </c>
      <c r="L676" s="18">
        <f>$K676*$J676</f>
      </c>
      <c r="M676" s="18">
        <f>$K676+$L676</f>
      </c>
      <c r="N676" s="20"/>
      <c r="O676" s="20"/>
      <c r="P676" s="20"/>
    </row>
    <row r="677" spans="2:16" x14ac:dyDescent="0.25">
      <c r="B677" s="15"/>
      <c r="C677" s="8"/>
      <c r="D677" s="8"/>
      <c r="E677" s="16">
        <f>IFERROR(IF($D677="","",VLOOKUP($D677,'Cari Kartlar'!$B$5:$C$204,2,FALSE)),"— tanımsız cari —")</f>
      </c>
      <c r="F677" s="8"/>
      <c r="G677" s="16">
        <f>IFERROR(IF($F677="","",VLOOKUP($F677,'Ürün Kartlar'!$B$5:$C$204,2,FALSE)),"— tanımsız ürün —")</f>
      </c>
      <c r="H677" s="17"/>
      <c r="I677" s="13">
        <f>IFERROR(IF($F677="","",IF($C677="Alış",VLOOKUP($F677,'Ürün Kartlar'!$B$5:$E$204,4,FALSE),VLOOKUP($F677,'Ürün Kartlar'!$B$5:$F$204,5,FALSE))),"")</f>
      </c>
      <c r="J677" s="11">
        <f>IFERROR(IF($F677="",Ayarlar!$C$9,VLOOKUP($F677,'Ürün Kartlar'!$B$5:$G$204,6,FALSE)),Ayarlar!$C$9)</f>
      </c>
      <c r="K677" s="18">
        <f>IF(OR($H677="",$I677=""),0,$H677*$I677)</f>
      </c>
      <c r="L677" s="18">
        <f>$K677*$J677</f>
      </c>
      <c r="M677" s="18">
        <f>$K677+$L677</f>
      </c>
      <c r="N677" s="8"/>
      <c r="O677" s="8"/>
      <c r="P677" s="8"/>
    </row>
    <row r="678" spans="2:16" x14ac:dyDescent="0.25">
      <c r="B678" s="19"/>
      <c r="C678" s="20"/>
      <c r="D678" s="20"/>
      <c r="E678" s="16">
        <f>IFERROR(IF($D678="","",VLOOKUP($D678,'Cari Kartlar'!$B$5:$C$204,2,FALSE)),"— tanımsız cari —")</f>
      </c>
      <c r="F678" s="20"/>
      <c r="G678" s="16">
        <f>IFERROR(IF($F678="","",VLOOKUP($F678,'Ürün Kartlar'!$B$5:$C$204,2,FALSE)),"— tanımsız ürün —")</f>
      </c>
      <c r="H678" s="21"/>
      <c r="I678" s="22">
        <f>IFERROR(IF($F678="","",IF($C678="Alış",VLOOKUP($F678,'Ürün Kartlar'!$B$5:$E$204,4,FALSE),VLOOKUP($F678,'Ürün Kartlar'!$B$5:$F$204,5,FALSE))),"")</f>
      </c>
      <c r="J678" s="23">
        <f>IFERROR(IF($F678="",Ayarlar!$C$9,VLOOKUP($F678,'Ürün Kartlar'!$B$5:$G$204,6,FALSE)),Ayarlar!$C$9)</f>
      </c>
      <c r="K678" s="18">
        <f>IF(OR($H678="",$I678=""),0,$H678*$I678)</f>
      </c>
      <c r="L678" s="18">
        <f>$K678*$J678</f>
      </c>
      <c r="M678" s="18">
        <f>$K678+$L678</f>
      </c>
      <c r="N678" s="20"/>
      <c r="O678" s="20"/>
      <c r="P678" s="20"/>
    </row>
    <row r="679" spans="2:16" x14ac:dyDescent="0.25">
      <c r="B679" s="15"/>
      <c r="C679" s="8"/>
      <c r="D679" s="8"/>
      <c r="E679" s="16">
        <f>IFERROR(IF($D679="","",VLOOKUP($D679,'Cari Kartlar'!$B$5:$C$204,2,FALSE)),"— tanımsız cari —")</f>
      </c>
      <c r="F679" s="8"/>
      <c r="G679" s="16">
        <f>IFERROR(IF($F679="","",VLOOKUP($F679,'Ürün Kartlar'!$B$5:$C$204,2,FALSE)),"— tanımsız ürün —")</f>
      </c>
      <c r="H679" s="17"/>
      <c r="I679" s="13">
        <f>IFERROR(IF($F679="","",IF($C679="Alış",VLOOKUP($F679,'Ürün Kartlar'!$B$5:$E$204,4,FALSE),VLOOKUP($F679,'Ürün Kartlar'!$B$5:$F$204,5,FALSE))),"")</f>
      </c>
      <c r="J679" s="11">
        <f>IFERROR(IF($F679="",Ayarlar!$C$9,VLOOKUP($F679,'Ürün Kartlar'!$B$5:$G$204,6,FALSE)),Ayarlar!$C$9)</f>
      </c>
      <c r="K679" s="18">
        <f>IF(OR($H679="",$I679=""),0,$H679*$I679)</f>
      </c>
      <c r="L679" s="18">
        <f>$K679*$J679</f>
      </c>
      <c r="M679" s="18">
        <f>$K679+$L679</f>
      </c>
      <c r="N679" s="8"/>
      <c r="O679" s="8"/>
      <c r="P679" s="8"/>
    </row>
    <row r="680" spans="2:16" x14ac:dyDescent="0.25">
      <c r="B680" s="19"/>
      <c r="C680" s="20"/>
      <c r="D680" s="20"/>
      <c r="E680" s="16">
        <f>IFERROR(IF($D680="","",VLOOKUP($D680,'Cari Kartlar'!$B$5:$C$204,2,FALSE)),"— tanımsız cari —")</f>
      </c>
      <c r="F680" s="20"/>
      <c r="G680" s="16">
        <f>IFERROR(IF($F680="","",VLOOKUP($F680,'Ürün Kartlar'!$B$5:$C$204,2,FALSE)),"— tanımsız ürün —")</f>
      </c>
      <c r="H680" s="21"/>
      <c r="I680" s="22">
        <f>IFERROR(IF($F680="","",IF($C680="Alış",VLOOKUP($F680,'Ürün Kartlar'!$B$5:$E$204,4,FALSE),VLOOKUP($F680,'Ürün Kartlar'!$B$5:$F$204,5,FALSE))),"")</f>
      </c>
      <c r="J680" s="23">
        <f>IFERROR(IF($F680="",Ayarlar!$C$9,VLOOKUP($F680,'Ürün Kartlar'!$B$5:$G$204,6,FALSE)),Ayarlar!$C$9)</f>
      </c>
      <c r="K680" s="18">
        <f>IF(OR($H680="",$I680=""),0,$H680*$I680)</f>
      </c>
      <c r="L680" s="18">
        <f>$K680*$J680</f>
      </c>
      <c r="M680" s="18">
        <f>$K680+$L680</f>
      </c>
      <c r="N680" s="20"/>
      <c r="O680" s="20"/>
      <c r="P680" s="20"/>
    </row>
    <row r="681" spans="2:16" x14ac:dyDescent="0.25">
      <c r="B681" s="15"/>
      <c r="C681" s="8"/>
      <c r="D681" s="8"/>
      <c r="E681" s="16">
        <f>IFERROR(IF($D681="","",VLOOKUP($D681,'Cari Kartlar'!$B$5:$C$204,2,FALSE)),"— tanımsız cari —")</f>
      </c>
      <c r="F681" s="8"/>
      <c r="G681" s="16">
        <f>IFERROR(IF($F681="","",VLOOKUP($F681,'Ürün Kartlar'!$B$5:$C$204,2,FALSE)),"— tanımsız ürün —")</f>
      </c>
      <c r="H681" s="17"/>
      <c r="I681" s="13">
        <f>IFERROR(IF($F681="","",IF($C681="Alış",VLOOKUP($F681,'Ürün Kartlar'!$B$5:$E$204,4,FALSE),VLOOKUP($F681,'Ürün Kartlar'!$B$5:$F$204,5,FALSE))),"")</f>
      </c>
      <c r="J681" s="11">
        <f>IFERROR(IF($F681="",Ayarlar!$C$9,VLOOKUP($F681,'Ürün Kartlar'!$B$5:$G$204,6,FALSE)),Ayarlar!$C$9)</f>
      </c>
      <c r="K681" s="18">
        <f>IF(OR($H681="",$I681=""),0,$H681*$I681)</f>
      </c>
      <c r="L681" s="18">
        <f>$K681*$J681</f>
      </c>
      <c r="M681" s="18">
        <f>$K681+$L681</f>
      </c>
      <c r="N681" s="8"/>
      <c r="O681" s="8"/>
      <c r="P681" s="8"/>
    </row>
    <row r="682" spans="2:16" x14ac:dyDescent="0.25">
      <c r="B682" s="19"/>
      <c r="C682" s="20"/>
      <c r="D682" s="20"/>
      <c r="E682" s="16">
        <f>IFERROR(IF($D682="","",VLOOKUP($D682,'Cari Kartlar'!$B$5:$C$204,2,FALSE)),"— tanımsız cari —")</f>
      </c>
      <c r="F682" s="20"/>
      <c r="G682" s="16">
        <f>IFERROR(IF($F682="","",VLOOKUP($F682,'Ürün Kartlar'!$B$5:$C$204,2,FALSE)),"— tanımsız ürün —")</f>
      </c>
      <c r="H682" s="21"/>
      <c r="I682" s="22">
        <f>IFERROR(IF($F682="","",IF($C682="Alış",VLOOKUP($F682,'Ürün Kartlar'!$B$5:$E$204,4,FALSE),VLOOKUP($F682,'Ürün Kartlar'!$B$5:$F$204,5,FALSE))),"")</f>
      </c>
      <c r="J682" s="23">
        <f>IFERROR(IF($F682="",Ayarlar!$C$9,VLOOKUP($F682,'Ürün Kartlar'!$B$5:$G$204,6,FALSE)),Ayarlar!$C$9)</f>
      </c>
      <c r="K682" s="18">
        <f>IF(OR($H682="",$I682=""),0,$H682*$I682)</f>
      </c>
      <c r="L682" s="18">
        <f>$K682*$J682</f>
      </c>
      <c r="M682" s="18">
        <f>$K682+$L682</f>
      </c>
      <c r="N682" s="20"/>
      <c r="O682" s="20"/>
      <c r="P682" s="20"/>
    </row>
    <row r="683" spans="2:16" x14ac:dyDescent="0.25">
      <c r="B683" s="15"/>
      <c r="C683" s="8"/>
      <c r="D683" s="8"/>
      <c r="E683" s="16">
        <f>IFERROR(IF($D683="","",VLOOKUP($D683,'Cari Kartlar'!$B$5:$C$204,2,FALSE)),"— tanımsız cari —")</f>
      </c>
      <c r="F683" s="8"/>
      <c r="G683" s="16">
        <f>IFERROR(IF($F683="","",VLOOKUP($F683,'Ürün Kartlar'!$B$5:$C$204,2,FALSE)),"— tanımsız ürün —")</f>
      </c>
      <c r="H683" s="17"/>
      <c r="I683" s="13">
        <f>IFERROR(IF($F683="","",IF($C683="Alış",VLOOKUP($F683,'Ürün Kartlar'!$B$5:$E$204,4,FALSE),VLOOKUP($F683,'Ürün Kartlar'!$B$5:$F$204,5,FALSE))),"")</f>
      </c>
      <c r="J683" s="11">
        <f>IFERROR(IF($F683="",Ayarlar!$C$9,VLOOKUP($F683,'Ürün Kartlar'!$B$5:$G$204,6,FALSE)),Ayarlar!$C$9)</f>
      </c>
      <c r="K683" s="18">
        <f>IF(OR($H683="",$I683=""),0,$H683*$I683)</f>
      </c>
      <c r="L683" s="18">
        <f>$K683*$J683</f>
      </c>
      <c r="M683" s="18">
        <f>$K683+$L683</f>
      </c>
      <c r="N683" s="8"/>
      <c r="O683" s="8"/>
      <c r="P683" s="8"/>
    </row>
    <row r="684" spans="2:16" x14ac:dyDescent="0.25">
      <c r="B684" s="19"/>
      <c r="C684" s="20"/>
      <c r="D684" s="20"/>
      <c r="E684" s="16">
        <f>IFERROR(IF($D684="","",VLOOKUP($D684,'Cari Kartlar'!$B$5:$C$204,2,FALSE)),"— tanımsız cari —")</f>
      </c>
      <c r="F684" s="20"/>
      <c r="G684" s="16">
        <f>IFERROR(IF($F684="","",VLOOKUP($F684,'Ürün Kartlar'!$B$5:$C$204,2,FALSE)),"— tanımsız ürün —")</f>
      </c>
      <c r="H684" s="21"/>
      <c r="I684" s="22">
        <f>IFERROR(IF($F684="","",IF($C684="Alış",VLOOKUP($F684,'Ürün Kartlar'!$B$5:$E$204,4,FALSE),VLOOKUP($F684,'Ürün Kartlar'!$B$5:$F$204,5,FALSE))),"")</f>
      </c>
      <c r="J684" s="23">
        <f>IFERROR(IF($F684="",Ayarlar!$C$9,VLOOKUP($F684,'Ürün Kartlar'!$B$5:$G$204,6,FALSE)),Ayarlar!$C$9)</f>
      </c>
      <c r="K684" s="18">
        <f>IF(OR($H684="",$I684=""),0,$H684*$I684)</f>
      </c>
      <c r="L684" s="18">
        <f>$K684*$J684</f>
      </c>
      <c r="M684" s="18">
        <f>$K684+$L684</f>
      </c>
      <c r="N684" s="20"/>
      <c r="O684" s="20"/>
      <c r="P684" s="20"/>
    </row>
    <row r="685" spans="2:16" x14ac:dyDescent="0.25">
      <c r="B685" s="15"/>
      <c r="C685" s="8"/>
      <c r="D685" s="8"/>
      <c r="E685" s="16">
        <f>IFERROR(IF($D685="","",VLOOKUP($D685,'Cari Kartlar'!$B$5:$C$204,2,FALSE)),"— tanımsız cari —")</f>
      </c>
      <c r="F685" s="8"/>
      <c r="G685" s="16">
        <f>IFERROR(IF($F685="","",VLOOKUP($F685,'Ürün Kartlar'!$B$5:$C$204,2,FALSE)),"— tanımsız ürün —")</f>
      </c>
      <c r="H685" s="17"/>
      <c r="I685" s="13">
        <f>IFERROR(IF($F685="","",IF($C685="Alış",VLOOKUP($F685,'Ürün Kartlar'!$B$5:$E$204,4,FALSE),VLOOKUP($F685,'Ürün Kartlar'!$B$5:$F$204,5,FALSE))),"")</f>
      </c>
      <c r="J685" s="11">
        <f>IFERROR(IF($F685="",Ayarlar!$C$9,VLOOKUP($F685,'Ürün Kartlar'!$B$5:$G$204,6,FALSE)),Ayarlar!$C$9)</f>
      </c>
      <c r="K685" s="18">
        <f>IF(OR($H685="",$I685=""),0,$H685*$I685)</f>
      </c>
      <c r="L685" s="18">
        <f>$K685*$J685</f>
      </c>
      <c r="M685" s="18">
        <f>$K685+$L685</f>
      </c>
      <c r="N685" s="8"/>
      <c r="O685" s="8"/>
      <c r="P685" s="8"/>
    </row>
    <row r="686" spans="2:16" x14ac:dyDescent="0.25">
      <c r="B686" s="19"/>
      <c r="C686" s="20"/>
      <c r="D686" s="20"/>
      <c r="E686" s="16">
        <f>IFERROR(IF($D686="","",VLOOKUP($D686,'Cari Kartlar'!$B$5:$C$204,2,FALSE)),"— tanımsız cari —")</f>
      </c>
      <c r="F686" s="20"/>
      <c r="G686" s="16">
        <f>IFERROR(IF($F686="","",VLOOKUP($F686,'Ürün Kartlar'!$B$5:$C$204,2,FALSE)),"— tanımsız ürün —")</f>
      </c>
      <c r="H686" s="21"/>
      <c r="I686" s="22">
        <f>IFERROR(IF($F686="","",IF($C686="Alış",VLOOKUP($F686,'Ürün Kartlar'!$B$5:$E$204,4,FALSE),VLOOKUP($F686,'Ürün Kartlar'!$B$5:$F$204,5,FALSE))),"")</f>
      </c>
      <c r="J686" s="23">
        <f>IFERROR(IF($F686="",Ayarlar!$C$9,VLOOKUP($F686,'Ürün Kartlar'!$B$5:$G$204,6,FALSE)),Ayarlar!$C$9)</f>
      </c>
      <c r="K686" s="18">
        <f>IF(OR($H686="",$I686=""),0,$H686*$I686)</f>
      </c>
      <c r="L686" s="18">
        <f>$K686*$J686</f>
      </c>
      <c r="M686" s="18">
        <f>$K686+$L686</f>
      </c>
      <c r="N686" s="20"/>
      <c r="O686" s="20"/>
      <c r="P686" s="20"/>
    </row>
    <row r="687" spans="2:16" x14ac:dyDescent="0.25">
      <c r="B687" s="15"/>
      <c r="C687" s="8"/>
      <c r="D687" s="8"/>
      <c r="E687" s="16">
        <f>IFERROR(IF($D687="","",VLOOKUP($D687,'Cari Kartlar'!$B$5:$C$204,2,FALSE)),"— tanımsız cari —")</f>
      </c>
      <c r="F687" s="8"/>
      <c r="G687" s="16">
        <f>IFERROR(IF($F687="","",VLOOKUP($F687,'Ürün Kartlar'!$B$5:$C$204,2,FALSE)),"— tanımsız ürün —")</f>
      </c>
      <c r="H687" s="17"/>
      <c r="I687" s="13">
        <f>IFERROR(IF($F687="","",IF($C687="Alış",VLOOKUP($F687,'Ürün Kartlar'!$B$5:$E$204,4,FALSE),VLOOKUP($F687,'Ürün Kartlar'!$B$5:$F$204,5,FALSE))),"")</f>
      </c>
      <c r="J687" s="11">
        <f>IFERROR(IF($F687="",Ayarlar!$C$9,VLOOKUP($F687,'Ürün Kartlar'!$B$5:$G$204,6,FALSE)),Ayarlar!$C$9)</f>
      </c>
      <c r="K687" s="18">
        <f>IF(OR($H687="",$I687=""),0,$H687*$I687)</f>
      </c>
      <c r="L687" s="18">
        <f>$K687*$J687</f>
      </c>
      <c r="M687" s="18">
        <f>$K687+$L687</f>
      </c>
      <c r="N687" s="8"/>
      <c r="O687" s="8"/>
      <c r="P687" s="8"/>
    </row>
    <row r="688" spans="2:16" x14ac:dyDescent="0.25">
      <c r="B688" s="19"/>
      <c r="C688" s="20"/>
      <c r="D688" s="20"/>
      <c r="E688" s="16">
        <f>IFERROR(IF($D688="","",VLOOKUP($D688,'Cari Kartlar'!$B$5:$C$204,2,FALSE)),"— tanımsız cari —")</f>
      </c>
      <c r="F688" s="20"/>
      <c r="G688" s="16">
        <f>IFERROR(IF($F688="","",VLOOKUP($F688,'Ürün Kartlar'!$B$5:$C$204,2,FALSE)),"— tanımsız ürün —")</f>
      </c>
      <c r="H688" s="21"/>
      <c r="I688" s="22">
        <f>IFERROR(IF($F688="","",IF($C688="Alış",VLOOKUP($F688,'Ürün Kartlar'!$B$5:$E$204,4,FALSE),VLOOKUP($F688,'Ürün Kartlar'!$B$5:$F$204,5,FALSE))),"")</f>
      </c>
      <c r="J688" s="23">
        <f>IFERROR(IF($F688="",Ayarlar!$C$9,VLOOKUP($F688,'Ürün Kartlar'!$B$5:$G$204,6,FALSE)),Ayarlar!$C$9)</f>
      </c>
      <c r="K688" s="18">
        <f>IF(OR($H688="",$I688=""),0,$H688*$I688)</f>
      </c>
      <c r="L688" s="18">
        <f>$K688*$J688</f>
      </c>
      <c r="M688" s="18">
        <f>$K688+$L688</f>
      </c>
      <c r="N688" s="20"/>
      <c r="O688" s="20"/>
      <c r="P688" s="20"/>
    </row>
    <row r="689" spans="2:16" x14ac:dyDescent="0.25">
      <c r="B689" s="15"/>
      <c r="C689" s="8"/>
      <c r="D689" s="8"/>
      <c r="E689" s="16">
        <f>IFERROR(IF($D689="","",VLOOKUP($D689,'Cari Kartlar'!$B$5:$C$204,2,FALSE)),"— tanımsız cari —")</f>
      </c>
      <c r="F689" s="8"/>
      <c r="G689" s="16">
        <f>IFERROR(IF($F689="","",VLOOKUP($F689,'Ürün Kartlar'!$B$5:$C$204,2,FALSE)),"— tanımsız ürün —")</f>
      </c>
      <c r="H689" s="17"/>
      <c r="I689" s="13">
        <f>IFERROR(IF($F689="","",IF($C689="Alış",VLOOKUP($F689,'Ürün Kartlar'!$B$5:$E$204,4,FALSE),VLOOKUP($F689,'Ürün Kartlar'!$B$5:$F$204,5,FALSE))),"")</f>
      </c>
      <c r="J689" s="11">
        <f>IFERROR(IF($F689="",Ayarlar!$C$9,VLOOKUP($F689,'Ürün Kartlar'!$B$5:$G$204,6,FALSE)),Ayarlar!$C$9)</f>
      </c>
      <c r="K689" s="18">
        <f>IF(OR($H689="",$I689=""),0,$H689*$I689)</f>
      </c>
      <c r="L689" s="18">
        <f>$K689*$J689</f>
      </c>
      <c r="M689" s="18">
        <f>$K689+$L689</f>
      </c>
      <c r="N689" s="8"/>
      <c r="O689" s="8"/>
      <c r="P689" s="8"/>
    </row>
    <row r="690" spans="2:16" x14ac:dyDescent="0.25">
      <c r="B690" s="19"/>
      <c r="C690" s="20"/>
      <c r="D690" s="20"/>
      <c r="E690" s="16">
        <f>IFERROR(IF($D690="","",VLOOKUP($D690,'Cari Kartlar'!$B$5:$C$204,2,FALSE)),"— tanımsız cari —")</f>
      </c>
      <c r="F690" s="20"/>
      <c r="G690" s="16">
        <f>IFERROR(IF($F690="","",VLOOKUP($F690,'Ürün Kartlar'!$B$5:$C$204,2,FALSE)),"— tanımsız ürün —")</f>
      </c>
      <c r="H690" s="21"/>
      <c r="I690" s="22">
        <f>IFERROR(IF($F690="","",IF($C690="Alış",VLOOKUP($F690,'Ürün Kartlar'!$B$5:$E$204,4,FALSE),VLOOKUP($F690,'Ürün Kartlar'!$B$5:$F$204,5,FALSE))),"")</f>
      </c>
      <c r="J690" s="23">
        <f>IFERROR(IF($F690="",Ayarlar!$C$9,VLOOKUP($F690,'Ürün Kartlar'!$B$5:$G$204,6,FALSE)),Ayarlar!$C$9)</f>
      </c>
      <c r="K690" s="18">
        <f>IF(OR($H690="",$I690=""),0,$H690*$I690)</f>
      </c>
      <c r="L690" s="18">
        <f>$K690*$J690</f>
      </c>
      <c r="M690" s="18">
        <f>$K690+$L690</f>
      </c>
      <c r="N690" s="20"/>
      <c r="O690" s="20"/>
      <c r="P690" s="20"/>
    </row>
    <row r="691" spans="2:16" x14ac:dyDescent="0.25">
      <c r="B691" s="15"/>
      <c r="C691" s="8"/>
      <c r="D691" s="8"/>
      <c r="E691" s="16">
        <f>IFERROR(IF($D691="","",VLOOKUP($D691,'Cari Kartlar'!$B$5:$C$204,2,FALSE)),"— tanımsız cari —")</f>
      </c>
      <c r="F691" s="8"/>
      <c r="G691" s="16">
        <f>IFERROR(IF($F691="","",VLOOKUP($F691,'Ürün Kartlar'!$B$5:$C$204,2,FALSE)),"— tanımsız ürün —")</f>
      </c>
      <c r="H691" s="17"/>
      <c r="I691" s="13">
        <f>IFERROR(IF($F691="","",IF($C691="Alış",VLOOKUP($F691,'Ürün Kartlar'!$B$5:$E$204,4,FALSE),VLOOKUP($F691,'Ürün Kartlar'!$B$5:$F$204,5,FALSE))),"")</f>
      </c>
      <c r="J691" s="11">
        <f>IFERROR(IF($F691="",Ayarlar!$C$9,VLOOKUP($F691,'Ürün Kartlar'!$B$5:$G$204,6,FALSE)),Ayarlar!$C$9)</f>
      </c>
      <c r="K691" s="18">
        <f>IF(OR($H691="",$I691=""),0,$H691*$I691)</f>
      </c>
      <c r="L691" s="18">
        <f>$K691*$J691</f>
      </c>
      <c r="M691" s="18">
        <f>$K691+$L691</f>
      </c>
      <c r="N691" s="8"/>
      <c r="O691" s="8"/>
      <c r="P691" s="8"/>
    </row>
    <row r="692" spans="2:16" x14ac:dyDescent="0.25">
      <c r="B692" s="19"/>
      <c r="C692" s="20"/>
      <c r="D692" s="20"/>
      <c r="E692" s="16">
        <f>IFERROR(IF($D692="","",VLOOKUP($D692,'Cari Kartlar'!$B$5:$C$204,2,FALSE)),"— tanımsız cari —")</f>
      </c>
      <c r="F692" s="20"/>
      <c r="G692" s="16">
        <f>IFERROR(IF($F692="","",VLOOKUP($F692,'Ürün Kartlar'!$B$5:$C$204,2,FALSE)),"— tanımsız ürün —")</f>
      </c>
      <c r="H692" s="21"/>
      <c r="I692" s="22">
        <f>IFERROR(IF($F692="","",IF($C692="Alış",VLOOKUP($F692,'Ürün Kartlar'!$B$5:$E$204,4,FALSE),VLOOKUP($F692,'Ürün Kartlar'!$B$5:$F$204,5,FALSE))),"")</f>
      </c>
      <c r="J692" s="23">
        <f>IFERROR(IF($F692="",Ayarlar!$C$9,VLOOKUP($F692,'Ürün Kartlar'!$B$5:$G$204,6,FALSE)),Ayarlar!$C$9)</f>
      </c>
      <c r="K692" s="18">
        <f>IF(OR($H692="",$I692=""),0,$H692*$I692)</f>
      </c>
      <c r="L692" s="18">
        <f>$K692*$J692</f>
      </c>
      <c r="M692" s="18">
        <f>$K692+$L692</f>
      </c>
      <c r="N692" s="20"/>
      <c r="O692" s="20"/>
      <c r="P692" s="20"/>
    </row>
    <row r="693" spans="2:16" x14ac:dyDescent="0.25">
      <c r="B693" s="15"/>
      <c r="C693" s="8"/>
      <c r="D693" s="8"/>
      <c r="E693" s="16">
        <f>IFERROR(IF($D693="","",VLOOKUP($D693,'Cari Kartlar'!$B$5:$C$204,2,FALSE)),"— tanımsız cari —")</f>
      </c>
      <c r="F693" s="8"/>
      <c r="G693" s="16">
        <f>IFERROR(IF($F693="","",VLOOKUP($F693,'Ürün Kartlar'!$B$5:$C$204,2,FALSE)),"— tanımsız ürün —")</f>
      </c>
      <c r="H693" s="17"/>
      <c r="I693" s="13">
        <f>IFERROR(IF($F693="","",IF($C693="Alış",VLOOKUP($F693,'Ürün Kartlar'!$B$5:$E$204,4,FALSE),VLOOKUP($F693,'Ürün Kartlar'!$B$5:$F$204,5,FALSE))),"")</f>
      </c>
      <c r="J693" s="11">
        <f>IFERROR(IF($F693="",Ayarlar!$C$9,VLOOKUP($F693,'Ürün Kartlar'!$B$5:$G$204,6,FALSE)),Ayarlar!$C$9)</f>
      </c>
      <c r="K693" s="18">
        <f>IF(OR($H693="",$I693=""),0,$H693*$I693)</f>
      </c>
      <c r="L693" s="18">
        <f>$K693*$J693</f>
      </c>
      <c r="M693" s="18">
        <f>$K693+$L693</f>
      </c>
      <c r="N693" s="8"/>
      <c r="O693" s="8"/>
      <c r="P693" s="8"/>
    </row>
    <row r="694" spans="2:16" x14ac:dyDescent="0.25">
      <c r="B694" s="19"/>
      <c r="C694" s="20"/>
      <c r="D694" s="20"/>
      <c r="E694" s="16">
        <f>IFERROR(IF($D694="","",VLOOKUP($D694,'Cari Kartlar'!$B$5:$C$204,2,FALSE)),"— tanımsız cari —")</f>
      </c>
      <c r="F694" s="20"/>
      <c r="G694" s="16">
        <f>IFERROR(IF($F694="","",VLOOKUP($F694,'Ürün Kartlar'!$B$5:$C$204,2,FALSE)),"— tanımsız ürün —")</f>
      </c>
      <c r="H694" s="21"/>
      <c r="I694" s="22">
        <f>IFERROR(IF($F694="","",IF($C694="Alış",VLOOKUP($F694,'Ürün Kartlar'!$B$5:$E$204,4,FALSE),VLOOKUP($F694,'Ürün Kartlar'!$B$5:$F$204,5,FALSE))),"")</f>
      </c>
      <c r="J694" s="23">
        <f>IFERROR(IF($F694="",Ayarlar!$C$9,VLOOKUP($F694,'Ürün Kartlar'!$B$5:$G$204,6,FALSE)),Ayarlar!$C$9)</f>
      </c>
      <c r="K694" s="18">
        <f>IF(OR($H694="",$I694=""),0,$H694*$I694)</f>
      </c>
      <c r="L694" s="18">
        <f>$K694*$J694</f>
      </c>
      <c r="M694" s="18">
        <f>$K694+$L694</f>
      </c>
      <c r="N694" s="20"/>
      <c r="O694" s="20"/>
      <c r="P694" s="20"/>
    </row>
    <row r="695" spans="2:16" x14ac:dyDescent="0.25">
      <c r="B695" s="15"/>
      <c r="C695" s="8"/>
      <c r="D695" s="8"/>
      <c r="E695" s="16">
        <f>IFERROR(IF($D695="","",VLOOKUP($D695,'Cari Kartlar'!$B$5:$C$204,2,FALSE)),"— tanımsız cari —")</f>
      </c>
      <c r="F695" s="8"/>
      <c r="G695" s="16">
        <f>IFERROR(IF($F695="","",VLOOKUP($F695,'Ürün Kartlar'!$B$5:$C$204,2,FALSE)),"— tanımsız ürün —")</f>
      </c>
      <c r="H695" s="17"/>
      <c r="I695" s="13">
        <f>IFERROR(IF($F695="","",IF($C695="Alış",VLOOKUP($F695,'Ürün Kartlar'!$B$5:$E$204,4,FALSE),VLOOKUP($F695,'Ürün Kartlar'!$B$5:$F$204,5,FALSE))),"")</f>
      </c>
      <c r="J695" s="11">
        <f>IFERROR(IF($F695="",Ayarlar!$C$9,VLOOKUP($F695,'Ürün Kartlar'!$B$5:$G$204,6,FALSE)),Ayarlar!$C$9)</f>
      </c>
      <c r="K695" s="18">
        <f>IF(OR($H695="",$I695=""),0,$H695*$I695)</f>
      </c>
      <c r="L695" s="18">
        <f>$K695*$J695</f>
      </c>
      <c r="M695" s="18">
        <f>$K695+$L695</f>
      </c>
      <c r="N695" s="8"/>
      <c r="O695" s="8"/>
      <c r="P695" s="8"/>
    </row>
    <row r="696" spans="2:16" x14ac:dyDescent="0.25">
      <c r="B696" s="19"/>
      <c r="C696" s="20"/>
      <c r="D696" s="20"/>
      <c r="E696" s="16">
        <f>IFERROR(IF($D696="","",VLOOKUP($D696,'Cari Kartlar'!$B$5:$C$204,2,FALSE)),"— tanımsız cari —")</f>
      </c>
      <c r="F696" s="20"/>
      <c r="G696" s="16">
        <f>IFERROR(IF($F696="","",VLOOKUP($F696,'Ürün Kartlar'!$B$5:$C$204,2,FALSE)),"— tanımsız ürün —")</f>
      </c>
      <c r="H696" s="21"/>
      <c r="I696" s="22">
        <f>IFERROR(IF($F696="","",IF($C696="Alış",VLOOKUP($F696,'Ürün Kartlar'!$B$5:$E$204,4,FALSE),VLOOKUP($F696,'Ürün Kartlar'!$B$5:$F$204,5,FALSE))),"")</f>
      </c>
      <c r="J696" s="23">
        <f>IFERROR(IF($F696="",Ayarlar!$C$9,VLOOKUP($F696,'Ürün Kartlar'!$B$5:$G$204,6,FALSE)),Ayarlar!$C$9)</f>
      </c>
      <c r="K696" s="18">
        <f>IF(OR($H696="",$I696=""),0,$H696*$I696)</f>
      </c>
      <c r="L696" s="18">
        <f>$K696*$J696</f>
      </c>
      <c r="M696" s="18">
        <f>$K696+$L696</f>
      </c>
      <c r="N696" s="20"/>
      <c r="O696" s="20"/>
      <c r="P696" s="20"/>
    </row>
    <row r="697" spans="2:16" x14ac:dyDescent="0.25">
      <c r="B697" s="15"/>
      <c r="C697" s="8"/>
      <c r="D697" s="8"/>
      <c r="E697" s="16">
        <f>IFERROR(IF($D697="","",VLOOKUP($D697,'Cari Kartlar'!$B$5:$C$204,2,FALSE)),"— tanımsız cari —")</f>
      </c>
      <c r="F697" s="8"/>
      <c r="G697" s="16">
        <f>IFERROR(IF($F697="","",VLOOKUP($F697,'Ürün Kartlar'!$B$5:$C$204,2,FALSE)),"— tanımsız ürün —")</f>
      </c>
      <c r="H697" s="17"/>
      <c r="I697" s="13">
        <f>IFERROR(IF($F697="","",IF($C697="Alış",VLOOKUP($F697,'Ürün Kartlar'!$B$5:$E$204,4,FALSE),VLOOKUP($F697,'Ürün Kartlar'!$B$5:$F$204,5,FALSE))),"")</f>
      </c>
      <c r="J697" s="11">
        <f>IFERROR(IF($F697="",Ayarlar!$C$9,VLOOKUP($F697,'Ürün Kartlar'!$B$5:$G$204,6,FALSE)),Ayarlar!$C$9)</f>
      </c>
      <c r="K697" s="18">
        <f>IF(OR($H697="",$I697=""),0,$H697*$I697)</f>
      </c>
      <c r="L697" s="18">
        <f>$K697*$J697</f>
      </c>
      <c r="M697" s="18">
        <f>$K697+$L697</f>
      </c>
      <c r="N697" s="8"/>
      <c r="O697" s="8"/>
      <c r="P697" s="8"/>
    </row>
    <row r="698" spans="2:16" x14ac:dyDescent="0.25">
      <c r="B698" s="19"/>
      <c r="C698" s="20"/>
      <c r="D698" s="20"/>
      <c r="E698" s="16">
        <f>IFERROR(IF($D698="","",VLOOKUP($D698,'Cari Kartlar'!$B$5:$C$204,2,FALSE)),"— tanımsız cari —")</f>
      </c>
      <c r="F698" s="20"/>
      <c r="G698" s="16">
        <f>IFERROR(IF($F698="","",VLOOKUP($F698,'Ürün Kartlar'!$B$5:$C$204,2,FALSE)),"— tanımsız ürün —")</f>
      </c>
      <c r="H698" s="21"/>
      <c r="I698" s="22">
        <f>IFERROR(IF($F698="","",IF($C698="Alış",VLOOKUP($F698,'Ürün Kartlar'!$B$5:$E$204,4,FALSE),VLOOKUP($F698,'Ürün Kartlar'!$B$5:$F$204,5,FALSE))),"")</f>
      </c>
      <c r="J698" s="23">
        <f>IFERROR(IF($F698="",Ayarlar!$C$9,VLOOKUP($F698,'Ürün Kartlar'!$B$5:$G$204,6,FALSE)),Ayarlar!$C$9)</f>
      </c>
      <c r="K698" s="18">
        <f>IF(OR($H698="",$I698=""),0,$H698*$I698)</f>
      </c>
      <c r="L698" s="18">
        <f>$K698*$J698</f>
      </c>
      <c r="M698" s="18">
        <f>$K698+$L698</f>
      </c>
      <c r="N698" s="20"/>
      <c r="O698" s="20"/>
      <c r="P698" s="20"/>
    </row>
    <row r="699" spans="2:16" x14ac:dyDescent="0.25">
      <c r="B699" s="15"/>
      <c r="C699" s="8"/>
      <c r="D699" s="8"/>
      <c r="E699" s="16">
        <f>IFERROR(IF($D699="","",VLOOKUP($D699,'Cari Kartlar'!$B$5:$C$204,2,FALSE)),"— tanımsız cari —")</f>
      </c>
      <c r="F699" s="8"/>
      <c r="G699" s="16">
        <f>IFERROR(IF($F699="","",VLOOKUP($F699,'Ürün Kartlar'!$B$5:$C$204,2,FALSE)),"— tanımsız ürün —")</f>
      </c>
      <c r="H699" s="17"/>
      <c r="I699" s="13">
        <f>IFERROR(IF($F699="","",IF($C699="Alış",VLOOKUP($F699,'Ürün Kartlar'!$B$5:$E$204,4,FALSE),VLOOKUP($F699,'Ürün Kartlar'!$B$5:$F$204,5,FALSE))),"")</f>
      </c>
      <c r="J699" s="11">
        <f>IFERROR(IF($F699="",Ayarlar!$C$9,VLOOKUP($F699,'Ürün Kartlar'!$B$5:$G$204,6,FALSE)),Ayarlar!$C$9)</f>
      </c>
      <c r="K699" s="18">
        <f>IF(OR($H699="",$I699=""),0,$H699*$I699)</f>
      </c>
      <c r="L699" s="18">
        <f>$K699*$J699</f>
      </c>
      <c r="M699" s="18">
        <f>$K699+$L699</f>
      </c>
      <c r="N699" s="8"/>
      <c r="O699" s="8"/>
      <c r="P699" s="8"/>
    </row>
    <row r="700" spans="2:16" x14ac:dyDescent="0.25">
      <c r="B700" s="19"/>
      <c r="C700" s="20"/>
      <c r="D700" s="20"/>
      <c r="E700" s="16">
        <f>IFERROR(IF($D700="","",VLOOKUP($D700,'Cari Kartlar'!$B$5:$C$204,2,FALSE)),"— tanımsız cari —")</f>
      </c>
      <c r="F700" s="20"/>
      <c r="G700" s="16">
        <f>IFERROR(IF($F700="","",VLOOKUP($F700,'Ürün Kartlar'!$B$5:$C$204,2,FALSE)),"— tanımsız ürün —")</f>
      </c>
      <c r="H700" s="21"/>
      <c r="I700" s="22">
        <f>IFERROR(IF($F700="","",IF($C700="Alış",VLOOKUP($F700,'Ürün Kartlar'!$B$5:$E$204,4,FALSE),VLOOKUP($F700,'Ürün Kartlar'!$B$5:$F$204,5,FALSE))),"")</f>
      </c>
      <c r="J700" s="23">
        <f>IFERROR(IF($F700="",Ayarlar!$C$9,VLOOKUP($F700,'Ürün Kartlar'!$B$5:$G$204,6,FALSE)),Ayarlar!$C$9)</f>
      </c>
      <c r="K700" s="18">
        <f>IF(OR($H700="",$I700=""),0,$H700*$I700)</f>
      </c>
      <c r="L700" s="18">
        <f>$K700*$J700</f>
      </c>
      <c r="M700" s="18">
        <f>$K700+$L700</f>
      </c>
      <c r="N700" s="20"/>
      <c r="O700" s="20"/>
      <c r="P700" s="20"/>
    </row>
    <row r="701" spans="2:16" x14ac:dyDescent="0.25">
      <c r="B701" s="15"/>
      <c r="C701" s="8"/>
      <c r="D701" s="8"/>
      <c r="E701" s="16">
        <f>IFERROR(IF($D701="","",VLOOKUP($D701,'Cari Kartlar'!$B$5:$C$204,2,FALSE)),"— tanımsız cari —")</f>
      </c>
      <c r="F701" s="8"/>
      <c r="G701" s="16">
        <f>IFERROR(IF($F701="","",VLOOKUP($F701,'Ürün Kartlar'!$B$5:$C$204,2,FALSE)),"— tanımsız ürün —")</f>
      </c>
      <c r="H701" s="17"/>
      <c r="I701" s="13">
        <f>IFERROR(IF($F701="","",IF($C701="Alış",VLOOKUP($F701,'Ürün Kartlar'!$B$5:$E$204,4,FALSE),VLOOKUP($F701,'Ürün Kartlar'!$B$5:$F$204,5,FALSE))),"")</f>
      </c>
      <c r="J701" s="11">
        <f>IFERROR(IF($F701="",Ayarlar!$C$9,VLOOKUP($F701,'Ürün Kartlar'!$B$5:$G$204,6,FALSE)),Ayarlar!$C$9)</f>
      </c>
      <c r="K701" s="18">
        <f>IF(OR($H701="",$I701=""),0,$H701*$I701)</f>
      </c>
      <c r="L701" s="18">
        <f>$K701*$J701</f>
      </c>
      <c r="M701" s="18">
        <f>$K701+$L701</f>
      </c>
      <c r="N701" s="8"/>
      <c r="O701" s="8"/>
      <c r="P701" s="8"/>
    </row>
    <row r="702" spans="2:16" x14ac:dyDescent="0.25">
      <c r="B702" s="19"/>
      <c r="C702" s="20"/>
      <c r="D702" s="20"/>
      <c r="E702" s="16">
        <f>IFERROR(IF($D702="","",VLOOKUP($D702,'Cari Kartlar'!$B$5:$C$204,2,FALSE)),"— tanımsız cari —")</f>
      </c>
      <c r="F702" s="20"/>
      <c r="G702" s="16">
        <f>IFERROR(IF($F702="","",VLOOKUP($F702,'Ürün Kartlar'!$B$5:$C$204,2,FALSE)),"— tanımsız ürün —")</f>
      </c>
      <c r="H702" s="21"/>
      <c r="I702" s="22">
        <f>IFERROR(IF($F702="","",IF($C702="Alış",VLOOKUP($F702,'Ürün Kartlar'!$B$5:$E$204,4,FALSE),VLOOKUP($F702,'Ürün Kartlar'!$B$5:$F$204,5,FALSE))),"")</f>
      </c>
      <c r="J702" s="23">
        <f>IFERROR(IF($F702="",Ayarlar!$C$9,VLOOKUP($F702,'Ürün Kartlar'!$B$5:$G$204,6,FALSE)),Ayarlar!$C$9)</f>
      </c>
      <c r="K702" s="18">
        <f>IF(OR($H702="",$I702=""),0,$H702*$I702)</f>
      </c>
      <c r="L702" s="18">
        <f>$K702*$J702</f>
      </c>
      <c r="M702" s="18">
        <f>$K702+$L702</f>
      </c>
      <c r="N702" s="20"/>
      <c r="O702" s="20"/>
      <c r="P702" s="20"/>
    </row>
    <row r="703" spans="2:16" x14ac:dyDescent="0.25">
      <c r="B703" s="15"/>
      <c r="C703" s="8"/>
      <c r="D703" s="8"/>
      <c r="E703" s="16">
        <f>IFERROR(IF($D703="","",VLOOKUP($D703,'Cari Kartlar'!$B$5:$C$204,2,FALSE)),"— tanımsız cari —")</f>
      </c>
      <c r="F703" s="8"/>
      <c r="G703" s="16">
        <f>IFERROR(IF($F703="","",VLOOKUP($F703,'Ürün Kartlar'!$B$5:$C$204,2,FALSE)),"— tanımsız ürün —")</f>
      </c>
      <c r="H703" s="17"/>
      <c r="I703" s="13">
        <f>IFERROR(IF($F703="","",IF($C703="Alış",VLOOKUP($F703,'Ürün Kartlar'!$B$5:$E$204,4,FALSE),VLOOKUP($F703,'Ürün Kartlar'!$B$5:$F$204,5,FALSE))),"")</f>
      </c>
      <c r="J703" s="11">
        <f>IFERROR(IF($F703="",Ayarlar!$C$9,VLOOKUP($F703,'Ürün Kartlar'!$B$5:$G$204,6,FALSE)),Ayarlar!$C$9)</f>
      </c>
      <c r="K703" s="18">
        <f>IF(OR($H703="",$I703=""),0,$H703*$I703)</f>
      </c>
      <c r="L703" s="18">
        <f>$K703*$J703</f>
      </c>
      <c r="M703" s="18">
        <f>$K703+$L703</f>
      </c>
      <c r="N703" s="8"/>
      <c r="O703" s="8"/>
      <c r="P703" s="8"/>
    </row>
    <row r="704" spans="2:16" x14ac:dyDescent="0.25">
      <c r="B704" s="19"/>
      <c r="C704" s="20"/>
      <c r="D704" s="20"/>
      <c r="E704" s="16">
        <f>IFERROR(IF($D704="","",VLOOKUP($D704,'Cari Kartlar'!$B$5:$C$204,2,FALSE)),"— tanımsız cari —")</f>
      </c>
      <c r="F704" s="20"/>
      <c r="G704" s="16">
        <f>IFERROR(IF($F704="","",VLOOKUP($F704,'Ürün Kartlar'!$B$5:$C$204,2,FALSE)),"— tanımsız ürün —")</f>
      </c>
      <c r="H704" s="21"/>
      <c r="I704" s="22">
        <f>IFERROR(IF($F704="","",IF($C704="Alış",VLOOKUP($F704,'Ürün Kartlar'!$B$5:$E$204,4,FALSE),VLOOKUP($F704,'Ürün Kartlar'!$B$5:$F$204,5,FALSE))),"")</f>
      </c>
      <c r="J704" s="23">
        <f>IFERROR(IF($F704="",Ayarlar!$C$9,VLOOKUP($F704,'Ürün Kartlar'!$B$5:$G$204,6,FALSE)),Ayarlar!$C$9)</f>
      </c>
      <c r="K704" s="18">
        <f>IF(OR($H704="",$I704=""),0,$H704*$I704)</f>
      </c>
      <c r="L704" s="18">
        <f>$K704*$J704</f>
      </c>
      <c r="M704" s="18">
        <f>$K704+$L704</f>
      </c>
      <c r="N704" s="20"/>
      <c r="O704" s="20"/>
      <c r="P704" s="20"/>
    </row>
    <row r="705" spans="2:16" x14ac:dyDescent="0.25">
      <c r="B705" s="15"/>
      <c r="C705" s="8"/>
      <c r="D705" s="8"/>
      <c r="E705" s="16">
        <f>IFERROR(IF($D705="","",VLOOKUP($D705,'Cari Kartlar'!$B$5:$C$204,2,FALSE)),"— tanımsız cari —")</f>
      </c>
      <c r="F705" s="8"/>
      <c r="G705" s="16">
        <f>IFERROR(IF($F705="","",VLOOKUP($F705,'Ürün Kartlar'!$B$5:$C$204,2,FALSE)),"— tanımsız ürün —")</f>
      </c>
      <c r="H705" s="17"/>
      <c r="I705" s="13">
        <f>IFERROR(IF($F705="","",IF($C705="Alış",VLOOKUP($F705,'Ürün Kartlar'!$B$5:$E$204,4,FALSE),VLOOKUP($F705,'Ürün Kartlar'!$B$5:$F$204,5,FALSE))),"")</f>
      </c>
      <c r="J705" s="11">
        <f>IFERROR(IF($F705="",Ayarlar!$C$9,VLOOKUP($F705,'Ürün Kartlar'!$B$5:$G$204,6,FALSE)),Ayarlar!$C$9)</f>
      </c>
      <c r="K705" s="18">
        <f>IF(OR($H705="",$I705=""),0,$H705*$I705)</f>
      </c>
      <c r="L705" s="18">
        <f>$K705*$J705</f>
      </c>
      <c r="M705" s="18">
        <f>$K705+$L705</f>
      </c>
      <c r="N705" s="8"/>
      <c r="O705" s="8"/>
      <c r="P705" s="8"/>
    </row>
    <row r="706" spans="2:16" x14ac:dyDescent="0.25">
      <c r="B706" s="19"/>
      <c r="C706" s="20"/>
      <c r="D706" s="20"/>
      <c r="E706" s="16">
        <f>IFERROR(IF($D706="","",VLOOKUP($D706,'Cari Kartlar'!$B$5:$C$204,2,FALSE)),"— tanımsız cari —")</f>
      </c>
      <c r="F706" s="20"/>
      <c r="G706" s="16">
        <f>IFERROR(IF($F706="","",VLOOKUP($F706,'Ürün Kartlar'!$B$5:$C$204,2,FALSE)),"— tanımsız ürün —")</f>
      </c>
      <c r="H706" s="21"/>
      <c r="I706" s="22">
        <f>IFERROR(IF($F706="","",IF($C706="Alış",VLOOKUP($F706,'Ürün Kartlar'!$B$5:$E$204,4,FALSE),VLOOKUP($F706,'Ürün Kartlar'!$B$5:$F$204,5,FALSE))),"")</f>
      </c>
      <c r="J706" s="23">
        <f>IFERROR(IF($F706="",Ayarlar!$C$9,VLOOKUP($F706,'Ürün Kartlar'!$B$5:$G$204,6,FALSE)),Ayarlar!$C$9)</f>
      </c>
      <c r="K706" s="18">
        <f>IF(OR($H706="",$I706=""),0,$H706*$I706)</f>
      </c>
      <c r="L706" s="18">
        <f>$K706*$J706</f>
      </c>
      <c r="M706" s="18">
        <f>$K706+$L706</f>
      </c>
      <c r="N706" s="20"/>
      <c r="O706" s="20"/>
      <c r="P706" s="20"/>
    </row>
    <row r="707" spans="2:16" x14ac:dyDescent="0.25">
      <c r="B707" s="15"/>
      <c r="C707" s="8"/>
      <c r="D707" s="8"/>
      <c r="E707" s="16">
        <f>IFERROR(IF($D707="","",VLOOKUP($D707,'Cari Kartlar'!$B$5:$C$204,2,FALSE)),"— tanımsız cari —")</f>
      </c>
      <c r="F707" s="8"/>
      <c r="G707" s="16">
        <f>IFERROR(IF($F707="","",VLOOKUP($F707,'Ürün Kartlar'!$B$5:$C$204,2,FALSE)),"— tanımsız ürün —")</f>
      </c>
      <c r="H707" s="17"/>
      <c r="I707" s="13">
        <f>IFERROR(IF($F707="","",IF($C707="Alış",VLOOKUP($F707,'Ürün Kartlar'!$B$5:$E$204,4,FALSE),VLOOKUP($F707,'Ürün Kartlar'!$B$5:$F$204,5,FALSE))),"")</f>
      </c>
      <c r="J707" s="11">
        <f>IFERROR(IF($F707="",Ayarlar!$C$9,VLOOKUP($F707,'Ürün Kartlar'!$B$5:$G$204,6,FALSE)),Ayarlar!$C$9)</f>
      </c>
      <c r="K707" s="18">
        <f>IF(OR($H707="",$I707=""),0,$H707*$I707)</f>
      </c>
      <c r="L707" s="18">
        <f>$K707*$J707</f>
      </c>
      <c r="M707" s="18">
        <f>$K707+$L707</f>
      </c>
      <c r="N707" s="8"/>
      <c r="O707" s="8"/>
      <c r="P707" s="8"/>
    </row>
    <row r="708" spans="2:16" x14ac:dyDescent="0.25">
      <c r="B708" s="19"/>
      <c r="C708" s="20"/>
      <c r="D708" s="20"/>
      <c r="E708" s="16">
        <f>IFERROR(IF($D708="","",VLOOKUP($D708,'Cari Kartlar'!$B$5:$C$204,2,FALSE)),"— tanımsız cari —")</f>
      </c>
      <c r="F708" s="20"/>
      <c r="G708" s="16">
        <f>IFERROR(IF($F708="","",VLOOKUP($F708,'Ürün Kartlar'!$B$5:$C$204,2,FALSE)),"— tanımsız ürün —")</f>
      </c>
      <c r="H708" s="21"/>
      <c r="I708" s="22">
        <f>IFERROR(IF($F708="","",IF($C708="Alış",VLOOKUP($F708,'Ürün Kartlar'!$B$5:$E$204,4,FALSE),VLOOKUP($F708,'Ürün Kartlar'!$B$5:$F$204,5,FALSE))),"")</f>
      </c>
      <c r="J708" s="23">
        <f>IFERROR(IF($F708="",Ayarlar!$C$9,VLOOKUP($F708,'Ürün Kartlar'!$B$5:$G$204,6,FALSE)),Ayarlar!$C$9)</f>
      </c>
      <c r="K708" s="18">
        <f>IF(OR($H708="",$I708=""),0,$H708*$I708)</f>
      </c>
      <c r="L708" s="18">
        <f>$K708*$J708</f>
      </c>
      <c r="M708" s="18">
        <f>$K708+$L708</f>
      </c>
      <c r="N708" s="20"/>
      <c r="O708" s="20"/>
      <c r="P708" s="20"/>
    </row>
    <row r="709" spans="2:16" x14ac:dyDescent="0.25">
      <c r="B709" s="15"/>
      <c r="C709" s="8"/>
      <c r="D709" s="8"/>
      <c r="E709" s="16">
        <f>IFERROR(IF($D709="","",VLOOKUP($D709,'Cari Kartlar'!$B$5:$C$204,2,FALSE)),"— tanımsız cari —")</f>
      </c>
      <c r="F709" s="8"/>
      <c r="G709" s="16">
        <f>IFERROR(IF($F709="","",VLOOKUP($F709,'Ürün Kartlar'!$B$5:$C$204,2,FALSE)),"— tanımsız ürün —")</f>
      </c>
      <c r="H709" s="17"/>
      <c r="I709" s="13">
        <f>IFERROR(IF($F709="","",IF($C709="Alış",VLOOKUP($F709,'Ürün Kartlar'!$B$5:$E$204,4,FALSE),VLOOKUP($F709,'Ürün Kartlar'!$B$5:$F$204,5,FALSE))),"")</f>
      </c>
      <c r="J709" s="11">
        <f>IFERROR(IF($F709="",Ayarlar!$C$9,VLOOKUP($F709,'Ürün Kartlar'!$B$5:$G$204,6,FALSE)),Ayarlar!$C$9)</f>
      </c>
      <c r="K709" s="18">
        <f>IF(OR($H709="",$I709=""),0,$H709*$I709)</f>
      </c>
      <c r="L709" s="18">
        <f>$K709*$J709</f>
      </c>
      <c r="M709" s="18">
        <f>$K709+$L709</f>
      </c>
      <c r="N709" s="8"/>
      <c r="O709" s="8"/>
      <c r="P709" s="8"/>
    </row>
    <row r="710" spans="2:16" x14ac:dyDescent="0.25">
      <c r="B710" s="19"/>
      <c r="C710" s="20"/>
      <c r="D710" s="20"/>
      <c r="E710" s="16">
        <f>IFERROR(IF($D710="","",VLOOKUP($D710,'Cari Kartlar'!$B$5:$C$204,2,FALSE)),"— tanımsız cari —")</f>
      </c>
      <c r="F710" s="20"/>
      <c r="G710" s="16">
        <f>IFERROR(IF($F710="","",VLOOKUP($F710,'Ürün Kartlar'!$B$5:$C$204,2,FALSE)),"— tanımsız ürün —")</f>
      </c>
      <c r="H710" s="21"/>
      <c r="I710" s="22">
        <f>IFERROR(IF($F710="","",IF($C710="Alış",VLOOKUP($F710,'Ürün Kartlar'!$B$5:$E$204,4,FALSE),VLOOKUP($F710,'Ürün Kartlar'!$B$5:$F$204,5,FALSE))),"")</f>
      </c>
      <c r="J710" s="23">
        <f>IFERROR(IF($F710="",Ayarlar!$C$9,VLOOKUP($F710,'Ürün Kartlar'!$B$5:$G$204,6,FALSE)),Ayarlar!$C$9)</f>
      </c>
      <c r="K710" s="18">
        <f>IF(OR($H710="",$I710=""),0,$H710*$I710)</f>
      </c>
      <c r="L710" s="18">
        <f>$K710*$J710</f>
      </c>
      <c r="M710" s="18">
        <f>$K710+$L710</f>
      </c>
      <c r="N710" s="20"/>
      <c r="O710" s="20"/>
      <c r="P710" s="20"/>
    </row>
    <row r="711" spans="2:16" x14ac:dyDescent="0.25">
      <c r="B711" s="15"/>
      <c r="C711" s="8"/>
      <c r="D711" s="8"/>
      <c r="E711" s="16">
        <f>IFERROR(IF($D711="","",VLOOKUP($D711,'Cari Kartlar'!$B$5:$C$204,2,FALSE)),"— tanımsız cari —")</f>
      </c>
      <c r="F711" s="8"/>
      <c r="G711" s="16">
        <f>IFERROR(IF($F711="","",VLOOKUP($F711,'Ürün Kartlar'!$B$5:$C$204,2,FALSE)),"— tanımsız ürün —")</f>
      </c>
      <c r="H711" s="17"/>
      <c r="I711" s="13">
        <f>IFERROR(IF($F711="","",IF($C711="Alış",VLOOKUP($F711,'Ürün Kartlar'!$B$5:$E$204,4,FALSE),VLOOKUP($F711,'Ürün Kartlar'!$B$5:$F$204,5,FALSE))),"")</f>
      </c>
      <c r="J711" s="11">
        <f>IFERROR(IF($F711="",Ayarlar!$C$9,VLOOKUP($F711,'Ürün Kartlar'!$B$5:$G$204,6,FALSE)),Ayarlar!$C$9)</f>
      </c>
      <c r="K711" s="18">
        <f>IF(OR($H711="",$I711=""),0,$H711*$I711)</f>
      </c>
      <c r="L711" s="18">
        <f>$K711*$J711</f>
      </c>
      <c r="M711" s="18">
        <f>$K711+$L711</f>
      </c>
      <c r="N711" s="8"/>
      <c r="O711" s="8"/>
      <c r="P711" s="8"/>
    </row>
    <row r="712" spans="2:16" x14ac:dyDescent="0.25">
      <c r="B712" s="19"/>
      <c r="C712" s="20"/>
      <c r="D712" s="20"/>
      <c r="E712" s="16">
        <f>IFERROR(IF($D712="","",VLOOKUP($D712,'Cari Kartlar'!$B$5:$C$204,2,FALSE)),"— tanımsız cari —")</f>
      </c>
      <c r="F712" s="20"/>
      <c r="G712" s="16">
        <f>IFERROR(IF($F712="","",VLOOKUP($F712,'Ürün Kartlar'!$B$5:$C$204,2,FALSE)),"— tanımsız ürün —")</f>
      </c>
      <c r="H712" s="21"/>
      <c r="I712" s="22">
        <f>IFERROR(IF($F712="","",IF($C712="Alış",VLOOKUP($F712,'Ürün Kartlar'!$B$5:$E$204,4,FALSE),VLOOKUP($F712,'Ürün Kartlar'!$B$5:$F$204,5,FALSE))),"")</f>
      </c>
      <c r="J712" s="23">
        <f>IFERROR(IF($F712="",Ayarlar!$C$9,VLOOKUP($F712,'Ürün Kartlar'!$B$5:$G$204,6,FALSE)),Ayarlar!$C$9)</f>
      </c>
      <c r="K712" s="18">
        <f>IF(OR($H712="",$I712=""),0,$H712*$I712)</f>
      </c>
      <c r="L712" s="18">
        <f>$K712*$J712</f>
      </c>
      <c r="M712" s="18">
        <f>$K712+$L712</f>
      </c>
      <c r="N712" s="20"/>
      <c r="O712" s="20"/>
      <c r="P712" s="20"/>
    </row>
    <row r="713" spans="2:16" x14ac:dyDescent="0.25">
      <c r="B713" s="15"/>
      <c r="C713" s="8"/>
      <c r="D713" s="8"/>
      <c r="E713" s="16">
        <f>IFERROR(IF($D713="","",VLOOKUP($D713,'Cari Kartlar'!$B$5:$C$204,2,FALSE)),"— tanımsız cari —")</f>
      </c>
      <c r="F713" s="8"/>
      <c r="G713" s="16">
        <f>IFERROR(IF($F713="","",VLOOKUP($F713,'Ürün Kartlar'!$B$5:$C$204,2,FALSE)),"— tanımsız ürün —")</f>
      </c>
      <c r="H713" s="17"/>
      <c r="I713" s="13">
        <f>IFERROR(IF($F713="","",IF($C713="Alış",VLOOKUP($F713,'Ürün Kartlar'!$B$5:$E$204,4,FALSE),VLOOKUP($F713,'Ürün Kartlar'!$B$5:$F$204,5,FALSE))),"")</f>
      </c>
      <c r="J713" s="11">
        <f>IFERROR(IF($F713="",Ayarlar!$C$9,VLOOKUP($F713,'Ürün Kartlar'!$B$5:$G$204,6,FALSE)),Ayarlar!$C$9)</f>
      </c>
      <c r="K713" s="18">
        <f>IF(OR($H713="",$I713=""),0,$H713*$I713)</f>
      </c>
      <c r="L713" s="18">
        <f>$K713*$J713</f>
      </c>
      <c r="M713" s="18">
        <f>$K713+$L713</f>
      </c>
      <c r="N713" s="8"/>
      <c r="O713" s="8"/>
      <c r="P713" s="8"/>
    </row>
    <row r="714" spans="2:16" x14ac:dyDescent="0.25">
      <c r="B714" s="19"/>
      <c r="C714" s="20"/>
      <c r="D714" s="20"/>
      <c r="E714" s="16">
        <f>IFERROR(IF($D714="","",VLOOKUP($D714,'Cari Kartlar'!$B$5:$C$204,2,FALSE)),"— tanımsız cari —")</f>
      </c>
      <c r="F714" s="20"/>
      <c r="G714" s="16">
        <f>IFERROR(IF($F714="","",VLOOKUP($F714,'Ürün Kartlar'!$B$5:$C$204,2,FALSE)),"— tanımsız ürün —")</f>
      </c>
      <c r="H714" s="21"/>
      <c r="I714" s="22">
        <f>IFERROR(IF($F714="","",IF($C714="Alış",VLOOKUP($F714,'Ürün Kartlar'!$B$5:$E$204,4,FALSE),VLOOKUP($F714,'Ürün Kartlar'!$B$5:$F$204,5,FALSE))),"")</f>
      </c>
      <c r="J714" s="23">
        <f>IFERROR(IF($F714="",Ayarlar!$C$9,VLOOKUP($F714,'Ürün Kartlar'!$B$5:$G$204,6,FALSE)),Ayarlar!$C$9)</f>
      </c>
      <c r="K714" s="18">
        <f>IF(OR($H714="",$I714=""),0,$H714*$I714)</f>
      </c>
      <c r="L714" s="18">
        <f>$K714*$J714</f>
      </c>
      <c r="M714" s="18">
        <f>$K714+$L714</f>
      </c>
      <c r="N714" s="20"/>
      <c r="O714" s="20"/>
      <c r="P714" s="20"/>
    </row>
    <row r="715" spans="2:16" x14ac:dyDescent="0.25">
      <c r="B715" s="15"/>
      <c r="C715" s="8"/>
      <c r="D715" s="8"/>
      <c r="E715" s="16">
        <f>IFERROR(IF($D715="","",VLOOKUP($D715,'Cari Kartlar'!$B$5:$C$204,2,FALSE)),"— tanımsız cari —")</f>
      </c>
      <c r="F715" s="8"/>
      <c r="G715" s="16">
        <f>IFERROR(IF($F715="","",VLOOKUP($F715,'Ürün Kartlar'!$B$5:$C$204,2,FALSE)),"— tanımsız ürün —")</f>
      </c>
      <c r="H715" s="17"/>
      <c r="I715" s="13">
        <f>IFERROR(IF($F715="","",IF($C715="Alış",VLOOKUP($F715,'Ürün Kartlar'!$B$5:$E$204,4,FALSE),VLOOKUP($F715,'Ürün Kartlar'!$B$5:$F$204,5,FALSE))),"")</f>
      </c>
      <c r="J715" s="11">
        <f>IFERROR(IF($F715="",Ayarlar!$C$9,VLOOKUP($F715,'Ürün Kartlar'!$B$5:$G$204,6,FALSE)),Ayarlar!$C$9)</f>
      </c>
      <c r="K715" s="18">
        <f>IF(OR($H715="",$I715=""),0,$H715*$I715)</f>
      </c>
      <c r="L715" s="18">
        <f>$K715*$J715</f>
      </c>
      <c r="M715" s="18">
        <f>$K715+$L715</f>
      </c>
      <c r="N715" s="8"/>
      <c r="O715" s="8"/>
      <c r="P715" s="8"/>
    </row>
    <row r="716" spans="2:16" x14ac:dyDescent="0.25">
      <c r="B716" s="19"/>
      <c r="C716" s="20"/>
      <c r="D716" s="20"/>
      <c r="E716" s="16">
        <f>IFERROR(IF($D716="","",VLOOKUP($D716,'Cari Kartlar'!$B$5:$C$204,2,FALSE)),"— tanımsız cari —")</f>
      </c>
      <c r="F716" s="20"/>
      <c r="G716" s="16">
        <f>IFERROR(IF($F716="","",VLOOKUP($F716,'Ürün Kartlar'!$B$5:$C$204,2,FALSE)),"— tanımsız ürün —")</f>
      </c>
      <c r="H716" s="21"/>
      <c r="I716" s="22">
        <f>IFERROR(IF($F716="","",IF($C716="Alış",VLOOKUP($F716,'Ürün Kartlar'!$B$5:$E$204,4,FALSE),VLOOKUP($F716,'Ürün Kartlar'!$B$5:$F$204,5,FALSE))),"")</f>
      </c>
      <c r="J716" s="23">
        <f>IFERROR(IF($F716="",Ayarlar!$C$9,VLOOKUP($F716,'Ürün Kartlar'!$B$5:$G$204,6,FALSE)),Ayarlar!$C$9)</f>
      </c>
      <c r="K716" s="18">
        <f>IF(OR($H716="",$I716=""),0,$H716*$I716)</f>
      </c>
      <c r="L716" s="18">
        <f>$K716*$J716</f>
      </c>
      <c r="M716" s="18">
        <f>$K716+$L716</f>
      </c>
      <c r="N716" s="20"/>
      <c r="O716" s="20"/>
      <c r="P716" s="20"/>
    </row>
    <row r="717" spans="2:16" x14ac:dyDescent="0.25">
      <c r="B717" s="15"/>
      <c r="C717" s="8"/>
      <c r="D717" s="8"/>
      <c r="E717" s="16">
        <f>IFERROR(IF($D717="","",VLOOKUP($D717,'Cari Kartlar'!$B$5:$C$204,2,FALSE)),"— tanımsız cari —")</f>
      </c>
      <c r="F717" s="8"/>
      <c r="G717" s="16">
        <f>IFERROR(IF($F717="","",VLOOKUP($F717,'Ürün Kartlar'!$B$5:$C$204,2,FALSE)),"— tanımsız ürün —")</f>
      </c>
      <c r="H717" s="17"/>
      <c r="I717" s="13">
        <f>IFERROR(IF($F717="","",IF($C717="Alış",VLOOKUP($F717,'Ürün Kartlar'!$B$5:$E$204,4,FALSE),VLOOKUP($F717,'Ürün Kartlar'!$B$5:$F$204,5,FALSE))),"")</f>
      </c>
      <c r="J717" s="11">
        <f>IFERROR(IF($F717="",Ayarlar!$C$9,VLOOKUP($F717,'Ürün Kartlar'!$B$5:$G$204,6,FALSE)),Ayarlar!$C$9)</f>
      </c>
      <c r="K717" s="18">
        <f>IF(OR($H717="",$I717=""),0,$H717*$I717)</f>
      </c>
      <c r="L717" s="18">
        <f>$K717*$J717</f>
      </c>
      <c r="M717" s="18">
        <f>$K717+$L717</f>
      </c>
      <c r="N717" s="8"/>
      <c r="O717" s="8"/>
      <c r="P717" s="8"/>
    </row>
    <row r="718" spans="2:16" x14ac:dyDescent="0.25">
      <c r="B718" s="19"/>
      <c r="C718" s="20"/>
      <c r="D718" s="20"/>
      <c r="E718" s="16">
        <f>IFERROR(IF($D718="","",VLOOKUP($D718,'Cari Kartlar'!$B$5:$C$204,2,FALSE)),"— tanımsız cari —")</f>
      </c>
      <c r="F718" s="20"/>
      <c r="G718" s="16">
        <f>IFERROR(IF($F718="","",VLOOKUP($F718,'Ürün Kartlar'!$B$5:$C$204,2,FALSE)),"— tanımsız ürün —")</f>
      </c>
      <c r="H718" s="21"/>
      <c r="I718" s="22">
        <f>IFERROR(IF($F718="","",IF($C718="Alış",VLOOKUP($F718,'Ürün Kartlar'!$B$5:$E$204,4,FALSE),VLOOKUP($F718,'Ürün Kartlar'!$B$5:$F$204,5,FALSE))),"")</f>
      </c>
      <c r="J718" s="23">
        <f>IFERROR(IF($F718="",Ayarlar!$C$9,VLOOKUP($F718,'Ürün Kartlar'!$B$5:$G$204,6,FALSE)),Ayarlar!$C$9)</f>
      </c>
      <c r="K718" s="18">
        <f>IF(OR($H718="",$I718=""),0,$H718*$I718)</f>
      </c>
      <c r="L718" s="18">
        <f>$K718*$J718</f>
      </c>
      <c r="M718" s="18">
        <f>$K718+$L718</f>
      </c>
      <c r="N718" s="20"/>
      <c r="O718" s="20"/>
      <c r="P718" s="20"/>
    </row>
    <row r="719" spans="2:16" x14ac:dyDescent="0.25">
      <c r="B719" s="15"/>
      <c r="C719" s="8"/>
      <c r="D719" s="8"/>
      <c r="E719" s="16">
        <f>IFERROR(IF($D719="","",VLOOKUP($D719,'Cari Kartlar'!$B$5:$C$204,2,FALSE)),"— tanımsız cari —")</f>
      </c>
      <c r="F719" s="8"/>
      <c r="G719" s="16">
        <f>IFERROR(IF($F719="","",VLOOKUP($F719,'Ürün Kartlar'!$B$5:$C$204,2,FALSE)),"— tanımsız ürün —")</f>
      </c>
      <c r="H719" s="17"/>
      <c r="I719" s="13">
        <f>IFERROR(IF($F719="","",IF($C719="Alış",VLOOKUP($F719,'Ürün Kartlar'!$B$5:$E$204,4,FALSE),VLOOKUP($F719,'Ürün Kartlar'!$B$5:$F$204,5,FALSE))),"")</f>
      </c>
      <c r="J719" s="11">
        <f>IFERROR(IF($F719="",Ayarlar!$C$9,VLOOKUP($F719,'Ürün Kartlar'!$B$5:$G$204,6,FALSE)),Ayarlar!$C$9)</f>
      </c>
      <c r="K719" s="18">
        <f>IF(OR($H719="",$I719=""),0,$H719*$I719)</f>
      </c>
      <c r="L719" s="18">
        <f>$K719*$J719</f>
      </c>
      <c r="M719" s="18">
        <f>$K719+$L719</f>
      </c>
      <c r="N719" s="8"/>
      <c r="O719" s="8"/>
      <c r="P719" s="8"/>
    </row>
    <row r="720" spans="2:16" x14ac:dyDescent="0.25">
      <c r="B720" s="19"/>
      <c r="C720" s="20"/>
      <c r="D720" s="20"/>
      <c r="E720" s="16">
        <f>IFERROR(IF($D720="","",VLOOKUP($D720,'Cari Kartlar'!$B$5:$C$204,2,FALSE)),"— tanımsız cari —")</f>
      </c>
      <c r="F720" s="20"/>
      <c r="G720" s="16">
        <f>IFERROR(IF($F720="","",VLOOKUP($F720,'Ürün Kartlar'!$B$5:$C$204,2,FALSE)),"— tanımsız ürün —")</f>
      </c>
      <c r="H720" s="21"/>
      <c r="I720" s="22">
        <f>IFERROR(IF($F720="","",IF($C720="Alış",VLOOKUP($F720,'Ürün Kartlar'!$B$5:$E$204,4,FALSE),VLOOKUP($F720,'Ürün Kartlar'!$B$5:$F$204,5,FALSE))),"")</f>
      </c>
      <c r="J720" s="23">
        <f>IFERROR(IF($F720="",Ayarlar!$C$9,VLOOKUP($F720,'Ürün Kartlar'!$B$5:$G$204,6,FALSE)),Ayarlar!$C$9)</f>
      </c>
      <c r="K720" s="18">
        <f>IF(OR($H720="",$I720=""),0,$H720*$I720)</f>
      </c>
      <c r="L720" s="18">
        <f>$K720*$J720</f>
      </c>
      <c r="M720" s="18">
        <f>$K720+$L720</f>
      </c>
      <c r="N720" s="20"/>
      <c r="O720" s="20"/>
      <c r="P720" s="20"/>
    </row>
    <row r="721" spans="2:16" x14ac:dyDescent="0.25">
      <c r="B721" s="15"/>
      <c r="C721" s="8"/>
      <c r="D721" s="8"/>
      <c r="E721" s="16">
        <f>IFERROR(IF($D721="","",VLOOKUP($D721,'Cari Kartlar'!$B$5:$C$204,2,FALSE)),"— tanımsız cari —")</f>
      </c>
      <c r="F721" s="8"/>
      <c r="G721" s="16">
        <f>IFERROR(IF($F721="","",VLOOKUP($F721,'Ürün Kartlar'!$B$5:$C$204,2,FALSE)),"— tanımsız ürün —")</f>
      </c>
      <c r="H721" s="17"/>
      <c r="I721" s="13">
        <f>IFERROR(IF($F721="","",IF($C721="Alış",VLOOKUP($F721,'Ürün Kartlar'!$B$5:$E$204,4,FALSE),VLOOKUP($F721,'Ürün Kartlar'!$B$5:$F$204,5,FALSE))),"")</f>
      </c>
      <c r="J721" s="11">
        <f>IFERROR(IF($F721="",Ayarlar!$C$9,VLOOKUP($F721,'Ürün Kartlar'!$B$5:$G$204,6,FALSE)),Ayarlar!$C$9)</f>
      </c>
      <c r="K721" s="18">
        <f>IF(OR($H721="",$I721=""),0,$H721*$I721)</f>
      </c>
      <c r="L721" s="18">
        <f>$K721*$J721</f>
      </c>
      <c r="M721" s="18">
        <f>$K721+$L721</f>
      </c>
      <c r="N721" s="8"/>
      <c r="O721" s="8"/>
      <c r="P721" s="8"/>
    </row>
    <row r="722" spans="2:16" x14ac:dyDescent="0.25">
      <c r="B722" s="19"/>
      <c r="C722" s="20"/>
      <c r="D722" s="20"/>
      <c r="E722" s="16">
        <f>IFERROR(IF($D722="","",VLOOKUP($D722,'Cari Kartlar'!$B$5:$C$204,2,FALSE)),"— tanımsız cari —")</f>
      </c>
      <c r="F722" s="20"/>
      <c r="G722" s="16">
        <f>IFERROR(IF($F722="","",VLOOKUP($F722,'Ürün Kartlar'!$B$5:$C$204,2,FALSE)),"— tanımsız ürün —")</f>
      </c>
      <c r="H722" s="21"/>
      <c r="I722" s="22">
        <f>IFERROR(IF($F722="","",IF($C722="Alış",VLOOKUP($F722,'Ürün Kartlar'!$B$5:$E$204,4,FALSE),VLOOKUP($F722,'Ürün Kartlar'!$B$5:$F$204,5,FALSE))),"")</f>
      </c>
      <c r="J722" s="23">
        <f>IFERROR(IF($F722="",Ayarlar!$C$9,VLOOKUP($F722,'Ürün Kartlar'!$B$5:$G$204,6,FALSE)),Ayarlar!$C$9)</f>
      </c>
      <c r="K722" s="18">
        <f>IF(OR($H722="",$I722=""),0,$H722*$I722)</f>
      </c>
      <c r="L722" s="18">
        <f>$K722*$J722</f>
      </c>
      <c r="M722" s="18">
        <f>$K722+$L722</f>
      </c>
      <c r="N722" s="20"/>
      <c r="O722" s="20"/>
      <c r="P722" s="20"/>
    </row>
    <row r="723" spans="2:16" x14ac:dyDescent="0.25">
      <c r="B723" s="15"/>
      <c r="C723" s="8"/>
      <c r="D723" s="8"/>
      <c r="E723" s="16">
        <f>IFERROR(IF($D723="","",VLOOKUP($D723,'Cari Kartlar'!$B$5:$C$204,2,FALSE)),"— tanımsız cari —")</f>
      </c>
      <c r="F723" s="8"/>
      <c r="G723" s="16">
        <f>IFERROR(IF($F723="","",VLOOKUP($F723,'Ürün Kartlar'!$B$5:$C$204,2,FALSE)),"— tanımsız ürün —")</f>
      </c>
      <c r="H723" s="17"/>
      <c r="I723" s="13">
        <f>IFERROR(IF($F723="","",IF($C723="Alış",VLOOKUP($F723,'Ürün Kartlar'!$B$5:$E$204,4,FALSE),VLOOKUP($F723,'Ürün Kartlar'!$B$5:$F$204,5,FALSE))),"")</f>
      </c>
      <c r="J723" s="11">
        <f>IFERROR(IF($F723="",Ayarlar!$C$9,VLOOKUP($F723,'Ürün Kartlar'!$B$5:$G$204,6,FALSE)),Ayarlar!$C$9)</f>
      </c>
      <c r="K723" s="18">
        <f>IF(OR($H723="",$I723=""),0,$H723*$I723)</f>
      </c>
      <c r="L723" s="18">
        <f>$K723*$J723</f>
      </c>
      <c r="M723" s="18">
        <f>$K723+$L723</f>
      </c>
      <c r="N723" s="8"/>
      <c r="O723" s="8"/>
      <c r="P723" s="8"/>
    </row>
    <row r="724" spans="2:16" x14ac:dyDescent="0.25">
      <c r="B724" s="19"/>
      <c r="C724" s="20"/>
      <c r="D724" s="20"/>
      <c r="E724" s="16">
        <f>IFERROR(IF($D724="","",VLOOKUP($D724,'Cari Kartlar'!$B$5:$C$204,2,FALSE)),"— tanımsız cari —")</f>
      </c>
      <c r="F724" s="20"/>
      <c r="G724" s="16">
        <f>IFERROR(IF($F724="","",VLOOKUP($F724,'Ürün Kartlar'!$B$5:$C$204,2,FALSE)),"— tanımsız ürün —")</f>
      </c>
      <c r="H724" s="21"/>
      <c r="I724" s="22">
        <f>IFERROR(IF($F724="","",IF($C724="Alış",VLOOKUP($F724,'Ürün Kartlar'!$B$5:$E$204,4,FALSE),VLOOKUP($F724,'Ürün Kartlar'!$B$5:$F$204,5,FALSE))),"")</f>
      </c>
      <c r="J724" s="23">
        <f>IFERROR(IF($F724="",Ayarlar!$C$9,VLOOKUP($F724,'Ürün Kartlar'!$B$5:$G$204,6,FALSE)),Ayarlar!$C$9)</f>
      </c>
      <c r="K724" s="18">
        <f>IF(OR($H724="",$I724=""),0,$H724*$I724)</f>
      </c>
      <c r="L724" s="18">
        <f>$K724*$J724</f>
      </c>
      <c r="M724" s="18">
        <f>$K724+$L724</f>
      </c>
      <c r="N724" s="20"/>
      <c r="O724" s="20"/>
      <c r="P724" s="20"/>
    </row>
    <row r="725" spans="2:16" x14ac:dyDescent="0.25">
      <c r="B725" s="15"/>
      <c r="C725" s="8"/>
      <c r="D725" s="8"/>
      <c r="E725" s="16">
        <f>IFERROR(IF($D725="","",VLOOKUP($D725,'Cari Kartlar'!$B$5:$C$204,2,FALSE)),"— tanımsız cari —")</f>
      </c>
      <c r="F725" s="8"/>
      <c r="G725" s="16">
        <f>IFERROR(IF($F725="","",VLOOKUP($F725,'Ürün Kartlar'!$B$5:$C$204,2,FALSE)),"— tanımsız ürün —")</f>
      </c>
      <c r="H725" s="17"/>
      <c r="I725" s="13">
        <f>IFERROR(IF($F725="","",IF($C725="Alış",VLOOKUP($F725,'Ürün Kartlar'!$B$5:$E$204,4,FALSE),VLOOKUP($F725,'Ürün Kartlar'!$B$5:$F$204,5,FALSE))),"")</f>
      </c>
      <c r="J725" s="11">
        <f>IFERROR(IF($F725="",Ayarlar!$C$9,VLOOKUP($F725,'Ürün Kartlar'!$B$5:$G$204,6,FALSE)),Ayarlar!$C$9)</f>
      </c>
      <c r="K725" s="18">
        <f>IF(OR($H725="",$I725=""),0,$H725*$I725)</f>
      </c>
      <c r="L725" s="18">
        <f>$K725*$J725</f>
      </c>
      <c r="M725" s="18">
        <f>$K725+$L725</f>
      </c>
      <c r="N725" s="8"/>
      <c r="O725" s="8"/>
      <c r="P725" s="8"/>
    </row>
    <row r="726" spans="2:16" x14ac:dyDescent="0.25">
      <c r="B726" s="19"/>
      <c r="C726" s="20"/>
      <c r="D726" s="20"/>
      <c r="E726" s="16">
        <f>IFERROR(IF($D726="","",VLOOKUP($D726,'Cari Kartlar'!$B$5:$C$204,2,FALSE)),"— tanımsız cari —")</f>
      </c>
      <c r="F726" s="20"/>
      <c r="G726" s="16">
        <f>IFERROR(IF($F726="","",VLOOKUP($F726,'Ürün Kartlar'!$B$5:$C$204,2,FALSE)),"— tanımsız ürün —")</f>
      </c>
      <c r="H726" s="21"/>
      <c r="I726" s="22">
        <f>IFERROR(IF($F726="","",IF($C726="Alış",VLOOKUP($F726,'Ürün Kartlar'!$B$5:$E$204,4,FALSE),VLOOKUP($F726,'Ürün Kartlar'!$B$5:$F$204,5,FALSE))),"")</f>
      </c>
      <c r="J726" s="23">
        <f>IFERROR(IF($F726="",Ayarlar!$C$9,VLOOKUP($F726,'Ürün Kartlar'!$B$5:$G$204,6,FALSE)),Ayarlar!$C$9)</f>
      </c>
      <c r="K726" s="18">
        <f>IF(OR($H726="",$I726=""),0,$H726*$I726)</f>
      </c>
      <c r="L726" s="18">
        <f>$K726*$J726</f>
      </c>
      <c r="M726" s="18">
        <f>$K726+$L726</f>
      </c>
      <c r="N726" s="20"/>
      <c r="O726" s="20"/>
      <c r="P726" s="20"/>
    </row>
    <row r="727" spans="2:16" x14ac:dyDescent="0.25">
      <c r="B727" s="15"/>
      <c r="C727" s="8"/>
      <c r="D727" s="8"/>
      <c r="E727" s="16">
        <f>IFERROR(IF($D727="","",VLOOKUP($D727,'Cari Kartlar'!$B$5:$C$204,2,FALSE)),"— tanımsız cari —")</f>
      </c>
      <c r="F727" s="8"/>
      <c r="G727" s="16">
        <f>IFERROR(IF($F727="","",VLOOKUP($F727,'Ürün Kartlar'!$B$5:$C$204,2,FALSE)),"— tanımsız ürün —")</f>
      </c>
      <c r="H727" s="17"/>
      <c r="I727" s="13">
        <f>IFERROR(IF($F727="","",IF($C727="Alış",VLOOKUP($F727,'Ürün Kartlar'!$B$5:$E$204,4,FALSE),VLOOKUP($F727,'Ürün Kartlar'!$B$5:$F$204,5,FALSE))),"")</f>
      </c>
      <c r="J727" s="11">
        <f>IFERROR(IF($F727="",Ayarlar!$C$9,VLOOKUP($F727,'Ürün Kartlar'!$B$5:$G$204,6,FALSE)),Ayarlar!$C$9)</f>
      </c>
      <c r="K727" s="18">
        <f>IF(OR($H727="",$I727=""),0,$H727*$I727)</f>
      </c>
      <c r="L727" s="18">
        <f>$K727*$J727</f>
      </c>
      <c r="M727" s="18">
        <f>$K727+$L727</f>
      </c>
      <c r="N727" s="8"/>
      <c r="O727" s="8"/>
      <c r="P727" s="8"/>
    </row>
    <row r="728" spans="2:16" x14ac:dyDescent="0.25">
      <c r="B728" s="19"/>
      <c r="C728" s="20"/>
      <c r="D728" s="20"/>
      <c r="E728" s="16">
        <f>IFERROR(IF($D728="","",VLOOKUP($D728,'Cari Kartlar'!$B$5:$C$204,2,FALSE)),"— tanımsız cari —")</f>
      </c>
      <c r="F728" s="20"/>
      <c r="G728" s="16">
        <f>IFERROR(IF($F728="","",VLOOKUP($F728,'Ürün Kartlar'!$B$5:$C$204,2,FALSE)),"— tanımsız ürün —")</f>
      </c>
      <c r="H728" s="21"/>
      <c r="I728" s="22">
        <f>IFERROR(IF($F728="","",IF($C728="Alış",VLOOKUP($F728,'Ürün Kartlar'!$B$5:$E$204,4,FALSE),VLOOKUP($F728,'Ürün Kartlar'!$B$5:$F$204,5,FALSE))),"")</f>
      </c>
      <c r="J728" s="23">
        <f>IFERROR(IF($F728="",Ayarlar!$C$9,VLOOKUP($F728,'Ürün Kartlar'!$B$5:$G$204,6,FALSE)),Ayarlar!$C$9)</f>
      </c>
      <c r="K728" s="18">
        <f>IF(OR($H728="",$I728=""),0,$H728*$I728)</f>
      </c>
      <c r="L728" s="18">
        <f>$K728*$J728</f>
      </c>
      <c r="M728" s="18">
        <f>$K728+$L728</f>
      </c>
      <c r="N728" s="20"/>
      <c r="O728" s="20"/>
      <c r="P728" s="20"/>
    </row>
    <row r="729" spans="2:16" x14ac:dyDescent="0.25">
      <c r="B729" s="15"/>
      <c r="C729" s="8"/>
      <c r="D729" s="8"/>
      <c r="E729" s="16">
        <f>IFERROR(IF($D729="","",VLOOKUP($D729,'Cari Kartlar'!$B$5:$C$204,2,FALSE)),"— tanımsız cari —")</f>
      </c>
      <c r="F729" s="8"/>
      <c r="G729" s="16">
        <f>IFERROR(IF($F729="","",VLOOKUP($F729,'Ürün Kartlar'!$B$5:$C$204,2,FALSE)),"— tanımsız ürün —")</f>
      </c>
      <c r="H729" s="17"/>
      <c r="I729" s="13">
        <f>IFERROR(IF($F729="","",IF($C729="Alış",VLOOKUP($F729,'Ürün Kartlar'!$B$5:$E$204,4,FALSE),VLOOKUP($F729,'Ürün Kartlar'!$B$5:$F$204,5,FALSE))),"")</f>
      </c>
      <c r="J729" s="11">
        <f>IFERROR(IF($F729="",Ayarlar!$C$9,VLOOKUP($F729,'Ürün Kartlar'!$B$5:$G$204,6,FALSE)),Ayarlar!$C$9)</f>
      </c>
      <c r="K729" s="18">
        <f>IF(OR($H729="",$I729=""),0,$H729*$I729)</f>
      </c>
      <c r="L729" s="18">
        <f>$K729*$J729</f>
      </c>
      <c r="M729" s="18">
        <f>$K729+$L729</f>
      </c>
      <c r="N729" s="8"/>
      <c r="O729" s="8"/>
      <c r="P729" s="8"/>
    </row>
    <row r="730" spans="2:16" x14ac:dyDescent="0.25">
      <c r="B730" s="19"/>
      <c r="C730" s="20"/>
      <c r="D730" s="20"/>
      <c r="E730" s="16">
        <f>IFERROR(IF($D730="","",VLOOKUP($D730,'Cari Kartlar'!$B$5:$C$204,2,FALSE)),"— tanımsız cari —")</f>
      </c>
      <c r="F730" s="20"/>
      <c r="G730" s="16">
        <f>IFERROR(IF($F730="","",VLOOKUP($F730,'Ürün Kartlar'!$B$5:$C$204,2,FALSE)),"— tanımsız ürün —")</f>
      </c>
      <c r="H730" s="21"/>
      <c r="I730" s="22">
        <f>IFERROR(IF($F730="","",IF($C730="Alış",VLOOKUP($F730,'Ürün Kartlar'!$B$5:$E$204,4,FALSE),VLOOKUP($F730,'Ürün Kartlar'!$B$5:$F$204,5,FALSE))),"")</f>
      </c>
      <c r="J730" s="23">
        <f>IFERROR(IF($F730="",Ayarlar!$C$9,VLOOKUP($F730,'Ürün Kartlar'!$B$5:$G$204,6,FALSE)),Ayarlar!$C$9)</f>
      </c>
      <c r="K730" s="18">
        <f>IF(OR($H730="",$I730=""),0,$H730*$I730)</f>
      </c>
      <c r="L730" s="18">
        <f>$K730*$J730</f>
      </c>
      <c r="M730" s="18">
        <f>$K730+$L730</f>
      </c>
      <c r="N730" s="20"/>
      <c r="O730" s="20"/>
      <c r="P730" s="20"/>
    </row>
    <row r="731" spans="2:16" x14ac:dyDescent="0.25">
      <c r="B731" s="15"/>
      <c r="C731" s="8"/>
      <c r="D731" s="8"/>
      <c r="E731" s="16">
        <f>IFERROR(IF($D731="","",VLOOKUP($D731,'Cari Kartlar'!$B$5:$C$204,2,FALSE)),"— tanımsız cari —")</f>
      </c>
      <c r="F731" s="8"/>
      <c r="G731" s="16">
        <f>IFERROR(IF($F731="","",VLOOKUP($F731,'Ürün Kartlar'!$B$5:$C$204,2,FALSE)),"— tanımsız ürün —")</f>
      </c>
      <c r="H731" s="17"/>
      <c r="I731" s="13">
        <f>IFERROR(IF($F731="","",IF($C731="Alış",VLOOKUP($F731,'Ürün Kartlar'!$B$5:$E$204,4,FALSE),VLOOKUP($F731,'Ürün Kartlar'!$B$5:$F$204,5,FALSE))),"")</f>
      </c>
      <c r="J731" s="11">
        <f>IFERROR(IF($F731="",Ayarlar!$C$9,VLOOKUP($F731,'Ürün Kartlar'!$B$5:$G$204,6,FALSE)),Ayarlar!$C$9)</f>
      </c>
      <c r="K731" s="18">
        <f>IF(OR($H731="",$I731=""),0,$H731*$I731)</f>
      </c>
      <c r="L731" s="18">
        <f>$K731*$J731</f>
      </c>
      <c r="M731" s="18">
        <f>$K731+$L731</f>
      </c>
      <c r="N731" s="8"/>
      <c r="O731" s="8"/>
      <c r="P731" s="8"/>
    </row>
    <row r="732" spans="2:16" x14ac:dyDescent="0.25">
      <c r="B732" s="19"/>
      <c r="C732" s="20"/>
      <c r="D732" s="20"/>
      <c r="E732" s="16">
        <f>IFERROR(IF($D732="","",VLOOKUP($D732,'Cari Kartlar'!$B$5:$C$204,2,FALSE)),"— tanımsız cari —")</f>
      </c>
      <c r="F732" s="20"/>
      <c r="G732" s="16">
        <f>IFERROR(IF($F732="","",VLOOKUP($F732,'Ürün Kartlar'!$B$5:$C$204,2,FALSE)),"— tanımsız ürün —")</f>
      </c>
      <c r="H732" s="21"/>
      <c r="I732" s="22">
        <f>IFERROR(IF($F732="","",IF($C732="Alış",VLOOKUP($F732,'Ürün Kartlar'!$B$5:$E$204,4,FALSE),VLOOKUP($F732,'Ürün Kartlar'!$B$5:$F$204,5,FALSE))),"")</f>
      </c>
      <c r="J732" s="23">
        <f>IFERROR(IF($F732="",Ayarlar!$C$9,VLOOKUP($F732,'Ürün Kartlar'!$B$5:$G$204,6,FALSE)),Ayarlar!$C$9)</f>
      </c>
      <c r="K732" s="18">
        <f>IF(OR($H732="",$I732=""),0,$H732*$I732)</f>
      </c>
      <c r="L732" s="18">
        <f>$K732*$J732</f>
      </c>
      <c r="M732" s="18">
        <f>$K732+$L732</f>
      </c>
      <c r="N732" s="20"/>
      <c r="O732" s="20"/>
      <c r="P732" s="20"/>
    </row>
    <row r="733" spans="2:16" x14ac:dyDescent="0.25">
      <c r="B733" s="15"/>
      <c r="C733" s="8"/>
      <c r="D733" s="8"/>
      <c r="E733" s="16">
        <f>IFERROR(IF($D733="","",VLOOKUP($D733,'Cari Kartlar'!$B$5:$C$204,2,FALSE)),"— tanımsız cari —")</f>
      </c>
      <c r="F733" s="8"/>
      <c r="G733" s="16">
        <f>IFERROR(IF($F733="","",VLOOKUP($F733,'Ürün Kartlar'!$B$5:$C$204,2,FALSE)),"— tanımsız ürün —")</f>
      </c>
      <c r="H733" s="17"/>
      <c r="I733" s="13">
        <f>IFERROR(IF($F733="","",IF($C733="Alış",VLOOKUP($F733,'Ürün Kartlar'!$B$5:$E$204,4,FALSE),VLOOKUP($F733,'Ürün Kartlar'!$B$5:$F$204,5,FALSE))),"")</f>
      </c>
      <c r="J733" s="11">
        <f>IFERROR(IF($F733="",Ayarlar!$C$9,VLOOKUP($F733,'Ürün Kartlar'!$B$5:$G$204,6,FALSE)),Ayarlar!$C$9)</f>
      </c>
      <c r="K733" s="18">
        <f>IF(OR($H733="",$I733=""),0,$H733*$I733)</f>
      </c>
      <c r="L733" s="18">
        <f>$K733*$J733</f>
      </c>
      <c r="M733" s="18">
        <f>$K733+$L733</f>
      </c>
      <c r="N733" s="8"/>
      <c r="O733" s="8"/>
      <c r="P733" s="8"/>
    </row>
    <row r="734" spans="2:16" x14ac:dyDescent="0.25">
      <c r="B734" s="19"/>
      <c r="C734" s="20"/>
      <c r="D734" s="20"/>
      <c r="E734" s="16">
        <f>IFERROR(IF($D734="","",VLOOKUP($D734,'Cari Kartlar'!$B$5:$C$204,2,FALSE)),"— tanımsız cari —")</f>
      </c>
      <c r="F734" s="20"/>
      <c r="G734" s="16">
        <f>IFERROR(IF($F734="","",VLOOKUP($F734,'Ürün Kartlar'!$B$5:$C$204,2,FALSE)),"— tanımsız ürün —")</f>
      </c>
      <c r="H734" s="21"/>
      <c r="I734" s="22">
        <f>IFERROR(IF($F734="","",IF($C734="Alış",VLOOKUP($F734,'Ürün Kartlar'!$B$5:$E$204,4,FALSE),VLOOKUP($F734,'Ürün Kartlar'!$B$5:$F$204,5,FALSE))),"")</f>
      </c>
      <c r="J734" s="23">
        <f>IFERROR(IF($F734="",Ayarlar!$C$9,VLOOKUP($F734,'Ürün Kartlar'!$B$5:$G$204,6,FALSE)),Ayarlar!$C$9)</f>
      </c>
      <c r="K734" s="18">
        <f>IF(OR($H734="",$I734=""),0,$H734*$I734)</f>
      </c>
      <c r="L734" s="18">
        <f>$K734*$J734</f>
      </c>
      <c r="M734" s="18">
        <f>$K734+$L734</f>
      </c>
      <c r="N734" s="20"/>
      <c r="O734" s="20"/>
      <c r="P734" s="20"/>
    </row>
    <row r="735" spans="2:16" x14ac:dyDescent="0.25">
      <c r="B735" s="15"/>
      <c r="C735" s="8"/>
      <c r="D735" s="8"/>
      <c r="E735" s="16">
        <f>IFERROR(IF($D735="","",VLOOKUP($D735,'Cari Kartlar'!$B$5:$C$204,2,FALSE)),"— tanımsız cari —")</f>
      </c>
      <c r="F735" s="8"/>
      <c r="G735" s="16">
        <f>IFERROR(IF($F735="","",VLOOKUP($F735,'Ürün Kartlar'!$B$5:$C$204,2,FALSE)),"— tanımsız ürün —")</f>
      </c>
      <c r="H735" s="17"/>
      <c r="I735" s="13">
        <f>IFERROR(IF($F735="","",IF($C735="Alış",VLOOKUP($F735,'Ürün Kartlar'!$B$5:$E$204,4,FALSE),VLOOKUP($F735,'Ürün Kartlar'!$B$5:$F$204,5,FALSE))),"")</f>
      </c>
      <c r="J735" s="11">
        <f>IFERROR(IF($F735="",Ayarlar!$C$9,VLOOKUP($F735,'Ürün Kartlar'!$B$5:$G$204,6,FALSE)),Ayarlar!$C$9)</f>
      </c>
      <c r="K735" s="18">
        <f>IF(OR($H735="",$I735=""),0,$H735*$I735)</f>
      </c>
      <c r="L735" s="18">
        <f>$K735*$J735</f>
      </c>
      <c r="M735" s="18">
        <f>$K735+$L735</f>
      </c>
      <c r="N735" s="8"/>
      <c r="O735" s="8"/>
      <c r="P735" s="8"/>
    </row>
    <row r="736" spans="2:16" x14ac:dyDescent="0.25">
      <c r="B736" s="19"/>
      <c r="C736" s="20"/>
      <c r="D736" s="20"/>
      <c r="E736" s="16">
        <f>IFERROR(IF($D736="","",VLOOKUP($D736,'Cari Kartlar'!$B$5:$C$204,2,FALSE)),"— tanımsız cari —")</f>
      </c>
      <c r="F736" s="20"/>
      <c r="G736" s="16">
        <f>IFERROR(IF($F736="","",VLOOKUP($F736,'Ürün Kartlar'!$B$5:$C$204,2,FALSE)),"— tanımsız ürün —")</f>
      </c>
      <c r="H736" s="21"/>
      <c r="I736" s="22">
        <f>IFERROR(IF($F736="","",IF($C736="Alış",VLOOKUP($F736,'Ürün Kartlar'!$B$5:$E$204,4,FALSE),VLOOKUP($F736,'Ürün Kartlar'!$B$5:$F$204,5,FALSE))),"")</f>
      </c>
      <c r="J736" s="23">
        <f>IFERROR(IF($F736="",Ayarlar!$C$9,VLOOKUP($F736,'Ürün Kartlar'!$B$5:$G$204,6,FALSE)),Ayarlar!$C$9)</f>
      </c>
      <c r="K736" s="18">
        <f>IF(OR($H736="",$I736=""),0,$H736*$I736)</f>
      </c>
      <c r="L736" s="18">
        <f>$K736*$J736</f>
      </c>
      <c r="M736" s="18">
        <f>$K736+$L736</f>
      </c>
      <c r="N736" s="20"/>
      <c r="O736" s="20"/>
      <c r="P736" s="20"/>
    </row>
    <row r="737" spans="2:16" x14ac:dyDescent="0.25">
      <c r="B737" s="15"/>
      <c r="C737" s="8"/>
      <c r="D737" s="8"/>
      <c r="E737" s="16">
        <f>IFERROR(IF($D737="","",VLOOKUP($D737,'Cari Kartlar'!$B$5:$C$204,2,FALSE)),"— tanımsız cari —")</f>
      </c>
      <c r="F737" s="8"/>
      <c r="G737" s="16">
        <f>IFERROR(IF($F737="","",VLOOKUP($F737,'Ürün Kartlar'!$B$5:$C$204,2,FALSE)),"— tanımsız ürün —")</f>
      </c>
      <c r="H737" s="17"/>
      <c r="I737" s="13">
        <f>IFERROR(IF($F737="","",IF($C737="Alış",VLOOKUP($F737,'Ürün Kartlar'!$B$5:$E$204,4,FALSE),VLOOKUP($F737,'Ürün Kartlar'!$B$5:$F$204,5,FALSE))),"")</f>
      </c>
      <c r="J737" s="11">
        <f>IFERROR(IF($F737="",Ayarlar!$C$9,VLOOKUP($F737,'Ürün Kartlar'!$B$5:$G$204,6,FALSE)),Ayarlar!$C$9)</f>
      </c>
      <c r="K737" s="18">
        <f>IF(OR($H737="",$I737=""),0,$H737*$I737)</f>
      </c>
      <c r="L737" s="18">
        <f>$K737*$J737</f>
      </c>
      <c r="M737" s="18">
        <f>$K737+$L737</f>
      </c>
      <c r="N737" s="8"/>
      <c r="O737" s="8"/>
      <c r="P737" s="8"/>
    </row>
    <row r="738" spans="2:16" x14ac:dyDescent="0.25">
      <c r="B738" s="19"/>
      <c r="C738" s="20"/>
      <c r="D738" s="20"/>
      <c r="E738" s="16">
        <f>IFERROR(IF($D738="","",VLOOKUP($D738,'Cari Kartlar'!$B$5:$C$204,2,FALSE)),"— tanımsız cari —")</f>
      </c>
      <c r="F738" s="20"/>
      <c r="G738" s="16">
        <f>IFERROR(IF($F738="","",VLOOKUP($F738,'Ürün Kartlar'!$B$5:$C$204,2,FALSE)),"— tanımsız ürün —")</f>
      </c>
      <c r="H738" s="21"/>
      <c r="I738" s="22">
        <f>IFERROR(IF($F738="","",IF($C738="Alış",VLOOKUP($F738,'Ürün Kartlar'!$B$5:$E$204,4,FALSE),VLOOKUP($F738,'Ürün Kartlar'!$B$5:$F$204,5,FALSE))),"")</f>
      </c>
      <c r="J738" s="23">
        <f>IFERROR(IF($F738="",Ayarlar!$C$9,VLOOKUP($F738,'Ürün Kartlar'!$B$5:$G$204,6,FALSE)),Ayarlar!$C$9)</f>
      </c>
      <c r="K738" s="18">
        <f>IF(OR($H738="",$I738=""),0,$H738*$I738)</f>
      </c>
      <c r="L738" s="18">
        <f>$K738*$J738</f>
      </c>
      <c r="M738" s="18">
        <f>$K738+$L738</f>
      </c>
      <c r="N738" s="20"/>
      <c r="O738" s="20"/>
      <c r="P738" s="20"/>
    </row>
    <row r="739" spans="2:16" x14ac:dyDescent="0.25">
      <c r="B739" s="15"/>
      <c r="C739" s="8"/>
      <c r="D739" s="8"/>
      <c r="E739" s="16">
        <f>IFERROR(IF($D739="","",VLOOKUP($D739,'Cari Kartlar'!$B$5:$C$204,2,FALSE)),"— tanımsız cari —")</f>
      </c>
      <c r="F739" s="8"/>
      <c r="G739" s="16">
        <f>IFERROR(IF($F739="","",VLOOKUP($F739,'Ürün Kartlar'!$B$5:$C$204,2,FALSE)),"— tanımsız ürün —")</f>
      </c>
      <c r="H739" s="17"/>
      <c r="I739" s="13">
        <f>IFERROR(IF($F739="","",IF($C739="Alış",VLOOKUP($F739,'Ürün Kartlar'!$B$5:$E$204,4,FALSE),VLOOKUP($F739,'Ürün Kartlar'!$B$5:$F$204,5,FALSE))),"")</f>
      </c>
      <c r="J739" s="11">
        <f>IFERROR(IF($F739="",Ayarlar!$C$9,VLOOKUP($F739,'Ürün Kartlar'!$B$5:$G$204,6,FALSE)),Ayarlar!$C$9)</f>
      </c>
      <c r="K739" s="18">
        <f>IF(OR($H739="",$I739=""),0,$H739*$I739)</f>
      </c>
      <c r="L739" s="18">
        <f>$K739*$J739</f>
      </c>
      <c r="M739" s="18">
        <f>$K739+$L739</f>
      </c>
      <c r="N739" s="8"/>
      <c r="O739" s="8"/>
      <c r="P739" s="8"/>
    </row>
    <row r="740" spans="2:16" x14ac:dyDescent="0.25">
      <c r="B740" s="19"/>
      <c r="C740" s="20"/>
      <c r="D740" s="20"/>
      <c r="E740" s="16">
        <f>IFERROR(IF($D740="","",VLOOKUP($D740,'Cari Kartlar'!$B$5:$C$204,2,FALSE)),"— tanımsız cari —")</f>
      </c>
      <c r="F740" s="20"/>
      <c r="G740" s="16">
        <f>IFERROR(IF($F740="","",VLOOKUP($F740,'Ürün Kartlar'!$B$5:$C$204,2,FALSE)),"— tanımsız ürün —")</f>
      </c>
      <c r="H740" s="21"/>
      <c r="I740" s="22">
        <f>IFERROR(IF($F740="","",IF($C740="Alış",VLOOKUP($F740,'Ürün Kartlar'!$B$5:$E$204,4,FALSE),VLOOKUP($F740,'Ürün Kartlar'!$B$5:$F$204,5,FALSE))),"")</f>
      </c>
      <c r="J740" s="23">
        <f>IFERROR(IF($F740="",Ayarlar!$C$9,VLOOKUP($F740,'Ürün Kartlar'!$B$5:$G$204,6,FALSE)),Ayarlar!$C$9)</f>
      </c>
      <c r="K740" s="18">
        <f>IF(OR($H740="",$I740=""),0,$H740*$I740)</f>
      </c>
      <c r="L740" s="18">
        <f>$K740*$J740</f>
      </c>
      <c r="M740" s="18">
        <f>$K740+$L740</f>
      </c>
      <c r="N740" s="20"/>
      <c r="O740" s="20"/>
      <c r="P740" s="20"/>
    </row>
    <row r="741" spans="2:16" x14ac:dyDescent="0.25">
      <c r="B741" s="15"/>
      <c r="C741" s="8"/>
      <c r="D741" s="8"/>
      <c r="E741" s="16">
        <f>IFERROR(IF($D741="","",VLOOKUP($D741,'Cari Kartlar'!$B$5:$C$204,2,FALSE)),"— tanımsız cari —")</f>
      </c>
      <c r="F741" s="8"/>
      <c r="G741" s="16">
        <f>IFERROR(IF($F741="","",VLOOKUP($F741,'Ürün Kartlar'!$B$5:$C$204,2,FALSE)),"— tanımsız ürün —")</f>
      </c>
      <c r="H741" s="17"/>
      <c r="I741" s="13">
        <f>IFERROR(IF($F741="","",IF($C741="Alış",VLOOKUP($F741,'Ürün Kartlar'!$B$5:$E$204,4,FALSE),VLOOKUP($F741,'Ürün Kartlar'!$B$5:$F$204,5,FALSE))),"")</f>
      </c>
      <c r="J741" s="11">
        <f>IFERROR(IF($F741="",Ayarlar!$C$9,VLOOKUP($F741,'Ürün Kartlar'!$B$5:$G$204,6,FALSE)),Ayarlar!$C$9)</f>
      </c>
      <c r="K741" s="18">
        <f>IF(OR($H741="",$I741=""),0,$H741*$I741)</f>
      </c>
      <c r="L741" s="18">
        <f>$K741*$J741</f>
      </c>
      <c r="M741" s="18">
        <f>$K741+$L741</f>
      </c>
      <c r="N741" s="8"/>
      <c r="O741" s="8"/>
      <c r="P741" s="8"/>
    </row>
    <row r="742" spans="2:16" x14ac:dyDescent="0.25">
      <c r="B742" s="19"/>
      <c r="C742" s="20"/>
      <c r="D742" s="20"/>
      <c r="E742" s="16">
        <f>IFERROR(IF($D742="","",VLOOKUP($D742,'Cari Kartlar'!$B$5:$C$204,2,FALSE)),"— tanımsız cari —")</f>
      </c>
      <c r="F742" s="20"/>
      <c r="G742" s="16">
        <f>IFERROR(IF($F742="","",VLOOKUP($F742,'Ürün Kartlar'!$B$5:$C$204,2,FALSE)),"— tanımsız ürün —")</f>
      </c>
      <c r="H742" s="21"/>
      <c r="I742" s="22">
        <f>IFERROR(IF($F742="","",IF($C742="Alış",VLOOKUP($F742,'Ürün Kartlar'!$B$5:$E$204,4,FALSE),VLOOKUP($F742,'Ürün Kartlar'!$B$5:$F$204,5,FALSE))),"")</f>
      </c>
      <c r="J742" s="23">
        <f>IFERROR(IF($F742="",Ayarlar!$C$9,VLOOKUP($F742,'Ürün Kartlar'!$B$5:$G$204,6,FALSE)),Ayarlar!$C$9)</f>
      </c>
      <c r="K742" s="18">
        <f>IF(OR($H742="",$I742=""),0,$H742*$I742)</f>
      </c>
      <c r="L742" s="18">
        <f>$K742*$J742</f>
      </c>
      <c r="M742" s="18">
        <f>$K742+$L742</f>
      </c>
      <c r="N742" s="20"/>
      <c r="O742" s="20"/>
      <c r="P742" s="20"/>
    </row>
    <row r="743" spans="2:16" x14ac:dyDescent="0.25">
      <c r="B743" s="15"/>
      <c r="C743" s="8"/>
      <c r="D743" s="8"/>
      <c r="E743" s="16">
        <f>IFERROR(IF($D743="","",VLOOKUP($D743,'Cari Kartlar'!$B$5:$C$204,2,FALSE)),"— tanımsız cari —")</f>
      </c>
      <c r="F743" s="8"/>
      <c r="G743" s="16">
        <f>IFERROR(IF($F743="","",VLOOKUP($F743,'Ürün Kartlar'!$B$5:$C$204,2,FALSE)),"— tanımsız ürün —")</f>
      </c>
      <c r="H743" s="17"/>
      <c r="I743" s="13">
        <f>IFERROR(IF($F743="","",IF($C743="Alış",VLOOKUP($F743,'Ürün Kartlar'!$B$5:$E$204,4,FALSE),VLOOKUP($F743,'Ürün Kartlar'!$B$5:$F$204,5,FALSE))),"")</f>
      </c>
      <c r="J743" s="11">
        <f>IFERROR(IF($F743="",Ayarlar!$C$9,VLOOKUP($F743,'Ürün Kartlar'!$B$5:$G$204,6,FALSE)),Ayarlar!$C$9)</f>
      </c>
      <c r="K743" s="18">
        <f>IF(OR($H743="",$I743=""),0,$H743*$I743)</f>
      </c>
      <c r="L743" s="18">
        <f>$K743*$J743</f>
      </c>
      <c r="M743" s="18">
        <f>$K743+$L743</f>
      </c>
      <c r="N743" s="8"/>
      <c r="O743" s="8"/>
      <c r="P743" s="8"/>
    </row>
    <row r="744" spans="2:16" x14ac:dyDescent="0.25">
      <c r="B744" s="19"/>
      <c r="C744" s="20"/>
      <c r="D744" s="20"/>
      <c r="E744" s="16">
        <f>IFERROR(IF($D744="","",VLOOKUP($D744,'Cari Kartlar'!$B$5:$C$204,2,FALSE)),"— tanımsız cari —")</f>
      </c>
      <c r="F744" s="20"/>
      <c r="G744" s="16">
        <f>IFERROR(IF($F744="","",VLOOKUP($F744,'Ürün Kartlar'!$B$5:$C$204,2,FALSE)),"— tanımsız ürün —")</f>
      </c>
      <c r="H744" s="21"/>
      <c r="I744" s="22">
        <f>IFERROR(IF($F744="","",IF($C744="Alış",VLOOKUP($F744,'Ürün Kartlar'!$B$5:$E$204,4,FALSE),VLOOKUP($F744,'Ürün Kartlar'!$B$5:$F$204,5,FALSE))),"")</f>
      </c>
      <c r="J744" s="23">
        <f>IFERROR(IF($F744="",Ayarlar!$C$9,VLOOKUP($F744,'Ürün Kartlar'!$B$5:$G$204,6,FALSE)),Ayarlar!$C$9)</f>
      </c>
      <c r="K744" s="18">
        <f>IF(OR($H744="",$I744=""),0,$H744*$I744)</f>
      </c>
      <c r="L744" s="18">
        <f>$K744*$J744</f>
      </c>
      <c r="M744" s="18">
        <f>$K744+$L744</f>
      </c>
      <c r="N744" s="20"/>
      <c r="O744" s="20"/>
      <c r="P744" s="20"/>
    </row>
    <row r="745" spans="2:16" x14ac:dyDescent="0.25">
      <c r="B745" s="15"/>
      <c r="C745" s="8"/>
      <c r="D745" s="8"/>
      <c r="E745" s="16">
        <f>IFERROR(IF($D745="","",VLOOKUP($D745,'Cari Kartlar'!$B$5:$C$204,2,FALSE)),"— tanımsız cari —")</f>
      </c>
      <c r="F745" s="8"/>
      <c r="G745" s="16">
        <f>IFERROR(IF($F745="","",VLOOKUP($F745,'Ürün Kartlar'!$B$5:$C$204,2,FALSE)),"— tanımsız ürün —")</f>
      </c>
      <c r="H745" s="17"/>
      <c r="I745" s="13">
        <f>IFERROR(IF($F745="","",IF($C745="Alış",VLOOKUP($F745,'Ürün Kartlar'!$B$5:$E$204,4,FALSE),VLOOKUP($F745,'Ürün Kartlar'!$B$5:$F$204,5,FALSE))),"")</f>
      </c>
      <c r="J745" s="11">
        <f>IFERROR(IF($F745="",Ayarlar!$C$9,VLOOKUP($F745,'Ürün Kartlar'!$B$5:$G$204,6,FALSE)),Ayarlar!$C$9)</f>
      </c>
      <c r="K745" s="18">
        <f>IF(OR($H745="",$I745=""),0,$H745*$I745)</f>
      </c>
      <c r="L745" s="18">
        <f>$K745*$J745</f>
      </c>
      <c r="M745" s="18">
        <f>$K745+$L745</f>
      </c>
      <c r="N745" s="8"/>
      <c r="O745" s="8"/>
      <c r="P745" s="8"/>
    </row>
    <row r="746" spans="2:16" x14ac:dyDescent="0.25">
      <c r="B746" s="19"/>
      <c r="C746" s="20"/>
      <c r="D746" s="20"/>
      <c r="E746" s="16">
        <f>IFERROR(IF($D746="","",VLOOKUP($D746,'Cari Kartlar'!$B$5:$C$204,2,FALSE)),"— tanımsız cari —")</f>
      </c>
      <c r="F746" s="20"/>
      <c r="G746" s="16">
        <f>IFERROR(IF($F746="","",VLOOKUP($F746,'Ürün Kartlar'!$B$5:$C$204,2,FALSE)),"— tanımsız ürün —")</f>
      </c>
      <c r="H746" s="21"/>
      <c r="I746" s="22">
        <f>IFERROR(IF($F746="","",IF($C746="Alış",VLOOKUP($F746,'Ürün Kartlar'!$B$5:$E$204,4,FALSE),VLOOKUP($F746,'Ürün Kartlar'!$B$5:$F$204,5,FALSE))),"")</f>
      </c>
      <c r="J746" s="23">
        <f>IFERROR(IF($F746="",Ayarlar!$C$9,VLOOKUP($F746,'Ürün Kartlar'!$B$5:$G$204,6,FALSE)),Ayarlar!$C$9)</f>
      </c>
      <c r="K746" s="18">
        <f>IF(OR($H746="",$I746=""),0,$H746*$I746)</f>
      </c>
      <c r="L746" s="18">
        <f>$K746*$J746</f>
      </c>
      <c r="M746" s="18">
        <f>$K746+$L746</f>
      </c>
      <c r="N746" s="20"/>
      <c r="O746" s="20"/>
      <c r="P746" s="20"/>
    </row>
    <row r="747" spans="2:16" x14ac:dyDescent="0.25">
      <c r="B747" s="15"/>
      <c r="C747" s="8"/>
      <c r="D747" s="8"/>
      <c r="E747" s="16">
        <f>IFERROR(IF($D747="","",VLOOKUP($D747,'Cari Kartlar'!$B$5:$C$204,2,FALSE)),"— tanımsız cari —")</f>
      </c>
      <c r="F747" s="8"/>
      <c r="G747" s="16">
        <f>IFERROR(IF($F747="","",VLOOKUP($F747,'Ürün Kartlar'!$B$5:$C$204,2,FALSE)),"— tanımsız ürün —")</f>
      </c>
      <c r="H747" s="17"/>
      <c r="I747" s="13">
        <f>IFERROR(IF($F747="","",IF($C747="Alış",VLOOKUP($F747,'Ürün Kartlar'!$B$5:$E$204,4,FALSE),VLOOKUP($F747,'Ürün Kartlar'!$B$5:$F$204,5,FALSE))),"")</f>
      </c>
      <c r="J747" s="11">
        <f>IFERROR(IF($F747="",Ayarlar!$C$9,VLOOKUP($F747,'Ürün Kartlar'!$B$5:$G$204,6,FALSE)),Ayarlar!$C$9)</f>
      </c>
      <c r="K747" s="18">
        <f>IF(OR($H747="",$I747=""),0,$H747*$I747)</f>
      </c>
      <c r="L747" s="18">
        <f>$K747*$J747</f>
      </c>
      <c r="M747" s="18">
        <f>$K747+$L747</f>
      </c>
      <c r="N747" s="8"/>
      <c r="O747" s="8"/>
      <c r="P747" s="8"/>
    </row>
    <row r="748" spans="2:16" x14ac:dyDescent="0.25">
      <c r="B748" s="19"/>
      <c r="C748" s="20"/>
      <c r="D748" s="20"/>
      <c r="E748" s="16">
        <f>IFERROR(IF($D748="","",VLOOKUP($D748,'Cari Kartlar'!$B$5:$C$204,2,FALSE)),"— tanımsız cari —")</f>
      </c>
      <c r="F748" s="20"/>
      <c r="G748" s="16">
        <f>IFERROR(IF($F748="","",VLOOKUP($F748,'Ürün Kartlar'!$B$5:$C$204,2,FALSE)),"— tanımsız ürün —")</f>
      </c>
      <c r="H748" s="21"/>
      <c r="I748" s="22">
        <f>IFERROR(IF($F748="","",IF($C748="Alış",VLOOKUP($F748,'Ürün Kartlar'!$B$5:$E$204,4,FALSE),VLOOKUP($F748,'Ürün Kartlar'!$B$5:$F$204,5,FALSE))),"")</f>
      </c>
      <c r="J748" s="23">
        <f>IFERROR(IF($F748="",Ayarlar!$C$9,VLOOKUP($F748,'Ürün Kartlar'!$B$5:$G$204,6,FALSE)),Ayarlar!$C$9)</f>
      </c>
      <c r="K748" s="18">
        <f>IF(OR($H748="",$I748=""),0,$H748*$I748)</f>
      </c>
      <c r="L748" s="18">
        <f>$K748*$J748</f>
      </c>
      <c r="M748" s="18">
        <f>$K748+$L748</f>
      </c>
      <c r="N748" s="20"/>
      <c r="O748" s="20"/>
      <c r="P748" s="20"/>
    </row>
    <row r="749" spans="2:16" x14ac:dyDescent="0.25">
      <c r="B749" s="15"/>
      <c r="C749" s="8"/>
      <c r="D749" s="8"/>
      <c r="E749" s="16">
        <f>IFERROR(IF($D749="","",VLOOKUP($D749,'Cari Kartlar'!$B$5:$C$204,2,FALSE)),"— tanımsız cari —")</f>
      </c>
      <c r="F749" s="8"/>
      <c r="G749" s="16">
        <f>IFERROR(IF($F749="","",VLOOKUP($F749,'Ürün Kartlar'!$B$5:$C$204,2,FALSE)),"— tanımsız ürün —")</f>
      </c>
      <c r="H749" s="17"/>
      <c r="I749" s="13">
        <f>IFERROR(IF($F749="","",IF($C749="Alış",VLOOKUP($F749,'Ürün Kartlar'!$B$5:$E$204,4,FALSE),VLOOKUP($F749,'Ürün Kartlar'!$B$5:$F$204,5,FALSE))),"")</f>
      </c>
      <c r="J749" s="11">
        <f>IFERROR(IF($F749="",Ayarlar!$C$9,VLOOKUP($F749,'Ürün Kartlar'!$B$5:$G$204,6,FALSE)),Ayarlar!$C$9)</f>
      </c>
      <c r="K749" s="18">
        <f>IF(OR($H749="",$I749=""),0,$H749*$I749)</f>
      </c>
      <c r="L749" s="18">
        <f>$K749*$J749</f>
      </c>
      <c r="M749" s="18">
        <f>$K749+$L749</f>
      </c>
      <c r="N749" s="8"/>
      <c r="O749" s="8"/>
      <c r="P749" s="8"/>
    </row>
    <row r="750" spans="2:16" x14ac:dyDescent="0.25">
      <c r="B750" s="19"/>
      <c r="C750" s="20"/>
      <c r="D750" s="20"/>
      <c r="E750" s="16">
        <f>IFERROR(IF($D750="","",VLOOKUP($D750,'Cari Kartlar'!$B$5:$C$204,2,FALSE)),"— tanımsız cari —")</f>
      </c>
      <c r="F750" s="20"/>
      <c r="G750" s="16">
        <f>IFERROR(IF($F750="","",VLOOKUP($F750,'Ürün Kartlar'!$B$5:$C$204,2,FALSE)),"— tanımsız ürün —")</f>
      </c>
      <c r="H750" s="21"/>
      <c r="I750" s="22">
        <f>IFERROR(IF($F750="","",IF($C750="Alış",VLOOKUP($F750,'Ürün Kartlar'!$B$5:$E$204,4,FALSE),VLOOKUP($F750,'Ürün Kartlar'!$B$5:$F$204,5,FALSE))),"")</f>
      </c>
      <c r="J750" s="23">
        <f>IFERROR(IF($F750="",Ayarlar!$C$9,VLOOKUP($F750,'Ürün Kartlar'!$B$5:$G$204,6,FALSE)),Ayarlar!$C$9)</f>
      </c>
      <c r="K750" s="18">
        <f>IF(OR($H750="",$I750=""),0,$H750*$I750)</f>
      </c>
      <c r="L750" s="18">
        <f>$K750*$J750</f>
      </c>
      <c r="M750" s="18">
        <f>$K750+$L750</f>
      </c>
      <c r="N750" s="20"/>
      <c r="O750" s="20"/>
      <c r="P750" s="20"/>
    </row>
    <row r="751" spans="2:16" x14ac:dyDescent="0.25">
      <c r="B751" s="15"/>
      <c r="C751" s="8"/>
      <c r="D751" s="8"/>
      <c r="E751" s="16">
        <f>IFERROR(IF($D751="","",VLOOKUP($D751,'Cari Kartlar'!$B$5:$C$204,2,FALSE)),"— tanımsız cari —")</f>
      </c>
      <c r="F751" s="8"/>
      <c r="G751" s="16">
        <f>IFERROR(IF($F751="","",VLOOKUP($F751,'Ürün Kartlar'!$B$5:$C$204,2,FALSE)),"— tanımsız ürün —")</f>
      </c>
      <c r="H751" s="17"/>
      <c r="I751" s="13">
        <f>IFERROR(IF($F751="","",IF($C751="Alış",VLOOKUP($F751,'Ürün Kartlar'!$B$5:$E$204,4,FALSE),VLOOKUP($F751,'Ürün Kartlar'!$B$5:$F$204,5,FALSE))),"")</f>
      </c>
      <c r="J751" s="11">
        <f>IFERROR(IF($F751="",Ayarlar!$C$9,VLOOKUP($F751,'Ürün Kartlar'!$B$5:$G$204,6,FALSE)),Ayarlar!$C$9)</f>
      </c>
      <c r="K751" s="18">
        <f>IF(OR($H751="",$I751=""),0,$H751*$I751)</f>
      </c>
      <c r="L751" s="18">
        <f>$K751*$J751</f>
      </c>
      <c r="M751" s="18">
        <f>$K751+$L751</f>
      </c>
      <c r="N751" s="8"/>
      <c r="O751" s="8"/>
      <c r="P751" s="8"/>
    </row>
    <row r="752" spans="2:16" x14ac:dyDescent="0.25">
      <c r="B752" s="19"/>
      <c r="C752" s="20"/>
      <c r="D752" s="20"/>
      <c r="E752" s="16">
        <f>IFERROR(IF($D752="","",VLOOKUP($D752,'Cari Kartlar'!$B$5:$C$204,2,FALSE)),"— tanımsız cari —")</f>
      </c>
      <c r="F752" s="20"/>
      <c r="G752" s="16">
        <f>IFERROR(IF($F752="","",VLOOKUP($F752,'Ürün Kartlar'!$B$5:$C$204,2,FALSE)),"— tanımsız ürün —")</f>
      </c>
      <c r="H752" s="21"/>
      <c r="I752" s="22">
        <f>IFERROR(IF($F752="","",IF($C752="Alış",VLOOKUP($F752,'Ürün Kartlar'!$B$5:$E$204,4,FALSE),VLOOKUP($F752,'Ürün Kartlar'!$B$5:$F$204,5,FALSE))),"")</f>
      </c>
      <c r="J752" s="23">
        <f>IFERROR(IF($F752="",Ayarlar!$C$9,VLOOKUP($F752,'Ürün Kartlar'!$B$5:$G$204,6,FALSE)),Ayarlar!$C$9)</f>
      </c>
      <c r="K752" s="18">
        <f>IF(OR($H752="",$I752=""),0,$H752*$I752)</f>
      </c>
      <c r="L752" s="18">
        <f>$K752*$J752</f>
      </c>
      <c r="M752" s="18">
        <f>$K752+$L752</f>
      </c>
      <c r="N752" s="20"/>
      <c r="O752" s="20"/>
      <c r="P752" s="20"/>
    </row>
    <row r="753" spans="2:16" x14ac:dyDescent="0.25">
      <c r="B753" s="15"/>
      <c r="C753" s="8"/>
      <c r="D753" s="8"/>
      <c r="E753" s="16">
        <f>IFERROR(IF($D753="","",VLOOKUP($D753,'Cari Kartlar'!$B$5:$C$204,2,FALSE)),"— tanımsız cari —")</f>
      </c>
      <c r="F753" s="8"/>
      <c r="G753" s="16">
        <f>IFERROR(IF($F753="","",VLOOKUP($F753,'Ürün Kartlar'!$B$5:$C$204,2,FALSE)),"— tanımsız ürün —")</f>
      </c>
      <c r="H753" s="17"/>
      <c r="I753" s="13">
        <f>IFERROR(IF($F753="","",IF($C753="Alış",VLOOKUP($F753,'Ürün Kartlar'!$B$5:$E$204,4,FALSE),VLOOKUP($F753,'Ürün Kartlar'!$B$5:$F$204,5,FALSE))),"")</f>
      </c>
      <c r="J753" s="11">
        <f>IFERROR(IF($F753="",Ayarlar!$C$9,VLOOKUP($F753,'Ürün Kartlar'!$B$5:$G$204,6,FALSE)),Ayarlar!$C$9)</f>
      </c>
      <c r="K753" s="18">
        <f>IF(OR($H753="",$I753=""),0,$H753*$I753)</f>
      </c>
      <c r="L753" s="18">
        <f>$K753*$J753</f>
      </c>
      <c r="M753" s="18">
        <f>$K753+$L753</f>
      </c>
      <c r="N753" s="8"/>
      <c r="O753" s="8"/>
      <c r="P753" s="8"/>
    </row>
    <row r="754" spans="2:16" x14ac:dyDescent="0.25">
      <c r="B754" s="19"/>
      <c r="C754" s="20"/>
      <c r="D754" s="20"/>
      <c r="E754" s="16">
        <f>IFERROR(IF($D754="","",VLOOKUP($D754,'Cari Kartlar'!$B$5:$C$204,2,FALSE)),"— tanımsız cari —")</f>
      </c>
      <c r="F754" s="20"/>
      <c r="G754" s="16">
        <f>IFERROR(IF($F754="","",VLOOKUP($F754,'Ürün Kartlar'!$B$5:$C$204,2,FALSE)),"— tanımsız ürün —")</f>
      </c>
      <c r="H754" s="21"/>
      <c r="I754" s="22">
        <f>IFERROR(IF($F754="","",IF($C754="Alış",VLOOKUP($F754,'Ürün Kartlar'!$B$5:$E$204,4,FALSE),VLOOKUP($F754,'Ürün Kartlar'!$B$5:$F$204,5,FALSE))),"")</f>
      </c>
      <c r="J754" s="23">
        <f>IFERROR(IF($F754="",Ayarlar!$C$9,VLOOKUP($F754,'Ürün Kartlar'!$B$5:$G$204,6,FALSE)),Ayarlar!$C$9)</f>
      </c>
      <c r="K754" s="18">
        <f>IF(OR($H754="",$I754=""),0,$H754*$I754)</f>
      </c>
      <c r="L754" s="18">
        <f>$K754*$J754</f>
      </c>
      <c r="M754" s="18">
        <f>$K754+$L754</f>
      </c>
      <c r="N754" s="20"/>
      <c r="O754" s="20"/>
      <c r="P754" s="20"/>
    </row>
    <row r="755" spans="2:16" x14ac:dyDescent="0.25">
      <c r="B755" s="15"/>
      <c r="C755" s="8"/>
      <c r="D755" s="8"/>
      <c r="E755" s="16">
        <f>IFERROR(IF($D755="","",VLOOKUP($D755,'Cari Kartlar'!$B$5:$C$204,2,FALSE)),"— tanımsız cari —")</f>
      </c>
      <c r="F755" s="8"/>
      <c r="G755" s="16">
        <f>IFERROR(IF($F755="","",VLOOKUP($F755,'Ürün Kartlar'!$B$5:$C$204,2,FALSE)),"— tanımsız ürün —")</f>
      </c>
      <c r="H755" s="17"/>
      <c r="I755" s="13">
        <f>IFERROR(IF($F755="","",IF($C755="Alış",VLOOKUP($F755,'Ürün Kartlar'!$B$5:$E$204,4,FALSE),VLOOKUP($F755,'Ürün Kartlar'!$B$5:$F$204,5,FALSE))),"")</f>
      </c>
      <c r="J755" s="11">
        <f>IFERROR(IF($F755="",Ayarlar!$C$9,VLOOKUP($F755,'Ürün Kartlar'!$B$5:$G$204,6,FALSE)),Ayarlar!$C$9)</f>
      </c>
      <c r="K755" s="18">
        <f>IF(OR($H755="",$I755=""),0,$H755*$I755)</f>
      </c>
      <c r="L755" s="18">
        <f>$K755*$J755</f>
      </c>
      <c r="M755" s="18">
        <f>$K755+$L755</f>
      </c>
      <c r="N755" s="8"/>
      <c r="O755" s="8"/>
      <c r="P755" s="8"/>
    </row>
    <row r="756" spans="2:16" x14ac:dyDescent="0.25">
      <c r="B756" s="19"/>
      <c r="C756" s="20"/>
      <c r="D756" s="20"/>
      <c r="E756" s="16">
        <f>IFERROR(IF($D756="","",VLOOKUP($D756,'Cari Kartlar'!$B$5:$C$204,2,FALSE)),"— tanımsız cari —")</f>
      </c>
      <c r="F756" s="20"/>
      <c r="G756" s="16">
        <f>IFERROR(IF($F756="","",VLOOKUP($F756,'Ürün Kartlar'!$B$5:$C$204,2,FALSE)),"— tanımsız ürün —")</f>
      </c>
      <c r="H756" s="21"/>
      <c r="I756" s="22">
        <f>IFERROR(IF($F756="","",IF($C756="Alış",VLOOKUP($F756,'Ürün Kartlar'!$B$5:$E$204,4,FALSE),VLOOKUP($F756,'Ürün Kartlar'!$B$5:$F$204,5,FALSE))),"")</f>
      </c>
      <c r="J756" s="23">
        <f>IFERROR(IF($F756="",Ayarlar!$C$9,VLOOKUP($F756,'Ürün Kartlar'!$B$5:$G$204,6,FALSE)),Ayarlar!$C$9)</f>
      </c>
      <c r="K756" s="18">
        <f>IF(OR($H756="",$I756=""),0,$H756*$I756)</f>
      </c>
      <c r="L756" s="18">
        <f>$K756*$J756</f>
      </c>
      <c r="M756" s="18">
        <f>$K756+$L756</f>
      </c>
      <c r="N756" s="20"/>
      <c r="O756" s="20"/>
      <c r="P756" s="20"/>
    </row>
    <row r="757" spans="2:16" x14ac:dyDescent="0.25">
      <c r="B757" s="15"/>
      <c r="C757" s="8"/>
      <c r="D757" s="8"/>
      <c r="E757" s="16">
        <f>IFERROR(IF($D757="","",VLOOKUP($D757,'Cari Kartlar'!$B$5:$C$204,2,FALSE)),"— tanımsız cari —")</f>
      </c>
      <c r="F757" s="8"/>
      <c r="G757" s="16">
        <f>IFERROR(IF($F757="","",VLOOKUP($F757,'Ürün Kartlar'!$B$5:$C$204,2,FALSE)),"— tanımsız ürün —")</f>
      </c>
      <c r="H757" s="17"/>
      <c r="I757" s="13">
        <f>IFERROR(IF($F757="","",IF($C757="Alış",VLOOKUP($F757,'Ürün Kartlar'!$B$5:$E$204,4,FALSE),VLOOKUP($F757,'Ürün Kartlar'!$B$5:$F$204,5,FALSE))),"")</f>
      </c>
      <c r="J757" s="11">
        <f>IFERROR(IF($F757="",Ayarlar!$C$9,VLOOKUP($F757,'Ürün Kartlar'!$B$5:$G$204,6,FALSE)),Ayarlar!$C$9)</f>
      </c>
      <c r="K757" s="18">
        <f>IF(OR($H757="",$I757=""),0,$H757*$I757)</f>
      </c>
      <c r="L757" s="18">
        <f>$K757*$J757</f>
      </c>
      <c r="M757" s="18">
        <f>$K757+$L757</f>
      </c>
      <c r="N757" s="8"/>
      <c r="O757" s="8"/>
      <c r="P757" s="8"/>
    </row>
    <row r="758" spans="2:16" x14ac:dyDescent="0.25">
      <c r="B758" s="19"/>
      <c r="C758" s="20"/>
      <c r="D758" s="20"/>
      <c r="E758" s="16">
        <f>IFERROR(IF($D758="","",VLOOKUP($D758,'Cari Kartlar'!$B$5:$C$204,2,FALSE)),"— tanımsız cari —")</f>
      </c>
      <c r="F758" s="20"/>
      <c r="G758" s="16">
        <f>IFERROR(IF($F758="","",VLOOKUP($F758,'Ürün Kartlar'!$B$5:$C$204,2,FALSE)),"— tanımsız ürün —")</f>
      </c>
      <c r="H758" s="21"/>
      <c r="I758" s="22">
        <f>IFERROR(IF($F758="","",IF($C758="Alış",VLOOKUP($F758,'Ürün Kartlar'!$B$5:$E$204,4,FALSE),VLOOKUP($F758,'Ürün Kartlar'!$B$5:$F$204,5,FALSE))),"")</f>
      </c>
      <c r="J758" s="23">
        <f>IFERROR(IF($F758="",Ayarlar!$C$9,VLOOKUP($F758,'Ürün Kartlar'!$B$5:$G$204,6,FALSE)),Ayarlar!$C$9)</f>
      </c>
      <c r="K758" s="18">
        <f>IF(OR($H758="",$I758=""),0,$H758*$I758)</f>
      </c>
      <c r="L758" s="18">
        <f>$K758*$J758</f>
      </c>
      <c r="M758" s="18">
        <f>$K758+$L758</f>
      </c>
      <c r="N758" s="20"/>
      <c r="O758" s="20"/>
      <c r="P758" s="20"/>
    </row>
    <row r="759" spans="2:16" x14ac:dyDescent="0.25">
      <c r="B759" s="15"/>
      <c r="C759" s="8"/>
      <c r="D759" s="8"/>
      <c r="E759" s="16">
        <f>IFERROR(IF($D759="","",VLOOKUP($D759,'Cari Kartlar'!$B$5:$C$204,2,FALSE)),"— tanımsız cari —")</f>
      </c>
      <c r="F759" s="8"/>
      <c r="G759" s="16">
        <f>IFERROR(IF($F759="","",VLOOKUP($F759,'Ürün Kartlar'!$B$5:$C$204,2,FALSE)),"— tanımsız ürün —")</f>
      </c>
      <c r="H759" s="17"/>
      <c r="I759" s="13">
        <f>IFERROR(IF($F759="","",IF($C759="Alış",VLOOKUP($F759,'Ürün Kartlar'!$B$5:$E$204,4,FALSE),VLOOKUP($F759,'Ürün Kartlar'!$B$5:$F$204,5,FALSE))),"")</f>
      </c>
      <c r="J759" s="11">
        <f>IFERROR(IF($F759="",Ayarlar!$C$9,VLOOKUP($F759,'Ürün Kartlar'!$B$5:$G$204,6,FALSE)),Ayarlar!$C$9)</f>
      </c>
      <c r="K759" s="18">
        <f>IF(OR($H759="",$I759=""),0,$H759*$I759)</f>
      </c>
      <c r="L759" s="18">
        <f>$K759*$J759</f>
      </c>
      <c r="M759" s="18">
        <f>$K759+$L759</f>
      </c>
      <c r="N759" s="8"/>
      <c r="O759" s="8"/>
      <c r="P759" s="8"/>
    </row>
    <row r="760" spans="2:16" x14ac:dyDescent="0.25">
      <c r="B760" s="19"/>
      <c r="C760" s="20"/>
      <c r="D760" s="20"/>
      <c r="E760" s="16">
        <f>IFERROR(IF($D760="","",VLOOKUP($D760,'Cari Kartlar'!$B$5:$C$204,2,FALSE)),"— tanımsız cari —")</f>
      </c>
      <c r="F760" s="20"/>
      <c r="G760" s="16">
        <f>IFERROR(IF($F760="","",VLOOKUP($F760,'Ürün Kartlar'!$B$5:$C$204,2,FALSE)),"— tanımsız ürün —")</f>
      </c>
      <c r="H760" s="21"/>
      <c r="I760" s="22">
        <f>IFERROR(IF($F760="","",IF($C760="Alış",VLOOKUP($F760,'Ürün Kartlar'!$B$5:$E$204,4,FALSE),VLOOKUP($F760,'Ürün Kartlar'!$B$5:$F$204,5,FALSE))),"")</f>
      </c>
      <c r="J760" s="23">
        <f>IFERROR(IF($F760="",Ayarlar!$C$9,VLOOKUP($F760,'Ürün Kartlar'!$B$5:$G$204,6,FALSE)),Ayarlar!$C$9)</f>
      </c>
      <c r="K760" s="18">
        <f>IF(OR($H760="",$I760=""),0,$H760*$I760)</f>
      </c>
      <c r="L760" s="18">
        <f>$K760*$J760</f>
      </c>
      <c r="M760" s="18">
        <f>$K760+$L760</f>
      </c>
      <c r="N760" s="20"/>
      <c r="O760" s="20"/>
      <c r="P760" s="20"/>
    </row>
    <row r="761" spans="2:16" x14ac:dyDescent="0.25">
      <c r="B761" s="15"/>
      <c r="C761" s="8"/>
      <c r="D761" s="8"/>
      <c r="E761" s="16">
        <f>IFERROR(IF($D761="","",VLOOKUP($D761,'Cari Kartlar'!$B$5:$C$204,2,FALSE)),"— tanımsız cari —")</f>
      </c>
      <c r="F761" s="8"/>
      <c r="G761" s="16">
        <f>IFERROR(IF($F761="","",VLOOKUP($F761,'Ürün Kartlar'!$B$5:$C$204,2,FALSE)),"— tanımsız ürün —")</f>
      </c>
      <c r="H761" s="17"/>
      <c r="I761" s="13">
        <f>IFERROR(IF($F761="","",IF($C761="Alış",VLOOKUP($F761,'Ürün Kartlar'!$B$5:$E$204,4,FALSE),VLOOKUP($F761,'Ürün Kartlar'!$B$5:$F$204,5,FALSE))),"")</f>
      </c>
      <c r="J761" s="11">
        <f>IFERROR(IF($F761="",Ayarlar!$C$9,VLOOKUP($F761,'Ürün Kartlar'!$B$5:$G$204,6,FALSE)),Ayarlar!$C$9)</f>
      </c>
      <c r="K761" s="18">
        <f>IF(OR($H761="",$I761=""),0,$H761*$I761)</f>
      </c>
      <c r="L761" s="18">
        <f>$K761*$J761</f>
      </c>
      <c r="M761" s="18">
        <f>$K761+$L761</f>
      </c>
      <c r="N761" s="8"/>
      <c r="O761" s="8"/>
      <c r="P761" s="8"/>
    </row>
    <row r="762" spans="2:16" x14ac:dyDescent="0.25">
      <c r="B762" s="19"/>
      <c r="C762" s="20"/>
      <c r="D762" s="20"/>
      <c r="E762" s="16">
        <f>IFERROR(IF($D762="","",VLOOKUP($D762,'Cari Kartlar'!$B$5:$C$204,2,FALSE)),"— tanımsız cari —")</f>
      </c>
      <c r="F762" s="20"/>
      <c r="G762" s="16">
        <f>IFERROR(IF($F762="","",VLOOKUP($F762,'Ürün Kartlar'!$B$5:$C$204,2,FALSE)),"— tanımsız ürün —")</f>
      </c>
      <c r="H762" s="21"/>
      <c r="I762" s="22">
        <f>IFERROR(IF($F762="","",IF($C762="Alış",VLOOKUP($F762,'Ürün Kartlar'!$B$5:$E$204,4,FALSE),VLOOKUP($F762,'Ürün Kartlar'!$B$5:$F$204,5,FALSE))),"")</f>
      </c>
      <c r="J762" s="23">
        <f>IFERROR(IF($F762="",Ayarlar!$C$9,VLOOKUP($F762,'Ürün Kartlar'!$B$5:$G$204,6,FALSE)),Ayarlar!$C$9)</f>
      </c>
      <c r="K762" s="18">
        <f>IF(OR($H762="",$I762=""),0,$H762*$I762)</f>
      </c>
      <c r="L762" s="18">
        <f>$K762*$J762</f>
      </c>
      <c r="M762" s="18">
        <f>$K762+$L762</f>
      </c>
      <c r="N762" s="20"/>
      <c r="O762" s="20"/>
      <c r="P762" s="20"/>
    </row>
    <row r="763" spans="2:16" x14ac:dyDescent="0.25">
      <c r="B763" s="15"/>
      <c r="C763" s="8"/>
      <c r="D763" s="8"/>
      <c r="E763" s="16">
        <f>IFERROR(IF($D763="","",VLOOKUP($D763,'Cari Kartlar'!$B$5:$C$204,2,FALSE)),"— tanımsız cari —")</f>
      </c>
      <c r="F763" s="8"/>
      <c r="G763" s="16">
        <f>IFERROR(IF($F763="","",VLOOKUP($F763,'Ürün Kartlar'!$B$5:$C$204,2,FALSE)),"— tanımsız ürün —")</f>
      </c>
      <c r="H763" s="17"/>
      <c r="I763" s="13">
        <f>IFERROR(IF($F763="","",IF($C763="Alış",VLOOKUP($F763,'Ürün Kartlar'!$B$5:$E$204,4,FALSE),VLOOKUP($F763,'Ürün Kartlar'!$B$5:$F$204,5,FALSE))),"")</f>
      </c>
      <c r="J763" s="11">
        <f>IFERROR(IF($F763="",Ayarlar!$C$9,VLOOKUP($F763,'Ürün Kartlar'!$B$5:$G$204,6,FALSE)),Ayarlar!$C$9)</f>
      </c>
      <c r="K763" s="18">
        <f>IF(OR($H763="",$I763=""),0,$H763*$I763)</f>
      </c>
      <c r="L763" s="18">
        <f>$K763*$J763</f>
      </c>
      <c r="M763" s="18">
        <f>$K763+$L763</f>
      </c>
      <c r="N763" s="8"/>
      <c r="O763" s="8"/>
      <c r="P763" s="8"/>
    </row>
    <row r="764" spans="2:16" x14ac:dyDescent="0.25">
      <c r="B764" s="19"/>
      <c r="C764" s="20"/>
      <c r="D764" s="20"/>
      <c r="E764" s="16">
        <f>IFERROR(IF($D764="","",VLOOKUP($D764,'Cari Kartlar'!$B$5:$C$204,2,FALSE)),"— tanımsız cari —")</f>
      </c>
      <c r="F764" s="20"/>
      <c r="G764" s="16">
        <f>IFERROR(IF($F764="","",VLOOKUP($F764,'Ürün Kartlar'!$B$5:$C$204,2,FALSE)),"— tanımsız ürün —")</f>
      </c>
      <c r="H764" s="21"/>
      <c r="I764" s="22">
        <f>IFERROR(IF($F764="","",IF($C764="Alış",VLOOKUP($F764,'Ürün Kartlar'!$B$5:$E$204,4,FALSE),VLOOKUP($F764,'Ürün Kartlar'!$B$5:$F$204,5,FALSE))),"")</f>
      </c>
      <c r="J764" s="23">
        <f>IFERROR(IF($F764="",Ayarlar!$C$9,VLOOKUP($F764,'Ürün Kartlar'!$B$5:$G$204,6,FALSE)),Ayarlar!$C$9)</f>
      </c>
      <c r="K764" s="18">
        <f>IF(OR($H764="",$I764=""),0,$H764*$I764)</f>
      </c>
      <c r="L764" s="18">
        <f>$K764*$J764</f>
      </c>
      <c r="M764" s="18">
        <f>$K764+$L764</f>
      </c>
      <c r="N764" s="20"/>
      <c r="O764" s="20"/>
      <c r="P764" s="20"/>
    </row>
    <row r="765" spans="2:16" x14ac:dyDescent="0.25">
      <c r="B765" s="15"/>
      <c r="C765" s="8"/>
      <c r="D765" s="8"/>
      <c r="E765" s="16">
        <f>IFERROR(IF($D765="","",VLOOKUP($D765,'Cari Kartlar'!$B$5:$C$204,2,FALSE)),"— tanımsız cari —")</f>
      </c>
      <c r="F765" s="8"/>
      <c r="G765" s="16">
        <f>IFERROR(IF($F765="","",VLOOKUP($F765,'Ürün Kartlar'!$B$5:$C$204,2,FALSE)),"— tanımsız ürün —")</f>
      </c>
      <c r="H765" s="17"/>
      <c r="I765" s="13">
        <f>IFERROR(IF($F765="","",IF($C765="Alış",VLOOKUP($F765,'Ürün Kartlar'!$B$5:$E$204,4,FALSE),VLOOKUP($F765,'Ürün Kartlar'!$B$5:$F$204,5,FALSE))),"")</f>
      </c>
      <c r="J765" s="11">
        <f>IFERROR(IF($F765="",Ayarlar!$C$9,VLOOKUP($F765,'Ürün Kartlar'!$B$5:$G$204,6,FALSE)),Ayarlar!$C$9)</f>
      </c>
      <c r="K765" s="18">
        <f>IF(OR($H765="",$I765=""),0,$H765*$I765)</f>
      </c>
      <c r="L765" s="18">
        <f>$K765*$J765</f>
      </c>
      <c r="M765" s="18">
        <f>$K765+$L765</f>
      </c>
      <c r="N765" s="8"/>
      <c r="O765" s="8"/>
      <c r="P765" s="8"/>
    </row>
    <row r="766" spans="2:16" x14ac:dyDescent="0.25">
      <c r="B766" s="19"/>
      <c r="C766" s="20"/>
      <c r="D766" s="20"/>
      <c r="E766" s="16">
        <f>IFERROR(IF($D766="","",VLOOKUP($D766,'Cari Kartlar'!$B$5:$C$204,2,FALSE)),"— tanımsız cari —")</f>
      </c>
      <c r="F766" s="20"/>
      <c r="G766" s="16">
        <f>IFERROR(IF($F766="","",VLOOKUP($F766,'Ürün Kartlar'!$B$5:$C$204,2,FALSE)),"— tanımsız ürün —")</f>
      </c>
      <c r="H766" s="21"/>
      <c r="I766" s="22">
        <f>IFERROR(IF($F766="","",IF($C766="Alış",VLOOKUP($F766,'Ürün Kartlar'!$B$5:$E$204,4,FALSE),VLOOKUP($F766,'Ürün Kartlar'!$B$5:$F$204,5,FALSE))),"")</f>
      </c>
      <c r="J766" s="23">
        <f>IFERROR(IF($F766="",Ayarlar!$C$9,VLOOKUP($F766,'Ürün Kartlar'!$B$5:$G$204,6,FALSE)),Ayarlar!$C$9)</f>
      </c>
      <c r="K766" s="18">
        <f>IF(OR($H766="",$I766=""),0,$H766*$I766)</f>
      </c>
      <c r="L766" s="18">
        <f>$K766*$J766</f>
      </c>
      <c r="M766" s="18">
        <f>$K766+$L766</f>
      </c>
      <c r="N766" s="20"/>
      <c r="O766" s="20"/>
      <c r="P766" s="20"/>
    </row>
    <row r="767" spans="2:16" x14ac:dyDescent="0.25">
      <c r="B767" s="15"/>
      <c r="C767" s="8"/>
      <c r="D767" s="8"/>
      <c r="E767" s="16">
        <f>IFERROR(IF($D767="","",VLOOKUP($D767,'Cari Kartlar'!$B$5:$C$204,2,FALSE)),"— tanımsız cari —")</f>
      </c>
      <c r="F767" s="8"/>
      <c r="G767" s="16">
        <f>IFERROR(IF($F767="","",VLOOKUP($F767,'Ürün Kartlar'!$B$5:$C$204,2,FALSE)),"— tanımsız ürün —")</f>
      </c>
      <c r="H767" s="17"/>
      <c r="I767" s="13">
        <f>IFERROR(IF($F767="","",IF($C767="Alış",VLOOKUP($F767,'Ürün Kartlar'!$B$5:$E$204,4,FALSE),VLOOKUP($F767,'Ürün Kartlar'!$B$5:$F$204,5,FALSE))),"")</f>
      </c>
      <c r="J767" s="11">
        <f>IFERROR(IF($F767="",Ayarlar!$C$9,VLOOKUP($F767,'Ürün Kartlar'!$B$5:$G$204,6,FALSE)),Ayarlar!$C$9)</f>
      </c>
      <c r="K767" s="18">
        <f>IF(OR($H767="",$I767=""),0,$H767*$I767)</f>
      </c>
      <c r="L767" s="18">
        <f>$K767*$J767</f>
      </c>
      <c r="M767" s="18">
        <f>$K767+$L767</f>
      </c>
      <c r="N767" s="8"/>
      <c r="O767" s="8"/>
      <c r="P767" s="8"/>
    </row>
    <row r="768" spans="2:16" x14ac:dyDescent="0.25">
      <c r="B768" s="19"/>
      <c r="C768" s="20"/>
      <c r="D768" s="20"/>
      <c r="E768" s="16">
        <f>IFERROR(IF($D768="","",VLOOKUP($D768,'Cari Kartlar'!$B$5:$C$204,2,FALSE)),"— tanımsız cari —")</f>
      </c>
      <c r="F768" s="20"/>
      <c r="G768" s="16">
        <f>IFERROR(IF($F768="","",VLOOKUP($F768,'Ürün Kartlar'!$B$5:$C$204,2,FALSE)),"— tanımsız ürün —")</f>
      </c>
      <c r="H768" s="21"/>
      <c r="I768" s="22">
        <f>IFERROR(IF($F768="","",IF($C768="Alış",VLOOKUP($F768,'Ürün Kartlar'!$B$5:$E$204,4,FALSE),VLOOKUP($F768,'Ürün Kartlar'!$B$5:$F$204,5,FALSE))),"")</f>
      </c>
      <c r="J768" s="23">
        <f>IFERROR(IF($F768="",Ayarlar!$C$9,VLOOKUP($F768,'Ürün Kartlar'!$B$5:$G$204,6,FALSE)),Ayarlar!$C$9)</f>
      </c>
      <c r="K768" s="18">
        <f>IF(OR($H768="",$I768=""),0,$H768*$I768)</f>
      </c>
      <c r="L768" s="18">
        <f>$K768*$J768</f>
      </c>
      <c r="M768" s="18">
        <f>$K768+$L768</f>
      </c>
      <c r="N768" s="20"/>
      <c r="O768" s="20"/>
      <c r="P768" s="20"/>
    </row>
    <row r="769" spans="2:16" x14ac:dyDescent="0.25">
      <c r="B769" s="15"/>
      <c r="C769" s="8"/>
      <c r="D769" s="8"/>
      <c r="E769" s="16">
        <f>IFERROR(IF($D769="","",VLOOKUP($D769,'Cari Kartlar'!$B$5:$C$204,2,FALSE)),"— tanımsız cari —")</f>
      </c>
      <c r="F769" s="8"/>
      <c r="G769" s="16">
        <f>IFERROR(IF($F769="","",VLOOKUP($F769,'Ürün Kartlar'!$B$5:$C$204,2,FALSE)),"— tanımsız ürün —")</f>
      </c>
      <c r="H769" s="17"/>
      <c r="I769" s="13">
        <f>IFERROR(IF($F769="","",IF($C769="Alış",VLOOKUP($F769,'Ürün Kartlar'!$B$5:$E$204,4,FALSE),VLOOKUP($F769,'Ürün Kartlar'!$B$5:$F$204,5,FALSE))),"")</f>
      </c>
      <c r="J769" s="11">
        <f>IFERROR(IF($F769="",Ayarlar!$C$9,VLOOKUP($F769,'Ürün Kartlar'!$B$5:$G$204,6,FALSE)),Ayarlar!$C$9)</f>
      </c>
      <c r="K769" s="18">
        <f>IF(OR($H769="",$I769=""),0,$H769*$I769)</f>
      </c>
      <c r="L769" s="18">
        <f>$K769*$J769</f>
      </c>
      <c r="M769" s="18">
        <f>$K769+$L769</f>
      </c>
      <c r="N769" s="8"/>
      <c r="O769" s="8"/>
      <c r="P769" s="8"/>
    </row>
    <row r="770" spans="2:16" x14ac:dyDescent="0.25">
      <c r="B770" s="19"/>
      <c r="C770" s="20"/>
      <c r="D770" s="20"/>
      <c r="E770" s="16">
        <f>IFERROR(IF($D770="","",VLOOKUP($D770,'Cari Kartlar'!$B$5:$C$204,2,FALSE)),"— tanımsız cari —")</f>
      </c>
      <c r="F770" s="20"/>
      <c r="G770" s="16">
        <f>IFERROR(IF($F770="","",VLOOKUP($F770,'Ürün Kartlar'!$B$5:$C$204,2,FALSE)),"— tanımsız ürün —")</f>
      </c>
      <c r="H770" s="21"/>
      <c r="I770" s="22">
        <f>IFERROR(IF($F770="","",IF($C770="Alış",VLOOKUP($F770,'Ürün Kartlar'!$B$5:$E$204,4,FALSE),VLOOKUP($F770,'Ürün Kartlar'!$B$5:$F$204,5,FALSE))),"")</f>
      </c>
      <c r="J770" s="23">
        <f>IFERROR(IF($F770="",Ayarlar!$C$9,VLOOKUP($F770,'Ürün Kartlar'!$B$5:$G$204,6,FALSE)),Ayarlar!$C$9)</f>
      </c>
      <c r="K770" s="18">
        <f>IF(OR($H770="",$I770=""),0,$H770*$I770)</f>
      </c>
      <c r="L770" s="18">
        <f>$K770*$J770</f>
      </c>
      <c r="M770" s="18">
        <f>$K770+$L770</f>
      </c>
      <c r="N770" s="20"/>
      <c r="O770" s="20"/>
      <c r="P770" s="20"/>
    </row>
    <row r="771" spans="2:16" x14ac:dyDescent="0.25">
      <c r="B771" s="15"/>
      <c r="C771" s="8"/>
      <c r="D771" s="8"/>
      <c r="E771" s="16">
        <f>IFERROR(IF($D771="","",VLOOKUP($D771,'Cari Kartlar'!$B$5:$C$204,2,FALSE)),"— tanımsız cari —")</f>
      </c>
      <c r="F771" s="8"/>
      <c r="G771" s="16">
        <f>IFERROR(IF($F771="","",VLOOKUP($F771,'Ürün Kartlar'!$B$5:$C$204,2,FALSE)),"— tanımsız ürün —")</f>
      </c>
      <c r="H771" s="17"/>
      <c r="I771" s="13">
        <f>IFERROR(IF($F771="","",IF($C771="Alış",VLOOKUP($F771,'Ürün Kartlar'!$B$5:$E$204,4,FALSE),VLOOKUP($F771,'Ürün Kartlar'!$B$5:$F$204,5,FALSE))),"")</f>
      </c>
      <c r="J771" s="11">
        <f>IFERROR(IF($F771="",Ayarlar!$C$9,VLOOKUP($F771,'Ürün Kartlar'!$B$5:$G$204,6,FALSE)),Ayarlar!$C$9)</f>
      </c>
      <c r="K771" s="18">
        <f>IF(OR($H771="",$I771=""),0,$H771*$I771)</f>
      </c>
      <c r="L771" s="18">
        <f>$K771*$J771</f>
      </c>
      <c r="M771" s="18">
        <f>$K771+$L771</f>
      </c>
      <c r="N771" s="8"/>
      <c r="O771" s="8"/>
      <c r="P771" s="8"/>
    </row>
    <row r="772" spans="2:16" x14ac:dyDescent="0.25">
      <c r="B772" s="19"/>
      <c r="C772" s="20"/>
      <c r="D772" s="20"/>
      <c r="E772" s="16">
        <f>IFERROR(IF($D772="","",VLOOKUP($D772,'Cari Kartlar'!$B$5:$C$204,2,FALSE)),"— tanımsız cari —")</f>
      </c>
      <c r="F772" s="20"/>
      <c r="G772" s="16">
        <f>IFERROR(IF($F772="","",VLOOKUP($F772,'Ürün Kartlar'!$B$5:$C$204,2,FALSE)),"— tanımsız ürün —")</f>
      </c>
      <c r="H772" s="21"/>
      <c r="I772" s="22">
        <f>IFERROR(IF($F772="","",IF($C772="Alış",VLOOKUP($F772,'Ürün Kartlar'!$B$5:$E$204,4,FALSE),VLOOKUP($F772,'Ürün Kartlar'!$B$5:$F$204,5,FALSE))),"")</f>
      </c>
      <c r="J772" s="23">
        <f>IFERROR(IF($F772="",Ayarlar!$C$9,VLOOKUP($F772,'Ürün Kartlar'!$B$5:$G$204,6,FALSE)),Ayarlar!$C$9)</f>
      </c>
      <c r="K772" s="18">
        <f>IF(OR($H772="",$I772=""),0,$H772*$I772)</f>
      </c>
      <c r="L772" s="18">
        <f>$K772*$J772</f>
      </c>
      <c r="M772" s="18">
        <f>$K772+$L772</f>
      </c>
      <c r="N772" s="20"/>
      <c r="O772" s="20"/>
      <c r="P772" s="20"/>
    </row>
    <row r="773" spans="2:16" x14ac:dyDescent="0.25">
      <c r="B773" s="15"/>
      <c r="C773" s="8"/>
      <c r="D773" s="8"/>
      <c r="E773" s="16">
        <f>IFERROR(IF($D773="","",VLOOKUP($D773,'Cari Kartlar'!$B$5:$C$204,2,FALSE)),"— tanımsız cari —")</f>
      </c>
      <c r="F773" s="8"/>
      <c r="G773" s="16">
        <f>IFERROR(IF($F773="","",VLOOKUP($F773,'Ürün Kartlar'!$B$5:$C$204,2,FALSE)),"— tanımsız ürün —")</f>
      </c>
      <c r="H773" s="17"/>
      <c r="I773" s="13">
        <f>IFERROR(IF($F773="","",IF($C773="Alış",VLOOKUP($F773,'Ürün Kartlar'!$B$5:$E$204,4,FALSE),VLOOKUP($F773,'Ürün Kartlar'!$B$5:$F$204,5,FALSE))),"")</f>
      </c>
      <c r="J773" s="11">
        <f>IFERROR(IF($F773="",Ayarlar!$C$9,VLOOKUP($F773,'Ürün Kartlar'!$B$5:$G$204,6,FALSE)),Ayarlar!$C$9)</f>
      </c>
      <c r="K773" s="18">
        <f>IF(OR($H773="",$I773=""),0,$H773*$I773)</f>
      </c>
      <c r="L773" s="18">
        <f>$K773*$J773</f>
      </c>
      <c r="M773" s="18">
        <f>$K773+$L773</f>
      </c>
      <c r="N773" s="8"/>
      <c r="O773" s="8"/>
      <c r="P773" s="8"/>
    </row>
    <row r="774" spans="2:16" x14ac:dyDescent="0.25">
      <c r="B774" s="19"/>
      <c r="C774" s="20"/>
      <c r="D774" s="20"/>
      <c r="E774" s="16">
        <f>IFERROR(IF($D774="","",VLOOKUP($D774,'Cari Kartlar'!$B$5:$C$204,2,FALSE)),"— tanımsız cari —")</f>
      </c>
      <c r="F774" s="20"/>
      <c r="G774" s="16">
        <f>IFERROR(IF($F774="","",VLOOKUP($F774,'Ürün Kartlar'!$B$5:$C$204,2,FALSE)),"— tanımsız ürün —")</f>
      </c>
      <c r="H774" s="21"/>
      <c r="I774" s="22">
        <f>IFERROR(IF($F774="","",IF($C774="Alış",VLOOKUP($F774,'Ürün Kartlar'!$B$5:$E$204,4,FALSE),VLOOKUP($F774,'Ürün Kartlar'!$B$5:$F$204,5,FALSE))),"")</f>
      </c>
      <c r="J774" s="23">
        <f>IFERROR(IF($F774="",Ayarlar!$C$9,VLOOKUP($F774,'Ürün Kartlar'!$B$5:$G$204,6,FALSE)),Ayarlar!$C$9)</f>
      </c>
      <c r="K774" s="18">
        <f>IF(OR($H774="",$I774=""),0,$H774*$I774)</f>
      </c>
      <c r="L774" s="18">
        <f>$K774*$J774</f>
      </c>
      <c r="M774" s="18">
        <f>$K774+$L774</f>
      </c>
      <c r="N774" s="20"/>
      <c r="O774" s="20"/>
      <c r="P774" s="20"/>
    </row>
    <row r="775" spans="2:16" x14ac:dyDescent="0.25">
      <c r="B775" s="15"/>
      <c r="C775" s="8"/>
      <c r="D775" s="8"/>
      <c r="E775" s="16">
        <f>IFERROR(IF($D775="","",VLOOKUP($D775,'Cari Kartlar'!$B$5:$C$204,2,FALSE)),"— tanımsız cari —")</f>
      </c>
      <c r="F775" s="8"/>
      <c r="G775" s="16">
        <f>IFERROR(IF($F775="","",VLOOKUP($F775,'Ürün Kartlar'!$B$5:$C$204,2,FALSE)),"— tanımsız ürün —")</f>
      </c>
      <c r="H775" s="17"/>
      <c r="I775" s="13">
        <f>IFERROR(IF($F775="","",IF($C775="Alış",VLOOKUP($F775,'Ürün Kartlar'!$B$5:$E$204,4,FALSE),VLOOKUP($F775,'Ürün Kartlar'!$B$5:$F$204,5,FALSE))),"")</f>
      </c>
      <c r="J775" s="11">
        <f>IFERROR(IF($F775="",Ayarlar!$C$9,VLOOKUP($F775,'Ürün Kartlar'!$B$5:$G$204,6,FALSE)),Ayarlar!$C$9)</f>
      </c>
      <c r="K775" s="18">
        <f>IF(OR($H775="",$I775=""),0,$H775*$I775)</f>
      </c>
      <c r="L775" s="18">
        <f>$K775*$J775</f>
      </c>
      <c r="M775" s="18">
        <f>$K775+$L775</f>
      </c>
      <c r="N775" s="8"/>
      <c r="O775" s="8"/>
      <c r="P775" s="8"/>
    </row>
    <row r="776" spans="2:16" x14ac:dyDescent="0.25">
      <c r="B776" s="19"/>
      <c r="C776" s="20"/>
      <c r="D776" s="20"/>
      <c r="E776" s="16">
        <f>IFERROR(IF($D776="","",VLOOKUP($D776,'Cari Kartlar'!$B$5:$C$204,2,FALSE)),"— tanımsız cari —")</f>
      </c>
      <c r="F776" s="20"/>
      <c r="G776" s="16">
        <f>IFERROR(IF($F776="","",VLOOKUP($F776,'Ürün Kartlar'!$B$5:$C$204,2,FALSE)),"— tanımsız ürün —")</f>
      </c>
      <c r="H776" s="21"/>
      <c r="I776" s="22">
        <f>IFERROR(IF($F776="","",IF($C776="Alış",VLOOKUP($F776,'Ürün Kartlar'!$B$5:$E$204,4,FALSE),VLOOKUP($F776,'Ürün Kartlar'!$B$5:$F$204,5,FALSE))),"")</f>
      </c>
      <c r="J776" s="23">
        <f>IFERROR(IF($F776="",Ayarlar!$C$9,VLOOKUP($F776,'Ürün Kartlar'!$B$5:$G$204,6,FALSE)),Ayarlar!$C$9)</f>
      </c>
      <c r="K776" s="18">
        <f>IF(OR($H776="",$I776=""),0,$H776*$I776)</f>
      </c>
      <c r="L776" s="18">
        <f>$K776*$J776</f>
      </c>
      <c r="M776" s="18">
        <f>$K776+$L776</f>
      </c>
      <c r="N776" s="20"/>
      <c r="O776" s="20"/>
      <c r="P776" s="20"/>
    </row>
    <row r="777" spans="2:16" x14ac:dyDescent="0.25">
      <c r="B777" s="15"/>
      <c r="C777" s="8"/>
      <c r="D777" s="8"/>
      <c r="E777" s="16">
        <f>IFERROR(IF($D777="","",VLOOKUP($D777,'Cari Kartlar'!$B$5:$C$204,2,FALSE)),"— tanımsız cari —")</f>
      </c>
      <c r="F777" s="8"/>
      <c r="G777" s="16">
        <f>IFERROR(IF($F777="","",VLOOKUP($F777,'Ürün Kartlar'!$B$5:$C$204,2,FALSE)),"— tanımsız ürün —")</f>
      </c>
      <c r="H777" s="17"/>
      <c r="I777" s="13">
        <f>IFERROR(IF($F777="","",IF($C777="Alış",VLOOKUP($F777,'Ürün Kartlar'!$B$5:$E$204,4,FALSE),VLOOKUP($F777,'Ürün Kartlar'!$B$5:$F$204,5,FALSE))),"")</f>
      </c>
      <c r="J777" s="11">
        <f>IFERROR(IF($F777="",Ayarlar!$C$9,VLOOKUP($F777,'Ürün Kartlar'!$B$5:$G$204,6,FALSE)),Ayarlar!$C$9)</f>
      </c>
      <c r="K777" s="18">
        <f>IF(OR($H777="",$I777=""),0,$H777*$I777)</f>
      </c>
      <c r="L777" s="18">
        <f>$K777*$J777</f>
      </c>
      <c r="M777" s="18">
        <f>$K777+$L777</f>
      </c>
      <c r="N777" s="8"/>
      <c r="O777" s="8"/>
      <c r="P777" s="8"/>
    </row>
    <row r="778" spans="2:16" x14ac:dyDescent="0.25">
      <c r="B778" s="19"/>
      <c r="C778" s="20"/>
      <c r="D778" s="20"/>
      <c r="E778" s="16">
        <f>IFERROR(IF($D778="","",VLOOKUP($D778,'Cari Kartlar'!$B$5:$C$204,2,FALSE)),"— tanımsız cari —")</f>
      </c>
      <c r="F778" s="20"/>
      <c r="G778" s="16">
        <f>IFERROR(IF($F778="","",VLOOKUP($F778,'Ürün Kartlar'!$B$5:$C$204,2,FALSE)),"— tanımsız ürün —")</f>
      </c>
      <c r="H778" s="21"/>
      <c r="I778" s="22">
        <f>IFERROR(IF($F778="","",IF($C778="Alış",VLOOKUP($F778,'Ürün Kartlar'!$B$5:$E$204,4,FALSE),VLOOKUP($F778,'Ürün Kartlar'!$B$5:$F$204,5,FALSE))),"")</f>
      </c>
      <c r="J778" s="23">
        <f>IFERROR(IF($F778="",Ayarlar!$C$9,VLOOKUP($F778,'Ürün Kartlar'!$B$5:$G$204,6,FALSE)),Ayarlar!$C$9)</f>
      </c>
      <c r="K778" s="18">
        <f>IF(OR($H778="",$I778=""),0,$H778*$I778)</f>
      </c>
      <c r="L778" s="18">
        <f>$K778*$J778</f>
      </c>
      <c r="M778" s="18">
        <f>$K778+$L778</f>
      </c>
      <c r="N778" s="20"/>
      <c r="O778" s="20"/>
      <c r="P778" s="20"/>
    </row>
    <row r="779" spans="2:16" x14ac:dyDescent="0.25">
      <c r="B779" s="15"/>
      <c r="C779" s="8"/>
      <c r="D779" s="8"/>
      <c r="E779" s="16">
        <f>IFERROR(IF($D779="","",VLOOKUP($D779,'Cari Kartlar'!$B$5:$C$204,2,FALSE)),"— tanımsız cari —")</f>
      </c>
      <c r="F779" s="8"/>
      <c r="G779" s="16">
        <f>IFERROR(IF($F779="","",VLOOKUP($F779,'Ürün Kartlar'!$B$5:$C$204,2,FALSE)),"— tanımsız ürün —")</f>
      </c>
      <c r="H779" s="17"/>
      <c r="I779" s="13">
        <f>IFERROR(IF($F779="","",IF($C779="Alış",VLOOKUP($F779,'Ürün Kartlar'!$B$5:$E$204,4,FALSE),VLOOKUP($F779,'Ürün Kartlar'!$B$5:$F$204,5,FALSE))),"")</f>
      </c>
      <c r="J779" s="11">
        <f>IFERROR(IF($F779="",Ayarlar!$C$9,VLOOKUP($F779,'Ürün Kartlar'!$B$5:$G$204,6,FALSE)),Ayarlar!$C$9)</f>
      </c>
      <c r="K779" s="18">
        <f>IF(OR($H779="",$I779=""),0,$H779*$I779)</f>
      </c>
      <c r="L779" s="18">
        <f>$K779*$J779</f>
      </c>
      <c r="M779" s="18">
        <f>$K779+$L779</f>
      </c>
      <c r="N779" s="8"/>
      <c r="O779" s="8"/>
      <c r="P779" s="8"/>
    </row>
    <row r="780" spans="2:16" x14ac:dyDescent="0.25">
      <c r="B780" s="19"/>
      <c r="C780" s="20"/>
      <c r="D780" s="20"/>
      <c r="E780" s="16">
        <f>IFERROR(IF($D780="","",VLOOKUP($D780,'Cari Kartlar'!$B$5:$C$204,2,FALSE)),"— tanımsız cari —")</f>
      </c>
      <c r="F780" s="20"/>
      <c r="G780" s="16">
        <f>IFERROR(IF($F780="","",VLOOKUP($F780,'Ürün Kartlar'!$B$5:$C$204,2,FALSE)),"— tanımsız ürün —")</f>
      </c>
      <c r="H780" s="21"/>
      <c r="I780" s="22">
        <f>IFERROR(IF($F780="","",IF($C780="Alış",VLOOKUP($F780,'Ürün Kartlar'!$B$5:$E$204,4,FALSE),VLOOKUP($F780,'Ürün Kartlar'!$B$5:$F$204,5,FALSE))),"")</f>
      </c>
      <c r="J780" s="23">
        <f>IFERROR(IF($F780="",Ayarlar!$C$9,VLOOKUP($F780,'Ürün Kartlar'!$B$5:$G$204,6,FALSE)),Ayarlar!$C$9)</f>
      </c>
      <c r="K780" s="18">
        <f>IF(OR($H780="",$I780=""),0,$H780*$I780)</f>
      </c>
      <c r="L780" s="18">
        <f>$K780*$J780</f>
      </c>
      <c r="M780" s="18">
        <f>$K780+$L780</f>
      </c>
      <c r="N780" s="20"/>
      <c r="O780" s="20"/>
      <c r="P780" s="20"/>
    </row>
    <row r="781" spans="2:16" x14ac:dyDescent="0.25">
      <c r="B781" s="15"/>
      <c r="C781" s="8"/>
      <c r="D781" s="8"/>
      <c r="E781" s="16">
        <f>IFERROR(IF($D781="","",VLOOKUP($D781,'Cari Kartlar'!$B$5:$C$204,2,FALSE)),"— tanımsız cari —")</f>
      </c>
      <c r="F781" s="8"/>
      <c r="G781" s="16">
        <f>IFERROR(IF($F781="","",VLOOKUP($F781,'Ürün Kartlar'!$B$5:$C$204,2,FALSE)),"— tanımsız ürün —")</f>
      </c>
      <c r="H781" s="17"/>
      <c r="I781" s="13">
        <f>IFERROR(IF($F781="","",IF($C781="Alış",VLOOKUP($F781,'Ürün Kartlar'!$B$5:$E$204,4,FALSE),VLOOKUP($F781,'Ürün Kartlar'!$B$5:$F$204,5,FALSE))),"")</f>
      </c>
      <c r="J781" s="11">
        <f>IFERROR(IF($F781="",Ayarlar!$C$9,VLOOKUP($F781,'Ürün Kartlar'!$B$5:$G$204,6,FALSE)),Ayarlar!$C$9)</f>
      </c>
      <c r="K781" s="18">
        <f>IF(OR($H781="",$I781=""),0,$H781*$I781)</f>
      </c>
      <c r="L781" s="18">
        <f>$K781*$J781</f>
      </c>
      <c r="M781" s="18">
        <f>$K781+$L781</f>
      </c>
      <c r="N781" s="8"/>
      <c r="O781" s="8"/>
      <c r="P781" s="8"/>
    </row>
    <row r="782" spans="2:16" x14ac:dyDescent="0.25">
      <c r="B782" s="19"/>
      <c r="C782" s="20"/>
      <c r="D782" s="20"/>
      <c r="E782" s="16">
        <f>IFERROR(IF($D782="","",VLOOKUP($D782,'Cari Kartlar'!$B$5:$C$204,2,FALSE)),"— tanımsız cari —")</f>
      </c>
      <c r="F782" s="20"/>
      <c r="G782" s="16">
        <f>IFERROR(IF($F782="","",VLOOKUP($F782,'Ürün Kartlar'!$B$5:$C$204,2,FALSE)),"— tanımsız ürün —")</f>
      </c>
      <c r="H782" s="21"/>
      <c r="I782" s="22">
        <f>IFERROR(IF($F782="","",IF($C782="Alış",VLOOKUP($F782,'Ürün Kartlar'!$B$5:$E$204,4,FALSE),VLOOKUP($F782,'Ürün Kartlar'!$B$5:$F$204,5,FALSE))),"")</f>
      </c>
      <c r="J782" s="23">
        <f>IFERROR(IF($F782="",Ayarlar!$C$9,VLOOKUP($F782,'Ürün Kartlar'!$B$5:$G$204,6,FALSE)),Ayarlar!$C$9)</f>
      </c>
      <c r="K782" s="18">
        <f>IF(OR($H782="",$I782=""),0,$H782*$I782)</f>
      </c>
      <c r="L782" s="18">
        <f>$K782*$J782</f>
      </c>
      <c r="M782" s="18">
        <f>$K782+$L782</f>
      </c>
      <c r="N782" s="20"/>
      <c r="O782" s="20"/>
      <c r="P782" s="20"/>
    </row>
    <row r="783" spans="2:16" x14ac:dyDescent="0.25">
      <c r="B783" s="15"/>
      <c r="C783" s="8"/>
      <c r="D783" s="8"/>
      <c r="E783" s="16">
        <f>IFERROR(IF($D783="","",VLOOKUP($D783,'Cari Kartlar'!$B$5:$C$204,2,FALSE)),"— tanımsız cari —")</f>
      </c>
      <c r="F783" s="8"/>
      <c r="G783" s="16">
        <f>IFERROR(IF($F783="","",VLOOKUP($F783,'Ürün Kartlar'!$B$5:$C$204,2,FALSE)),"— tanımsız ürün —")</f>
      </c>
      <c r="H783" s="17"/>
      <c r="I783" s="13">
        <f>IFERROR(IF($F783="","",IF($C783="Alış",VLOOKUP($F783,'Ürün Kartlar'!$B$5:$E$204,4,FALSE),VLOOKUP($F783,'Ürün Kartlar'!$B$5:$F$204,5,FALSE))),"")</f>
      </c>
      <c r="J783" s="11">
        <f>IFERROR(IF($F783="",Ayarlar!$C$9,VLOOKUP($F783,'Ürün Kartlar'!$B$5:$G$204,6,FALSE)),Ayarlar!$C$9)</f>
      </c>
      <c r="K783" s="18">
        <f>IF(OR($H783="",$I783=""),0,$H783*$I783)</f>
      </c>
      <c r="L783" s="18">
        <f>$K783*$J783</f>
      </c>
      <c r="M783" s="18">
        <f>$K783+$L783</f>
      </c>
      <c r="N783" s="8"/>
      <c r="O783" s="8"/>
      <c r="P783" s="8"/>
    </row>
    <row r="784" spans="2:16" x14ac:dyDescent="0.25">
      <c r="B784" s="19"/>
      <c r="C784" s="20"/>
      <c r="D784" s="20"/>
      <c r="E784" s="16">
        <f>IFERROR(IF($D784="","",VLOOKUP($D784,'Cari Kartlar'!$B$5:$C$204,2,FALSE)),"— tanımsız cari —")</f>
      </c>
      <c r="F784" s="20"/>
      <c r="G784" s="16">
        <f>IFERROR(IF($F784="","",VLOOKUP($F784,'Ürün Kartlar'!$B$5:$C$204,2,FALSE)),"— tanımsız ürün —")</f>
      </c>
      <c r="H784" s="21"/>
      <c r="I784" s="22">
        <f>IFERROR(IF($F784="","",IF($C784="Alış",VLOOKUP($F784,'Ürün Kartlar'!$B$5:$E$204,4,FALSE),VLOOKUP($F784,'Ürün Kartlar'!$B$5:$F$204,5,FALSE))),"")</f>
      </c>
      <c r="J784" s="23">
        <f>IFERROR(IF($F784="",Ayarlar!$C$9,VLOOKUP($F784,'Ürün Kartlar'!$B$5:$G$204,6,FALSE)),Ayarlar!$C$9)</f>
      </c>
      <c r="K784" s="18">
        <f>IF(OR($H784="",$I784=""),0,$H784*$I784)</f>
      </c>
      <c r="L784" s="18">
        <f>$K784*$J784</f>
      </c>
      <c r="M784" s="18">
        <f>$K784+$L784</f>
      </c>
      <c r="N784" s="20"/>
      <c r="O784" s="20"/>
      <c r="P784" s="20"/>
    </row>
    <row r="785" spans="2:16" x14ac:dyDescent="0.25">
      <c r="B785" s="15"/>
      <c r="C785" s="8"/>
      <c r="D785" s="8"/>
      <c r="E785" s="16">
        <f>IFERROR(IF($D785="","",VLOOKUP($D785,'Cari Kartlar'!$B$5:$C$204,2,FALSE)),"— tanımsız cari —")</f>
      </c>
      <c r="F785" s="8"/>
      <c r="G785" s="16">
        <f>IFERROR(IF($F785="","",VLOOKUP($F785,'Ürün Kartlar'!$B$5:$C$204,2,FALSE)),"— tanımsız ürün —")</f>
      </c>
      <c r="H785" s="17"/>
      <c r="I785" s="13">
        <f>IFERROR(IF($F785="","",IF($C785="Alış",VLOOKUP($F785,'Ürün Kartlar'!$B$5:$E$204,4,FALSE),VLOOKUP($F785,'Ürün Kartlar'!$B$5:$F$204,5,FALSE))),"")</f>
      </c>
      <c r="J785" s="11">
        <f>IFERROR(IF($F785="",Ayarlar!$C$9,VLOOKUP($F785,'Ürün Kartlar'!$B$5:$G$204,6,FALSE)),Ayarlar!$C$9)</f>
      </c>
      <c r="K785" s="18">
        <f>IF(OR($H785="",$I785=""),0,$H785*$I785)</f>
      </c>
      <c r="L785" s="18">
        <f>$K785*$J785</f>
      </c>
      <c r="M785" s="18">
        <f>$K785+$L785</f>
      </c>
      <c r="N785" s="8"/>
      <c r="O785" s="8"/>
      <c r="P785" s="8"/>
    </row>
    <row r="786" spans="2:16" x14ac:dyDescent="0.25">
      <c r="B786" s="19"/>
      <c r="C786" s="20"/>
      <c r="D786" s="20"/>
      <c r="E786" s="16">
        <f>IFERROR(IF($D786="","",VLOOKUP($D786,'Cari Kartlar'!$B$5:$C$204,2,FALSE)),"— tanımsız cari —")</f>
      </c>
      <c r="F786" s="20"/>
      <c r="G786" s="16">
        <f>IFERROR(IF($F786="","",VLOOKUP($F786,'Ürün Kartlar'!$B$5:$C$204,2,FALSE)),"— tanımsız ürün —")</f>
      </c>
      <c r="H786" s="21"/>
      <c r="I786" s="22">
        <f>IFERROR(IF($F786="","",IF($C786="Alış",VLOOKUP($F786,'Ürün Kartlar'!$B$5:$E$204,4,FALSE),VLOOKUP($F786,'Ürün Kartlar'!$B$5:$F$204,5,FALSE))),"")</f>
      </c>
      <c r="J786" s="23">
        <f>IFERROR(IF($F786="",Ayarlar!$C$9,VLOOKUP($F786,'Ürün Kartlar'!$B$5:$G$204,6,FALSE)),Ayarlar!$C$9)</f>
      </c>
      <c r="K786" s="18">
        <f>IF(OR($H786="",$I786=""),0,$H786*$I786)</f>
      </c>
      <c r="L786" s="18">
        <f>$K786*$J786</f>
      </c>
      <c r="M786" s="18">
        <f>$K786+$L786</f>
      </c>
      <c r="N786" s="20"/>
      <c r="O786" s="20"/>
      <c r="P786" s="20"/>
    </row>
    <row r="787" spans="2:16" x14ac:dyDescent="0.25">
      <c r="B787" s="15"/>
      <c r="C787" s="8"/>
      <c r="D787" s="8"/>
      <c r="E787" s="16">
        <f>IFERROR(IF($D787="","",VLOOKUP($D787,'Cari Kartlar'!$B$5:$C$204,2,FALSE)),"— tanımsız cari —")</f>
      </c>
      <c r="F787" s="8"/>
      <c r="G787" s="16">
        <f>IFERROR(IF($F787="","",VLOOKUP($F787,'Ürün Kartlar'!$B$5:$C$204,2,FALSE)),"— tanımsız ürün —")</f>
      </c>
      <c r="H787" s="17"/>
      <c r="I787" s="13">
        <f>IFERROR(IF($F787="","",IF($C787="Alış",VLOOKUP($F787,'Ürün Kartlar'!$B$5:$E$204,4,FALSE),VLOOKUP($F787,'Ürün Kartlar'!$B$5:$F$204,5,FALSE))),"")</f>
      </c>
      <c r="J787" s="11">
        <f>IFERROR(IF($F787="",Ayarlar!$C$9,VLOOKUP($F787,'Ürün Kartlar'!$B$5:$G$204,6,FALSE)),Ayarlar!$C$9)</f>
      </c>
      <c r="K787" s="18">
        <f>IF(OR($H787="",$I787=""),0,$H787*$I787)</f>
      </c>
      <c r="L787" s="18">
        <f>$K787*$J787</f>
      </c>
      <c r="M787" s="18">
        <f>$K787+$L787</f>
      </c>
      <c r="N787" s="8"/>
      <c r="O787" s="8"/>
      <c r="P787" s="8"/>
    </row>
    <row r="788" spans="2:16" x14ac:dyDescent="0.25">
      <c r="B788" s="19"/>
      <c r="C788" s="20"/>
      <c r="D788" s="20"/>
      <c r="E788" s="16">
        <f>IFERROR(IF($D788="","",VLOOKUP($D788,'Cari Kartlar'!$B$5:$C$204,2,FALSE)),"— tanımsız cari —")</f>
      </c>
      <c r="F788" s="20"/>
      <c r="G788" s="16">
        <f>IFERROR(IF($F788="","",VLOOKUP($F788,'Ürün Kartlar'!$B$5:$C$204,2,FALSE)),"— tanımsız ürün —")</f>
      </c>
      <c r="H788" s="21"/>
      <c r="I788" s="22">
        <f>IFERROR(IF($F788="","",IF($C788="Alış",VLOOKUP($F788,'Ürün Kartlar'!$B$5:$E$204,4,FALSE),VLOOKUP($F788,'Ürün Kartlar'!$B$5:$F$204,5,FALSE))),"")</f>
      </c>
      <c r="J788" s="23">
        <f>IFERROR(IF($F788="",Ayarlar!$C$9,VLOOKUP($F788,'Ürün Kartlar'!$B$5:$G$204,6,FALSE)),Ayarlar!$C$9)</f>
      </c>
      <c r="K788" s="18">
        <f>IF(OR($H788="",$I788=""),0,$H788*$I788)</f>
      </c>
      <c r="L788" s="18">
        <f>$K788*$J788</f>
      </c>
      <c r="M788" s="18">
        <f>$K788+$L788</f>
      </c>
      <c r="N788" s="20"/>
      <c r="O788" s="20"/>
      <c r="P788" s="20"/>
    </row>
    <row r="789" spans="2:16" x14ac:dyDescent="0.25">
      <c r="B789" s="15"/>
      <c r="C789" s="8"/>
      <c r="D789" s="8"/>
      <c r="E789" s="16">
        <f>IFERROR(IF($D789="","",VLOOKUP($D789,'Cari Kartlar'!$B$5:$C$204,2,FALSE)),"— tanımsız cari —")</f>
      </c>
      <c r="F789" s="8"/>
      <c r="G789" s="16">
        <f>IFERROR(IF($F789="","",VLOOKUP($F789,'Ürün Kartlar'!$B$5:$C$204,2,FALSE)),"— tanımsız ürün —")</f>
      </c>
      <c r="H789" s="17"/>
      <c r="I789" s="13">
        <f>IFERROR(IF($F789="","",IF($C789="Alış",VLOOKUP($F789,'Ürün Kartlar'!$B$5:$E$204,4,FALSE),VLOOKUP($F789,'Ürün Kartlar'!$B$5:$F$204,5,FALSE))),"")</f>
      </c>
      <c r="J789" s="11">
        <f>IFERROR(IF($F789="",Ayarlar!$C$9,VLOOKUP($F789,'Ürün Kartlar'!$B$5:$G$204,6,FALSE)),Ayarlar!$C$9)</f>
      </c>
      <c r="K789" s="18">
        <f>IF(OR($H789="",$I789=""),0,$H789*$I789)</f>
      </c>
      <c r="L789" s="18">
        <f>$K789*$J789</f>
      </c>
      <c r="M789" s="18">
        <f>$K789+$L789</f>
      </c>
      <c r="N789" s="8"/>
      <c r="O789" s="8"/>
      <c r="P789" s="8"/>
    </row>
    <row r="790" spans="2:16" x14ac:dyDescent="0.25">
      <c r="B790" s="19"/>
      <c r="C790" s="20"/>
      <c r="D790" s="20"/>
      <c r="E790" s="16">
        <f>IFERROR(IF($D790="","",VLOOKUP($D790,'Cari Kartlar'!$B$5:$C$204,2,FALSE)),"— tanımsız cari —")</f>
      </c>
      <c r="F790" s="20"/>
      <c r="G790" s="16">
        <f>IFERROR(IF($F790="","",VLOOKUP($F790,'Ürün Kartlar'!$B$5:$C$204,2,FALSE)),"— tanımsız ürün —")</f>
      </c>
      <c r="H790" s="21"/>
      <c r="I790" s="22">
        <f>IFERROR(IF($F790="","",IF($C790="Alış",VLOOKUP($F790,'Ürün Kartlar'!$B$5:$E$204,4,FALSE),VLOOKUP($F790,'Ürün Kartlar'!$B$5:$F$204,5,FALSE))),"")</f>
      </c>
      <c r="J790" s="23">
        <f>IFERROR(IF($F790="",Ayarlar!$C$9,VLOOKUP($F790,'Ürün Kartlar'!$B$5:$G$204,6,FALSE)),Ayarlar!$C$9)</f>
      </c>
      <c r="K790" s="18">
        <f>IF(OR($H790="",$I790=""),0,$H790*$I790)</f>
      </c>
      <c r="L790" s="18">
        <f>$K790*$J790</f>
      </c>
      <c r="M790" s="18">
        <f>$K790+$L790</f>
      </c>
      <c r="N790" s="20"/>
      <c r="O790" s="20"/>
      <c r="P790" s="20"/>
    </row>
    <row r="791" spans="2:16" x14ac:dyDescent="0.25">
      <c r="B791" s="15"/>
      <c r="C791" s="8"/>
      <c r="D791" s="8"/>
      <c r="E791" s="16">
        <f>IFERROR(IF($D791="","",VLOOKUP($D791,'Cari Kartlar'!$B$5:$C$204,2,FALSE)),"— tanımsız cari —")</f>
      </c>
      <c r="F791" s="8"/>
      <c r="G791" s="16">
        <f>IFERROR(IF($F791="","",VLOOKUP($F791,'Ürün Kartlar'!$B$5:$C$204,2,FALSE)),"— tanımsız ürün —")</f>
      </c>
      <c r="H791" s="17"/>
      <c r="I791" s="13">
        <f>IFERROR(IF($F791="","",IF($C791="Alış",VLOOKUP($F791,'Ürün Kartlar'!$B$5:$E$204,4,FALSE),VLOOKUP($F791,'Ürün Kartlar'!$B$5:$F$204,5,FALSE))),"")</f>
      </c>
      <c r="J791" s="11">
        <f>IFERROR(IF($F791="",Ayarlar!$C$9,VLOOKUP($F791,'Ürün Kartlar'!$B$5:$G$204,6,FALSE)),Ayarlar!$C$9)</f>
      </c>
      <c r="K791" s="18">
        <f>IF(OR($H791="",$I791=""),0,$H791*$I791)</f>
      </c>
      <c r="L791" s="18">
        <f>$K791*$J791</f>
      </c>
      <c r="M791" s="18">
        <f>$K791+$L791</f>
      </c>
      <c r="N791" s="8"/>
      <c r="O791" s="8"/>
      <c r="P791" s="8"/>
    </row>
    <row r="792" spans="2:16" x14ac:dyDescent="0.25">
      <c r="B792" s="19"/>
      <c r="C792" s="20"/>
      <c r="D792" s="20"/>
      <c r="E792" s="16">
        <f>IFERROR(IF($D792="","",VLOOKUP($D792,'Cari Kartlar'!$B$5:$C$204,2,FALSE)),"— tanımsız cari —")</f>
      </c>
      <c r="F792" s="20"/>
      <c r="G792" s="16">
        <f>IFERROR(IF($F792="","",VLOOKUP($F792,'Ürün Kartlar'!$B$5:$C$204,2,FALSE)),"— tanımsız ürün —")</f>
      </c>
      <c r="H792" s="21"/>
      <c r="I792" s="22">
        <f>IFERROR(IF($F792="","",IF($C792="Alış",VLOOKUP($F792,'Ürün Kartlar'!$B$5:$E$204,4,FALSE),VLOOKUP($F792,'Ürün Kartlar'!$B$5:$F$204,5,FALSE))),"")</f>
      </c>
      <c r="J792" s="23">
        <f>IFERROR(IF($F792="",Ayarlar!$C$9,VLOOKUP($F792,'Ürün Kartlar'!$B$5:$G$204,6,FALSE)),Ayarlar!$C$9)</f>
      </c>
      <c r="K792" s="18">
        <f>IF(OR($H792="",$I792=""),0,$H792*$I792)</f>
      </c>
      <c r="L792" s="18">
        <f>$K792*$J792</f>
      </c>
      <c r="M792" s="18">
        <f>$K792+$L792</f>
      </c>
      <c r="N792" s="20"/>
      <c r="O792" s="20"/>
      <c r="P792" s="20"/>
    </row>
    <row r="793" spans="2:16" x14ac:dyDescent="0.25">
      <c r="B793" s="15"/>
      <c r="C793" s="8"/>
      <c r="D793" s="8"/>
      <c r="E793" s="16">
        <f>IFERROR(IF($D793="","",VLOOKUP($D793,'Cari Kartlar'!$B$5:$C$204,2,FALSE)),"— tanımsız cari —")</f>
      </c>
      <c r="F793" s="8"/>
      <c r="G793" s="16">
        <f>IFERROR(IF($F793="","",VLOOKUP($F793,'Ürün Kartlar'!$B$5:$C$204,2,FALSE)),"— tanımsız ürün —")</f>
      </c>
      <c r="H793" s="17"/>
      <c r="I793" s="13">
        <f>IFERROR(IF($F793="","",IF($C793="Alış",VLOOKUP($F793,'Ürün Kartlar'!$B$5:$E$204,4,FALSE),VLOOKUP($F793,'Ürün Kartlar'!$B$5:$F$204,5,FALSE))),"")</f>
      </c>
      <c r="J793" s="11">
        <f>IFERROR(IF($F793="",Ayarlar!$C$9,VLOOKUP($F793,'Ürün Kartlar'!$B$5:$G$204,6,FALSE)),Ayarlar!$C$9)</f>
      </c>
      <c r="K793" s="18">
        <f>IF(OR($H793="",$I793=""),0,$H793*$I793)</f>
      </c>
      <c r="L793" s="18">
        <f>$K793*$J793</f>
      </c>
      <c r="M793" s="18">
        <f>$K793+$L793</f>
      </c>
      <c r="N793" s="8"/>
      <c r="O793" s="8"/>
      <c r="P793" s="8"/>
    </row>
    <row r="794" spans="2:16" x14ac:dyDescent="0.25">
      <c r="B794" s="19"/>
      <c r="C794" s="20"/>
      <c r="D794" s="20"/>
      <c r="E794" s="16">
        <f>IFERROR(IF($D794="","",VLOOKUP($D794,'Cari Kartlar'!$B$5:$C$204,2,FALSE)),"— tanımsız cari —")</f>
      </c>
      <c r="F794" s="20"/>
      <c r="G794" s="16">
        <f>IFERROR(IF($F794="","",VLOOKUP($F794,'Ürün Kartlar'!$B$5:$C$204,2,FALSE)),"— tanımsız ürün —")</f>
      </c>
      <c r="H794" s="21"/>
      <c r="I794" s="22">
        <f>IFERROR(IF($F794="","",IF($C794="Alış",VLOOKUP($F794,'Ürün Kartlar'!$B$5:$E$204,4,FALSE),VLOOKUP($F794,'Ürün Kartlar'!$B$5:$F$204,5,FALSE))),"")</f>
      </c>
      <c r="J794" s="23">
        <f>IFERROR(IF($F794="",Ayarlar!$C$9,VLOOKUP($F794,'Ürün Kartlar'!$B$5:$G$204,6,FALSE)),Ayarlar!$C$9)</f>
      </c>
      <c r="K794" s="18">
        <f>IF(OR($H794="",$I794=""),0,$H794*$I794)</f>
      </c>
      <c r="L794" s="18">
        <f>$K794*$J794</f>
      </c>
      <c r="M794" s="18">
        <f>$K794+$L794</f>
      </c>
      <c r="N794" s="20"/>
      <c r="O794" s="20"/>
      <c r="P794" s="20"/>
    </row>
    <row r="795" spans="2:16" x14ac:dyDescent="0.25">
      <c r="B795" s="15"/>
      <c r="C795" s="8"/>
      <c r="D795" s="8"/>
      <c r="E795" s="16">
        <f>IFERROR(IF($D795="","",VLOOKUP($D795,'Cari Kartlar'!$B$5:$C$204,2,FALSE)),"— tanımsız cari —")</f>
      </c>
      <c r="F795" s="8"/>
      <c r="G795" s="16">
        <f>IFERROR(IF($F795="","",VLOOKUP($F795,'Ürün Kartlar'!$B$5:$C$204,2,FALSE)),"— tanımsız ürün —")</f>
      </c>
      <c r="H795" s="17"/>
      <c r="I795" s="13">
        <f>IFERROR(IF($F795="","",IF($C795="Alış",VLOOKUP($F795,'Ürün Kartlar'!$B$5:$E$204,4,FALSE),VLOOKUP($F795,'Ürün Kartlar'!$B$5:$F$204,5,FALSE))),"")</f>
      </c>
      <c r="J795" s="11">
        <f>IFERROR(IF($F795="",Ayarlar!$C$9,VLOOKUP($F795,'Ürün Kartlar'!$B$5:$G$204,6,FALSE)),Ayarlar!$C$9)</f>
      </c>
      <c r="K795" s="18">
        <f>IF(OR($H795="",$I795=""),0,$H795*$I795)</f>
      </c>
      <c r="L795" s="18">
        <f>$K795*$J795</f>
      </c>
      <c r="M795" s="18">
        <f>$K795+$L795</f>
      </c>
      <c r="N795" s="8"/>
      <c r="O795" s="8"/>
      <c r="P795" s="8"/>
    </row>
    <row r="796" spans="2:16" x14ac:dyDescent="0.25">
      <c r="B796" s="19"/>
      <c r="C796" s="20"/>
      <c r="D796" s="20"/>
      <c r="E796" s="16">
        <f>IFERROR(IF($D796="","",VLOOKUP($D796,'Cari Kartlar'!$B$5:$C$204,2,FALSE)),"— tanımsız cari —")</f>
      </c>
      <c r="F796" s="20"/>
      <c r="G796" s="16">
        <f>IFERROR(IF($F796="","",VLOOKUP($F796,'Ürün Kartlar'!$B$5:$C$204,2,FALSE)),"— tanımsız ürün —")</f>
      </c>
      <c r="H796" s="21"/>
      <c r="I796" s="22">
        <f>IFERROR(IF($F796="","",IF($C796="Alış",VLOOKUP($F796,'Ürün Kartlar'!$B$5:$E$204,4,FALSE),VLOOKUP($F796,'Ürün Kartlar'!$B$5:$F$204,5,FALSE))),"")</f>
      </c>
      <c r="J796" s="23">
        <f>IFERROR(IF($F796="",Ayarlar!$C$9,VLOOKUP($F796,'Ürün Kartlar'!$B$5:$G$204,6,FALSE)),Ayarlar!$C$9)</f>
      </c>
      <c r="K796" s="18">
        <f>IF(OR($H796="",$I796=""),0,$H796*$I796)</f>
      </c>
      <c r="L796" s="18">
        <f>$K796*$J796</f>
      </c>
      <c r="M796" s="18">
        <f>$K796+$L796</f>
      </c>
      <c r="N796" s="20"/>
      <c r="O796" s="20"/>
      <c r="P796" s="20"/>
    </row>
    <row r="797" spans="2:16" x14ac:dyDescent="0.25">
      <c r="B797" s="15"/>
      <c r="C797" s="8"/>
      <c r="D797" s="8"/>
      <c r="E797" s="16">
        <f>IFERROR(IF($D797="","",VLOOKUP($D797,'Cari Kartlar'!$B$5:$C$204,2,FALSE)),"— tanımsız cari —")</f>
      </c>
      <c r="F797" s="8"/>
      <c r="G797" s="16">
        <f>IFERROR(IF($F797="","",VLOOKUP($F797,'Ürün Kartlar'!$B$5:$C$204,2,FALSE)),"— tanımsız ürün —")</f>
      </c>
      <c r="H797" s="17"/>
      <c r="I797" s="13">
        <f>IFERROR(IF($F797="","",IF($C797="Alış",VLOOKUP($F797,'Ürün Kartlar'!$B$5:$E$204,4,FALSE),VLOOKUP($F797,'Ürün Kartlar'!$B$5:$F$204,5,FALSE))),"")</f>
      </c>
      <c r="J797" s="11">
        <f>IFERROR(IF($F797="",Ayarlar!$C$9,VLOOKUP($F797,'Ürün Kartlar'!$B$5:$G$204,6,FALSE)),Ayarlar!$C$9)</f>
      </c>
      <c r="K797" s="18">
        <f>IF(OR($H797="",$I797=""),0,$H797*$I797)</f>
      </c>
      <c r="L797" s="18">
        <f>$K797*$J797</f>
      </c>
      <c r="M797" s="18">
        <f>$K797+$L797</f>
      </c>
      <c r="N797" s="8"/>
      <c r="O797" s="8"/>
      <c r="P797" s="8"/>
    </row>
    <row r="798" spans="2:16" x14ac:dyDescent="0.25">
      <c r="B798" s="19"/>
      <c r="C798" s="20"/>
      <c r="D798" s="20"/>
      <c r="E798" s="16">
        <f>IFERROR(IF($D798="","",VLOOKUP($D798,'Cari Kartlar'!$B$5:$C$204,2,FALSE)),"— tanımsız cari —")</f>
      </c>
      <c r="F798" s="20"/>
      <c r="G798" s="16">
        <f>IFERROR(IF($F798="","",VLOOKUP($F798,'Ürün Kartlar'!$B$5:$C$204,2,FALSE)),"— tanımsız ürün —")</f>
      </c>
      <c r="H798" s="21"/>
      <c r="I798" s="22">
        <f>IFERROR(IF($F798="","",IF($C798="Alış",VLOOKUP($F798,'Ürün Kartlar'!$B$5:$E$204,4,FALSE),VLOOKUP($F798,'Ürün Kartlar'!$B$5:$F$204,5,FALSE))),"")</f>
      </c>
      <c r="J798" s="23">
        <f>IFERROR(IF($F798="",Ayarlar!$C$9,VLOOKUP($F798,'Ürün Kartlar'!$B$5:$G$204,6,FALSE)),Ayarlar!$C$9)</f>
      </c>
      <c r="K798" s="18">
        <f>IF(OR($H798="",$I798=""),0,$H798*$I798)</f>
      </c>
      <c r="L798" s="18">
        <f>$K798*$J798</f>
      </c>
      <c r="M798" s="18">
        <f>$K798+$L798</f>
      </c>
      <c r="N798" s="20"/>
      <c r="O798" s="20"/>
      <c r="P798" s="20"/>
    </row>
    <row r="799" spans="2:16" x14ac:dyDescent="0.25">
      <c r="B799" s="15"/>
      <c r="C799" s="8"/>
      <c r="D799" s="8"/>
      <c r="E799" s="16">
        <f>IFERROR(IF($D799="","",VLOOKUP($D799,'Cari Kartlar'!$B$5:$C$204,2,FALSE)),"— tanımsız cari —")</f>
      </c>
      <c r="F799" s="8"/>
      <c r="G799" s="16">
        <f>IFERROR(IF($F799="","",VLOOKUP($F799,'Ürün Kartlar'!$B$5:$C$204,2,FALSE)),"— tanımsız ürün —")</f>
      </c>
      <c r="H799" s="17"/>
      <c r="I799" s="13">
        <f>IFERROR(IF($F799="","",IF($C799="Alış",VLOOKUP($F799,'Ürün Kartlar'!$B$5:$E$204,4,FALSE),VLOOKUP($F799,'Ürün Kartlar'!$B$5:$F$204,5,FALSE))),"")</f>
      </c>
      <c r="J799" s="11">
        <f>IFERROR(IF($F799="",Ayarlar!$C$9,VLOOKUP($F799,'Ürün Kartlar'!$B$5:$G$204,6,FALSE)),Ayarlar!$C$9)</f>
      </c>
      <c r="K799" s="18">
        <f>IF(OR($H799="",$I799=""),0,$H799*$I799)</f>
      </c>
      <c r="L799" s="18">
        <f>$K799*$J799</f>
      </c>
      <c r="M799" s="18">
        <f>$K799+$L799</f>
      </c>
      <c r="N799" s="8"/>
      <c r="O799" s="8"/>
      <c r="P799" s="8"/>
    </row>
    <row r="800" spans="2:16" x14ac:dyDescent="0.25">
      <c r="B800" s="19"/>
      <c r="C800" s="20"/>
      <c r="D800" s="20"/>
      <c r="E800" s="16">
        <f>IFERROR(IF($D800="","",VLOOKUP($D800,'Cari Kartlar'!$B$5:$C$204,2,FALSE)),"— tanımsız cari —")</f>
      </c>
      <c r="F800" s="20"/>
      <c r="G800" s="16">
        <f>IFERROR(IF($F800="","",VLOOKUP($F800,'Ürün Kartlar'!$B$5:$C$204,2,FALSE)),"— tanımsız ürün —")</f>
      </c>
      <c r="H800" s="21"/>
      <c r="I800" s="22">
        <f>IFERROR(IF($F800="","",IF($C800="Alış",VLOOKUP($F800,'Ürün Kartlar'!$B$5:$E$204,4,FALSE),VLOOKUP($F800,'Ürün Kartlar'!$B$5:$F$204,5,FALSE))),"")</f>
      </c>
      <c r="J800" s="23">
        <f>IFERROR(IF($F800="",Ayarlar!$C$9,VLOOKUP($F800,'Ürün Kartlar'!$B$5:$G$204,6,FALSE)),Ayarlar!$C$9)</f>
      </c>
      <c r="K800" s="18">
        <f>IF(OR($H800="",$I800=""),0,$H800*$I800)</f>
      </c>
      <c r="L800" s="18">
        <f>$K800*$J800</f>
      </c>
      <c r="M800" s="18">
        <f>$K800+$L800</f>
      </c>
      <c r="N800" s="20"/>
      <c r="O800" s="20"/>
      <c r="P800" s="20"/>
    </row>
    <row r="801" spans="2:16" x14ac:dyDescent="0.25">
      <c r="B801" s="15"/>
      <c r="C801" s="8"/>
      <c r="D801" s="8"/>
      <c r="E801" s="16">
        <f>IFERROR(IF($D801="","",VLOOKUP($D801,'Cari Kartlar'!$B$5:$C$204,2,FALSE)),"— tanımsız cari —")</f>
      </c>
      <c r="F801" s="8"/>
      <c r="G801" s="16">
        <f>IFERROR(IF($F801="","",VLOOKUP($F801,'Ürün Kartlar'!$B$5:$C$204,2,FALSE)),"— tanımsız ürün —")</f>
      </c>
      <c r="H801" s="17"/>
      <c r="I801" s="13">
        <f>IFERROR(IF($F801="","",IF($C801="Alış",VLOOKUP($F801,'Ürün Kartlar'!$B$5:$E$204,4,FALSE),VLOOKUP($F801,'Ürün Kartlar'!$B$5:$F$204,5,FALSE))),"")</f>
      </c>
      <c r="J801" s="11">
        <f>IFERROR(IF($F801="",Ayarlar!$C$9,VLOOKUP($F801,'Ürün Kartlar'!$B$5:$G$204,6,FALSE)),Ayarlar!$C$9)</f>
      </c>
      <c r="K801" s="18">
        <f>IF(OR($H801="",$I801=""),0,$H801*$I801)</f>
      </c>
      <c r="L801" s="18">
        <f>$K801*$J801</f>
      </c>
      <c r="M801" s="18">
        <f>$K801+$L801</f>
      </c>
      <c r="N801" s="8"/>
      <c r="O801" s="8"/>
      <c r="P801" s="8"/>
    </row>
    <row r="802" spans="2:16" x14ac:dyDescent="0.25">
      <c r="B802" s="19"/>
      <c r="C802" s="20"/>
      <c r="D802" s="20"/>
      <c r="E802" s="16">
        <f>IFERROR(IF($D802="","",VLOOKUP($D802,'Cari Kartlar'!$B$5:$C$204,2,FALSE)),"— tanımsız cari —")</f>
      </c>
      <c r="F802" s="20"/>
      <c r="G802" s="16">
        <f>IFERROR(IF($F802="","",VLOOKUP($F802,'Ürün Kartlar'!$B$5:$C$204,2,FALSE)),"— tanımsız ürün —")</f>
      </c>
      <c r="H802" s="21"/>
      <c r="I802" s="22">
        <f>IFERROR(IF($F802="","",IF($C802="Alış",VLOOKUP($F802,'Ürün Kartlar'!$B$5:$E$204,4,FALSE),VLOOKUP($F802,'Ürün Kartlar'!$B$5:$F$204,5,FALSE))),"")</f>
      </c>
      <c r="J802" s="23">
        <f>IFERROR(IF($F802="",Ayarlar!$C$9,VLOOKUP($F802,'Ürün Kartlar'!$B$5:$G$204,6,FALSE)),Ayarlar!$C$9)</f>
      </c>
      <c r="K802" s="18">
        <f>IF(OR($H802="",$I802=""),0,$H802*$I802)</f>
      </c>
      <c r="L802" s="18">
        <f>$K802*$J802</f>
      </c>
      <c r="M802" s="18">
        <f>$K802+$L802</f>
      </c>
      <c r="N802" s="20"/>
      <c r="O802" s="20"/>
      <c r="P802" s="20"/>
    </row>
    <row r="803" spans="2:16" x14ac:dyDescent="0.25">
      <c r="B803" s="15"/>
      <c r="C803" s="8"/>
      <c r="D803" s="8"/>
      <c r="E803" s="16">
        <f>IFERROR(IF($D803="","",VLOOKUP($D803,'Cari Kartlar'!$B$5:$C$204,2,FALSE)),"— tanımsız cari —")</f>
      </c>
      <c r="F803" s="8"/>
      <c r="G803" s="16">
        <f>IFERROR(IF($F803="","",VLOOKUP($F803,'Ürün Kartlar'!$B$5:$C$204,2,FALSE)),"— tanımsız ürün —")</f>
      </c>
      <c r="H803" s="17"/>
      <c r="I803" s="13">
        <f>IFERROR(IF($F803="","",IF($C803="Alış",VLOOKUP($F803,'Ürün Kartlar'!$B$5:$E$204,4,FALSE),VLOOKUP($F803,'Ürün Kartlar'!$B$5:$F$204,5,FALSE))),"")</f>
      </c>
      <c r="J803" s="11">
        <f>IFERROR(IF($F803="",Ayarlar!$C$9,VLOOKUP($F803,'Ürün Kartlar'!$B$5:$G$204,6,FALSE)),Ayarlar!$C$9)</f>
      </c>
      <c r="K803" s="18">
        <f>IF(OR($H803="",$I803=""),0,$H803*$I803)</f>
      </c>
      <c r="L803" s="18">
        <f>$K803*$J803</f>
      </c>
      <c r="M803" s="18">
        <f>$K803+$L803</f>
      </c>
      <c r="N803" s="8"/>
      <c r="O803" s="8"/>
      <c r="P803" s="8"/>
    </row>
    <row r="804" spans="2:16" x14ac:dyDescent="0.25">
      <c r="B804" s="19"/>
      <c r="C804" s="20"/>
      <c r="D804" s="20"/>
      <c r="E804" s="16">
        <f>IFERROR(IF($D804="","",VLOOKUP($D804,'Cari Kartlar'!$B$5:$C$204,2,FALSE)),"— tanımsız cari —")</f>
      </c>
      <c r="F804" s="20"/>
      <c r="G804" s="16">
        <f>IFERROR(IF($F804="","",VLOOKUP($F804,'Ürün Kartlar'!$B$5:$C$204,2,FALSE)),"— tanımsız ürün —")</f>
      </c>
      <c r="H804" s="21"/>
      <c r="I804" s="22">
        <f>IFERROR(IF($F804="","",IF($C804="Alış",VLOOKUP($F804,'Ürün Kartlar'!$B$5:$E$204,4,FALSE),VLOOKUP($F804,'Ürün Kartlar'!$B$5:$F$204,5,FALSE))),"")</f>
      </c>
      <c r="J804" s="23">
        <f>IFERROR(IF($F804="",Ayarlar!$C$9,VLOOKUP($F804,'Ürün Kartlar'!$B$5:$G$204,6,FALSE)),Ayarlar!$C$9)</f>
      </c>
      <c r="K804" s="18">
        <f>IF(OR($H804="",$I804=""),0,$H804*$I804)</f>
      </c>
      <c r="L804" s="18">
        <f>$K804*$J804</f>
      </c>
      <c r="M804" s="18">
        <f>$K804+$L804</f>
      </c>
      <c r="N804" s="20"/>
      <c r="O804" s="20"/>
      <c r="P804" s="20"/>
    </row>
    <row r="805" spans="2:16" x14ac:dyDescent="0.25">
      <c r="B805" s="15"/>
      <c r="C805" s="8"/>
      <c r="D805" s="8"/>
      <c r="E805" s="16">
        <f>IFERROR(IF($D805="","",VLOOKUP($D805,'Cari Kartlar'!$B$5:$C$204,2,FALSE)),"— tanımsız cari —")</f>
      </c>
      <c r="F805" s="8"/>
      <c r="G805" s="16">
        <f>IFERROR(IF($F805="","",VLOOKUP($F805,'Ürün Kartlar'!$B$5:$C$204,2,FALSE)),"— tanımsız ürün —")</f>
      </c>
      <c r="H805" s="17"/>
      <c r="I805" s="13">
        <f>IFERROR(IF($F805="","",IF($C805="Alış",VLOOKUP($F805,'Ürün Kartlar'!$B$5:$E$204,4,FALSE),VLOOKUP($F805,'Ürün Kartlar'!$B$5:$F$204,5,FALSE))),"")</f>
      </c>
      <c r="J805" s="11">
        <f>IFERROR(IF($F805="",Ayarlar!$C$9,VLOOKUP($F805,'Ürün Kartlar'!$B$5:$G$204,6,FALSE)),Ayarlar!$C$9)</f>
      </c>
      <c r="K805" s="18">
        <f>IF(OR($H805="",$I805=""),0,$H805*$I805)</f>
      </c>
      <c r="L805" s="18">
        <f>$K805*$J805</f>
      </c>
      <c r="M805" s="18">
        <f>$K805+$L805</f>
      </c>
      <c r="N805" s="8"/>
      <c r="O805" s="8"/>
      <c r="P805" s="8"/>
    </row>
    <row r="806" spans="2:16" x14ac:dyDescent="0.25">
      <c r="B806" s="19"/>
      <c r="C806" s="20"/>
      <c r="D806" s="20"/>
      <c r="E806" s="16">
        <f>IFERROR(IF($D806="","",VLOOKUP($D806,'Cari Kartlar'!$B$5:$C$204,2,FALSE)),"— tanımsız cari —")</f>
      </c>
      <c r="F806" s="20"/>
      <c r="G806" s="16">
        <f>IFERROR(IF($F806="","",VLOOKUP($F806,'Ürün Kartlar'!$B$5:$C$204,2,FALSE)),"— tanımsız ürün —")</f>
      </c>
      <c r="H806" s="21"/>
      <c r="I806" s="22">
        <f>IFERROR(IF($F806="","",IF($C806="Alış",VLOOKUP($F806,'Ürün Kartlar'!$B$5:$E$204,4,FALSE),VLOOKUP($F806,'Ürün Kartlar'!$B$5:$F$204,5,FALSE))),"")</f>
      </c>
      <c r="J806" s="23">
        <f>IFERROR(IF($F806="",Ayarlar!$C$9,VLOOKUP($F806,'Ürün Kartlar'!$B$5:$G$204,6,FALSE)),Ayarlar!$C$9)</f>
      </c>
      <c r="K806" s="18">
        <f>IF(OR($H806="",$I806=""),0,$H806*$I806)</f>
      </c>
      <c r="L806" s="18">
        <f>$K806*$J806</f>
      </c>
      <c r="M806" s="18">
        <f>$K806+$L806</f>
      </c>
      <c r="N806" s="20"/>
      <c r="O806" s="20"/>
      <c r="P806" s="20"/>
    </row>
    <row r="807" spans="2:16" x14ac:dyDescent="0.25">
      <c r="B807" s="15"/>
      <c r="C807" s="8"/>
      <c r="D807" s="8"/>
      <c r="E807" s="16">
        <f>IFERROR(IF($D807="","",VLOOKUP($D807,'Cari Kartlar'!$B$5:$C$204,2,FALSE)),"— tanımsız cari —")</f>
      </c>
      <c r="F807" s="8"/>
      <c r="G807" s="16">
        <f>IFERROR(IF($F807="","",VLOOKUP($F807,'Ürün Kartlar'!$B$5:$C$204,2,FALSE)),"— tanımsız ürün —")</f>
      </c>
      <c r="H807" s="17"/>
      <c r="I807" s="13">
        <f>IFERROR(IF($F807="","",IF($C807="Alış",VLOOKUP($F807,'Ürün Kartlar'!$B$5:$E$204,4,FALSE),VLOOKUP($F807,'Ürün Kartlar'!$B$5:$F$204,5,FALSE))),"")</f>
      </c>
      <c r="J807" s="11">
        <f>IFERROR(IF($F807="",Ayarlar!$C$9,VLOOKUP($F807,'Ürün Kartlar'!$B$5:$G$204,6,FALSE)),Ayarlar!$C$9)</f>
      </c>
      <c r="K807" s="18">
        <f>IF(OR($H807="",$I807=""),0,$H807*$I807)</f>
      </c>
      <c r="L807" s="18">
        <f>$K807*$J807</f>
      </c>
      <c r="M807" s="18">
        <f>$K807+$L807</f>
      </c>
      <c r="N807" s="8"/>
      <c r="O807" s="8"/>
      <c r="P807" s="8"/>
    </row>
    <row r="808" spans="2:16" x14ac:dyDescent="0.25">
      <c r="B808" s="19"/>
      <c r="C808" s="20"/>
      <c r="D808" s="20"/>
      <c r="E808" s="16">
        <f>IFERROR(IF($D808="","",VLOOKUP($D808,'Cari Kartlar'!$B$5:$C$204,2,FALSE)),"— tanımsız cari —")</f>
      </c>
      <c r="F808" s="20"/>
      <c r="G808" s="16">
        <f>IFERROR(IF($F808="","",VLOOKUP($F808,'Ürün Kartlar'!$B$5:$C$204,2,FALSE)),"— tanımsız ürün —")</f>
      </c>
      <c r="H808" s="21"/>
      <c r="I808" s="22">
        <f>IFERROR(IF($F808="","",IF($C808="Alış",VLOOKUP($F808,'Ürün Kartlar'!$B$5:$E$204,4,FALSE),VLOOKUP($F808,'Ürün Kartlar'!$B$5:$F$204,5,FALSE))),"")</f>
      </c>
      <c r="J808" s="23">
        <f>IFERROR(IF($F808="",Ayarlar!$C$9,VLOOKUP($F808,'Ürün Kartlar'!$B$5:$G$204,6,FALSE)),Ayarlar!$C$9)</f>
      </c>
      <c r="K808" s="18">
        <f>IF(OR($H808="",$I808=""),0,$H808*$I808)</f>
      </c>
      <c r="L808" s="18">
        <f>$K808*$J808</f>
      </c>
      <c r="M808" s="18">
        <f>$K808+$L808</f>
      </c>
      <c r="N808" s="20"/>
      <c r="O808" s="20"/>
      <c r="P808" s="20"/>
    </row>
    <row r="809" spans="2:16" x14ac:dyDescent="0.25">
      <c r="B809" s="15"/>
      <c r="C809" s="8"/>
      <c r="D809" s="8"/>
      <c r="E809" s="16">
        <f>IFERROR(IF($D809="","",VLOOKUP($D809,'Cari Kartlar'!$B$5:$C$204,2,FALSE)),"— tanımsız cari —")</f>
      </c>
      <c r="F809" s="8"/>
      <c r="G809" s="16">
        <f>IFERROR(IF($F809="","",VLOOKUP($F809,'Ürün Kartlar'!$B$5:$C$204,2,FALSE)),"— tanımsız ürün —")</f>
      </c>
      <c r="H809" s="17"/>
      <c r="I809" s="13">
        <f>IFERROR(IF($F809="","",IF($C809="Alış",VLOOKUP($F809,'Ürün Kartlar'!$B$5:$E$204,4,FALSE),VLOOKUP($F809,'Ürün Kartlar'!$B$5:$F$204,5,FALSE))),"")</f>
      </c>
      <c r="J809" s="11">
        <f>IFERROR(IF($F809="",Ayarlar!$C$9,VLOOKUP($F809,'Ürün Kartlar'!$B$5:$G$204,6,FALSE)),Ayarlar!$C$9)</f>
      </c>
      <c r="K809" s="18">
        <f>IF(OR($H809="",$I809=""),0,$H809*$I809)</f>
      </c>
      <c r="L809" s="18">
        <f>$K809*$J809</f>
      </c>
      <c r="M809" s="18">
        <f>$K809+$L809</f>
      </c>
      <c r="N809" s="8"/>
      <c r="O809" s="8"/>
      <c r="P809" s="8"/>
    </row>
    <row r="810" spans="2:16" x14ac:dyDescent="0.25">
      <c r="B810" s="19"/>
      <c r="C810" s="20"/>
      <c r="D810" s="20"/>
      <c r="E810" s="16">
        <f>IFERROR(IF($D810="","",VLOOKUP($D810,'Cari Kartlar'!$B$5:$C$204,2,FALSE)),"— tanımsız cari —")</f>
      </c>
      <c r="F810" s="20"/>
      <c r="G810" s="16">
        <f>IFERROR(IF($F810="","",VLOOKUP($F810,'Ürün Kartlar'!$B$5:$C$204,2,FALSE)),"— tanımsız ürün —")</f>
      </c>
      <c r="H810" s="21"/>
      <c r="I810" s="22">
        <f>IFERROR(IF($F810="","",IF($C810="Alış",VLOOKUP($F810,'Ürün Kartlar'!$B$5:$E$204,4,FALSE),VLOOKUP($F810,'Ürün Kartlar'!$B$5:$F$204,5,FALSE))),"")</f>
      </c>
      <c r="J810" s="23">
        <f>IFERROR(IF($F810="",Ayarlar!$C$9,VLOOKUP($F810,'Ürün Kartlar'!$B$5:$G$204,6,FALSE)),Ayarlar!$C$9)</f>
      </c>
      <c r="K810" s="18">
        <f>IF(OR($H810="",$I810=""),0,$H810*$I810)</f>
      </c>
      <c r="L810" s="18">
        <f>$K810*$J810</f>
      </c>
      <c r="M810" s="18">
        <f>$K810+$L810</f>
      </c>
      <c r="N810" s="20"/>
      <c r="O810" s="20"/>
      <c r="P810" s="20"/>
    </row>
    <row r="811" spans="2:16" x14ac:dyDescent="0.25">
      <c r="B811" s="15"/>
      <c r="C811" s="8"/>
      <c r="D811" s="8"/>
      <c r="E811" s="16">
        <f>IFERROR(IF($D811="","",VLOOKUP($D811,'Cari Kartlar'!$B$5:$C$204,2,FALSE)),"— tanımsız cari —")</f>
      </c>
      <c r="F811" s="8"/>
      <c r="G811" s="16">
        <f>IFERROR(IF($F811="","",VLOOKUP($F811,'Ürün Kartlar'!$B$5:$C$204,2,FALSE)),"— tanımsız ürün —")</f>
      </c>
      <c r="H811" s="17"/>
      <c r="I811" s="13">
        <f>IFERROR(IF($F811="","",IF($C811="Alış",VLOOKUP($F811,'Ürün Kartlar'!$B$5:$E$204,4,FALSE),VLOOKUP($F811,'Ürün Kartlar'!$B$5:$F$204,5,FALSE))),"")</f>
      </c>
      <c r="J811" s="11">
        <f>IFERROR(IF($F811="",Ayarlar!$C$9,VLOOKUP($F811,'Ürün Kartlar'!$B$5:$G$204,6,FALSE)),Ayarlar!$C$9)</f>
      </c>
      <c r="K811" s="18">
        <f>IF(OR($H811="",$I811=""),0,$H811*$I811)</f>
      </c>
      <c r="L811" s="18">
        <f>$K811*$J811</f>
      </c>
      <c r="M811" s="18">
        <f>$K811+$L811</f>
      </c>
      <c r="N811" s="8"/>
      <c r="O811" s="8"/>
      <c r="P811" s="8"/>
    </row>
    <row r="812" spans="2:16" x14ac:dyDescent="0.25">
      <c r="B812" s="19"/>
      <c r="C812" s="20"/>
      <c r="D812" s="20"/>
      <c r="E812" s="16">
        <f>IFERROR(IF($D812="","",VLOOKUP($D812,'Cari Kartlar'!$B$5:$C$204,2,FALSE)),"— tanımsız cari —")</f>
      </c>
      <c r="F812" s="20"/>
      <c r="G812" s="16">
        <f>IFERROR(IF($F812="","",VLOOKUP($F812,'Ürün Kartlar'!$B$5:$C$204,2,FALSE)),"— tanımsız ürün —")</f>
      </c>
      <c r="H812" s="21"/>
      <c r="I812" s="22">
        <f>IFERROR(IF($F812="","",IF($C812="Alış",VLOOKUP($F812,'Ürün Kartlar'!$B$5:$E$204,4,FALSE),VLOOKUP($F812,'Ürün Kartlar'!$B$5:$F$204,5,FALSE))),"")</f>
      </c>
      <c r="J812" s="23">
        <f>IFERROR(IF($F812="",Ayarlar!$C$9,VLOOKUP($F812,'Ürün Kartlar'!$B$5:$G$204,6,FALSE)),Ayarlar!$C$9)</f>
      </c>
      <c r="K812" s="18">
        <f>IF(OR($H812="",$I812=""),0,$H812*$I812)</f>
      </c>
      <c r="L812" s="18">
        <f>$K812*$J812</f>
      </c>
      <c r="M812" s="18">
        <f>$K812+$L812</f>
      </c>
      <c r="N812" s="20"/>
      <c r="O812" s="20"/>
      <c r="P812" s="20"/>
    </row>
    <row r="813" spans="2:16" x14ac:dyDescent="0.25">
      <c r="B813" s="15"/>
      <c r="C813" s="8"/>
      <c r="D813" s="8"/>
      <c r="E813" s="16">
        <f>IFERROR(IF($D813="","",VLOOKUP($D813,'Cari Kartlar'!$B$5:$C$204,2,FALSE)),"— tanımsız cari —")</f>
      </c>
      <c r="F813" s="8"/>
      <c r="G813" s="16">
        <f>IFERROR(IF($F813="","",VLOOKUP($F813,'Ürün Kartlar'!$B$5:$C$204,2,FALSE)),"— tanımsız ürün —")</f>
      </c>
      <c r="H813" s="17"/>
      <c r="I813" s="13">
        <f>IFERROR(IF($F813="","",IF($C813="Alış",VLOOKUP($F813,'Ürün Kartlar'!$B$5:$E$204,4,FALSE),VLOOKUP($F813,'Ürün Kartlar'!$B$5:$F$204,5,FALSE))),"")</f>
      </c>
      <c r="J813" s="11">
        <f>IFERROR(IF($F813="",Ayarlar!$C$9,VLOOKUP($F813,'Ürün Kartlar'!$B$5:$G$204,6,FALSE)),Ayarlar!$C$9)</f>
      </c>
      <c r="K813" s="18">
        <f>IF(OR($H813="",$I813=""),0,$H813*$I813)</f>
      </c>
      <c r="L813" s="18">
        <f>$K813*$J813</f>
      </c>
      <c r="M813" s="18">
        <f>$K813+$L813</f>
      </c>
      <c r="N813" s="8"/>
      <c r="O813" s="8"/>
      <c r="P813" s="8"/>
    </row>
    <row r="814" spans="2:16" x14ac:dyDescent="0.25">
      <c r="B814" s="19"/>
      <c r="C814" s="20"/>
      <c r="D814" s="20"/>
      <c r="E814" s="16">
        <f>IFERROR(IF($D814="","",VLOOKUP($D814,'Cari Kartlar'!$B$5:$C$204,2,FALSE)),"— tanımsız cari —")</f>
      </c>
      <c r="F814" s="20"/>
      <c r="G814" s="16">
        <f>IFERROR(IF($F814="","",VLOOKUP($F814,'Ürün Kartlar'!$B$5:$C$204,2,FALSE)),"— tanımsız ürün —")</f>
      </c>
      <c r="H814" s="21"/>
      <c r="I814" s="22">
        <f>IFERROR(IF($F814="","",IF($C814="Alış",VLOOKUP($F814,'Ürün Kartlar'!$B$5:$E$204,4,FALSE),VLOOKUP($F814,'Ürün Kartlar'!$B$5:$F$204,5,FALSE))),"")</f>
      </c>
      <c r="J814" s="23">
        <f>IFERROR(IF($F814="",Ayarlar!$C$9,VLOOKUP($F814,'Ürün Kartlar'!$B$5:$G$204,6,FALSE)),Ayarlar!$C$9)</f>
      </c>
      <c r="K814" s="18">
        <f>IF(OR($H814="",$I814=""),0,$H814*$I814)</f>
      </c>
      <c r="L814" s="18">
        <f>$K814*$J814</f>
      </c>
      <c r="M814" s="18">
        <f>$K814+$L814</f>
      </c>
      <c r="N814" s="20"/>
      <c r="O814" s="20"/>
      <c r="P814" s="20"/>
    </row>
    <row r="815" spans="2:16" x14ac:dyDescent="0.25">
      <c r="B815" s="15"/>
      <c r="C815" s="8"/>
      <c r="D815" s="8"/>
      <c r="E815" s="16">
        <f>IFERROR(IF($D815="","",VLOOKUP($D815,'Cari Kartlar'!$B$5:$C$204,2,FALSE)),"— tanımsız cari —")</f>
      </c>
      <c r="F815" s="8"/>
      <c r="G815" s="16">
        <f>IFERROR(IF($F815="","",VLOOKUP($F815,'Ürün Kartlar'!$B$5:$C$204,2,FALSE)),"— tanımsız ürün —")</f>
      </c>
      <c r="H815" s="17"/>
      <c r="I815" s="13">
        <f>IFERROR(IF($F815="","",IF($C815="Alış",VLOOKUP($F815,'Ürün Kartlar'!$B$5:$E$204,4,FALSE),VLOOKUP($F815,'Ürün Kartlar'!$B$5:$F$204,5,FALSE))),"")</f>
      </c>
      <c r="J815" s="11">
        <f>IFERROR(IF($F815="",Ayarlar!$C$9,VLOOKUP($F815,'Ürün Kartlar'!$B$5:$G$204,6,FALSE)),Ayarlar!$C$9)</f>
      </c>
      <c r="K815" s="18">
        <f>IF(OR($H815="",$I815=""),0,$H815*$I815)</f>
      </c>
      <c r="L815" s="18">
        <f>$K815*$J815</f>
      </c>
      <c r="M815" s="18">
        <f>$K815+$L815</f>
      </c>
      <c r="N815" s="8"/>
      <c r="O815" s="8"/>
      <c r="P815" s="8"/>
    </row>
    <row r="816" spans="2:16" x14ac:dyDescent="0.25">
      <c r="B816" s="19"/>
      <c r="C816" s="20"/>
      <c r="D816" s="20"/>
      <c r="E816" s="16">
        <f>IFERROR(IF($D816="","",VLOOKUP($D816,'Cari Kartlar'!$B$5:$C$204,2,FALSE)),"— tanımsız cari —")</f>
      </c>
      <c r="F816" s="20"/>
      <c r="G816" s="16">
        <f>IFERROR(IF($F816="","",VLOOKUP($F816,'Ürün Kartlar'!$B$5:$C$204,2,FALSE)),"— tanımsız ürün —")</f>
      </c>
      <c r="H816" s="21"/>
      <c r="I816" s="22">
        <f>IFERROR(IF($F816="","",IF($C816="Alış",VLOOKUP($F816,'Ürün Kartlar'!$B$5:$E$204,4,FALSE),VLOOKUP($F816,'Ürün Kartlar'!$B$5:$F$204,5,FALSE))),"")</f>
      </c>
      <c r="J816" s="23">
        <f>IFERROR(IF($F816="",Ayarlar!$C$9,VLOOKUP($F816,'Ürün Kartlar'!$B$5:$G$204,6,FALSE)),Ayarlar!$C$9)</f>
      </c>
      <c r="K816" s="18">
        <f>IF(OR($H816="",$I816=""),0,$H816*$I816)</f>
      </c>
      <c r="L816" s="18">
        <f>$K816*$J816</f>
      </c>
      <c r="M816" s="18">
        <f>$K816+$L816</f>
      </c>
      <c r="N816" s="20"/>
      <c r="O816" s="20"/>
      <c r="P816" s="20"/>
    </row>
    <row r="817" spans="2:16" x14ac:dyDescent="0.25">
      <c r="B817" s="15"/>
      <c r="C817" s="8"/>
      <c r="D817" s="8"/>
      <c r="E817" s="16">
        <f>IFERROR(IF($D817="","",VLOOKUP($D817,'Cari Kartlar'!$B$5:$C$204,2,FALSE)),"— tanımsız cari —")</f>
      </c>
      <c r="F817" s="8"/>
      <c r="G817" s="16">
        <f>IFERROR(IF($F817="","",VLOOKUP($F817,'Ürün Kartlar'!$B$5:$C$204,2,FALSE)),"— tanımsız ürün —")</f>
      </c>
      <c r="H817" s="17"/>
      <c r="I817" s="13">
        <f>IFERROR(IF($F817="","",IF($C817="Alış",VLOOKUP($F817,'Ürün Kartlar'!$B$5:$E$204,4,FALSE),VLOOKUP($F817,'Ürün Kartlar'!$B$5:$F$204,5,FALSE))),"")</f>
      </c>
      <c r="J817" s="11">
        <f>IFERROR(IF($F817="",Ayarlar!$C$9,VLOOKUP($F817,'Ürün Kartlar'!$B$5:$G$204,6,FALSE)),Ayarlar!$C$9)</f>
      </c>
      <c r="K817" s="18">
        <f>IF(OR($H817="",$I817=""),0,$H817*$I817)</f>
      </c>
      <c r="L817" s="18">
        <f>$K817*$J817</f>
      </c>
      <c r="M817" s="18">
        <f>$K817+$L817</f>
      </c>
      <c r="N817" s="8"/>
      <c r="O817" s="8"/>
      <c r="P817" s="8"/>
    </row>
    <row r="818" spans="2:16" x14ac:dyDescent="0.25">
      <c r="B818" s="19"/>
      <c r="C818" s="20"/>
      <c r="D818" s="20"/>
      <c r="E818" s="16">
        <f>IFERROR(IF($D818="","",VLOOKUP($D818,'Cari Kartlar'!$B$5:$C$204,2,FALSE)),"— tanımsız cari —")</f>
      </c>
      <c r="F818" s="20"/>
      <c r="G818" s="16">
        <f>IFERROR(IF($F818="","",VLOOKUP($F818,'Ürün Kartlar'!$B$5:$C$204,2,FALSE)),"— tanımsız ürün —")</f>
      </c>
      <c r="H818" s="21"/>
      <c r="I818" s="22">
        <f>IFERROR(IF($F818="","",IF($C818="Alış",VLOOKUP($F818,'Ürün Kartlar'!$B$5:$E$204,4,FALSE),VLOOKUP($F818,'Ürün Kartlar'!$B$5:$F$204,5,FALSE))),"")</f>
      </c>
      <c r="J818" s="23">
        <f>IFERROR(IF($F818="",Ayarlar!$C$9,VLOOKUP($F818,'Ürün Kartlar'!$B$5:$G$204,6,FALSE)),Ayarlar!$C$9)</f>
      </c>
      <c r="K818" s="18">
        <f>IF(OR($H818="",$I818=""),0,$H818*$I818)</f>
      </c>
      <c r="L818" s="18">
        <f>$K818*$J818</f>
      </c>
      <c r="M818" s="18">
        <f>$K818+$L818</f>
      </c>
      <c r="N818" s="20"/>
      <c r="O818" s="20"/>
      <c r="P818" s="20"/>
    </row>
    <row r="819" spans="2:16" x14ac:dyDescent="0.25">
      <c r="B819" s="15"/>
      <c r="C819" s="8"/>
      <c r="D819" s="8"/>
      <c r="E819" s="16">
        <f>IFERROR(IF($D819="","",VLOOKUP($D819,'Cari Kartlar'!$B$5:$C$204,2,FALSE)),"— tanımsız cari —")</f>
      </c>
      <c r="F819" s="8"/>
      <c r="G819" s="16">
        <f>IFERROR(IF($F819="","",VLOOKUP($F819,'Ürün Kartlar'!$B$5:$C$204,2,FALSE)),"— tanımsız ürün —")</f>
      </c>
      <c r="H819" s="17"/>
      <c r="I819" s="13">
        <f>IFERROR(IF($F819="","",IF($C819="Alış",VLOOKUP($F819,'Ürün Kartlar'!$B$5:$E$204,4,FALSE),VLOOKUP($F819,'Ürün Kartlar'!$B$5:$F$204,5,FALSE))),"")</f>
      </c>
      <c r="J819" s="11">
        <f>IFERROR(IF($F819="",Ayarlar!$C$9,VLOOKUP($F819,'Ürün Kartlar'!$B$5:$G$204,6,FALSE)),Ayarlar!$C$9)</f>
      </c>
      <c r="K819" s="18">
        <f>IF(OR($H819="",$I819=""),0,$H819*$I819)</f>
      </c>
      <c r="L819" s="18">
        <f>$K819*$J819</f>
      </c>
      <c r="M819" s="18">
        <f>$K819+$L819</f>
      </c>
      <c r="N819" s="8"/>
      <c r="O819" s="8"/>
      <c r="P819" s="8"/>
    </row>
    <row r="820" spans="2:16" x14ac:dyDescent="0.25">
      <c r="B820" s="19"/>
      <c r="C820" s="20"/>
      <c r="D820" s="20"/>
      <c r="E820" s="16">
        <f>IFERROR(IF($D820="","",VLOOKUP($D820,'Cari Kartlar'!$B$5:$C$204,2,FALSE)),"— tanımsız cari —")</f>
      </c>
      <c r="F820" s="20"/>
      <c r="G820" s="16">
        <f>IFERROR(IF($F820="","",VLOOKUP($F820,'Ürün Kartlar'!$B$5:$C$204,2,FALSE)),"— tanımsız ürün —")</f>
      </c>
      <c r="H820" s="21"/>
      <c r="I820" s="22">
        <f>IFERROR(IF($F820="","",IF($C820="Alış",VLOOKUP($F820,'Ürün Kartlar'!$B$5:$E$204,4,FALSE),VLOOKUP($F820,'Ürün Kartlar'!$B$5:$F$204,5,FALSE))),"")</f>
      </c>
      <c r="J820" s="23">
        <f>IFERROR(IF($F820="",Ayarlar!$C$9,VLOOKUP($F820,'Ürün Kartlar'!$B$5:$G$204,6,FALSE)),Ayarlar!$C$9)</f>
      </c>
      <c r="K820" s="18">
        <f>IF(OR($H820="",$I820=""),0,$H820*$I820)</f>
      </c>
      <c r="L820" s="18">
        <f>$K820*$J820</f>
      </c>
      <c r="M820" s="18">
        <f>$K820+$L820</f>
      </c>
      <c r="N820" s="20"/>
      <c r="O820" s="20"/>
      <c r="P820" s="20"/>
    </row>
    <row r="821" spans="2:16" x14ac:dyDescent="0.25">
      <c r="B821" s="15"/>
      <c r="C821" s="8"/>
      <c r="D821" s="8"/>
      <c r="E821" s="16">
        <f>IFERROR(IF($D821="","",VLOOKUP($D821,'Cari Kartlar'!$B$5:$C$204,2,FALSE)),"— tanımsız cari —")</f>
      </c>
      <c r="F821" s="8"/>
      <c r="G821" s="16">
        <f>IFERROR(IF($F821="","",VLOOKUP($F821,'Ürün Kartlar'!$B$5:$C$204,2,FALSE)),"— tanımsız ürün —")</f>
      </c>
      <c r="H821" s="17"/>
      <c r="I821" s="13">
        <f>IFERROR(IF($F821="","",IF($C821="Alış",VLOOKUP($F821,'Ürün Kartlar'!$B$5:$E$204,4,FALSE),VLOOKUP($F821,'Ürün Kartlar'!$B$5:$F$204,5,FALSE))),"")</f>
      </c>
      <c r="J821" s="11">
        <f>IFERROR(IF($F821="",Ayarlar!$C$9,VLOOKUP($F821,'Ürün Kartlar'!$B$5:$G$204,6,FALSE)),Ayarlar!$C$9)</f>
      </c>
      <c r="K821" s="18">
        <f>IF(OR($H821="",$I821=""),0,$H821*$I821)</f>
      </c>
      <c r="L821" s="18">
        <f>$K821*$J821</f>
      </c>
      <c r="M821" s="18">
        <f>$K821+$L821</f>
      </c>
      <c r="N821" s="8"/>
      <c r="O821" s="8"/>
      <c r="P821" s="8"/>
    </row>
    <row r="822" spans="2:16" x14ac:dyDescent="0.25">
      <c r="B822" s="19"/>
      <c r="C822" s="20"/>
      <c r="D822" s="20"/>
      <c r="E822" s="16">
        <f>IFERROR(IF($D822="","",VLOOKUP($D822,'Cari Kartlar'!$B$5:$C$204,2,FALSE)),"— tanımsız cari —")</f>
      </c>
      <c r="F822" s="20"/>
      <c r="G822" s="16">
        <f>IFERROR(IF($F822="","",VLOOKUP($F822,'Ürün Kartlar'!$B$5:$C$204,2,FALSE)),"— tanımsız ürün —")</f>
      </c>
      <c r="H822" s="21"/>
      <c r="I822" s="22">
        <f>IFERROR(IF($F822="","",IF($C822="Alış",VLOOKUP($F822,'Ürün Kartlar'!$B$5:$E$204,4,FALSE),VLOOKUP($F822,'Ürün Kartlar'!$B$5:$F$204,5,FALSE))),"")</f>
      </c>
      <c r="J822" s="23">
        <f>IFERROR(IF($F822="",Ayarlar!$C$9,VLOOKUP($F822,'Ürün Kartlar'!$B$5:$G$204,6,FALSE)),Ayarlar!$C$9)</f>
      </c>
      <c r="K822" s="18">
        <f>IF(OR($H822="",$I822=""),0,$H822*$I822)</f>
      </c>
      <c r="L822" s="18">
        <f>$K822*$J822</f>
      </c>
      <c r="M822" s="18">
        <f>$K822+$L822</f>
      </c>
      <c r="N822" s="20"/>
      <c r="O822" s="20"/>
      <c r="P822" s="20"/>
    </row>
    <row r="823" spans="2:16" x14ac:dyDescent="0.25">
      <c r="B823" s="15"/>
      <c r="C823" s="8"/>
      <c r="D823" s="8"/>
      <c r="E823" s="16">
        <f>IFERROR(IF($D823="","",VLOOKUP($D823,'Cari Kartlar'!$B$5:$C$204,2,FALSE)),"— tanımsız cari —")</f>
      </c>
      <c r="F823" s="8"/>
      <c r="G823" s="16">
        <f>IFERROR(IF($F823="","",VLOOKUP($F823,'Ürün Kartlar'!$B$5:$C$204,2,FALSE)),"— tanımsız ürün —")</f>
      </c>
      <c r="H823" s="17"/>
      <c r="I823" s="13">
        <f>IFERROR(IF($F823="","",IF($C823="Alış",VLOOKUP($F823,'Ürün Kartlar'!$B$5:$E$204,4,FALSE),VLOOKUP($F823,'Ürün Kartlar'!$B$5:$F$204,5,FALSE))),"")</f>
      </c>
      <c r="J823" s="11">
        <f>IFERROR(IF($F823="",Ayarlar!$C$9,VLOOKUP($F823,'Ürün Kartlar'!$B$5:$G$204,6,FALSE)),Ayarlar!$C$9)</f>
      </c>
      <c r="K823" s="18">
        <f>IF(OR($H823="",$I823=""),0,$H823*$I823)</f>
      </c>
      <c r="L823" s="18">
        <f>$K823*$J823</f>
      </c>
      <c r="M823" s="18">
        <f>$K823+$L823</f>
      </c>
      <c r="N823" s="8"/>
      <c r="O823" s="8"/>
      <c r="P823" s="8"/>
    </row>
    <row r="824" spans="2:16" x14ac:dyDescent="0.25">
      <c r="B824" s="19"/>
      <c r="C824" s="20"/>
      <c r="D824" s="20"/>
      <c r="E824" s="16">
        <f>IFERROR(IF($D824="","",VLOOKUP($D824,'Cari Kartlar'!$B$5:$C$204,2,FALSE)),"— tanımsız cari —")</f>
      </c>
      <c r="F824" s="20"/>
      <c r="G824" s="16">
        <f>IFERROR(IF($F824="","",VLOOKUP($F824,'Ürün Kartlar'!$B$5:$C$204,2,FALSE)),"— tanımsız ürün —")</f>
      </c>
      <c r="H824" s="21"/>
      <c r="I824" s="22">
        <f>IFERROR(IF($F824="","",IF($C824="Alış",VLOOKUP($F824,'Ürün Kartlar'!$B$5:$E$204,4,FALSE),VLOOKUP($F824,'Ürün Kartlar'!$B$5:$F$204,5,FALSE))),"")</f>
      </c>
      <c r="J824" s="23">
        <f>IFERROR(IF($F824="",Ayarlar!$C$9,VLOOKUP($F824,'Ürün Kartlar'!$B$5:$G$204,6,FALSE)),Ayarlar!$C$9)</f>
      </c>
      <c r="K824" s="18">
        <f>IF(OR($H824="",$I824=""),0,$H824*$I824)</f>
      </c>
      <c r="L824" s="18">
        <f>$K824*$J824</f>
      </c>
      <c r="M824" s="18">
        <f>$K824+$L824</f>
      </c>
      <c r="N824" s="20"/>
      <c r="O824" s="20"/>
      <c r="P824" s="20"/>
    </row>
    <row r="825" spans="2:16" x14ac:dyDescent="0.25">
      <c r="B825" s="15"/>
      <c r="C825" s="8"/>
      <c r="D825" s="8"/>
      <c r="E825" s="16">
        <f>IFERROR(IF($D825="","",VLOOKUP($D825,'Cari Kartlar'!$B$5:$C$204,2,FALSE)),"— tanımsız cari —")</f>
      </c>
      <c r="F825" s="8"/>
      <c r="G825" s="16">
        <f>IFERROR(IF($F825="","",VLOOKUP($F825,'Ürün Kartlar'!$B$5:$C$204,2,FALSE)),"— tanımsız ürün —")</f>
      </c>
      <c r="H825" s="17"/>
      <c r="I825" s="13">
        <f>IFERROR(IF($F825="","",IF($C825="Alış",VLOOKUP($F825,'Ürün Kartlar'!$B$5:$E$204,4,FALSE),VLOOKUP($F825,'Ürün Kartlar'!$B$5:$F$204,5,FALSE))),"")</f>
      </c>
      <c r="J825" s="11">
        <f>IFERROR(IF($F825="",Ayarlar!$C$9,VLOOKUP($F825,'Ürün Kartlar'!$B$5:$G$204,6,FALSE)),Ayarlar!$C$9)</f>
      </c>
      <c r="K825" s="18">
        <f>IF(OR($H825="",$I825=""),0,$H825*$I825)</f>
      </c>
      <c r="L825" s="18">
        <f>$K825*$J825</f>
      </c>
      <c r="M825" s="18">
        <f>$K825+$L825</f>
      </c>
      <c r="N825" s="8"/>
      <c r="O825" s="8"/>
      <c r="P825" s="8"/>
    </row>
    <row r="826" spans="2:16" x14ac:dyDescent="0.25">
      <c r="B826" s="19"/>
      <c r="C826" s="20"/>
      <c r="D826" s="20"/>
      <c r="E826" s="16">
        <f>IFERROR(IF($D826="","",VLOOKUP($D826,'Cari Kartlar'!$B$5:$C$204,2,FALSE)),"— tanımsız cari —")</f>
      </c>
      <c r="F826" s="20"/>
      <c r="G826" s="16">
        <f>IFERROR(IF($F826="","",VLOOKUP($F826,'Ürün Kartlar'!$B$5:$C$204,2,FALSE)),"— tanımsız ürün —")</f>
      </c>
      <c r="H826" s="21"/>
      <c r="I826" s="22">
        <f>IFERROR(IF($F826="","",IF($C826="Alış",VLOOKUP($F826,'Ürün Kartlar'!$B$5:$E$204,4,FALSE),VLOOKUP($F826,'Ürün Kartlar'!$B$5:$F$204,5,FALSE))),"")</f>
      </c>
      <c r="J826" s="23">
        <f>IFERROR(IF($F826="",Ayarlar!$C$9,VLOOKUP($F826,'Ürün Kartlar'!$B$5:$G$204,6,FALSE)),Ayarlar!$C$9)</f>
      </c>
      <c r="K826" s="18">
        <f>IF(OR($H826="",$I826=""),0,$H826*$I826)</f>
      </c>
      <c r="L826" s="18">
        <f>$K826*$J826</f>
      </c>
      <c r="M826" s="18">
        <f>$K826+$L826</f>
      </c>
      <c r="N826" s="20"/>
      <c r="O826" s="20"/>
      <c r="P826" s="20"/>
    </row>
    <row r="827" spans="2:16" x14ac:dyDescent="0.25">
      <c r="B827" s="15"/>
      <c r="C827" s="8"/>
      <c r="D827" s="8"/>
      <c r="E827" s="16">
        <f>IFERROR(IF($D827="","",VLOOKUP($D827,'Cari Kartlar'!$B$5:$C$204,2,FALSE)),"— tanımsız cari —")</f>
      </c>
      <c r="F827" s="8"/>
      <c r="G827" s="16">
        <f>IFERROR(IF($F827="","",VLOOKUP($F827,'Ürün Kartlar'!$B$5:$C$204,2,FALSE)),"— tanımsız ürün —")</f>
      </c>
      <c r="H827" s="17"/>
      <c r="I827" s="13">
        <f>IFERROR(IF($F827="","",IF($C827="Alış",VLOOKUP($F827,'Ürün Kartlar'!$B$5:$E$204,4,FALSE),VLOOKUP($F827,'Ürün Kartlar'!$B$5:$F$204,5,FALSE))),"")</f>
      </c>
      <c r="J827" s="11">
        <f>IFERROR(IF($F827="",Ayarlar!$C$9,VLOOKUP($F827,'Ürün Kartlar'!$B$5:$G$204,6,FALSE)),Ayarlar!$C$9)</f>
      </c>
      <c r="K827" s="18">
        <f>IF(OR($H827="",$I827=""),0,$H827*$I827)</f>
      </c>
      <c r="L827" s="18">
        <f>$K827*$J827</f>
      </c>
      <c r="M827" s="18">
        <f>$K827+$L827</f>
      </c>
      <c r="N827" s="8"/>
      <c r="O827" s="8"/>
      <c r="P827" s="8"/>
    </row>
    <row r="828" spans="2:16" x14ac:dyDescent="0.25">
      <c r="B828" s="19"/>
      <c r="C828" s="20"/>
      <c r="D828" s="20"/>
      <c r="E828" s="16">
        <f>IFERROR(IF($D828="","",VLOOKUP($D828,'Cari Kartlar'!$B$5:$C$204,2,FALSE)),"— tanımsız cari —")</f>
      </c>
      <c r="F828" s="20"/>
      <c r="G828" s="16">
        <f>IFERROR(IF($F828="","",VLOOKUP($F828,'Ürün Kartlar'!$B$5:$C$204,2,FALSE)),"— tanımsız ürün —")</f>
      </c>
      <c r="H828" s="21"/>
      <c r="I828" s="22">
        <f>IFERROR(IF($F828="","",IF($C828="Alış",VLOOKUP($F828,'Ürün Kartlar'!$B$5:$E$204,4,FALSE),VLOOKUP($F828,'Ürün Kartlar'!$B$5:$F$204,5,FALSE))),"")</f>
      </c>
      <c r="J828" s="23">
        <f>IFERROR(IF($F828="",Ayarlar!$C$9,VLOOKUP($F828,'Ürün Kartlar'!$B$5:$G$204,6,FALSE)),Ayarlar!$C$9)</f>
      </c>
      <c r="K828" s="18">
        <f>IF(OR($H828="",$I828=""),0,$H828*$I828)</f>
      </c>
      <c r="L828" s="18">
        <f>$K828*$J828</f>
      </c>
      <c r="M828" s="18">
        <f>$K828+$L828</f>
      </c>
      <c r="N828" s="20"/>
      <c r="O828" s="20"/>
      <c r="P828" s="20"/>
    </row>
    <row r="829" spans="2:16" x14ac:dyDescent="0.25">
      <c r="B829" s="15"/>
      <c r="C829" s="8"/>
      <c r="D829" s="8"/>
      <c r="E829" s="16">
        <f>IFERROR(IF($D829="","",VLOOKUP($D829,'Cari Kartlar'!$B$5:$C$204,2,FALSE)),"— tanımsız cari —")</f>
      </c>
      <c r="F829" s="8"/>
      <c r="G829" s="16">
        <f>IFERROR(IF($F829="","",VLOOKUP($F829,'Ürün Kartlar'!$B$5:$C$204,2,FALSE)),"— tanımsız ürün —")</f>
      </c>
      <c r="H829" s="17"/>
      <c r="I829" s="13">
        <f>IFERROR(IF($F829="","",IF($C829="Alış",VLOOKUP($F829,'Ürün Kartlar'!$B$5:$E$204,4,FALSE),VLOOKUP($F829,'Ürün Kartlar'!$B$5:$F$204,5,FALSE))),"")</f>
      </c>
      <c r="J829" s="11">
        <f>IFERROR(IF($F829="",Ayarlar!$C$9,VLOOKUP($F829,'Ürün Kartlar'!$B$5:$G$204,6,FALSE)),Ayarlar!$C$9)</f>
      </c>
      <c r="K829" s="18">
        <f>IF(OR($H829="",$I829=""),0,$H829*$I829)</f>
      </c>
      <c r="L829" s="18">
        <f>$K829*$J829</f>
      </c>
      <c r="M829" s="18">
        <f>$K829+$L829</f>
      </c>
      <c r="N829" s="8"/>
      <c r="O829" s="8"/>
      <c r="P829" s="8"/>
    </row>
    <row r="830" spans="2:16" x14ac:dyDescent="0.25">
      <c r="B830" s="19"/>
      <c r="C830" s="20"/>
      <c r="D830" s="20"/>
      <c r="E830" s="16">
        <f>IFERROR(IF($D830="","",VLOOKUP($D830,'Cari Kartlar'!$B$5:$C$204,2,FALSE)),"— tanımsız cari —")</f>
      </c>
      <c r="F830" s="20"/>
      <c r="G830" s="16">
        <f>IFERROR(IF($F830="","",VLOOKUP($F830,'Ürün Kartlar'!$B$5:$C$204,2,FALSE)),"— tanımsız ürün —")</f>
      </c>
      <c r="H830" s="21"/>
      <c r="I830" s="22">
        <f>IFERROR(IF($F830="","",IF($C830="Alış",VLOOKUP($F830,'Ürün Kartlar'!$B$5:$E$204,4,FALSE),VLOOKUP($F830,'Ürün Kartlar'!$B$5:$F$204,5,FALSE))),"")</f>
      </c>
      <c r="J830" s="23">
        <f>IFERROR(IF($F830="",Ayarlar!$C$9,VLOOKUP($F830,'Ürün Kartlar'!$B$5:$G$204,6,FALSE)),Ayarlar!$C$9)</f>
      </c>
      <c r="K830" s="18">
        <f>IF(OR($H830="",$I830=""),0,$H830*$I830)</f>
      </c>
      <c r="L830" s="18">
        <f>$K830*$J830</f>
      </c>
      <c r="M830" s="18">
        <f>$K830+$L830</f>
      </c>
      <c r="N830" s="20"/>
      <c r="O830" s="20"/>
      <c r="P830" s="20"/>
    </row>
    <row r="831" spans="2:16" x14ac:dyDescent="0.25">
      <c r="B831" s="15"/>
      <c r="C831" s="8"/>
      <c r="D831" s="8"/>
      <c r="E831" s="16">
        <f>IFERROR(IF($D831="","",VLOOKUP($D831,'Cari Kartlar'!$B$5:$C$204,2,FALSE)),"— tanımsız cari —")</f>
      </c>
      <c r="F831" s="8"/>
      <c r="G831" s="16">
        <f>IFERROR(IF($F831="","",VLOOKUP($F831,'Ürün Kartlar'!$B$5:$C$204,2,FALSE)),"— tanımsız ürün —")</f>
      </c>
      <c r="H831" s="17"/>
      <c r="I831" s="13">
        <f>IFERROR(IF($F831="","",IF($C831="Alış",VLOOKUP($F831,'Ürün Kartlar'!$B$5:$E$204,4,FALSE),VLOOKUP($F831,'Ürün Kartlar'!$B$5:$F$204,5,FALSE))),"")</f>
      </c>
      <c r="J831" s="11">
        <f>IFERROR(IF($F831="",Ayarlar!$C$9,VLOOKUP($F831,'Ürün Kartlar'!$B$5:$G$204,6,FALSE)),Ayarlar!$C$9)</f>
      </c>
      <c r="K831" s="18">
        <f>IF(OR($H831="",$I831=""),0,$H831*$I831)</f>
      </c>
      <c r="L831" s="18">
        <f>$K831*$J831</f>
      </c>
      <c r="M831" s="18">
        <f>$K831+$L831</f>
      </c>
      <c r="N831" s="8"/>
      <c r="O831" s="8"/>
      <c r="P831" s="8"/>
    </row>
    <row r="832" spans="2:16" x14ac:dyDescent="0.25">
      <c r="B832" s="19"/>
      <c r="C832" s="20"/>
      <c r="D832" s="20"/>
      <c r="E832" s="16">
        <f>IFERROR(IF($D832="","",VLOOKUP($D832,'Cari Kartlar'!$B$5:$C$204,2,FALSE)),"— tanımsız cari —")</f>
      </c>
      <c r="F832" s="20"/>
      <c r="G832" s="16">
        <f>IFERROR(IF($F832="","",VLOOKUP($F832,'Ürün Kartlar'!$B$5:$C$204,2,FALSE)),"— tanımsız ürün —")</f>
      </c>
      <c r="H832" s="21"/>
      <c r="I832" s="22">
        <f>IFERROR(IF($F832="","",IF($C832="Alış",VLOOKUP($F832,'Ürün Kartlar'!$B$5:$E$204,4,FALSE),VLOOKUP($F832,'Ürün Kartlar'!$B$5:$F$204,5,FALSE))),"")</f>
      </c>
      <c r="J832" s="23">
        <f>IFERROR(IF($F832="",Ayarlar!$C$9,VLOOKUP($F832,'Ürün Kartlar'!$B$5:$G$204,6,FALSE)),Ayarlar!$C$9)</f>
      </c>
      <c r="K832" s="18">
        <f>IF(OR($H832="",$I832=""),0,$H832*$I832)</f>
      </c>
      <c r="L832" s="18">
        <f>$K832*$J832</f>
      </c>
      <c r="M832" s="18">
        <f>$K832+$L832</f>
      </c>
      <c r="N832" s="20"/>
      <c r="O832" s="20"/>
      <c r="P832" s="20"/>
    </row>
    <row r="833" spans="2:16" x14ac:dyDescent="0.25">
      <c r="B833" s="15"/>
      <c r="C833" s="8"/>
      <c r="D833" s="8"/>
      <c r="E833" s="16">
        <f>IFERROR(IF($D833="","",VLOOKUP($D833,'Cari Kartlar'!$B$5:$C$204,2,FALSE)),"— tanımsız cari —")</f>
      </c>
      <c r="F833" s="8"/>
      <c r="G833" s="16">
        <f>IFERROR(IF($F833="","",VLOOKUP($F833,'Ürün Kartlar'!$B$5:$C$204,2,FALSE)),"— tanımsız ürün —")</f>
      </c>
      <c r="H833" s="17"/>
      <c r="I833" s="13">
        <f>IFERROR(IF($F833="","",IF($C833="Alış",VLOOKUP($F833,'Ürün Kartlar'!$B$5:$E$204,4,FALSE),VLOOKUP($F833,'Ürün Kartlar'!$B$5:$F$204,5,FALSE))),"")</f>
      </c>
      <c r="J833" s="11">
        <f>IFERROR(IF($F833="",Ayarlar!$C$9,VLOOKUP($F833,'Ürün Kartlar'!$B$5:$G$204,6,FALSE)),Ayarlar!$C$9)</f>
      </c>
      <c r="K833" s="18">
        <f>IF(OR($H833="",$I833=""),0,$H833*$I833)</f>
      </c>
      <c r="L833" s="18">
        <f>$K833*$J833</f>
      </c>
      <c r="M833" s="18">
        <f>$K833+$L833</f>
      </c>
      <c r="N833" s="8"/>
      <c r="O833" s="8"/>
      <c r="P833" s="8"/>
    </row>
    <row r="834" spans="2:16" x14ac:dyDescent="0.25">
      <c r="B834" s="19"/>
      <c r="C834" s="20"/>
      <c r="D834" s="20"/>
      <c r="E834" s="16">
        <f>IFERROR(IF($D834="","",VLOOKUP($D834,'Cari Kartlar'!$B$5:$C$204,2,FALSE)),"— tanımsız cari —")</f>
      </c>
      <c r="F834" s="20"/>
      <c r="G834" s="16">
        <f>IFERROR(IF($F834="","",VLOOKUP($F834,'Ürün Kartlar'!$B$5:$C$204,2,FALSE)),"— tanımsız ürün —")</f>
      </c>
      <c r="H834" s="21"/>
      <c r="I834" s="22">
        <f>IFERROR(IF($F834="","",IF($C834="Alış",VLOOKUP($F834,'Ürün Kartlar'!$B$5:$E$204,4,FALSE),VLOOKUP($F834,'Ürün Kartlar'!$B$5:$F$204,5,FALSE))),"")</f>
      </c>
      <c r="J834" s="23">
        <f>IFERROR(IF($F834="",Ayarlar!$C$9,VLOOKUP($F834,'Ürün Kartlar'!$B$5:$G$204,6,FALSE)),Ayarlar!$C$9)</f>
      </c>
      <c r="K834" s="18">
        <f>IF(OR($H834="",$I834=""),0,$H834*$I834)</f>
      </c>
      <c r="L834" s="18">
        <f>$K834*$J834</f>
      </c>
      <c r="M834" s="18">
        <f>$K834+$L834</f>
      </c>
      <c r="N834" s="20"/>
      <c r="O834" s="20"/>
      <c r="P834" s="20"/>
    </row>
    <row r="835" spans="2:16" x14ac:dyDescent="0.25">
      <c r="B835" s="15"/>
      <c r="C835" s="8"/>
      <c r="D835" s="8"/>
      <c r="E835" s="16">
        <f>IFERROR(IF($D835="","",VLOOKUP($D835,'Cari Kartlar'!$B$5:$C$204,2,FALSE)),"— tanımsız cari —")</f>
      </c>
      <c r="F835" s="8"/>
      <c r="G835" s="16">
        <f>IFERROR(IF($F835="","",VLOOKUP($F835,'Ürün Kartlar'!$B$5:$C$204,2,FALSE)),"— tanımsız ürün —")</f>
      </c>
      <c r="H835" s="17"/>
      <c r="I835" s="13">
        <f>IFERROR(IF($F835="","",IF($C835="Alış",VLOOKUP($F835,'Ürün Kartlar'!$B$5:$E$204,4,FALSE),VLOOKUP($F835,'Ürün Kartlar'!$B$5:$F$204,5,FALSE))),"")</f>
      </c>
      <c r="J835" s="11">
        <f>IFERROR(IF($F835="",Ayarlar!$C$9,VLOOKUP($F835,'Ürün Kartlar'!$B$5:$G$204,6,FALSE)),Ayarlar!$C$9)</f>
      </c>
      <c r="K835" s="18">
        <f>IF(OR($H835="",$I835=""),0,$H835*$I835)</f>
      </c>
      <c r="L835" s="18">
        <f>$K835*$J835</f>
      </c>
      <c r="M835" s="18">
        <f>$K835+$L835</f>
      </c>
      <c r="N835" s="8"/>
      <c r="O835" s="8"/>
      <c r="P835" s="8"/>
    </row>
    <row r="836" spans="2:16" x14ac:dyDescent="0.25">
      <c r="B836" s="19"/>
      <c r="C836" s="20"/>
      <c r="D836" s="20"/>
      <c r="E836" s="16">
        <f>IFERROR(IF($D836="","",VLOOKUP($D836,'Cari Kartlar'!$B$5:$C$204,2,FALSE)),"— tanımsız cari —")</f>
      </c>
      <c r="F836" s="20"/>
      <c r="G836" s="16">
        <f>IFERROR(IF($F836="","",VLOOKUP($F836,'Ürün Kartlar'!$B$5:$C$204,2,FALSE)),"— tanımsız ürün —")</f>
      </c>
      <c r="H836" s="21"/>
      <c r="I836" s="22">
        <f>IFERROR(IF($F836="","",IF($C836="Alış",VLOOKUP($F836,'Ürün Kartlar'!$B$5:$E$204,4,FALSE),VLOOKUP($F836,'Ürün Kartlar'!$B$5:$F$204,5,FALSE))),"")</f>
      </c>
      <c r="J836" s="23">
        <f>IFERROR(IF($F836="",Ayarlar!$C$9,VLOOKUP($F836,'Ürün Kartlar'!$B$5:$G$204,6,FALSE)),Ayarlar!$C$9)</f>
      </c>
      <c r="K836" s="18">
        <f>IF(OR($H836="",$I836=""),0,$H836*$I836)</f>
      </c>
      <c r="L836" s="18">
        <f>$K836*$J836</f>
      </c>
      <c r="M836" s="18">
        <f>$K836+$L836</f>
      </c>
      <c r="N836" s="20"/>
      <c r="O836" s="20"/>
      <c r="P836" s="20"/>
    </row>
    <row r="837" spans="2:16" x14ac:dyDescent="0.25">
      <c r="B837" s="15"/>
      <c r="C837" s="8"/>
      <c r="D837" s="8"/>
      <c r="E837" s="16">
        <f>IFERROR(IF($D837="","",VLOOKUP($D837,'Cari Kartlar'!$B$5:$C$204,2,FALSE)),"— tanımsız cari —")</f>
      </c>
      <c r="F837" s="8"/>
      <c r="G837" s="16">
        <f>IFERROR(IF($F837="","",VLOOKUP($F837,'Ürün Kartlar'!$B$5:$C$204,2,FALSE)),"— tanımsız ürün —")</f>
      </c>
      <c r="H837" s="17"/>
      <c r="I837" s="13">
        <f>IFERROR(IF($F837="","",IF($C837="Alış",VLOOKUP($F837,'Ürün Kartlar'!$B$5:$E$204,4,FALSE),VLOOKUP($F837,'Ürün Kartlar'!$B$5:$F$204,5,FALSE))),"")</f>
      </c>
      <c r="J837" s="11">
        <f>IFERROR(IF($F837="",Ayarlar!$C$9,VLOOKUP($F837,'Ürün Kartlar'!$B$5:$G$204,6,FALSE)),Ayarlar!$C$9)</f>
      </c>
      <c r="K837" s="18">
        <f>IF(OR($H837="",$I837=""),0,$H837*$I837)</f>
      </c>
      <c r="L837" s="18">
        <f>$K837*$J837</f>
      </c>
      <c r="M837" s="18">
        <f>$K837+$L837</f>
      </c>
      <c r="N837" s="8"/>
      <c r="O837" s="8"/>
      <c r="P837" s="8"/>
    </row>
    <row r="838" spans="2:16" x14ac:dyDescent="0.25">
      <c r="B838" s="19"/>
      <c r="C838" s="20"/>
      <c r="D838" s="20"/>
      <c r="E838" s="16">
        <f>IFERROR(IF($D838="","",VLOOKUP($D838,'Cari Kartlar'!$B$5:$C$204,2,FALSE)),"— tanımsız cari —")</f>
      </c>
      <c r="F838" s="20"/>
      <c r="G838" s="16">
        <f>IFERROR(IF($F838="","",VLOOKUP($F838,'Ürün Kartlar'!$B$5:$C$204,2,FALSE)),"— tanımsız ürün —")</f>
      </c>
      <c r="H838" s="21"/>
      <c r="I838" s="22">
        <f>IFERROR(IF($F838="","",IF($C838="Alış",VLOOKUP($F838,'Ürün Kartlar'!$B$5:$E$204,4,FALSE),VLOOKUP($F838,'Ürün Kartlar'!$B$5:$F$204,5,FALSE))),"")</f>
      </c>
      <c r="J838" s="23">
        <f>IFERROR(IF($F838="",Ayarlar!$C$9,VLOOKUP($F838,'Ürün Kartlar'!$B$5:$G$204,6,FALSE)),Ayarlar!$C$9)</f>
      </c>
      <c r="K838" s="18">
        <f>IF(OR($H838="",$I838=""),0,$H838*$I838)</f>
      </c>
      <c r="L838" s="18">
        <f>$K838*$J838</f>
      </c>
      <c r="M838" s="18">
        <f>$K838+$L838</f>
      </c>
      <c r="N838" s="20"/>
      <c r="O838" s="20"/>
      <c r="P838" s="20"/>
    </row>
    <row r="839" spans="2:16" x14ac:dyDescent="0.25">
      <c r="B839" s="15"/>
      <c r="C839" s="8"/>
      <c r="D839" s="8"/>
      <c r="E839" s="16">
        <f>IFERROR(IF($D839="","",VLOOKUP($D839,'Cari Kartlar'!$B$5:$C$204,2,FALSE)),"— tanımsız cari —")</f>
      </c>
      <c r="F839" s="8"/>
      <c r="G839" s="16">
        <f>IFERROR(IF($F839="","",VLOOKUP($F839,'Ürün Kartlar'!$B$5:$C$204,2,FALSE)),"— tanımsız ürün —")</f>
      </c>
      <c r="H839" s="17"/>
      <c r="I839" s="13">
        <f>IFERROR(IF($F839="","",IF($C839="Alış",VLOOKUP($F839,'Ürün Kartlar'!$B$5:$E$204,4,FALSE),VLOOKUP($F839,'Ürün Kartlar'!$B$5:$F$204,5,FALSE))),"")</f>
      </c>
      <c r="J839" s="11">
        <f>IFERROR(IF($F839="",Ayarlar!$C$9,VLOOKUP($F839,'Ürün Kartlar'!$B$5:$G$204,6,FALSE)),Ayarlar!$C$9)</f>
      </c>
      <c r="K839" s="18">
        <f>IF(OR($H839="",$I839=""),0,$H839*$I839)</f>
      </c>
      <c r="L839" s="18">
        <f>$K839*$J839</f>
      </c>
      <c r="M839" s="18">
        <f>$K839+$L839</f>
      </c>
      <c r="N839" s="8"/>
      <c r="O839" s="8"/>
      <c r="P839" s="8"/>
    </row>
    <row r="840" spans="2:16" x14ac:dyDescent="0.25">
      <c r="B840" s="19"/>
      <c r="C840" s="20"/>
      <c r="D840" s="20"/>
      <c r="E840" s="16">
        <f>IFERROR(IF($D840="","",VLOOKUP($D840,'Cari Kartlar'!$B$5:$C$204,2,FALSE)),"— tanımsız cari —")</f>
      </c>
      <c r="F840" s="20"/>
      <c r="G840" s="16">
        <f>IFERROR(IF($F840="","",VLOOKUP($F840,'Ürün Kartlar'!$B$5:$C$204,2,FALSE)),"— tanımsız ürün —")</f>
      </c>
      <c r="H840" s="21"/>
      <c r="I840" s="22">
        <f>IFERROR(IF($F840="","",IF($C840="Alış",VLOOKUP($F840,'Ürün Kartlar'!$B$5:$E$204,4,FALSE),VLOOKUP($F840,'Ürün Kartlar'!$B$5:$F$204,5,FALSE))),"")</f>
      </c>
      <c r="J840" s="23">
        <f>IFERROR(IF($F840="",Ayarlar!$C$9,VLOOKUP($F840,'Ürün Kartlar'!$B$5:$G$204,6,FALSE)),Ayarlar!$C$9)</f>
      </c>
      <c r="K840" s="18">
        <f>IF(OR($H840="",$I840=""),0,$H840*$I840)</f>
      </c>
      <c r="L840" s="18">
        <f>$K840*$J840</f>
      </c>
      <c r="M840" s="18">
        <f>$K840+$L840</f>
      </c>
      <c r="N840" s="20"/>
      <c r="O840" s="20"/>
      <c r="P840" s="20"/>
    </row>
    <row r="841" spans="2:16" x14ac:dyDescent="0.25">
      <c r="B841" s="15"/>
      <c r="C841" s="8"/>
      <c r="D841" s="8"/>
      <c r="E841" s="16">
        <f>IFERROR(IF($D841="","",VLOOKUP($D841,'Cari Kartlar'!$B$5:$C$204,2,FALSE)),"— tanımsız cari —")</f>
      </c>
      <c r="F841" s="8"/>
      <c r="G841" s="16">
        <f>IFERROR(IF($F841="","",VLOOKUP($F841,'Ürün Kartlar'!$B$5:$C$204,2,FALSE)),"— tanımsız ürün —")</f>
      </c>
      <c r="H841" s="17"/>
      <c r="I841" s="13">
        <f>IFERROR(IF($F841="","",IF($C841="Alış",VLOOKUP($F841,'Ürün Kartlar'!$B$5:$E$204,4,FALSE),VLOOKUP($F841,'Ürün Kartlar'!$B$5:$F$204,5,FALSE))),"")</f>
      </c>
      <c r="J841" s="11">
        <f>IFERROR(IF($F841="",Ayarlar!$C$9,VLOOKUP($F841,'Ürün Kartlar'!$B$5:$G$204,6,FALSE)),Ayarlar!$C$9)</f>
      </c>
      <c r="K841" s="18">
        <f>IF(OR($H841="",$I841=""),0,$H841*$I841)</f>
      </c>
      <c r="L841" s="18">
        <f>$K841*$J841</f>
      </c>
      <c r="M841" s="18">
        <f>$K841+$L841</f>
      </c>
      <c r="N841" s="8"/>
      <c r="O841" s="8"/>
      <c r="P841" s="8"/>
    </row>
    <row r="842" spans="2:16" x14ac:dyDescent="0.25">
      <c r="B842" s="19"/>
      <c r="C842" s="20"/>
      <c r="D842" s="20"/>
      <c r="E842" s="16">
        <f>IFERROR(IF($D842="","",VLOOKUP($D842,'Cari Kartlar'!$B$5:$C$204,2,FALSE)),"— tanımsız cari —")</f>
      </c>
      <c r="F842" s="20"/>
      <c r="G842" s="16">
        <f>IFERROR(IF($F842="","",VLOOKUP($F842,'Ürün Kartlar'!$B$5:$C$204,2,FALSE)),"— tanımsız ürün —")</f>
      </c>
      <c r="H842" s="21"/>
      <c r="I842" s="22">
        <f>IFERROR(IF($F842="","",IF($C842="Alış",VLOOKUP($F842,'Ürün Kartlar'!$B$5:$E$204,4,FALSE),VLOOKUP($F842,'Ürün Kartlar'!$B$5:$F$204,5,FALSE))),"")</f>
      </c>
      <c r="J842" s="23">
        <f>IFERROR(IF($F842="",Ayarlar!$C$9,VLOOKUP($F842,'Ürün Kartlar'!$B$5:$G$204,6,FALSE)),Ayarlar!$C$9)</f>
      </c>
      <c r="K842" s="18">
        <f>IF(OR($H842="",$I842=""),0,$H842*$I842)</f>
      </c>
      <c r="L842" s="18">
        <f>$K842*$J842</f>
      </c>
      <c r="M842" s="18">
        <f>$K842+$L842</f>
      </c>
      <c r="N842" s="20"/>
      <c r="O842" s="20"/>
      <c r="P842" s="20"/>
    </row>
    <row r="843" spans="2:16" x14ac:dyDescent="0.25">
      <c r="B843" s="15"/>
      <c r="C843" s="8"/>
      <c r="D843" s="8"/>
      <c r="E843" s="16">
        <f>IFERROR(IF($D843="","",VLOOKUP($D843,'Cari Kartlar'!$B$5:$C$204,2,FALSE)),"— tanımsız cari —")</f>
      </c>
      <c r="F843" s="8"/>
      <c r="G843" s="16">
        <f>IFERROR(IF($F843="","",VLOOKUP($F843,'Ürün Kartlar'!$B$5:$C$204,2,FALSE)),"— tanımsız ürün —")</f>
      </c>
      <c r="H843" s="17"/>
      <c r="I843" s="13">
        <f>IFERROR(IF($F843="","",IF($C843="Alış",VLOOKUP($F843,'Ürün Kartlar'!$B$5:$E$204,4,FALSE),VLOOKUP($F843,'Ürün Kartlar'!$B$5:$F$204,5,FALSE))),"")</f>
      </c>
      <c r="J843" s="11">
        <f>IFERROR(IF($F843="",Ayarlar!$C$9,VLOOKUP($F843,'Ürün Kartlar'!$B$5:$G$204,6,FALSE)),Ayarlar!$C$9)</f>
      </c>
      <c r="K843" s="18">
        <f>IF(OR($H843="",$I843=""),0,$H843*$I843)</f>
      </c>
      <c r="L843" s="18">
        <f>$K843*$J843</f>
      </c>
      <c r="M843" s="18">
        <f>$K843+$L843</f>
      </c>
      <c r="N843" s="8"/>
      <c r="O843" s="8"/>
      <c r="P843" s="8"/>
    </row>
    <row r="844" spans="2:16" x14ac:dyDescent="0.25">
      <c r="B844" s="19"/>
      <c r="C844" s="20"/>
      <c r="D844" s="20"/>
      <c r="E844" s="16">
        <f>IFERROR(IF($D844="","",VLOOKUP($D844,'Cari Kartlar'!$B$5:$C$204,2,FALSE)),"— tanımsız cari —")</f>
      </c>
      <c r="F844" s="20"/>
      <c r="G844" s="16">
        <f>IFERROR(IF($F844="","",VLOOKUP($F844,'Ürün Kartlar'!$B$5:$C$204,2,FALSE)),"— tanımsız ürün —")</f>
      </c>
      <c r="H844" s="21"/>
      <c r="I844" s="22">
        <f>IFERROR(IF($F844="","",IF($C844="Alış",VLOOKUP($F844,'Ürün Kartlar'!$B$5:$E$204,4,FALSE),VLOOKUP($F844,'Ürün Kartlar'!$B$5:$F$204,5,FALSE))),"")</f>
      </c>
      <c r="J844" s="23">
        <f>IFERROR(IF($F844="",Ayarlar!$C$9,VLOOKUP($F844,'Ürün Kartlar'!$B$5:$G$204,6,FALSE)),Ayarlar!$C$9)</f>
      </c>
      <c r="K844" s="18">
        <f>IF(OR($H844="",$I844=""),0,$H844*$I844)</f>
      </c>
      <c r="L844" s="18">
        <f>$K844*$J844</f>
      </c>
      <c r="M844" s="18">
        <f>$K844+$L844</f>
      </c>
      <c r="N844" s="20"/>
      <c r="O844" s="20"/>
      <c r="P844" s="20"/>
    </row>
    <row r="845" spans="2:16" x14ac:dyDescent="0.25">
      <c r="B845" s="15"/>
      <c r="C845" s="8"/>
      <c r="D845" s="8"/>
      <c r="E845" s="16">
        <f>IFERROR(IF($D845="","",VLOOKUP($D845,'Cari Kartlar'!$B$5:$C$204,2,FALSE)),"— tanımsız cari —")</f>
      </c>
      <c r="F845" s="8"/>
      <c r="G845" s="16">
        <f>IFERROR(IF($F845="","",VLOOKUP($F845,'Ürün Kartlar'!$B$5:$C$204,2,FALSE)),"— tanımsız ürün —")</f>
      </c>
      <c r="H845" s="17"/>
      <c r="I845" s="13">
        <f>IFERROR(IF($F845="","",IF($C845="Alış",VLOOKUP($F845,'Ürün Kartlar'!$B$5:$E$204,4,FALSE),VLOOKUP($F845,'Ürün Kartlar'!$B$5:$F$204,5,FALSE))),"")</f>
      </c>
      <c r="J845" s="11">
        <f>IFERROR(IF($F845="",Ayarlar!$C$9,VLOOKUP($F845,'Ürün Kartlar'!$B$5:$G$204,6,FALSE)),Ayarlar!$C$9)</f>
      </c>
      <c r="K845" s="18">
        <f>IF(OR($H845="",$I845=""),0,$H845*$I845)</f>
      </c>
      <c r="L845" s="18">
        <f>$K845*$J845</f>
      </c>
      <c r="M845" s="18">
        <f>$K845+$L845</f>
      </c>
      <c r="N845" s="8"/>
      <c r="O845" s="8"/>
      <c r="P845" s="8"/>
    </row>
    <row r="846" spans="2:16" x14ac:dyDescent="0.25">
      <c r="B846" s="19"/>
      <c r="C846" s="20"/>
      <c r="D846" s="20"/>
      <c r="E846" s="16">
        <f>IFERROR(IF($D846="","",VLOOKUP($D846,'Cari Kartlar'!$B$5:$C$204,2,FALSE)),"— tanımsız cari —")</f>
      </c>
      <c r="F846" s="20"/>
      <c r="G846" s="16">
        <f>IFERROR(IF($F846="","",VLOOKUP($F846,'Ürün Kartlar'!$B$5:$C$204,2,FALSE)),"— tanımsız ürün —")</f>
      </c>
      <c r="H846" s="21"/>
      <c r="I846" s="22">
        <f>IFERROR(IF($F846="","",IF($C846="Alış",VLOOKUP($F846,'Ürün Kartlar'!$B$5:$E$204,4,FALSE),VLOOKUP($F846,'Ürün Kartlar'!$B$5:$F$204,5,FALSE))),"")</f>
      </c>
      <c r="J846" s="23">
        <f>IFERROR(IF($F846="",Ayarlar!$C$9,VLOOKUP($F846,'Ürün Kartlar'!$B$5:$G$204,6,FALSE)),Ayarlar!$C$9)</f>
      </c>
      <c r="K846" s="18">
        <f>IF(OR($H846="",$I846=""),0,$H846*$I846)</f>
      </c>
      <c r="L846" s="18">
        <f>$K846*$J846</f>
      </c>
      <c r="M846" s="18">
        <f>$K846+$L846</f>
      </c>
      <c r="N846" s="20"/>
      <c r="O846" s="20"/>
      <c r="P846" s="20"/>
    </row>
    <row r="847" spans="2:16" x14ac:dyDescent="0.25">
      <c r="B847" s="15"/>
      <c r="C847" s="8"/>
      <c r="D847" s="8"/>
      <c r="E847" s="16">
        <f>IFERROR(IF($D847="","",VLOOKUP($D847,'Cari Kartlar'!$B$5:$C$204,2,FALSE)),"— tanımsız cari —")</f>
      </c>
      <c r="F847" s="8"/>
      <c r="G847" s="16">
        <f>IFERROR(IF($F847="","",VLOOKUP($F847,'Ürün Kartlar'!$B$5:$C$204,2,FALSE)),"— tanımsız ürün —")</f>
      </c>
      <c r="H847" s="17"/>
      <c r="I847" s="13">
        <f>IFERROR(IF($F847="","",IF($C847="Alış",VLOOKUP($F847,'Ürün Kartlar'!$B$5:$E$204,4,FALSE),VLOOKUP($F847,'Ürün Kartlar'!$B$5:$F$204,5,FALSE))),"")</f>
      </c>
      <c r="J847" s="11">
        <f>IFERROR(IF($F847="",Ayarlar!$C$9,VLOOKUP($F847,'Ürün Kartlar'!$B$5:$G$204,6,FALSE)),Ayarlar!$C$9)</f>
      </c>
      <c r="K847" s="18">
        <f>IF(OR($H847="",$I847=""),0,$H847*$I847)</f>
      </c>
      <c r="L847" s="18">
        <f>$K847*$J847</f>
      </c>
      <c r="M847" s="18">
        <f>$K847+$L847</f>
      </c>
      <c r="N847" s="8"/>
      <c r="O847" s="8"/>
      <c r="P847" s="8"/>
    </row>
    <row r="848" spans="2:16" x14ac:dyDescent="0.25">
      <c r="B848" s="19"/>
      <c r="C848" s="20"/>
      <c r="D848" s="20"/>
      <c r="E848" s="16">
        <f>IFERROR(IF($D848="","",VLOOKUP($D848,'Cari Kartlar'!$B$5:$C$204,2,FALSE)),"— tanımsız cari —")</f>
      </c>
      <c r="F848" s="20"/>
      <c r="G848" s="16">
        <f>IFERROR(IF($F848="","",VLOOKUP($F848,'Ürün Kartlar'!$B$5:$C$204,2,FALSE)),"— tanımsız ürün —")</f>
      </c>
      <c r="H848" s="21"/>
      <c r="I848" s="22">
        <f>IFERROR(IF($F848="","",IF($C848="Alış",VLOOKUP($F848,'Ürün Kartlar'!$B$5:$E$204,4,FALSE),VLOOKUP($F848,'Ürün Kartlar'!$B$5:$F$204,5,FALSE))),"")</f>
      </c>
      <c r="J848" s="23">
        <f>IFERROR(IF($F848="",Ayarlar!$C$9,VLOOKUP($F848,'Ürün Kartlar'!$B$5:$G$204,6,FALSE)),Ayarlar!$C$9)</f>
      </c>
      <c r="K848" s="18">
        <f>IF(OR($H848="",$I848=""),0,$H848*$I848)</f>
      </c>
      <c r="L848" s="18">
        <f>$K848*$J848</f>
      </c>
      <c r="M848" s="18">
        <f>$K848+$L848</f>
      </c>
      <c r="N848" s="20"/>
      <c r="O848" s="20"/>
      <c r="P848" s="20"/>
    </row>
    <row r="849" spans="2:16" x14ac:dyDescent="0.25">
      <c r="B849" s="15"/>
      <c r="C849" s="8"/>
      <c r="D849" s="8"/>
      <c r="E849" s="16">
        <f>IFERROR(IF($D849="","",VLOOKUP($D849,'Cari Kartlar'!$B$5:$C$204,2,FALSE)),"— tanımsız cari —")</f>
      </c>
      <c r="F849" s="8"/>
      <c r="G849" s="16">
        <f>IFERROR(IF($F849="","",VLOOKUP($F849,'Ürün Kartlar'!$B$5:$C$204,2,FALSE)),"— tanımsız ürün —")</f>
      </c>
      <c r="H849" s="17"/>
      <c r="I849" s="13">
        <f>IFERROR(IF($F849="","",IF($C849="Alış",VLOOKUP($F849,'Ürün Kartlar'!$B$5:$E$204,4,FALSE),VLOOKUP($F849,'Ürün Kartlar'!$B$5:$F$204,5,FALSE))),"")</f>
      </c>
      <c r="J849" s="11">
        <f>IFERROR(IF($F849="",Ayarlar!$C$9,VLOOKUP($F849,'Ürün Kartlar'!$B$5:$G$204,6,FALSE)),Ayarlar!$C$9)</f>
      </c>
      <c r="K849" s="18">
        <f>IF(OR($H849="",$I849=""),0,$H849*$I849)</f>
      </c>
      <c r="L849" s="18">
        <f>$K849*$J849</f>
      </c>
      <c r="M849" s="18">
        <f>$K849+$L849</f>
      </c>
      <c r="N849" s="8"/>
      <c r="O849" s="8"/>
      <c r="P849" s="8"/>
    </row>
    <row r="850" spans="2:16" x14ac:dyDescent="0.25">
      <c r="B850" s="19"/>
      <c r="C850" s="20"/>
      <c r="D850" s="20"/>
      <c r="E850" s="16">
        <f>IFERROR(IF($D850="","",VLOOKUP($D850,'Cari Kartlar'!$B$5:$C$204,2,FALSE)),"— tanımsız cari —")</f>
      </c>
      <c r="F850" s="20"/>
      <c r="G850" s="16">
        <f>IFERROR(IF($F850="","",VLOOKUP($F850,'Ürün Kartlar'!$B$5:$C$204,2,FALSE)),"— tanımsız ürün —")</f>
      </c>
      <c r="H850" s="21"/>
      <c r="I850" s="22">
        <f>IFERROR(IF($F850="","",IF($C850="Alış",VLOOKUP($F850,'Ürün Kartlar'!$B$5:$E$204,4,FALSE),VLOOKUP($F850,'Ürün Kartlar'!$B$5:$F$204,5,FALSE))),"")</f>
      </c>
      <c r="J850" s="23">
        <f>IFERROR(IF($F850="",Ayarlar!$C$9,VLOOKUP($F850,'Ürün Kartlar'!$B$5:$G$204,6,FALSE)),Ayarlar!$C$9)</f>
      </c>
      <c r="K850" s="18">
        <f>IF(OR($H850="",$I850=""),0,$H850*$I850)</f>
      </c>
      <c r="L850" s="18">
        <f>$K850*$J850</f>
      </c>
      <c r="M850" s="18">
        <f>$K850+$L850</f>
      </c>
      <c r="N850" s="20"/>
      <c r="O850" s="20"/>
      <c r="P850" s="20"/>
    </row>
    <row r="851" spans="2:16" x14ac:dyDescent="0.25">
      <c r="B851" s="15"/>
      <c r="C851" s="8"/>
      <c r="D851" s="8"/>
      <c r="E851" s="16">
        <f>IFERROR(IF($D851="","",VLOOKUP($D851,'Cari Kartlar'!$B$5:$C$204,2,FALSE)),"— tanımsız cari —")</f>
      </c>
      <c r="F851" s="8"/>
      <c r="G851" s="16">
        <f>IFERROR(IF($F851="","",VLOOKUP($F851,'Ürün Kartlar'!$B$5:$C$204,2,FALSE)),"— tanımsız ürün —")</f>
      </c>
      <c r="H851" s="17"/>
      <c r="I851" s="13">
        <f>IFERROR(IF($F851="","",IF($C851="Alış",VLOOKUP($F851,'Ürün Kartlar'!$B$5:$E$204,4,FALSE),VLOOKUP($F851,'Ürün Kartlar'!$B$5:$F$204,5,FALSE))),"")</f>
      </c>
      <c r="J851" s="11">
        <f>IFERROR(IF($F851="",Ayarlar!$C$9,VLOOKUP($F851,'Ürün Kartlar'!$B$5:$G$204,6,FALSE)),Ayarlar!$C$9)</f>
      </c>
      <c r="K851" s="18">
        <f>IF(OR($H851="",$I851=""),0,$H851*$I851)</f>
      </c>
      <c r="L851" s="18">
        <f>$K851*$J851</f>
      </c>
      <c r="M851" s="18">
        <f>$K851+$L851</f>
      </c>
      <c r="N851" s="8"/>
      <c r="O851" s="8"/>
      <c r="P851" s="8"/>
    </row>
    <row r="852" spans="2:16" x14ac:dyDescent="0.25">
      <c r="B852" s="19"/>
      <c r="C852" s="20"/>
      <c r="D852" s="20"/>
      <c r="E852" s="16">
        <f>IFERROR(IF($D852="","",VLOOKUP($D852,'Cari Kartlar'!$B$5:$C$204,2,FALSE)),"— tanımsız cari —")</f>
      </c>
      <c r="F852" s="20"/>
      <c r="G852" s="16">
        <f>IFERROR(IF($F852="","",VLOOKUP($F852,'Ürün Kartlar'!$B$5:$C$204,2,FALSE)),"— tanımsız ürün —")</f>
      </c>
      <c r="H852" s="21"/>
      <c r="I852" s="22">
        <f>IFERROR(IF($F852="","",IF($C852="Alış",VLOOKUP($F852,'Ürün Kartlar'!$B$5:$E$204,4,FALSE),VLOOKUP($F852,'Ürün Kartlar'!$B$5:$F$204,5,FALSE))),"")</f>
      </c>
      <c r="J852" s="23">
        <f>IFERROR(IF($F852="",Ayarlar!$C$9,VLOOKUP($F852,'Ürün Kartlar'!$B$5:$G$204,6,FALSE)),Ayarlar!$C$9)</f>
      </c>
      <c r="K852" s="18">
        <f>IF(OR($H852="",$I852=""),0,$H852*$I852)</f>
      </c>
      <c r="L852" s="18">
        <f>$K852*$J852</f>
      </c>
      <c r="M852" s="18">
        <f>$K852+$L852</f>
      </c>
      <c r="N852" s="20"/>
      <c r="O852" s="20"/>
      <c r="P852" s="20"/>
    </row>
    <row r="853" spans="2:16" x14ac:dyDescent="0.25">
      <c r="B853" s="15"/>
      <c r="C853" s="8"/>
      <c r="D853" s="8"/>
      <c r="E853" s="16">
        <f>IFERROR(IF($D853="","",VLOOKUP($D853,'Cari Kartlar'!$B$5:$C$204,2,FALSE)),"— tanımsız cari —")</f>
      </c>
      <c r="F853" s="8"/>
      <c r="G853" s="16">
        <f>IFERROR(IF($F853="","",VLOOKUP($F853,'Ürün Kartlar'!$B$5:$C$204,2,FALSE)),"— tanımsız ürün —")</f>
      </c>
      <c r="H853" s="17"/>
      <c r="I853" s="13">
        <f>IFERROR(IF($F853="","",IF($C853="Alış",VLOOKUP($F853,'Ürün Kartlar'!$B$5:$E$204,4,FALSE),VLOOKUP($F853,'Ürün Kartlar'!$B$5:$F$204,5,FALSE))),"")</f>
      </c>
      <c r="J853" s="11">
        <f>IFERROR(IF($F853="",Ayarlar!$C$9,VLOOKUP($F853,'Ürün Kartlar'!$B$5:$G$204,6,FALSE)),Ayarlar!$C$9)</f>
      </c>
      <c r="K853" s="18">
        <f>IF(OR($H853="",$I853=""),0,$H853*$I853)</f>
      </c>
      <c r="L853" s="18">
        <f>$K853*$J853</f>
      </c>
      <c r="M853" s="18">
        <f>$K853+$L853</f>
      </c>
      <c r="N853" s="8"/>
      <c r="O853" s="8"/>
      <c r="P853" s="8"/>
    </row>
    <row r="854" spans="2:16" x14ac:dyDescent="0.25">
      <c r="B854" s="19"/>
      <c r="C854" s="20"/>
      <c r="D854" s="20"/>
      <c r="E854" s="16">
        <f>IFERROR(IF($D854="","",VLOOKUP($D854,'Cari Kartlar'!$B$5:$C$204,2,FALSE)),"— tanımsız cari —")</f>
      </c>
      <c r="F854" s="20"/>
      <c r="G854" s="16">
        <f>IFERROR(IF($F854="","",VLOOKUP($F854,'Ürün Kartlar'!$B$5:$C$204,2,FALSE)),"— tanımsız ürün —")</f>
      </c>
      <c r="H854" s="21"/>
      <c r="I854" s="22">
        <f>IFERROR(IF($F854="","",IF($C854="Alış",VLOOKUP($F854,'Ürün Kartlar'!$B$5:$E$204,4,FALSE),VLOOKUP($F854,'Ürün Kartlar'!$B$5:$F$204,5,FALSE))),"")</f>
      </c>
      <c r="J854" s="23">
        <f>IFERROR(IF($F854="",Ayarlar!$C$9,VLOOKUP($F854,'Ürün Kartlar'!$B$5:$G$204,6,FALSE)),Ayarlar!$C$9)</f>
      </c>
      <c r="K854" s="18">
        <f>IF(OR($H854="",$I854=""),0,$H854*$I854)</f>
      </c>
      <c r="L854" s="18">
        <f>$K854*$J854</f>
      </c>
      <c r="M854" s="18">
        <f>$K854+$L854</f>
      </c>
      <c r="N854" s="20"/>
      <c r="O854" s="20"/>
      <c r="P854" s="20"/>
    </row>
    <row r="855" spans="2:16" x14ac:dyDescent="0.25">
      <c r="B855" s="15"/>
      <c r="C855" s="8"/>
      <c r="D855" s="8"/>
      <c r="E855" s="16">
        <f>IFERROR(IF($D855="","",VLOOKUP($D855,'Cari Kartlar'!$B$5:$C$204,2,FALSE)),"— tanımsız cari —")</f>
      </c>
      <c r="F855" s="8"/>
      <c r="G855" s="16">
        <f>IFERROR(IF($F855="","",VLOOKUP($F855,'Ürün Kartlar'!$B$5:$C$204,2,FALSE)),"— tanımsız ürün —")</f>
      </c>
      <c r="H855" s="17"/>
      <c r="I855" s="13">
        <f>IFERROR(IF($F855="","",IF($C855="Alış",VLOOKUP($F855,'Ürün Kartlar'!$B$5:$E$204,4,FALSE),VLOOKUP($F855,'Ürün Kartlar'!$B$5:$F$204,5,FALSE))),"")</f>
      </c>
      <c r="J855" s="11">
        <f>IFERROR(IF($F855="",Ayarlar!$C$9,VLOOKUP($F855,'Ürün Kartlar'!$B$5:$G$204,6,FALSE)),Ayarlar!$C$9)</f>
      </c>
      <c r="K855" s="18">
        <f>IF(OR($H855="",$I855=""),0,$H855*$I855)</f>
      </c>
      <c r="L855" s="18">
        <f>$K855*$J855</f>
      </c>
      <c r="M855" s="18">
        <f>$K855+$L855</f>
      </c>
      <c r="N855" s="8"/>
      <c r="O855" s="8"/>
      <c r="P855" s="8"/>
    </row>
    <row r="856" spans="2:16" x14ac:dyDescent="0.25">
      <c r="B856" s="19"/>
      <c r="C856" s="20"/>
      <c r="D856" s="20"/>
      <c r="E856" s="16">
        <f>IFERROR(IF($D856="","",VLOOKUP($D856,'Cari Kartlar'!$B$5:$C$204,2,FALSE)),"— tanımsız cari —")</f>
      </c>
      <c r="F856" s="20"/>
      <c r="G856" s="16">
        <f>IFERROR(IF($F856="","",VLOOKUP($F856,'Ürün Kartlar'!$B$5:$C$204,2,FALSE)),"— tanımsız ürün —")</f>
      </c>
      <c r="H856" s="21"/>
      <c r="I856" s="22">
        <f>IFERROR(IF($F856="","",IF($C856="Alış",VLOOKUP($F856,'Ürün Kartlar'!$B$5:$E$204,4,FALSE),VLOOKUP($F856,'Ürün Kartlar'!$B$5:$F$204,5,FALSE))),"")</f>
      </c>
      <c r="J856" s="23">
        <f>IFERROR(IF($F856="",Ayarlar!$C$9,VLOOKUP($F856,'Ürün Kartlar'!$B$5:$G$204,6,FALSE)),Ayarlar!$C$9)</f>
      </c>
      <c r="K856" s="18">
        <f>IF(OR($H856="",$I856=""),0,$H856*$I856)</f>
      </c>
      <c r="L856" s="18">
        <f>$K856*$J856</f>
      </c>
      <c r="M856" s="18">
        <f>$K856+$L856</f>
      </c>
      <c r="N856" s="20"/>
      <c r="O856" s="20"/>
      <c r="P856" s="20"/>
    </row>
    <row r="857" spans="2:16" x14ac:dyDescent="0.25">
      <c r="B857" s="15"/>
      <c r="C857" s="8"/>
      <c r="D857" s="8"/>
      <c r="E857" s="16">
        <f>IFERROR(IF($D857="","",VLOOKUP($D857,'Cari Kartlar'!$B$5:$C$204,2,FALSE)),"— tanımsız cari —")</f>
      </c>
      <c r="F857" s="8"/>
      <c r="G857" s="16">
        <f>IFERROR(IF($F857="","",VLOOKUP($F857,'Ürün Kartlar'!$B$5:$C$204,2,FALSE)),"— tanımsız ürün —")</f>
      </c>
      <c r="H857" s="17"/>
      <c r="I857" s="13">
        <f>IFERROR(IF($F857="","",IF($C857="Alış",VLOOKUP($F857,'Ürün Kartlar'!$B$5:$E$204,4,FALSE),VLOOKUP($F857,'Ürün Kartlar'!$B$5:$F$204,5,FALSE))),"")</f>
      </c>
      <c r="J857" s="11">
        <f>IFERROR(IF($F857="",Ayarlar!$C$9,VLOOKUP($F857,'Ürün Kartlar'!$B$5:$G$204,6,FALSE)),Ayarlar!$C$9)</f>
      </c>
      <c r="K857" s="18">
        <f>IF(OR($H857="",$I857=""),0,$H857*$I857)</f>
      </c>
      <c r="L857" s="18">
        <f>$K857*$J857</f>
      </c>
      <c r="M857" s="18">
        <f>$K857+$L857</f>
      </c>
      <c r="N857" s="8"/>
      <c r="O857" s="8"/>
      <c r="P857" s="8"/>
    </row>
    <row r="858" spans="2:16" x14ac:dyDescent="0.25">
      <c r="B858" s="19"/>
      <c r="C858" s="20"/>
      <c r="D858" s="20"/>
      <c r="E858" s="16">
        <f>IFERROR(IF($D858="","",VLOOKUP($D858,'Cari Kartlar'!$B$5:$C$204,2,FALSE)),"— tanımsız cari —")</f>
      </c>
      <c r="F858" s="20"/>
      <c r="G858" s="16">
        <f>IFERROR(IF($F858="","",VLOOKUP($F858,'Ürün Kartlar'!$B$5:$C$204,2,FALSE)),"— tanımsız ürün —")</f>
      </c>
      <c r="H858" s="21"/>
      <c r="I858" s="22">
        <f>IFERROR(IF($F858="","",IF($C858="Alış",VLOOKUP($F858,'Ürün Kartlar'!$B$5:$E$204,4,FALSE),VLOOKUP($F858,'Ürün Kartlar'!$B$5:$F$204,5,FALSE))),"")</f>
      </c>
      <c r="J858" s="23">
        <f>IFERROR(IF($F858="",Ayarlar!$C$9,VLOOKUP($F858,'Ürün Kartlar'!$B$5:$G$204,6,FALSE)),Ayarlar!$C$9)</f>
      </c>
      <c r="K858" s="18">
        <f>IF(OR($H858="",$I858=""),0,$H858*$I858)</f>
      </c>
      <c r="L858" s="18">
        <f>$K858*$J858</f>
      </c>
      <c r="M858" s="18">
        <f>$K858+$L858</f>
      </c>
      <c r="N858" s="20"/>
      <c r="O858" s="20"/>
      <c r="P858" s="20"/>
    </row>
    <row r="859" spans="2:16" x14ac:dyDescent="0.25">
      <c r="B859" s="15"/>
      <c r="C859" s="8"/>
      <c r="D859" s="8"/>
      <c r="E859" s="16">
        <f>IFERROR(IF($D859="","",VLOOKUP($D859,'Cari Kartlar'!$B$5:$C$204,2,FALSE)),"— tanımsız cari —")</f>
      </c>
      <c r="F859" s="8"/>
      <c r="G859" s="16">
        <f>IFERROR(IF($F859="","",VLOOKUP($F859,'Ürün Kartlar'!$B$5:$C$204,2,FALSE)),"— tanımsız ürün —")</f>
      </c>
      <c r="H859" s="17"/>
      <c r="I859" s="13">
        <f>IFERROR(IF($F859="","",IF($C859="Alış",VLOOKUP($F859,'Ürün Kartlar'!$B$5:$E$204,4,FALSE),VLOOKUP($F859,'Ürün Kartlar'!$B$5:$F$204,5,FALSE))),"")</f>
      </c>
      <c r="J859" s="11">
        <f>IFERROR(IF($F859="",Ayarlar!$C$9,VLOOKUP($F859,'Ürün Kartlar'!$B$5:$G$204,6,FALSE)),Ayarlar!$C$9)</f>
      </c>
      <c r="K859" s="18">
        <f>IF(OR($H859="",$I859=""),0,$H859*$I859)</f>
      </c>
      <c r="L859" s="18">
        <f>$K859*$J859</f>
      </c>
      <c r="M859" s="18">
        <f>$K859+$L859</f>
      </c>
      <c r="N859" s="8"/>
      <c r="O859" s="8"/>
      <c r="P859" s="8"/>
    </row>
    <row r="860" spans="2:16" x14ac:dyDescent="0.25">
      <c r="B860" s="19"/>
      <c r="C860" s="20"/>
      <c r="D860" s="20"/>
      <c r="E860" s="16">
        <f>IFERROR(IF($D860="","",VLOOKUP($D860,'Cari Kartlar'!$B$5:$C$204,2,FALSE)),"— tanımsız cari —")</f>
      </c>
      <c r="F860" s="20"/>
      <c r="G860" s="16">
        <f>IFERROR(IF($F860="","",VLOOKUP($F860,'Ürün Kartlar'!$B$5:$C$204,2,FALSE)),"— tanımsız ürün —")</f>
      </c>
      <c r="H860" s="21"/>
      <c r="I860" s="22">
        <f>IFERROR(IF($F860="","",IF($C860="Alış",VLOOKUP($F860,'Ürün Kartlar'!$B$5:$E$204,4,FALSE),VLOOKUP($F860,'Ürün Kartlar'!$B$5:$F$204,5,FALSE))),"")</f>
      </c>
      <c r="J860" s="23">
        <f>IFERROR(IF($F860="",Ayarlar!$C$9,VLOOKUP($F860,'Ürün Kartlar'!$B$5:$G$204,6,FALSE)),Ayarlar!$C$9)</f>
      </c>
      <c r="K860" s="18">
        <f>IF(OR($H860="",$I860=""),0,$H860*$I860)</f>
      </c>
      <c r="L860" s="18">
        <f>$K860*$J860</f>
      </c>
      <c r="M860" s="18">
        <f>$K860+$L860</f>
      </c>
      <c r="N860" s="20"/>
      <c r="O860" s="20"/>
      <c r="P860" s="20"/>
    </row>
    <row r="861" spans="2:16" x14ac:dyDescent="0.25">
      <c r="B861" s="15"/>
      <c r="C861" s="8"/>
      <c r="D861" s="8"/>
      <c r="E861" s="16">
        <f>IFERROR(IF($D861="","",VLOOKUP($D861,'Cari Kartlar'!$B$5:$C$204,2,FALSE)),"— tanımsız cari —")</f>
      </c>
      <c r="F861" s="8"/>
      <c r="G861" s="16">
        <f>IFERROR(IF($F861="","",VLOOKUP($F861,'Ürün Kartlar'!$B$5:$C$204,2,FALSE)),"— tanımsız ürün —")</f>
      </c>
      <c r="H861" s="17"/>
      <c r="I861" s="13">
        <f>IFERROR(IF($F861="","",IF($C861="Alış",VLOOKUP($F861,'Ürün Kartlar'!$B$5:$E$204,4,FALSE),VLOOKUP($F861,'Ürün Kartlar'!$B$5:$F$204,5,FALSE))),"")</f>
      </c>
      <c r="J861" s="11">
        <f>IFERROR(IF($F861="",Ayarlar!$C$9,VLOOKUP($F861,'Ürün Kartlar'!$B$5:$G$204,6,FALSE)),Ayarlar!$C$9)</f>
      </c>
      <c r="K861" s="18">
        <f>IF(OR($H861="",$I861=""),0,$H861*$I861)</f>
      </c>
      <c r="L861" s="18">
        <f>$K861*$J861</f>
      </c>
      <c r="M861" s="18">
        <f>$K861+$L861</f>
      </c>
      <c r="N861" s="8"/>
      <c r="O861" s="8"/>
      <c r="P861" s="8"/>
    </row>
    <row r="862" spans="2:16" x14ac:dyDescent="0.25">
      <c r="B862" s="19"/>
      <c r="C862" s="20"/>
      <c r="D862" s="20"/>
      <c r="E862" s="16">
        <f>IFERROR(IF($D862="","",VLOOKUP($D862,'Cari Kartlar'!$B$5:$C$204,2,FALSE)),"— tanımsız cari —")</f>
      </c>
      <c r="F862" s="20"/>
      <c r="G862" s="16">
        <f>IFERROR(IF($F862="","",VLOOKUP($F862,'Ürün Kartlar'!$B$5:$C$204,2,FALSE)),"— tanımsız ürün —")</f>
      </c>
      <c r="H862" s="21"/>
      <c r="I862" s="22">
        <f>IFERROR(IF($F862="","",IF($C862="Alış",VLOOKUP($F862,'Ürün Kartlar'!$B$5:$E$204,4,FALSE),VLOOKUP($F862,'Ürün Kartlar'!$B$5:$F$204,5,FALSE))),"")</f>
      </c>
      <c r="J862" s="23">
        <f>IFERROR(IF($F862="",Ayarlar!$C$9,VLOOKUP($F862,'Ürün Kartlar'!$B$5:$G$204,6,FALSE)),Ayarlar!$C$9)</f>
      </c>
      <c r="K862" s="18">
        <f>IF(OR($H862="",$I862=""),0,$H862*$I862)</f>
      </c>
      <c r="L862" s="18">
        <f>$K862*$J862</f>
      </c>
      <c r="M862" s="18">
        <f>$K862+$L862</f>
      </c>
      <c r="N862" s="20"/>
      <c r="O862" s="20"/>
      <c r="P862" s="20"/>
    </row>
    <row r="863" spans="2:16" x14ac:dyDescent="0.25">
      <c r="B863" s="15"/>
      <c r="C863" s="8"/>
      <c r="D863" s="8"/>
      <c r="E863" s="16">
        <f>IFERROR(IF($D863="","",VLOOKUP($D863,'Cari Kartlar'!$B$5:$C$204,2,FALSE)),"— tanımsız cari —")</f>
      </c>
      <c r="F863" s="8"/>
      <c r="G863" s="16">
        <f>IFERROR(IF($F863="","",VLOOKUP($F863,'Ürün Kartlar'!$B$5:$C$204,2,FALSE)),"— tanımsız ürün —")</f>
      </c>
      <c r="H863" s="17"/>
      <c r="I863" s="13">
        <f>IFERROR(IF($F863="","",IF($C863="Alış",VLOOKUP($F863,'Ürün Kartlar'!$B$5:$E$204,4,FALSE),VLOOKUP($F863,'Ürün Kartlar'!$B$5:$F$204,5,FALSE))),"")</f>
      </c>
      <c r="J863" s="11">
        <f>IFERROR(IF($F863="",Ayarlar!$C$9,VLOOKUP($F863,'Ürün Kartlar'!$B$5:$G$204,6,FALSE)),Ayarlar!$C$9)</f>
      </c>
      <c r="K863" s="18">
        <f>IF(OR($H863="",$I863=""),0,$H863*$I863)</f>
      </c>
      <c r="L863" s="18">
        <f>$K863*$J863</f>
      </c>
      <c r="M863" s="18">
        <f>$K863+$L863</f>
      </c>
      <c r="N863" s="8"/>
      <c r="O863" s="8"/>
      <c r="P863" s="8"/>
    </row>
    <row r="864" spans="2:16" x14ac:dyDescent="0.25">
      <c r="B864" s="19"/>
      <c r="C864" s="20"/>
      <c r="D864" s="20"/>
      <c r="E864" s="16">
        <f>IFERROR(IF($D864="","",VLOOKUP($D864,'Cari Kartlar'!$B$5:$C$204,2,FALSE)),"— tanımsız cari —")</f>
      </c>
      <c r="F864" s="20"/>
      <c r="G864" s="16">
        <f>IFERROR(IF($F864="","",VLOOKUP($F864,'Ürün Kartlar'!$B$5:$C$204,2,FALSE)),"— tanımsız ürün —")</f>
      </c>
      <c r="H864" s="21"/>
      <c r="I864" s="22">
        <f>IFERROR(IF($F864="","",IF($C864="Alış",VLOOKUP($F864,'Ürün Kartlar'!$B$5:$E$204,4,FALSE),VLOOKUP($F864,'Ürün Kartlar'!$B$5:$F$204,5,FALSE))),"")</f>
      </c>
      <c r="J864" s="23">
        <f>IFERROR(IF($F864="",Ayarlar!$C$9,VLOOKUP($F864,'Ürün Kartlar'!$B$5:$G$204,6,FALSE)),Ayarlar!$C$9)</f>
      </c>
      <c r="K864" s="18">
        <f>IF(OR($H864="",$I864=""),0,$H864*$I864)</f>
      </c>
      <c r="L864" s="18">
        <f>$K864*$J864</f>
      </c>
      <c r="M864" s="18">
        <f>$K864+$L864</f>
      </c>
      <c r="N864" s="20"/>
      <c r="O864" s="20"/>
      <c r="P864" s="20"/>
    </row>
    <row r="865" spans="2:16" x14ac:dyDescent="0.25">
      <c r="B865" s="15"/>
      <c r="C865" s="8"/>
      <c r="D865" s="8"/>
      <c r="E865" s="16">
        <f>IFERROR(IF($D865="","",VLOOKUP($D865,'Cari Kartlar'!$B$5:$C$204,2,FALSE)),"— tanımsız cari —")</f>
      </c>
      <c r="F865" s="8"/>
      <c r="G865" s="16">
        <f>IFERROR(IF($F865="","",VLOOKUP($F865,'Ürün Kartlar'!$B$5:$C$204,2,FALSE)),"— tanımsız ürün —")</f>
      </c>
      <c r="H865" s="17"/>
      <c r="I865" s="13">
        <f>IFERROR(IF($F865="","",IF($C865="Alış",VLOOKUP($F865,'Ürün Kartlar'!$B$5:$E$204,4,FALSE),VLOOKUP($F865,'Ürün Kartlar'!$B$5:$F$204,5,FALSE))),"")</f>
      </c>
      <c r="J865" s="11">
        <f>IFERROR(IF($F865="",Ayarlar!$C$9,VLOOKUP($F865,'Ürün Kartlar'!$B$5:$G$204,6,FALSE)),Ayarlar!$C$9)</f>
      </c>
      <c r="K865" s="18">
        <f>IF(OR($H865="",$I865=""),0,$H865*$I865)</f>
      </c>
      <c r="L865" s="18">
        <f>$K865*$J865</f>
      </c>
      <c r="M865" s="18">
        <f>$K865+$L865</f>
      </c>
      <c r="N865" s="8"/>
      <c r="O865" s="8"/>
      <c r="P865" s="8"/>
    </row>
    <row r="866" spans="2:16" x14ac:dyDescent="0.25">
      <c r="B866" s="19"/>
      <c r="C866" s="20"/>
      <c r="D866" s="20"/>
      <c r="E866" s="16">
        <f>IFERROR(IF($D866="","",VLOOKUP($D866,'Cari Kartlar'!$B$5:$C$204,2,FALSE)),"— tanımsız cari —")</f>
      </c>
      <c r="F866" s="20"/>
      <c r="G866" s="16">
        <f>IFERROR(IF($F866="","",VLOOKUP($F866,'Ürün Kartlar'!$B$5:$C$204,2,FALSE)),"— tanımsız ürün —")</f>
      </c>
      <c r="H866" s="21"/>
      <c r="I866" s="22">
        <f>IFERROR(IF($F866="","",IF($C866="Alış",VLOOKUP($F866,'Ürün Kartlar'!$B$5:$E$204,4,FALSE),VLOOKUP($F866,'Ürün Kartlar'!$B$5:$F$204,5,FALSE))),"")</f>
      </c>
      <c r="J866" s="23">
        <f>IFERROR(IF($F866="",Ayarlar!$C$9,VLOOKUP($F866,'Ürün Kartlar'!$B$5:$G$204,6,FALSE)),Ayarlar!$C$9)</f>
      </c>
      <c r="K866" s="18">
        <f>IF(OR($H866="",$I866=""),0,$H866*$I866)</f>
      </c>
      <c r="L866" s="18">
        <f>$K866*$J866</f>
      </c>
      <c r="M866" s="18">
        <f>$K866+$L866</f>
      </c>
      <c r="N866" s="20"/>
      <c r="O866" s="20"/>
      <c r="P866" s="20"/>
    </row>
    <row r="867" spans="2:16" x14ac:dyDescent="0.25">
      <c r="B867" s="15"/>
      <c r="C867" s="8"/>
      <c r="D867" s="8"/>
      <c r="E867" s="16">
        <f>IFERROR(IF($D867="","",VLOOKUP($D867,'Cari Kartlar'!$B$5:$C$204,2,FALSE)),"— tanımsız cari —")</f>
      </c>
      <c r="F867" s="8"/>
      <c r="G867" s="16">
        <f>IFERROR(IF($F867="","",VLOOKUP($F867,'Ürün Kartlar'!$B$5:$C$204,2,FALSE)),"— tanımsız ürün —")</f>
      </c>
      <c r="H867" s="17"/>
      <c r="I867" s="13">
        <f>IFERROR(IF($F867="","",IF($C867="Alış",VLOOKUP($F867,'Ürün Kartlar'!$B$5:$E$204,4,FALSE),VLOOKUP($F867,'Ürün Kartlar'!$B$5:$F$204,5,FALSE))),"")</f>
      </c>
      <c r="J867" s="11">
        <f>IFERROR(IF($F867="",Ayarlar!$C$9,VLOOKUP($F867,'Ürün Kartlar'!$B$5:$G$204,6,FALSE)),Ayarlar!$C$9)</f>
      </c>
      <c r="K867" s="18">
        <f>IF(OR($H867="",$I867=""),0,$H867*$I867)</f>
      </c>
      <c r="L867" s="18">
        <f>$K867*$J867</f>
      </c>
      <c r="M867" s="18">
        <f>$K867+$L867</f>
      </c>
      <c r="N867" s="8"/>
      <c r="O867" s="8"/>
      <c r="P867" s="8"/>
    </row>
    <row r="868" spans="2:16" x14ac:dyDescent="0.25">
      <c r="B868" s="19"/>
      <c r="C868" s="20"/>
      <c r="D868" s="20"/>
      <c r="E868" s="16">
        <f>IFERROR(IF($D868="","",VLOOKUP($D868,'Cari Kartlar'!$B$5:$C$204,2,FALSE)),"— tanımsız cari —")</f>
      </c>
      <c r="F868" s="20"/>
      <c r="G868" s="16">
        <f>IFERROR(IF($F868="","",VLOOKUP($F868,'Ürün Kartlar'!$B$5:$C$204,2,FALSE)),"— tanımsız ürün —")</f>
      </c>
      <c r="H868" s="21"/>
      <c r="I868" s="22">
        <f>IFERROR(IF($F868="","",IF($C868="Alış",VLOOKUP($F868,'Ürün Kartlar'!$B$5:$E$204,4,FALSE),VLOOKUP($F868,'Ürün Kartlar'!$B$5:$F$204,5,FALSE))),"")</f>
      </c>
      <c r="J868" s="23">
        <f>IFERROR(IF($F868="",Ayarlar!$C$9,VLOOKUP($F868,'Ürün Kartlar'!$B$5:$G$204,6,FALSE)),Ayarlar!$C$9)</f>
      </c>
      <c r="K868" s="18">
        <f>IF(OR($H868="",$I868=""),0,$H868*$I868)</f>
      </c>
      <c r="L868" s="18">
        <f>$K868*$J868</f>
      </c>
      <c r="M868" s="18">
        <f>$K868+$L868</f>
      </c>
      <c r="N868" s="20"/>
      <c r="O868" s="20"/>
      <c r="P868" s="20"/>
    </row>
    <row r="869" spans="2:16" x14ac:dyDescent="0.25">
      <c r="B869" s="15"/>
      <c r="C869" s="8"/>
      <c r="D869" s="8"/>
      <c r="E869" s="16">
        <f>IFERROR(IF($D869="","",VLOOKUP($D869,'Cari Kartlar'!$B$5:$C$204,2,FALSE)),"— tanımsız cari —")</f>
      </c>
      <c r="F869" s="8"/>
      <c r="G869" s="16">
        <f>IFERROR(IF($F869="","",VLOOKUP($F869,'Ürün Kartlar'!$B$5:$C$204,2,FALSE)),"— tanımsız ürün —")</f>
      </c>
      <c r="H869" s="17"/>
      <c r="I869" s="13">
        <f>IFERROR(IF($F869="","",IF($C869="Alış",VLOOKUP($F869,'Ürün Kartlar'!$B$5:$E$204,4,FALSE),VLOOKUP($F869,'Ürün Kartlar'!$B$5:$F$204,5,FALSE))),"")</f>
      </c>
      <c r="J869" s="11">
        <f>IFERROR(IF($F869="",Ayarlar!$C$9,VLOOKUP($F869,'Ürün Kartlar'!$B$5:$G$204,6,FALSE)),Ayarlar!$C$9)</f>
      </c>
      <c r="K869" s="18">
        <f>IF(OR($H869="",$I869=""),0,$H869*$I869)</f>
      </c>
      <c r="L869" s="18">
        <f>$K869*$J869</f>
      </c>
      <c r="M869" s="18">
        <f>$K869+$L869</f>
      </c>
      <c r="N869" s="8"/>
      <c r="O869" s="8"/>
      <c r="P869" s="8"/>
    </row>
    <row r="870" spans="2:16" x14ac:dyDescent="0.25">
      <c r="B870" s="19"/>
      <c r="C870" s="20"/>
      <c r="D870" s="20"/>
      <c r="E870" s="16">
        <f>IFERROR(IF($D870="","",VLOOKUP($D870,'Cari Kartlar'!$B$5:$C$204,2,FALSE)),"— tanımsız cari —")</f>
      </c>
      <c r="F870" s="20"/>
      <c r="G870" s="16">
        <f>IFERROR(IF($F870="","",VLOOKUP($F870,'Ürün Kartlar'!$B$5:$C$204,2,FALSE)),"— tanımsız ürün —")</f>
      </c>
      <c r="H870" s="21"/>
      <c r="I870" s="22">
        <f>IFERROR(IF($F870="","",IF($C870="Alış",VLOOKUP($F870,'Ürün Kartlar'!$B$5:$E$204,4,FALSE),VLOOKUP($F870,'Ürün Kartlar'!$B$5:$F$204,5,FALSE))),"")</f>
      </c>
      <c r="J870" s="23">
        <f>IFERROR(IF($F870="",Ayarlar!$C$9,VLOOKUP($F870,'Ürün Kartlar'!$B$5:$G$204,6,FALSE)),Ayarlar!$C$9)</f>
      </c>
      <c r="K870" s="18">
        <f>IF(OR($H870="",$I870=""),0,$H870*$I870)</f>
      </c>
      <c r="L870" s="18">
        <f>$K870*$J870</f>
      </c>
      <c r="M870" s="18">
        <f>$K870+$L870</f>
      </c>
      <c r="N870" s="20"/>
      <c r="O870" s="20"/>
      <c r="P870" s="20"/>
    </row>
    <row r="871" spans="2:16" x14ac:dyDescent="0.25">
      <c r="B871" s="15"/>
      <c r="C871" s="8"/>
      <c r="D871" s="8"/>
      <c r="E871" s="16">
        <f>IFERROR(IF($D871="","",VLOOKUP($D871,'Cari Kartlar'!$B$5:$C$204,2,FALSE)),"— tanımsız cari —")</f>
      </c>
      <c r="F871" s="8"/>
      <c r="G871" s="16">
        <f>IFERROR(IF($F871="","",VLOOKUP($F871,'Ürün Kartlar'!$B$5:$C$204,2,FALSE)),"— tanımsız ürün —")</f>
      </c>
      <c r="H871" s="17"/>
      <c r="I871" s="13">
        <f>IFERROR(IF($F871="","",IF($C871="Alış",VLOOKUP($F871,'Ürün Kartlar'!$B$5:$E$204,4,FALSE),VLOOKUP($F871,'Ürün Kartlar'!$B$5:$F$204,5,FALSE))),"")</f>
      </c>
      <c r="J871" s="11">
        <f>IFERROR(IF($F871="",Ayarlar!$C$9,VLOOKUP($F871,'Ürün Kartlar'!$B$5:$G$204,6,FALSE)),Ayarlar!$C$9)</f>
      </c>
      <c r="K871" s="18">
        <f>IF(OR($H871="",$I871=""),0,$H871*$I871)</f>
      </c>
      <c r="L871" s="18">
        <f>$K871*$J871</f>
      </c>
      <c r="M871" s="18">
        <f>$K871+$L871</f>
      </c>
      <c r="N871" s="8"/>
      <c r="O871" s="8"/>
      <c r="P871" s="8"/>
    </row>
    <row r="872" spans="2:16" x14ac:dyDescent="0.25">
      <c r="B872" s="19"/>
      <c r="C872" s="20"/>
      <c r="D872" s="20"/>
      <c r="E872" s="16">
        <f>IFERROR(IF($D872="","",VLOOKUP($D872,'Cari Kartlar'!$B$5:$C$204,2,FALSE)),"— tanımsız cari —")</f>
      </c>
      <c r="F872" s="20"/>
      <c r="G872" s="16">
        <f>IFERROR(IF($F872="","",VLOOKUP($F872,'Ürün Kartlar'!$B$5:$C$204,2,FALSE)),"— tanımsız ürün —")</f>
      </c>
      <c r="H872" s="21"/>
      <c r="I872" s="22">
        <f>IFERROR(IF($F872="","",IF($C872="Alış",VLOOKUP($F872,'Ürün Kartlar'!$B$5:$E$204,4,FALSE),VLOOKUP($F872,'Ürün Kartlar'!$B$5:$F$204,5,FALSE))),"")</f>
      </c>
      <c r="J872" s="23">
        <f>IFERROR(IF($F872="",Ayarlar!$C$9,VLOOKUP($F872,'Ürün Kartlar'!$B$5:$G$204,6,FALSE)),Ayarlar!$C$9)</f>
      </c>
      <c r="K872" s="18">
        <f>IF(OR($H872="",$I872=""),0,$H872*$I872)</f>
      </c>
      <c r="L872" s="18">
        <f>$K872*$J872</f>
      </c>
      <c r="M872" s="18">
        <f>$K872+$L872</f>
      </c>
      <c r="N872" s="20"/>
      <c r="O872" s="20"/>
      <c r="P872" s="20"/>
    </row>
    <row r="873" spans="2:16" x14ac:dyDescent="0.25">
      <c r="B873" s="15"/>
      <c r="C873" s="8"/>
      <c r="D873" s="8"/>
      <c r="E873" s="16">
        <f>IFERROR(IF($D873="","",VLOOKUP($D873,'Cari Kartlar'!$B$5:$C$204,2,FALSE)),"— tanımsız cari —")</f>
      </c>
      <c r="F873" s="8"/>
      <c r="G873" s="16">
        <f>IFERROR(IF($F873="","",VLOOKUP($F873,'Ürün Kartlar'!$B$5:$C$204,2,FALSE)),"— tanımsız ürün —")</f>
      </c>
      <c r="H873" s="17"/>
      <c r="I873" s="13">
        <f>IFERROR(IF($F873="","",IF($C873="Alış",VLOOKUP($F873,'Ürün Kartlar'!$B$5:$E$204,4,FALSE),VLOOKUP($F873,'Ürün Kartlar'!$B$5:$F$204,5,FALSE))),"")</f>
      </c>
      <c r="J873" s="11">
        <f>IFERROR(IF($F873="",Ayarlar!$C$9,VLOOKUP($F873,'Ürün Kartlar'!$B$5:$G$204,6,FALSE)),Ayarlar!$C$9)</f>
      </c>
      <c r="K873" s="18">
        <f>IF(OR($H873="",$I873=""),0,$H873*$I873)</f>
      </c>
      <c r="L873" s="18">
        <f>$K873*$J873</f>
      </c>
      <c r="M873" s="18">
        <f>$K873+$L873</f>
      </c>
      <c r="N873" s="8"/>
      <c r="O873" s="8"/>
      <c r="P873" s="8"/>
    </row>
    <row r="874" spans="2:16" x14ac:dyDescent="0.25">
      <c r="B874" s="19"/>
      <c r="C874" s="20"/>
      <c r="D874" s="20"/>
      <c r="E874" s="16">
        <f>IFERROR(IF($D874="","",VLOOKUP($D874,'Cari Kartlar'!$B$5:$C$204,2,FALSE)),"— tanımsız cari —")</f>
      </c>
      <c r="F874" s="20"/>
      <c r="G874" s="16">
        <f>IFERROR(IF($F874="","",VLOOKUP($F874,'Ürün Kartlar'!$B$5:$C$204,2,FALSE)),"— tanımsız ürün —")</f>
      </c>
      <c r="H874" s="21"/>
      <c r="I874" s="22">
        <f>IFERROR(IF($F874="","",IF($C874="Alış",VLOOKUP($F874,'Ürün Kartlar'!$B$5:$E$204,4,FALSE),VLOOKUP($F874,'Ürün Kartlar'!$B$5:$F$204,5,FALSE))),"")</f>
      </c>
      <c r="J874" s="23">
        <f>IFERROR(IF($F874="",Ayarlar!$C$9,VLOOKUP($F874,'Ürün Kartlar'!$B$5:$G$204,6,FALSE)),Ayarlar!$C$9)</f>
      </c>
      <c r="K874" s="18">
        <f>IF(OR($H874="",$I874=""),0,$H874*$I874)</f>
      </c>
      <c r="L874" s="18">
        <f>$K874*$J874</f>
      </c>
      <c r="M874" s="18">
        <f>$K874+$L874</f>
      </c>
      <c r="N874" s="20"/>
      <c r="O874" s="20"/>
      <c r="P874" s="20"/>
    </row>
    <row r="875" spans="2:16" x14ac:dyDescent="0.25">
      <c r="B875" s="15"/>
      <c r="C875" s="8"/>
      <c r="D875" s="8"/>
      <c r="E875" s="16">
        <f>IFERROR(IF($D875="","",VLOOKUP($D875,'Cari Kartlar'!$B$5:$C$204,2,FALSE)),"— tanımsız cari —")</f>
      </c>
      <c r="F875" s="8"/>
      <c r="G875" s="16">
        <f>IFERROR(IF($F875="","",VLOOKUP($F875,'Ürün Kartlar'!$B$5:$C$204,2,FALSE)),"— tanımsız ürün —")</f>
      </c>
      <c r="H875" s="17"/>
      <c r="I875" s="13">
        <f>IFERROR(IF($F875="","",IF($C875="Alış",VLOOKUP($F875,'Ürün Kartlar'!$B$5:$E$204,4,FALSE),VLOOKUP($F875,'Ürün Kartlar'!$B$5:$F$204,5,FALSE))),"")</f>
      </c>
      <c r="J875" s="11">
        <f>IFERROR(IF($F875="",Ayarlar!$C$9,VLOOKUP($F875,'Ürün Kartlar'!$B$5:$G$204,6,FALSE)),Ayarlar!$C$9)</f>
      </c>
      <c r="K875" s="18">
        <f>IF(OR($H875="",$I875=""),0,$H875*$I875)</f>
      </c>
      <c r="L875" s="18">
        <f>$K875*$J875</f>
      </c>
      <c r="M875" s="18">
        <f>$K875+$L875</f>
      </c>
      <c r="N875" s="8"/>
      <c r="O875" s="8"/>
      <c r="P875" s="8"/>
    </row>
    <row r="876" spans="2:16" x14ac:dyDescent="0.25">
      <c r="B876" s="19"/>
      <c r="C876" s="20"/>
      <c r="D876" s="20"/>
      <c r="E876" s="16">
        <f>IFERROR(IF($D876="","",VLOOKUP($D876,'Cari Kartlar'!$B$5:$C$204,2,FALSE)),"— tanımsız cari —")</f>
      </c>
      <c r="F876" s="20"/>
      <c r="G876" s="16">
        <f>IFERROR(IF($F876="","",VLOOKUP($F876,'Ürün Kartlar'!$B$5:$C$204,2,FALSE)),"— tanımsız ürün —")</f>
      </c>
      <c r="H876" s="21"/>
      <c r="I876" s="22">
        <f>IFERROR(IF($F876="","",IF($C876="Alış",VLOOKUP($F876,'Ürün Kartlar'!$B$5:$E$204,4,FALSE),VLOOKUP($F876,'Ürün Kartlar'!$B$5:$F$204,5,FALSE))),"")</f>
      </c>
      <c r="J876" s="23">
        <f>IFERROR(IF($F876="",Ayarlar!$C$9,VLOOKUP($F876,'Ürün Kartlar'!$B$5:$G$204,6,FALSE)),Ayarlar!$C$9)</f>
      </c>
      <c r="K876" s="18">
        <f>IF(OR($H876="",$I876=""),0,$H876*$I876)</f>
      </c>
      <c r="L876" s="18">
        <f>$K876*$J876</f>
      </c>
      <c r="M876" s="18">
        <f>$K876+$L876</f>
      </c>
      <c r="N876" s="20"/>
      <c r="O876" s="20"/>
      <c r="P876" s="20"/>
    </row>
    <row r="877" spans="2:16" x14ac:dyDescent="0.25">
      <c r="B877" s="15"/>
      <c r="C877" s="8"/>
      <c r="D877" s="8"/>
      <c r="E877" s="16">
        <f>IFERROR(IF($D877="","",VLOOKUP($D877,'Cari Kartlar'!$B$5:$C$204,2,FALSE)),"— tanımsız cari —")</f>
      </c>
      <c r="F877" s="8"/>
      <c r="G877" s="16">
        <f>IFERROR(IF($F877="","",VLOOKUP($F877,'Ürün Kartlar'!$B$5:$C$204,2,FALSE)),"— tanımsız ürün —")</f>
      </c>
      <c r="H877" s="17"/>
      <c r="I877" s="13">
        <f>IFERROR(IF($F877="","",IF($C877="Alış",VLOOKUP($F877,'Ürün Kartlar'!$B$5:$E$204,4,FALSE),VLOOKUP($F877,'Ürün Kartlar'!$B$5:$F$204,5,FALSE))),"")</f>
      </c>
      <c r="J877" s="11">
        <f>IFERROR(IF($F877="",Ayarlar!$C$9,VLOOKUP($F877,'Ürün Kartlar'!$B$5:$G$204,6,FALSE)),Ayarlar!$C$9)</f>
      </c>
      <c r="K877" s="18">
        <f>IF(OR($H877="",$I877=""),0,$H877*$I877)</f>
      </c>
      <c r="L877" s="18">
        <f>$K877*$J877</f>
      </c>
      <c r="M877" s="18">
        <f>$K877+$L877</f>
      </c>
      <c r="N877" s="8"/>
      <c r="O877" s="8"/>
      <c r="P877" s="8"/>
    </row>
    <row r="878" spans="2:16" x14ac:dyDescent="0.25">
      <c r="B878" s="19"/>
      <c r="C878" s="20"/>
      <c r="D878" s="20"/>
      <c r="E878" s="16">
        <f>IFERROR(IF($D878="","",VLOOKUP($D878,'Cari Kartlar'!$B$5:$C$204,2,FALSE)),"— tanımsız cari —")</f>
      </c>
      <c r="F878" s="20"/>
      <c r="G878" s="16">
        <f>IFERROR(IF($F878="","",VLOOKUP($F878,'Ürün Kartlar'!$B$5:$C$204,2,FALSE)),"— tanımsız ürün —")</f>
      </c>
      <c r="H878" s="21"/>
      <c r="I878" s="22">
        <f>IFERROR(IF($F878="","",IF($C878="Alış",VLOOKUP($F878,'Ürün Kartlar'!$B$5:$E$204,4,FALSE),VLOOKUP($F878,'Ürün Kartlar'!$B$5:$F$204,5,FALSE))),"")</f>
      </c>
      <c r="J878" s="23">
        <f>IFERROR(IF($F878="",Ayarlar!$C$9,VLOOKUP($F878,'Ürün Kartlar'!$B$5:$G$204,6,FALSE)),Ayarlar!$C$9)</f>
      </c>
      <c r="K878" s="18">
        <f>IF(OR($H878="",$I878=""),0,$H878*$I878)</f>
      </c>
      <c r="L878" s="18">
        <f>$K878*$J878</f>
      </c>
      <c r="M878" s="18">
        <f>$K878+$L878</f>
      </c>
      <c r="N878" s="20"/>
      <c r="O878" s="20"/>
      <c r="P878" s="20"/>
    </row>
    <row r="879" spans="2:16" x14ac:dyDescent="0.25">
      <c r="B879" s="15"/>
      <c r="C879" s="8"/>
      <c r="D879" s="8"/>
      <c r="E879" s="16">
        <f>IFERROR(IF($D879="","",VLOOKUP($D879,'Cari Kartlar'!$B$5:$C$204,2,FALSE)),"— tanımsız cari —")</f>
      </c>
      <c r="F879" s="8"/>
      <c r="G879" s="16">
        <f>IFERROR(IF($F879="","",VLOOKUP($F879,'Ürün Kartlar'!$B$5:$C$204,2,FALSE)),"— tanımsız ürün —")</f>
      </c>
      <c r="H879" s="17"/>
      <c r="I879" s="13">
        <f>IFERROR(IF($F879="","",IF($C879="Alış",VLOOKUP($F879,'Ürün Kartlar'!$B$5:$E$204,4,FALSE),VLOOKUP($F879,'Ürün Kartlar'!$B$5:$F$204,5,FALSE))),"")</f>
      </c>
      <c r="J879" s="11">
        <f>IFERROR(IF($F879="",Ayarlar!$C$9,VLOOKUP($F879,'Ürün Kartlar'!$B$5:$G$204,6,FALSE)),Ayarlar!$C$9)</f>
      </c>
      <c r="K879" s="18">
        <f>IF(OR($H879="",$I879=""),0,$H879*$I879)</f>
      </c>
      <c r="L879" s="18">
        <f>$K879*$J879</f>
      </c>
      <c r="M879" s="18">
        <f>$K879+$L879</f>
      </c>
      <c r="N879" s="8"/>
      <c r="O879" s="8"/>
      <c r="P879" s="8"/>
    </row>
    <row r="880" spans="2:16" x14ac:dyDescent="0.25">
      <c r="B880" s="19"/>
      <c r="C880" s="20"/>
      <c r="D880" s="20"/>
      <c r="E880" s="16">
        <f>IFERROR(IF($D880="","",VLOOKUP($D880,'Cari Kartlar'!$B$5:$C$204,2,FALSE)),"— tanımsız cari —")</f>
      </c>
      <c r="F880" s="20"/>
      <c r="G880" s="16">
        <f>IFERROR(IF($F880="","",VLOOKUP($F880,'Ürün Kartlar'!$B$5:$C$204,2,FALSE)),"— tanımsız ürün —")</f>
      </c>
      <c r="H880" s="21"/>
      <c r="I880" s="22">
        <f>IFERROR(IF($F880="","",IF($C880="Alış",VLOOKUP($F880,'Ürün Kartlar'!$B$5:$E$204,4,FALSE),VLOOKUP($F880,'Ürün Kartlar'!$B$5:$F$204,5,FALSE))),"")</f>
      </c>
      <c r="J880" s="23">
        <f>IFERROR(IF($F880="",Ayarlar!$C$9,VLOOKUP($F880,'Ürün Kartlar'!$B$5:$G$204,6,FALSE)),Ayarlar!$C$9)</f>
      </c>
      <c r="K880" s="18">
        <f>IF(OR($H880="",$I880=""),0,$H880*$I880)</f>
      </c>
      <c r="L880" s="18">
        <f>$K880*$J880</f>
      </c>
      <c r="M880" s="18">
        <f>$K880+$L880</f>
      </c>
      <c r="N880" s="20"/>
      <c r="O880" s="20"/>
      <c r="P880" s="20"/>
    </row>
    <row r="881" spans="2:16" x14ac:dyDescent="0.25">
      <c r="B881" s="15"/>
      <c r="C881" s="8"/>
      <c r="D881" s="8"/>
      <c r="E881" s="16">
        <f>IFERROR(IF($D881="","",VLOOKUP($D881,'Cari Kartlar'!$B$5:$C$204,2,FALSE)),"— tanımsız cari —")</f>
      </c>
      <c r="F881" s="8"/>
      <c r="G881" s="16">
        <f>IFERROR(IF($F881="","",VLOOKUP($F881,'Ürün Kartlar'!$B$5:$C$204,2,FALSE)),"— tanımsız ürün —")</f>
      </c>
      <c r="H881" s="17"/>
      <c r="I881" s="13">
        <f>IFERROR(IF($F881="","",IF($C881="Alış",VLOOKUP($F881,'Ürün Kartlar'!$B$5:$E$204,4,FALSE),VLOOKUP($F881,'Ürün Kartlar'!$B$5:$F$204,5,FALSE))),"")</f>
      </c>
      <c r="J881" s="11">
        <f>IFERROR(IF($F881="",Ayarlar!$C$9,VLOOKUP($F881,'Ürün Kartlar'!$B$5:$G$204,6,FALSE)),Ayarlar!$C$9)</f>
      </c>
      <c r="K881" s="18">
        <f>IF(OR($H881="",$I881=""),0,$H881*$I881)</f>
      </c>
      <c r="L881" s="18">
        <f>$K881*$J881</f>
      </c>
      <c r="M881" s="18">
        <f>$K881+$L881</f>
      </c>
      <c r="N881" s="8"/>
      <c r="O881" s="8"/>
      <c r="P881" s="8"/>
    </row>
    <row r="882" spans="2:16" x14ac:dyDescent="0.25">
      <c r="B882" s="19"/>
      <c r="C882" s="20"/>
      <c r="D882" s="20"/>
      <c r="E882" s="16">
        <f>IFERROR(IF($D882="","",VLOOKUP($D882,'Cari Kartlar'!$B$5:$C$204,2,FALSE)),"— tanımsız cari —")</f>
      </c>
      <c r="F882" s="20"/>
      <c r="G882" s="16">
        <f>IFERROR(IF($F882="","",VLOOKUP($F882,'Ürün Kartlar'!$B$5:$C$204,2,FALSE)),"— tanımsız ürün —")</f>
      </c>
      <c r="H882" s="21"/>
      <c r="I882" s="22">
        <f>IFERROR(IF($F882="","",IF($C882="Alış",VLOOKUP($F882,'Ürün Kartlar'!$B$5:$E$204,4,FALSE),VLOOKUP($F882,'Ürün Kartlar'!$B$5:$F$204,5,FALSE))),"")</f>
      </c>
      <c r="J882" s="23">
        <f>IFERROR(IF($F882="",Ayarlar!$C$9,VLOOKUP($F882,'Ürün Kartlar'!$B$5:$G$204,6,FALSE)),Ayarlar!$C$9)</f>
      </c>
      <c r="K882" s="18">
        <f>IF(OR($H882="",$I882=""),0,$H882*$I882)</f>
      </c>
      <c r="L882" s="18">
        <f>$K882*$J882</f>
      </c>
      <c r="M882" s="18">
        <f>$K882+$L882</f>
      </c>
      <c r="N882" s="20"/>
      <c r="O882" s="20"/>
      <c r="P882" s="20"/>
    </row>
    <row r="883" spans="2:16" x14ac:dyDescent="0.25">
      <c r="B883" s="15"/>
      <c r="C883" s="8"/>
      <c r="D883" s="8"/>
      <c r="E883" s="16">
        <f>IFERROR(IF($D883="","",VLOOKUP($D883,'Cari Kartlar'!$B$5:$C$204,2,FALSE)),"— tanımsız cari —")</f>
      </c>
      <c r="F883" s="8"/>
      <c r="G883" s="16">
        <f>IFERROR(IF($F883="","",VLOOKUP($F883,'Ürün Kartlar'!$B$5:$C$204,2,FALSE)),"— tanımsız ürün —")</f>
      </c>
      <c r="H883" s="17"/>
      <c r="I883" s="13">
        <f>IFERROR(IF($F883="","",IF($C883="Alış",VLOOKUP($F883,'Ürün Kartlar'!$B$5:$E$204,4,FALSE),VLOOKUP($F883,'Ürün Kartlar'!$B$5:$F$204,5,FALSE))),"")</f>
      </c>
      <c r="J883" s="11">
        <f>IFERROR(IF($F883="",Ayarlar!$C$9,VLOOKUP($F883,'Ürün Kartlar'!$B$5:$G$204,6,FALSE)),Ayarlar!$C$9)</f>
      </c>
      <c r="K883" s="18">
        <f>IF(OR($H883="",$I883=""),0,$H883*$I883)</f>
      </c>
      <c r="L883" s="18">
        <f>$K883*$J883</f>
      </c>
      <c r="M883" s="18">
        <f>$K883+$L883</f>
      </c>
      <c r="N883" s="8"/>
      <c r="O883" s="8"/>
      <c r="P883" s="8"/>
    </row>
    <row r="884" spans="2:16" x14ac:dyDescent="0.25">
      <c r="B884" s="19"/>
      <c r="C884" s="20"/>
      <c r="D884" s="20"/>
      <c r="E884" s="16">
        <f>IFERROR(IF($D884="","",VLOOKUP($D884,'Cari Kartlar'!$B$5:$C$204,2,FALSE)),"— tanımsız cari —")</f>
      </c>
      <c r="F884" s="20"/>
      <c r="G884" s="16">
        <f>IFERROR(IF($F884="","",VLOOKUP($F884,'Ürün Kartlar'!$B$5:$C$204,2,FALSE)),"— tanımsız ürün —")</f>
      </c>
      <c r="H884" s="21"/>
      <c r="I884" s="22">
        <f>IFERROR(IF($F884="","",IF($C884="Alış",VLOOKUP($F884,'Ürün Kartlar'!$B$5:$E$204,4,FALSE),VLOOKUP($F884,'Ürün Kartlar'!$B$5:$F$204,5,FALSE))),"")</f>
      </c>
      <c r="J884" s="23">
        <f>IFERROR(IF($F884="",Ayarlar!$C$9,VLOOKUP($F884,'Ürün Kartlar'!$B$5:$G$204,6,FALSE)),Ayarlar!$C$9)</f>
      </c>
      <c r="K884" s="18">
        <f>IF(OR($H884="",$I884=""),0,$H884*$I884)</f>
      </c>
      <c r="L884" s="18">
        <f>$K884*$J884</f>
      </c>
      <c r="M884" s="18">
        <f>$K884+$L884</f>
      </c>
      <c r="N884" s="20"/>
      <c r="O884" s="20"/>
      <c r="P884" s="20"/>
    </row>
    <row r="885" spans="2:16" x14ac:dyDescent="0.25">
      <c r="B885" s="15"/>
      <c r="C885" s="8"/>
      <c r="D885" s="8"/>
      <c r="E885" s="16">
        <f>IFERROR(IF($D885="","",VLOOKUP($D885,'Cari Kartlar'!$B$5:$C$204,2,FALSE)),"— tanımsız cari —")</f>
      </c>
      <c r="F885" s="8"/>
      <c r="G885" s="16">
        <f>IFERROR(IF($F885="","",VLOOKUP($F885,'Ürün Kartlar'!$B$5:$C$204,2,FALSE)),"— tanımsız ürün —")</f>
      </c>
      <c r="H885" s="17"/>
      <c r="I885" s="13">
        <f>IFERROR(IF($F885="","",IF($C885="Alış",VLOOKUP($F885,'Ürün Kartlar'!$B$5:$E$204,4,FALSE),VLOOKUP($F885,'Ürün Kartlar'!$B$5:$F$204,5,FALSE))),"")</f>
      </c>
      <c r="J885" s="11">
        <f>IFERROR(IF($F885="",Ayarlar!$C$9,VLOOKUP($F885,'Ürün Kartlar'!$B$5:$G$204,6,FALSE)),Ayarlar!$C$9)</f>
      </c>
      <c r="K885" s="18">
        <f>IF(OR($H885="",$I885=""),0,$H885*$I885)</f>
      </c>
      <c r="L885" s="18">
        <f>$K885*$J885</f>
      </c>
      <c r="M885" s="18">
        <f>$K885+$L885</f>
      </c>
      <c r="N885" s="8"/>
      <c r="O885" s="8"/>
      <c r="P885" s="8"/>
    </row>
    <row r="886" spans="2:16" x14ac:dyDescent="0.25">
      <c r="B886" s="19"/>
      <c r="C886" s="20"/>
      <c r="D886" s="20"/>
      <c r="E886" s="16">
        <f>IFERROR(IF($D886="","",VLOOKUP($D886,'Cari Kartlar'!$B$5:$C$204,2,FALSE)),"— tanımsız cari —")</f>
      </c>
      <c r="F886" s="20"/>
      <c r="G886" s="16">
        <f>IFERROR(IF($F886="","",VLOOKUP($F886,'Ürün Kartlar'!$B$5:$C$204,2,FALSE)),"— tanımsız ürün —")</f>
      </c>
      <c r="H886" s="21"/>
      <c r="I886" s="22">
        <f>IFERROR(IF($F886="","",IF($C886="Alış",VLOOKUP($F886,'Ürün Kartlar'!$B$5:$E$204,4,FALSE),VLOOKUP($F886,'Ürün Kartlar'!$B$5:$F$204,5,FALSE))),"")</f>
      </c>
      <c r="J886" s="23">
        <f>IFERROR(IF($F886="",Ayarlar!$C$9,VLOOKUP($F886,'Ürün Kartlar'!$B$5:$G$204,6,FALSE)),Ayarlar!$C$9)</f>
      </c>
      <c r="K886" s="18">
        <f>IF(OR($H886="",$I886=""),0,$H886*$I886)</f>
      </c>
      <c r="L886" s="18">
        <f>$K886*$J886</f>
      </c>
      <c r="M886" s="18">
        <f>$K886+$L886</f>
      </c>
      <c r="N886" s="20"/>
      <c r="O886" s="20"/>
      <c r="P886" s="20"/>
    </row>
    <row r="887" spans="2:16" x14ac:dyDescent="0.25">
      <c r="B887" s="15"/>
      <c r="C887" s="8"/>
      <c r="D887" s="8"/>
      <c r="E887" s="16">
        <f>IFERROR(IF($D887="","",VLOOKUP($D887,'Cari Kartlar'!$B$5:$C$204,2,FALSE)),"— tanımsız cari —")</f>
      </c>
      <c r="F887" s="8"/>
      <c r="G887" s="16">
        <f>IFERROR(IF($F887="","",VLOOKUP($F887,'Ürün Kartlar'!$B$5:$C$204,2,FALSE)),"— tanımsız ürün —")</f>
      </c>
      <c r="H887" s="17"/>
      <c r="I887" s="13">
        <f>IFERROR(IF($F887="","",IF($C887="Alış",VLOOKUP($F887,'Ürün Kartlar'!$B$5:$E$204,4,FALSE),VLOOKUP($F887,'Ürün Kartlar'!$B$5:$F$204,5,FALSE))),"")</f>
      </c>
      <c r="J887" s="11">
        <f>IFERROR(IF($F887="",Ayarlar!$C$9,VLOOKUP($F887,'Ürün Kartlar'!$B$5:$G$204,6,FALSE)),Ayarlar!$C$9)</f>
      </c>
      <c r="K887" s="18">
        <f>IF(OR($H887="",$I887=""),0,$H887*$I887)</f>
      </c>
      <c r="L887" s="18">
        <f>$K887*$J887</f>
      </c>
      <c r="M887" s="18">
        <f>$K887+$L887</f>
      </c>
      <c r="N887" s="8"/>
      <c r="O887" s="8"/>
      <c r="P887" s="8"/>
    </row>
    <row r="888" spans="2:16" x14ac:dyDescent="0.25">
      <c r="B888" s="19"/>
      <c r="C888" s="20"/>
      <c r="D888" s="20"/>
      <c r="E888" s="16">
        <f>IFERROR(IF($D888="","",VLOOKUP($D888,'Cari Kartlar'!$B$5:$C$204,2,FALSE)),"— tanımsız cari —")</f>
      </c>
      <c r="F888" s="20"/>
      <c r="G888" s="16">
        <f>IFERROR(IF($F888="","",VLOOKUP($F888,'Ürün Kartlar'!$B$5:$C$204,2,FALSE)),"— tanımsız ürün —")</f>
      </c>
      <c r="H888" s="21"/>
      <c r="I888" s="22">
        <f>IFERROR(IF($F888="","",IF($C888="Alış",VLOOKUP($F888,'Ürün Kartlar'!$B$5:$E$204,4,FALSE),VLOOKUP($F888,'Ürün Kartlar'!$B$5:$F$204,5,FALSE))),"")</f>
      </c>
      <c r="J888" s="23">
        <f>IFERROR(IF($F888="",Ayarlar!$C$9,VLOOKUP($F888,'Ürün Kartlar'!$B$5:$G$204,6,FALSE)),Ayarlar!$C$9)</f>
      </c>
      <c r="K888" s="18">
        <f>IF(OR($H888="",$I888=""),0,$H888*$I888)</f>
      </c>
      <c r="L888" s="18">
        <f>$K888*$J888</f>
      </c>
      <c r="M888" s="18">
        <f>$K888+$L888</f>
      </c>
      <c r="N888" s="20"/>
      <c r="O888" s="20"/>
      <c r="P888" s="20"/>
    </row>
    <row r="889" spans="2:16" x14ac:dyDescent="0.25">
      <c r="B889" s="15"/>
      <c r="C889" s="8"/>
      <c r="D889" s="8"/>
      <c r="E889" s="16">
        <f>IFERROR(IF($D889="","",VLOOKUP($D889,'Cari Kartlar'!$B$5:$C$204,2,FALSE)),"— tanımsız cari —")</f>
      </c>
      <c r="F889" s="8"/>
      <c r="G889" s="16">
        <f>IFERROR(IF($F889="","",VLOOKUP($F889,'Ürün Kartlar'!$B$5:$C$204,2,FALSE)),"— tanımsız ürün —")</f>
      </c>
      <c r="H889" s="17"/>
      <c r="I889" s="13">
        <f>IFERROR(IF($F889="","",IF($C889="Alış",VLOOKUP($F889,'Ürün Kartlar'!$B$5:$E$204,4,FALSE),VLOOKUP($F889,'Ürün Kartlar'!$B$5:$F$204,5,FALSE))),"")</f>
      </c>
      <c r="J889" s="11">
        <f>IFERROR(IF($F889="",Ayarlar!$C$9,VLOOKUP($F889,'Ürün Kartlar'!$B$5:$G$204,6,FALSE)),Ayarlar!$C$9)</f>
      </c>
      <c r="K889" s="18">
        <f>IF(OR($H889="",$I889=""),0,$H889*$I889)</f>
      </c>
      <c r="L889" s="18">
        <f>$K889*$J889</f>
      </c>
      <c r="M889" s="18">
        <f>$K889+$L889</f>
      </c>
      <c r="N889" s="8"/>
      <c r="O889" s="8"/>
      <c r="P889" s="8"/>
    </row>
    <row r="890" spans="2:16" x14ac:dyDescent="0.25">
      <c r="B890" s="19"/>
      <c r="C890" s="20"/>
      <c r="D890" s="20"/>
      <c r="E890" s="16">
        <f>IFERROR(IF($D890="","",VLOOKUP($D890,'Cari Kartlar'!$B$5:$C$204,2,FALSE)),"— tanımsız cari —")</f>
      </c>
      <c r="F890" s="20"/>
      <c r="G890" s="16">
        <f>IFERROR(IF($F890="","",VLOOKUP($F890,'Ürün Kartlar'!$B$5:$C$204,2,FALSE)),"— tanımsız ürün —")</f>
      </c>
      <c r="H890" s="21"/>
      <c r="I890" s="22">
        <f>IFERROR(IF($F890="","",IF($C890="Alış",VLOOKUP($F890,'Ürün Kartlar'!$B$5:$E$204,4,FALSE),VLOOKUP($F890,'Ürün Kartlar'!$B$5:$F$204,5,FALSE))),"")</f>
      </c>
      <c r="J890" s="23">
        <f>IFERROR(IF($F890="",Ayarlar!$C$9,VLOOKUP($F890,'Ürün Kartlar'!$B$5:$G$204,6,FALSE)),Ayarlar!$C$9)</f>
      </c>
      <c r="K890" s="18">
        <f>IF(OR($H890="",$I890=""),0,$H890*$I890)</f>
      </c>
      <c r="L890" s="18">
        <f>$K890*$J890</f>
      </c>
      <c r="M890" s="18">
        <f>$K890+$L890</f>
      </c>
      <c r="N890" s="20"/>
      <c r="O890" s="20"/>
      <c r="P890" s="20"/>
    </row>
    <row r="891" spans="2:16" x14ac:dyDescent="0.25">
      <c r="B891" s="15"/>
      <c r="C891" s="8"/>
      <c r="D891" s="8"/>
      <c r="E891" s="16">
        <f>IFERROR(IF($D891="","",VLOOKUP($D891,'Cari Kartlar'!$B$5:$C$204,2,FALSE)),"— tanımsız cari —")</f>
      </c>
      <c r="F891" s="8"/>
      <c r="G891" s="16">
        <f>IFERROR(IF($F891="","",VLOOKUP($F891,'Ürün Kartlar'!$B$5:$C$204,2,FALSE)),"— tanımsız ürün —")</f>
      </c>
      <c r="H891" s="17"/>
      <c r="I891" s="13">
        <f>IFERROR(IF($F891="","",IF($C891="Alış",VLOOKUP($F891,'Ürün Kartlar'!$B$5:$E$204,4,FALSE),VLOOKUP($F891,'Ürün Kartlar'!$B$5:$F$204,5,FALSE))),"")</f>
      </c>
      <c r="J891" s="11">
        <f>IFERROR(IF($F891="",Ayarlar!$C$9,VLOOKUP($F891,'Ürün Kartlar'!$B$5:$G$204,6,FALSE)),Ayarlar!$C$9)</f>
      </c>
      <c r="K891" s="18">
        <f>IF(OR($H891="",$I891=""),0,$H891*$I891)</f>
      </c>
      <c r="L891" s="18">
        <f>$K891*$J891</f>
      </c>
      <c r="M891" s="18">
        <f>$K891+$L891</f>
      </c>
      <c r="N891" s="8"/>
      <c r="O891" s="8"/>
      <c r="P891" s="8"/>
    </row>
    <row r="892" spans="2:16" x14ac:dyDescent="0.25">
      <c r="B892" s="19"/>
      <c r="C892" s="20"/>
      <c r="D892" s="20"/>
      <c r="E892" s="16">
        <f>IFERROR(IF($D892="","",VLOOKUP($D892,'Cari Kartlar'!$B$5:$C$204,2,FALSE)),"— tanımsız cari —")</f>
      </c>
      <c r="F892" s="20"/>
      <c r="G892" s="16">
        <f>IFERROR(IF($F892="","",VLOOKUP($F892,'Ürün Kartlar'!$B$5:$C$204,2,FALSE)),"— tanımsız ürün —")</f>
      </c>
      <c r="H892" s="21"/>
      <c r="I892" s="22">
        <f>IFERROR(IF($F892="","",IF($C892="Alış",VLOOKUP($F892,'Ürün Kartlar'!$B$5:$E$204,4,FALSE),VLOOKUP($F892,'Ürün Kartlar'!$B$5:$F$204,5,FALSE))),"")</f>
      </c>
      <c r="J892" s="23">
        <f>IFERROR(IF($F892="",Ayarlar!$C$9,VLOOKUP($F892,'Ürün Kartlar'!$B$5:$G$204,6,FALSE)),Ayarlar!$C$9)</f>
      </c>
      <c r="K892" s="18">
        <f>IF(OR($H892="",$I892=""),0,$H892*$I892)</f>
      </c>
      <c r="L892" s="18">
        <f>$K892*$J892</f>
      </c>
      <c r="M892" s="18">
        <f>$K892+$L892</f>
      </c>
      <c r="N892" s="20"/>
      <c r="O892" s="20"/>
      <c r="P892" s="20"/>
    </row>
    <row r="893" spans="2:16" x14ac:dyDescent="0.25">
      <c r="B893" s="15"/>
      <c r="C893" s="8"/>
      <c r="D893" s="8"/>
      <c r="E893" s="16">
        <f>IFERROR(IF($D893="","",VLOOKUP($D893,'Cari Kartlar'!$B$5:$C$204,2,FALSE)),"— tanımsız cari —")</f>
      </c>
      <c r="F893" s="8"/>
      <c r="G893" s="16">
        <f>IFERROR(IF($F893="","",VLOOKUP($F893,'Ürün Kartlar'!$B$5:$C$204,2,FALSE)),"— tanımsız ürün —")</f>
      </c>
      <c r="H893" s="17"/>
      <c r="I893" s="13">
        <f>IFERROR(IF($F893="","",IF($C893="Alış",VLOOKUP($F893,'Ürün Kartlar'!$B$5:$E$204,4,FALSE),VLOOKUP($F893,'Ürün Kartlar'!$B$5:$F$204,5,FALSE))),"")</f>
      </c>
      <c r="J893" s="11">
        <f>IFERROR(IF($F893="",Ayarlar!$C$9,VLOOKUP($F893,'Ürün Kartlar'!$B$5:$G$204,6,FALSE)),Ayarlar!$C$9)</f>
      </c>
      <c r="K893" s="18">
        <f>IF(OR($H893="",$I893=""),0,$H893*$I893)</f>
      </c>
      <c r="L893" s="18">
        <f>$K893*$J893</f>
      </c>
      <c r="M893" s="18">
        <f>$K893+$L893</f>
      </c>
      <c r="N893" s="8"/>
      <c r="O893" s="8"/>
      <c r="P893" s="8"/>
    </row>
    <row r="894" spans="2:16" x14ac:dyDescent="0.25">
      <c r="B894" s="19"/>
      <c r="C894" s="20"/>
      <c r="D894" s="20"/>
      <c r="E894" s="16">
        <f>IFERROR(IF($D894="","",VLOOKUP($D894,'Cari Kartlar'!$B$5:$C$204,2,FALSE)),"— tanımsız cari —")</f>
      </c>
      <c r="F894" s="20"/>
      <c r="G894" s="16">
        <f>IFERROR(IF($F894="","",VLOOKUP($F894,'Ürün Kartlar'!$B$5:$C$204,2,FALSE)),"— tanımsız ürün —")</f>
      </c>
      <c r="H894" s="21"/>
      <c r="I894" s="22">
        <f>IFERROR(IF($F894="","",IF($C894="Alış",VLOOKUP($F894,'Ürün Kartlar'!$B$5:$E$204,4,FALSE),VLOOKUP($F894,'Ürün Kartlar'!$B$5:$F$204,5,FALSE))),"")</f>
      </c>
      <c r="J894" s="23">
        <f>IFERROR(IF($F894="",Ayarlar!$C$9,VLOOKUP($F894,'Ürün Kartlar'!$B$5:$G$204,6,FALSE)),Ayarlar!$C$9)</f>
      </c>
      <c r="K894" s="18">
        <f>IF(OR($H894="",$I894=""),0,$H894*$I894)</f>
      </c>
      <c r="L894" s="18">
        <f>$K894*$J894</f>
      </c>
      <c r="M894" s="18">
        <f>$K894+$L894</f>
      </c>
      <c r="N894" s="20"/>
      <c r="O894" s="20"/>
      <c r="P894" s="20"/>
    </row>
    <row r="895" spans="2:16" x14ac:dyDescent="0.25">
      <c r="B895" s="15"/>
      <c r="C895" s="8"/>
      <c r="D895" s="8"/>
      <c r="E895" s="16">
        <f>IFERROR(IF($D895="","",VLOOKUP($D895,'Cari Kartlar'!$B$5:$C$204,2,FALSE)),"— tanımsız cari —")</f>
      </c>
      <c r="F895" s="8"/>
      <c r="G895" s="16">
        <f>IFERROR(IF($F895="","",VLOOKUP($F895,'Ürün Kartlar'!$B$5:$C$204,2,FALSE)),"— tanımsız ürün —")</f>
      </c>
      <c r="H895" s="17"/>
      <c r="I895" s="13">
        <f>IFERROR(IF($F895="","",IF($C895="Alış",VLOOKUP($F895,'Ürün Kartlar'!$B$5:$E$204,4,FALSE),VLOOKUP($F895,'Ürün Kartlar'!$B$5:$F$204,5,FALSE))),"")</f>
      </c>
      <c r="J895" s="11">
        <f>IFERROR(IF($F895="",Ayarlar!$C$9,VLOOKUP($F895,'Ürün Kartlar'!$B$5:$G$204,6,FALSE)),Ayarlar!$C$9)</f>
      </c>
      <c r="K895" s="18">
        <f>IF(OR($H895="",$I895=""),0,$H895*$I895)</f>
      </c>
      <c r="L895" s="18">
        <f>$K895*$J895</f>
      </c>
      <c r="M895" s="18">
        <f>$K895+$L895</f>
      </c>
      <c r="N895" s="8"/>
      <c r="O895" s="8"/>
      <c r="P895" s="8"/>
    </row>
    <row r="896" spans="2:16" x14ac:dyDescent="0.25">
      <c r="B896" s="19"/>
      <c r="C896" s="20"/>
      <c r="D896" s="20"/>
      <c r="E896" s="16">
        <f>IFERROR(IF($D896="","",VLOOKUP($D896,'Cari Kartlar'!$B$5:$C$204,2,FALSE)),"— tanımsız cari —")</f>
      </c>
      <c r="F896" s="20"/>
      <c r="G896" s="16">
        <f>IFERROR(IF($F896="","",VLOOKUP($F896,'Ürün Kartlar'!$B$5:$C$204,2,FALSE)),"— tanımsız ürün —")</f>
      </c>
      <c r="H896" s="21"/>
      <c r="I896" s="22">
        <f>IFERROR(IF($F896="","",IF($C896="Alış",VLOOKUP($F896,'Ürün Kartlar'!$B$5:$E$204,4,FALSE),VLOOKUP($F896,'Ürün Kartlar'!$B$5:$F$204,5,FALSE))),"")</f>
      </c>
      <c r="J896" s="23">
        <f>IFERROR(IF($F896="",Ayarlar!$C$9,VLOOKUP($F896,'Ürün Kartlar'!$B$5:$G$204,6,FALSE)),Ayarlar!$C$9)</f>
      </c>
      <c r="K896" s="18">
        <f>IF(OR($H896="",$I896=""),0,$H896*$I896)</f>
      </c>
      <c r="L896" s="18">
        <f>$K896*$J896</f>
      </c>
      <c r="M896" s="18">
        <f>$K896+$L896</f>
      </c>
      <c r="N896" s="20"/>
      <c r="O896" s="20"/>
      <c r="P896" s="20"/>
    </row>
    <row r="897" spans="2:16" x14ac:dyDescent="0.25">
      <c r="B897" s="15"/>
      <c r="C897" s="8"/>
      <c r="D897" s="8"/>
      <c r="E897" s="16">
        <f>IFERROR(IF($D897="","",VLOOKUP($D897,'Cari Kartlar'!$B$5:$C$204,2,FALSE)),"— tanımsız cari —")</f>
      </c>
      <c r="F897" s="8"/>
      <c r="G897" s="16">
        <f>IFERROR(IF($F897="","",VLOOKUP($F897,'Ürün Kartlar'!$B$5:$C$204,2,FALSE)),"— tanımsız ürün —")</f>
      </c>
      <c r="H897" s="17"/>
      <c r="I897" s="13">
        <f>IFERROR(IF($F897="","",IF($C897="Alış",VLOOKUP($F897,'Ürün Kartlar'!$B$5:$E$204,4,FALSE),VLOOKUP($F897,'Ürün Kartlar'!$B$5:$F$204,5,FALSE))),"")</f>
      </c>
      <c r="J897" s="11">
        <f>IFERROR(IF($F897="",Ayarlar!$C$9,VLOOKUP($F897,'Ürün Kartlar'!$B$5:$G$204,6,FALSE)),Ayarlar!$C$9)</f>
      </c>
      <c r="K897" s="18">
        <f>IF(OR($H897="",$I897=""),0,$H897*$I897)</f>
      </c>
      <c r="L897" s="18">
        <f>$K897*$J897</f>
      </c>
      <c r="M897" s="18">
        <f>$K897+$L897</f>
      </c>
      <c r="N897" s="8"/>
      <c r="O897" s="8"/>
      <c r="P897" s="8"/>
    </row>
    <row r="898" spans="2:16" x14ac:dyDescent="0.25">
      <c r="B898" s="19"/>
      <c r="C898" s="20"/>
      <c r="D898" s="20"/>
      <c r="E898" s="16">
        <f>IFERROR(IF($D898="","",VLOOKUP($D898,'Cari Kartlar'!$B$5:$C$204,2,FALSE)),"— tanımsız cari —")</f>
      </c>
      <c r="F898" s="20"/>
      <c r="G898" s="16">
        <f>IFERROR(IF($F898="","",VLOOKUP($F898,'Ürün Kartlar'!$B$5:$C$204,2,FALSE)),"— tanımsız ürün —")</f>
      </c>
      <c r="H898" s="21"/>
      <c r="I898" s="22">
        <f>IFERROR(IF($F898="","",IF($C898="Alış",VLOOKUP($F898,'Ürün Kartlar'!$B$5:$E$204,4,FALSE),VLOOKUP($F898,'Ürün Kartlar'!$B$5:$F$204,5,FALSE))),"")</f>
      </c>
      <c r="J898" s="23">
        <f>IFERROR(IF($F898="",Ayarlar!$C$9,VLOOKUP($F898,'Ürün Kartlar'!$B$5:$G$204,6,FALSE)),Ayarlar!$C$9)</f>
      </c>
      <c r="K898" s="18">
        <f>IF(OR($H898="",$I898=""),0,$H898*$I898)</f>
      </c>
      <c r="L898" s="18">
        <f>$K898*$J898</f>
      </c>
      <c r="M898" s="18">
        <f>$K898+$L898</f>
      </c>
      <c r="N898" s="20"/>
      <c r="O898" s="20"/>
      <c r="P898" s="20"/>
    </row>
    <row r="899" spans="2:16" x14ac:dyDescent="0.25">
      <c r="B899" s="15"/>
      <c r="C899" s="8"/>
      <c r="D899" s="8"/>
      <c r="E899" s="16">
        <f>IFERROR(IF($D899="","",VLOOKUP($D899,'Cari Kartlar'!$B$5:$C$204,2,FALSE)),"— tanımsız cari —")</f>
      </c>
      <c r="F899" s="8"/>
      <c r="G899" s="16">
        <f>IFERROR(IF($F899="","",VLOOKUP($F899,'Ürün Kartlar'!$B$5:$C$204,2,FALSE)),"— tanımsız ürün —")</f>
      </c>
      <c r="H899" s="17"/>
      <c r="I899" s="13">
        <f>IFERROR(IF($F899="","",IF($C899="Alış",VLOOKUP($F899,'Ürün Kartlar'!$B$5:$E$204,4,FALSE),VLOOKUP($F899,'Ürün Kartlar'!$B$5:$F$204,5,FALSE))),"")</f>
      </c>
      <c r="J899" s="11">
        <f>IFERROR(IF($F899="",Ayarlar!$C$9,VLOOKUP($F899,'Ürün Kartlar'!$B$5:$G$204,6,FALSE)),Ayarlar!$C$9)</f>
      </c>
      <c r="K899" s="18">
        <f>IF(OR($H899="",$I899=""),0,$H899*$I899)</f>
      </c>
      <c r="L899" s="18">
        <f>$K899*$J899</f>
      </c>
      <c r="M899" s="18">
        <f>$K899+$L899</f>
      </c>
      <c r="N899" s="8"/>
      <c r="O899" s="8"/>
      <c r="P899" s="8"/>
    </row>
    <row r="900" spans="2:16" x14ac:dyDescent="0.25">
      <c r="B900" s="19"/>
      <c r="C900" s="20"/>
      <c r="D900" s="20"/>
      <c r="E900" s="16">
        <f>IFERROR(IF($D900="","",VLOOKUP($D900,'Cari Kartlar'!$B$5:$C$204,2,FALSE)),"— tanımsız cari —")</f>
      </c>
      <c r="F900" s="20"/>
      <c r="G900" s="16">
        <f>IFERROR(IF($F900="","",VLOOKUP($F900,'Ürün Kartlar'!$B$5:$C$204,2,FALSE)),"— tanımsız ürün —")</f>
      </c>
      <c r="H900" s="21"/>
      <c r="I900" s="22">
        <f>IFERROR(IF($F900="","",IF($C900="Alış",VLOOKUP($F900,'Ürün Kartlar'!$B$5:$E$204,4,FALSE),VLOOKUP($F900,'Ürün Kartlar'!$B$5:$F$204,5,FALSE))),"")</f>
      </c>
      <c r="J900" s="23">
        <f>IFERROR(IF($F900="",Ayarlar!$C$9,VLOOKUP($F900,'Ürün Kartlar'!$B$5:$G$204,6,FALSE)),Ayarlar!$C$9)</f>
      </c>
      <c r="K900" s="18">
        <f>IF(OR($H900="",$I900=""),0,$H900*$I900)</f>
      </c>
      <c r="L900" s="18">
        <f>$K900*$J900</f>
      </c>
      <c r="M900" s="18">
        <f>$K900+$L900</f>
      </c>
      <c r="N900" s="20"/>
      <c r="O900" s="20"/>
      <c r="P900" s="20"/>
    </row>
    <row r="901" spans="2:16" x14ac:dyDescent="0.25">
      <c r="B901" s="15"/>
      <c r="C901" s="8"/>
      <c r="D901" s="8"/>
      <c r="E901" s="16">
        <f>IFERROR(IF($D901="","",VLOOKUP($D901,'Cari Kartlar'!$B$5:$C$204,2,FALSE)),"— tanımsız cari —")</f>
      </c>
      <c r="F901" s="8"/>
      <c r="G901" s="16">
        <f>IFERROR(IF($F901="","",VLOOKUP($F901,'Ürün Kartlar'!$B$5:$C$204,2,FALSE)),"— tanımsız ürün —")</f>
      </c>
      <c r="H901" s="17"/>
      <c r="I901" s="13">
        <f>IFERROR(IF($F901="","",IF($C901="Alış",VLOOKUP($F901,'Ürün Kartlar'!$B$5:$E$204,4,FALSE),VLOOKUP($F901,'Ürün Kartlar'!$B$5:$F$204,5,FALSE))),"")</f>
      </c>
      <c r="J901" s="11">
        <f>IFERROR(IF($F901="",Ayarlar!$C$9,VLOOKUP($F901,'Ürün Kartlar'!$B$5:$G$204,6,FALSE)),Ayarlar!$C$9)</f>
      </c>
      <c r="K901" s="18">
        <f>IF(OR($H901="",$I901=""),0,$H901*$I901)</f>
      </c>
      <c r="L901" s="18">
        <f>$K901*$J901</f>
      </c>
      <c r="M901" s="18">
        <f>$K901+$L901</f>
      </c>
      <c r="N901" s="8"/>
      <c r="O901" s="8"/>
      <c r="P901" s="8"/>
    </row>
    <row r="902" spans="2:16" x14ac:dyDescent="0.25">
      <c r="B902" s="19"/>
      <c r="C902" s="20"/>
      <c r="D902" s="20"/>
      <c r="E902" s="16">
        <f>IFERROR(IF($D902="","",VLOOKUP($D902,'Cari Kartlar'!$B$5:$C$204,2,FALSE)),"— tanımsız cari —")</f>
      </c>
      <c r="F902" s="20"/>
      <c r="G902" s="16">
        <f>IFERROR(IF($F902="","",VLOOKUP($F902,'Ürün Kartlar'!$B$5:$C$204,2,FALSE)),"— tanımsız ürün —")</f>
      </c>
      <c r="H902" s="21"/>
      <c r="I902" s="22">
        <f>IFERROR(IF($F902="","",IF($C902="Alış",VLOOKUP($F902,'Ürün Kartlar'!$B$5:$E$204,4,FALSE),VLOOKUP($F902,'Ürün Kartlar'!$B$5:$F$204,5,FALSE))),"")</f>
      </c>
      <c r="J902" s="23">
        <f>IFERROR(IF($F902="",Ayarlar!$C$9,VLOOKUP($F902,'Ürün Kartlar'!$B$5:$G$204,6,FALSE)),Ayarlar!$C$9)</f>
      </c>
      <c r="K902" s="18">
        <f>IF(OR($H902="",$I902=""),0,$H902*$I902)</f>
      </c>
      <c r="L902" s="18">
        <f>$K902*$J902</f>
      </c>
      <c r="M902" s="18">
        <f>$K902+$L902</f>
      </c>
      <c r="N902" s="20"/>
      <c r="O902" s="20"/>
      <c r="P902" s="20"/>
    </row>
    <row r="903" spans="2:16" x14ac:dyDescent="0.25">
      <c r="B903" s="15"/>
      <c r="C903" s="8"/>
      <c r="D903" s="8"/>
      <c r="E903" s="16">
        <f>IFERROR(IF($D903="","",VLOOKUP($D903,'Cari Kartlar'!$B$5:$C$204,2,FALSE)),"— tanımsız cari —")</f>
      </c>
      <c r="F903" s="8"/>
      <c r="G903" s="16">
        <f>IFERROR(IF($F903="","",VLOOKUP($F903,'Ürün Kartlar'!$B$5:$C$204,2,FALSE)),"— tanımsız ürün —")</f>
      </c>
      <c r="H903" s="17"/>
      <c r="I903" s="13">
        <f>IFERROR(IF($F903="","",IF($C903="Alış",VLOOKUP($F903,'Ürün Kartlar'!$B$5:$E$204,4,FALSE),VLOOKUP($F903,'Ürün Kartlar'!$B$5:$F$204,5,FALSE))),"")</f>
      </c>
      <c r="J903" s="11">
        <f>IFERROR(IF($F903="",Ayarlar!$C$9,VLOOKUP($F903,'Ürün Kartlar'!$B$5:$G$204,6,FALSE)),Ayarlar!$C$9)</f>
      </c>
      <c r="K903" s="18">
        <f>IF(OR($H903="",$I903=""),0,$H903*$I903)</f>
      </c>
      <c r="L903" s="18">
        <f>$K903*$J903</f>
      </c>
      <c r="M903" s="18">
        <f>$K903+$L903</f>
      </c>
      <c r="N903" s="8"/>
      <c r="O903" s="8"/>
      <c r="P903" s="8"/>
    </row>
    <row r="904" spans="2:16" x14ac:dyDescent="0.25">
      <c r="B904" s="19"/>
      <c r="C904" s="20"/>
      <c r="D904" s="20"/>
      <c r="E904" s="16">
        <f>IFERROR(IF($D904="","",VLOOKUP($D904,'Cari Kartlar'!$B$5:$C$204,2,FALSE)),"— tanımsız cari —")</f>
      </c>
      <c r="F904" s="20"/>
      <c r="G904" s="16">
        <f>IFERROR(IF($F904="","",VLOOKUP($F904,'Ürün Kartlar'!$B$5:$C$204,2,FALSE)),"— tanımsız ürün —")</f>
      </c>
      <c r="H904" s="21"/>
      <c r="I904" s="22">
        <f>IFERROR(IF($F904="","",IF($C904="Alış",VLOOKUP($F904,'Ürün Kartlar'!$B$5:$E$204,4,FALSE),VLOOKUP($F904,'Ürün Kartlar'!$B$5:$F$204,5,FALSE))),"")</f>
      </c>
      <c r="J904" s="23">
        <f>IFERROR(IF($F904="",Ayarlar!$C$9,VLOOKUP($F904,'Ürün Kartlar'!$B$5:$G$204,6,FALSE)),Ayarlar!$C$9)</f>
      </c>
      <c r="K904" s="18">
        <f>IF(OR($H904="",$I904=""),0,$H904*$I904)</f>
      </c>
      <c r="L904" s="18">
        <f>$K904*$J904</f>
      </c>
      <c r="M904" s="18">
        <f>$K904+$L904</f>
      </c>
      <c r="N904" s="20"/>
      <c r="O904" s="20"/>
      <c r="P904" s="20"/>
    </row>
    <row r="905" spans="2:16" x14ac:dyDescent="0.25">
      <c r="B905" s="15"/>
      <c r="C905" s="8"/>
      <c r="D905" s="8"/>
      <c r="E905" s="16">
        <f>IFERROR(IF($D905="","",VLOOKUP($D905,'Cari Kartlar'!$B$5:$C$204,2,FALSE)),"— tanımsız cari —")</f>
      </c>
      <c r="F905" s="8"/>
      <c r="G905" s="16">
        <f>IFERROR(IF($F905="","",VLOOKUP($F905,'Ürün Kartlar'!$B$5:$C$204,2,FALSE)),"— tanımsız ürün —")</f>
      </c>
      <c r="H905" s="17"/>
      <c r="I905" s="13">
        <f>IFERROR(IF($F905="","",IF($C905="Alış",VLOOKUP($F905,'Ürün Kartlar'!$B$5:$E$204,4,FALSE),VLOOKUP($F905,'Ürün Kartlar'!$B$5:$F$204,5,FALSE))),"")</f>
      </c>
      <c r="J905" s="11">
        <f>IFERROR(IF($F905="",Ayarlar!$C$9,VLOOKUP($F905,'Ürün Kartlar'!$B$5:$G$204,6,FALSE)),Ayarlar!$C$9)</f>
      </c>
      <c r="K905" s="18">
        <f>IF(OR($H905="",$I905=""),0,$H905*$I905)</f>
      </c>
      <c r="L905" s="18">
        <f>$K905*$J905</f>
      </c>
      <c r="M905" s="18">
        <f>$K905+$L905</f>
      </c>
      <c r="N905" s="8"/>
      <c r="O905" s="8"/>
      <c r="P905" s="8"/>
    </row>
    <row r="906" spans="2:16" x14ac:dyDescent="0.25">
      <c r="B906" s="19"/>
      <c r="C906" s="20"/>
      <c r="D906" s="20"/>
      <c r="E906" s="16">
        <f>IFERROR(IF($D906="","",VLOOKUP($D906,'Cari Kartlar'!$B$5:$C$204,2,FALSE)),"— tanımsız cari —")</f>
      </c>
      <c r="F906" s="20"/>
      <c r="G906" s="16">
        <f>IFERROR(IF($F906="","",VLOOKUP($F906,'Ürün Kartlar'!$B$5:$C$204,2,FALSE)),"— tanımsız ürün —")</f>
      </c>
      <c r="H906" s="21"/>
      <c r="I906" s="22">
        <f>IFERROR(IF($F906="","",IF($C906="Alış",VLOOKUP($F906,'Ürün Kartlar'!$B$5:$E$204,4,FALSE),VLOOKUP($F906,'Ürün Kartlar'!$B$5:$F$204,5,FALSE))),"")</f>
      </c>
      <c r="J906" s="23">
        <f>IFERROR(IF($F906="",Ayarlar!$C$9,VLOOKUP($F906,'Ürün Kartlar'!$B$5:$G$204,6,FALSE)),Ayarlar!$C$9)</f>
      </c>
      <c r="K906" s="18">
        <f>IF(OR($H906="",$I906=""),0,$H906*$I906)</f>
      </c>
      <c r="L906" s="18">
        <f>$K906*$J906</f>
      </c>
      <c r="M906" s="18">
        <f>$K906+$L906</f>
      </c>
      <c r="N906" s="20"/>
      <c r="O906" s="20"/>
      <c r="P906" s="20"/>
    </row>
    <row r="907" spans="2:16" x14ac:dyDescent="0.25">
      <c r="B907" s="15"/>
      <c r="C907" s="8"/>
      <c r="D907" s="8"/>
      <c r="E907" s="16">
        <f>IFERROR(IF($D907="","",VLOOKUP($D907,'Cari Kartlar'!$B$5:$C$204,2,FALSE)),"— tanımsız cari —")</f>
      </c>
      <c r="F907" s="8"/>
      <c r="G907" s="16">
        <f>IFERROR(IF($F907="","",VLOOKUP($F907,'Ürün Kartlar'!$B$5:$C$204,2,FALSE)),"— tanımsız ürün —")</f>
      </c>
      <c r="H907" s="17"/>
      <c r="I907" s="13">
        <f>IFERROR(IF($F907="","",IF($C907="Alış",VLOOKUP($F907,'Ürün Kartlar'!$B$5:$E$204,4,FALSE),VLOOKUP($F907,'Ürün Kartlar'!$B$5:$F$204,5,FALSE))),"")</f>
      </c>
      <c r="J907" s="11">
        <f>IFERROR(IF($F907="",Ayarlar!$C$9,VLOOKUP($F907,'Ürün Kartlar'!$B$5:$G$204,6,FALSE)),Ayarlar!$C$9)</f>
      </c>
      <c r="K907" s="18">
        <f>IF(OR($H907="",$I907=""),0,$H907*$I907)</f>
      </c>
      <c r="L907" s="18">
        <f>$K907*$J907</f>
      </c>
      <c r="M907" s="18">
        <f>$K907+$L907</f>
      </c>
      <c r="N907" s="8"/>
      <c r="O907" s="8"/>
      <c r="P907" s="8"/>
    </row>
    <row r="908" spans="2:16" x14ac:dyDescent="0.25">
      <c r="B908" s="19"/>
      <c r="C908" s="20"/>
      <c r="D908" s="20"/>
      <c r="E908" s="16">
        <f>IFERROR(IF($D908="","",VLOOKUP($D908,'Cari Kartlar'!$B$5:$C$204,2,FALSE)),"— tanımsız cari —")</f>
      </c>
      <c r="F908" s="20"/>
      <c r="G908" s="16">
        <f>IFERROR(IF($F908="","",VLOOKUP($F908,'Ürün Kartlar'!$B$5:$C$204,2,FALSE)),"— tanımsız ürün —")</f>
      </c>
      <c r="H908" s="21"/>
      <c r="I908" s="22">
        <f>IFERROR(IF($F908="","",IF($C908="Alış",VLOOKUP($F908,'Ürün Kartlar'!$B$5:$E$204,4,FALSE),VLOOKUP($F908,'Ürün Kartlar'!$B$5:$F$204,5,FALSE))),"")</f>
      </c>
      <c r="J908" s="23">
        <f>IFERROR(IF($F908="",Ayarlar!$C$9,VLOOKUP($F908,'Ürün Kartlar'!$B$5:$G$204,6,FALSE)),Ayarlar!$C$9)</f>
      </c>
      <c r="K908" s="18">
        <f>IF(OR($H908="",$I908=""),0,$H908*$I908)</f>
      </c>
      <c r="L908" s="18">
        <f>$K908*$J908</f>
      </c>
      <c r="M908" s="18">
        <f>$K908+$L908</f>
      </c>
      <c r="N908" s="20"/>
      <c r="O908" s="20"/>
      <c r="P908" s="20"/>
    </row>
    <row r="909" spans="2:16" x14ac:dyDescent="0.25">
      <c r="B909" s="15"/>
      <c r="C909" s="8"/>
      <c r="D909" s="8"/>
      <c r="E909" s="16">
        <f>IFERROR(IF($D909="","",VLOOKUP($D909,'Cari Kartlar'!$B$5:$C$204,2,FALSE)),"— tanımsız cari —")</f>
      </c>
      <c r="F909" s="8"/>
      <c r="G909" s="16">
        <f>IFERROR(IF($F909="","",VLOOKUP($F909,'Ürün Kartlar'!$B$5:$C$204,2,FALSE)),"— tanımsız ürün —")</f>
      </c>
      <c r="H909" s="17"/>
      <c r="I909" s="13">
        <f>IFERROR(IF($F909="","",IF($C909="Alış",VLOOKUP($F909,'Ürün Kartlar'!$B$5:$E$204,4,FALSE),VLOOKUP($F909,'Ürün Kartlar'!$B$5:$F$204,5,FALSE))),"")</f>
      </c>
      <c r="J909" s="11">
        <f>IFERROR(IF($F909="",Ayarlar!$C$9,VLOOKUP($F909,'Ürün Kartlar'!$B$5:$G$204,6,FALSE)),Ayarlar!$C$9)</f>
      </c>
      <c r="K909" s="18">
        <f>IF(OR($H909="",$I909=""),0,$H909*$I909)</f>
      </c>
      <c r="L909" s="18">
        <f>$K909*$J909</f>
      </c>
      <c r="M909" s="18">
        <f>$K909+$L909</f>
      </c>
      <c r="N909" s="8"/>
      <c r="O909" s="8"/>
      <c r="P909" s="8"/>
    </row>
    <row r="910" spans="2:16" x14ac:dyDescent="0.25">
      <c r="B910" s="19"/>
      <c r="C910" s="20"/>
      <c r="D910" s="20"/>
      <c r="E910" s="16">
        <f>IFERROR(IF($D910="","",VLOOKUP($D910,'Cari Kartlar'!$B$5:$C$204,2,FALSE)),"— tanımsız cari —")</f>
      </c>
      <c r="F910" s="20"/>
      <c r="G910" s="16">
        <f>IFERROR(IF($F910="","",VLOOKUP($F910,'Ürün Kartlar'!$B$5:$C$204,2,FALSE)),"— tanımsız ürün —")</f>
      </c>
      <c r="H910" s="21"/>
      <c r="I910" s="22">
        <f>IFERROR(IF($F910="","",IF($C910="Alış",VLOOKUP($F910,'Ürün Kartlar'!$B$5:$E$204,4,FALSE),VLOOKUP($F910,'Ürün Kartlar'!$B$5:$F$204,5,FALSE))),"")</f>
      </c>
      <c r="J910" s="23">
        <f>IFERROR(IF($F910="",Ayarlar!$C$9,VLOOKUP($F910,'Ürün Kartlar'!$B$5:$G$204,6,FALSE)),Ayarlar!$C$9)</f>
      </c>
      <c r="K910" s="18">
        <f>IF(OR($H910="",$I910=""),0,$H910*$I910)</f>
      </c>
      <c r="L910" s="18">
        <f>$K910*$J910</f>
      </c>
      <c r="M910" s="18">
        <f>$K910+$L910</f>
      </c>
      <c r="N910" s="20"/>
      <c r="O910" s="20"/>
      <c r="P910" s="20"/>
    </row>
    <row r="911" spans="2:16" x14ac:dyDescent="0.25">
      <c r="B911" s="15"/>
      <c r="C911" s="8"/>
      <c r="D911" s="8"/>
      <c r="E911" s="16">
        <f>IFERROR(IF($D911="","",VLOOKUP($D911,'Cari Kartlar'!$B$5:$C$204,2,FALSE)),"— tanımsız cari —")</f>
      </c>
      <c r="F911" s="8"/>
      <c r="G911" s="16">
        <f>IFERROR(IF($F911="","",VLOOKUP($F911,'Ürün Kartlar'!$B$5:$C$204,2,FALSE)),"— tanımsız ürün —")</f>
      </c>
      <c r="H911" s="17"/>
      <c r="I911" s="13">
        <f>IFERROR(IF($F911="","",IF($C911="Alış",VLOOKUP($F911,'Ürün Kartlar'!$B$5:$E$204,4,FALSE),VLOOKUP($F911,'Ürün Kartlar'!$B$5:$F$204,5,FALSE))),"")</f>
      </c>
      <c r="J911" s="11">
        <f>IFERROR(IF($F911="",Ayarlar!$C$9,VLOOKUP($F911,'Ürün Kartlar'!$B$5:$G$204,6,FALSE)),Ayarlar!$C$9)</f>
      </c>
      <c r="K911" s="18">
        <f>IF(OR($H911="",$I911=""),0,$H911*$I911)</f>
      </c>
      <c r="L911" s="18">
        <f>$K911*$J911</f>
      </c>
      <c r="M911" s="18">
        <f>$K911+$L911</f>
      </c>
      <c r="N911" s="8"/>
      <c r="O911" s="8"/>
      <c r="P911" s="8"/>
    </row>
    <row r="912" spans="2:16" x14ac:dyDescent="0.25">
      <c r="B912" s="19"/>
      <c r="C912" s="20"/>
      <c r="D912" s="20"/>
      <c r="E912" s="16">
        <f>IFERROR(IF($D912="","",VLOOKUP($D912,'Cari Kartlar'!$B$5:$C$204,2,FALSE)),"— tanımsız cari —")</f>
      </c>
      <c r="F912" s="20"/>
      <c r="G912" s="16">
        <f>IFERROR(IF($F912="","",VLOOKUP($F912,'Ürün Kartlar'!$B$5:$C$204,2,FALSE)),"— tanımsız ürün —")</f>
      </c>
      <c r="H912" s="21"/>
      <c r="I912" s="22">
        <f>IFERROR(IF($F912="","",IF($C912="Alış",VLOOKUP($F912,'Ürün Kartlar'!$B$5:$E$204,4,FALSE),VLOOKUP($F912,'Ürün Kartlar'!$B$5:$F$204,5,FALSE))),"")</f>
      </c>
      <c r="J912" s="23">
        <f>IFERROR(IF($F912="",Ayarlar!$C$9,VLOOKUP($F912,'Ürün Kartlar'!$B$5:$G$204,6,FALSE)),Ayarlar!$C$9)</f>
      </c>
      <c r="K912" s="18">
        <f>IF(OR($H912="",$I912=""),0,$H912*$I912)</f>
      </c>
      <c r="L912" s="18">
        <f>$K912*$J912</f>
      </c>
      <c r="M912" s="18">
        <f>$K912+$L912</f>
      </c>
      <c r="N912" s="20"/>
      <c r="O912" s="20"/>
      <c r="P912" s="20"/>
    </row>
    <row r="913" spans="2:16" x14ac:dyDescent="0.25">
      <c r="B913" s="15"/>
      <c r="C913" s="8"/>
      <c r="D913" s="8"/>
      <c r="E913" s="16">
        <f>IFERROR(IF($D913="","",VLOOKUP($D913,'Cari Kartlar'!$B$5:$C$204,2,FALSE)),"— tanımsız cari —")</f>
      </c>
      <c r="F913" s="8"/>
      <c r="G913" s="16">
        <f>IFERROR(IF($F913="","",VLOOKUP($F913,'Ürün Kartlar'!$B$5:$C$204,2,FALSE)),"— tanımsız ürün —")</f>
      </c>
      <c r="H913" s="17"/>
      <c r="I913" s="13">
        <f>IFERROR(IF($F913="","",IF($C913="Alış",VLOOKUP($F913,'Ürün Kartlar'!$B$5:$E$204,4,FALSE),VLOOKUP($F913,'Ürün Kartlar'!$B$5:$F$204,5,FALSE))),"")</f>
      </c>
      <c r="J913" s="11">
        <f>IFERROR(IF($F913="",Ayarlar!$C$9,VLOOKUP($F913,'Ürün Kartlar'!$B$5:$G$204,6,FALSE)),Ayarlar!$C$9)</f>
      </c>
      <c r="K913" s="18">
        <f>IF(OR($H913="",$I913=""),0,$H913*$I913)</f>
      </c>
      <c r="L913" s="18">
        <f>$K913*$J913</f>
      </c>
      <c r="M913" s="18">
        <f>$K913+$L913</f>
      </c>
      <c r="N913" s="8"/>
      <c r="O913" s="8"/>
      <c r="P913" s="8"/>
    </row>
    <row r="914" spans="2:16" x14ac:dyDescent="0.25">
      <c r="B914" s="19"/>
      <c r="C914" s="20"/>
      <c r="D914" s="20"/>
      <c r="E914" s="16">
        <f>IFERROR(IF($D914="","",VLOOKUP($D914,'Cari Kartlar'!$B$5:$C$204,2,FALSE)),"— tanımsız cari —")</f>
      </c>
      <c r="F914" s="20"/>
      <c r="G914" s="16">
        <f>IFERROR(IF($F914="","",VLOOKUP($F914,'Ürün Kartlar'!$B$5:$C$204,2,FALSE)),"— tanımsız ürün —")</f>
      </c>
      <c r="H914" s="21"/>
      <c r="I914" s="22">
        <f>IFERROR(IF($F914="","",IF($C914="Alış",VLOOKUP($F914,'Ürün Kartlar'!$B$5:$E$204,4,FALSE),VLOOKUP($F914,'Ürün Kartlar'!$B$5:$F$204,5,FALSE))),"")</f>
      </c>
      <c r="J914" s="23">
        <f>IFERROR(IF($F914="",Ayarlar!$C$9,VLOOKUP($F914,'Ürün Kartlar'!$B$5:$G$204,6,FALSE)),Ayarlar!$C$9)</f>
      </c>
      <c r="K914" s="18">
        <f>IF(OR($H914="",$I914=""),0,$H914*$I914)</f>
      </c>
      <c r="L914" s="18">
        <f>$K914*$J914</f>
      </c>
      <c r="M914" s="18">
        <f>$K914+$L914</f>
      </c>
      <c r="N914" s="20"/>
      <c r="O914" s="20"/>
      <c r="P914" s="20"/>
    </row>
    <row r="915" spans="2:16" x14ac:dyDescent="0.25">
      <c r="B915" s="15"/>
      <c r="C915" s="8"/>
      <c r="D915" s="8"/>
      <c r="E915" s="16">
        <f>IFERROR(IF($D915="","",VLOOKUP($D915,'Cari Kartlar'!$B$5:$C$204,2,FALSE)),"— tanımsız cari —")</f>
      </c>
      <c r="F915" s="8"/>
      <c r="G915" s="16">
        <f>IFERROR(IF($F915="","",VLOOKUP($F915,'Ürün Kartlar'!$B$5:$C$204,2,FALSE)),"— tanımsız ürün —")</f>
      </c>
      <c r="H915" s="17"/>
      <c r="I915" s="13">
        <f>IFERROR(IF($F915="","",IF($C915="Alış",VLOOKUP($F915,'Ürün Kartlar'!$B$5:$E$204,4,FALSE),VLOOKUP($F915,'Ürün Kartlar'!$B$5:$F$204,5,FALSE))),"")</f>
      </c>
      <c r="J915" s="11">
        <f>IFERROR(IF($F915="",Ayarlar!$C$9,VLOOKUP($F915,'Ürün Kartlar'!$B$5:$G$204,6,FALSE)),Ayarlar!$C$9)</f>
      </c>
      <c r="K915" s="18">
        <f>IF(OR($H915="",$I915=""),0,$H915*$I915)</f>
      </c>
      <c r="L915" s="18">
        <f>$K915*$J915</f>
      </c>
      <c r="M915" s="18">
        <f>$K915+$L915</f>
      </c>
      <c r="N915" s="8"/>
      <c r="O915" s="8"/>
      <c r="P915" s="8"/>
    </row>
    <row r="916" spans="2:16" x14ac:dyDescent="0.25">
      <c r="B916" s="19"/>
      <c r="C916" s="20"/>
      <c r="D916" s="20"/>
      <c r="E916" s="16">
        <f>IFERROR(IF($D916="","",VLOOKUP($D916,'Cari Kartlar'!$B$5:$C$204,2,FALSE)),"— tanımsız cari —")</f>
      </c>
      <c r="F916" s="20"/>
      <c r="G916" s="16">
        <f>IFERROR(IF($F916="","",VLOOKUP($F916,'Ürün Kartlar'!$B$5:$C$204,2,FALSE)),"— tanımsız ürün —")</f>
      </c>
      <c r="H916" s="21"/>
      <c r="I916" s="22">
        <f>IFERROR(IF($F916="","",IF($C916="Alış",VLOOKUP($F916,'Ürün Kartlar'!$B$5:$E$204,4,FALSE),VLOOKUP($F916,'Ürün Kartlar'!$B$5:$F$204,5,FALSE))),"")</f>
      </c>
      <c r="J916" s="23">
        <f>IFERROR(IF($F916="",Ayarlar!$C$9,VLOOKUP($F916,'Ürün Kartlar'!$B$5:$G$204,6,FALSE)),Ayarlar!$C$9)</f>
      </c>
      <c r="K916" s="18">
        <f>IF(OR($H916="",$I916=""),0,$H916*$I916)</f>
      </c>
      <c r="L916" s="18">
        <f>$K916*$J916</f>
      </c>
      <c r="M916" s="18">
        <f>$K916+$L916</f>
      </c>
      <c r="N916" s="20"/>
      <c r="O916" s="20"/>
      <c r="P916" s="20"/>
    </row>
    <row r="917" spans="2:16" x14ac:dyDescent="0.25">
      <c r="B917" s="15"/>
      <c r="C917" s="8"/>
      <c r="D917" s="8"/>
      <c r="E917" s="16">
        <f>IFERROR(IF($D917="","",VLOOKUP($D917,'Cari Kartlar'!$B$5:$C$204,2,FALSE)),"— tanımsız cari —")</f>
      </c>
      <c r="F917" s="8"/>
      <c r="G917" s="16">
        <f>IFERROR(IF($F917="","",VLOOKUP($F917,'Ürün Kartlar'!$B$5:$C$204,2,FALSE)),"— tanımsız ürün —")</f>
      </c>
      <c r="H917" s="17"/>
      <c r="I917" s="13">
        <f>IFERROR(IF($F917="","",IF($C917="Alış",VLOOKUP($F917,'Ürün Kartlar'!$B$5:$E$204,4,FALSE),VLOOKUP($F917,'Ürün Kartlar'!$B$5:$F$204,5,FALSE))),"")</f>
      </c>
      <c r="J917" s="11">
        <f>IFERROR(IF($F917="",Ayarlar!$C$9,VLOOKUP($F917,'Ürün Kartlar'!$B$5:$G$204,6,FALSE)),Ayarlar!$C$9)</f>
      </c>
      <c r="K917" s="18">
        <f>IF(OR($H917="",$I917=""),0,$H917*$I917)</f>
      </c>
      <c r="L917" s="18">
        <f>$K917*$J917</f>
      </c>
      <c r="M917" s="18">
        <f>$K917+$L917</f>
      </c>
      <c r="N917" s="8"/>
      <c r="O917" s="8"/>
      <c r="P917" s="8"/>
    </row>
    <row r="918" spans="2:16" x14ac:dyDescent="0.25">
      <c r="B918" s="19"/>
      <c r="C918" s="20"/>
      <c r="D918" s="20"/>
      <c r="E918" s="16">
        <f>IFERROR(IF($D918="","",VLOOKUP($D918,'Cari Kartlar'!$B$5:$C$204,2,FALSE)),"— tanımsız cari —")</f>
      </c>
      <c r="F918" s="20"/>
      <c r="G918" s="16">
        <f>IFERROR(IF($F918="","",VLOOKUP($F918,'Ürün Kartlar'!$B$5:$C$204,2,FALSE)),"— tanımsız ürün —")</f>
      </c>
      <c r="H918" s="21"/>
      <c r="I918" s="22">
        <f>IFERROR(IF($F918="","",IF($C918="Alış",VLOOKUP($F918,'Ürün Kartlar'!$B$5:$E$204,4,FALSE),VLOOKUP($F918,'Ürün Kartlar'!$B$5:$F$204,5,FALSE))),"")</f>
      </c>
      <c r="J918" s="23">
        <f>IFERROR(IF($F918="",Ayarlar!$C$9,VLOOKUP($F918,'Ürün Kartlar'!$B$5:$G$204,6,FALSE)),Ayarlar!$C$9)</f>
      </c>
      <c r="K918" s="18">
        <f>IF(OR($H918="",$I918=""),0,$H918*$I918)</f>
      </c>
      <c r="L918" s="18">
        <f>$K918*$J918</f>
      </c>
      <c r="M918" s="18">
        <f>$K918+$L918</f>
      </c>
      <c r="N918" s="20"/>
      <c r="O918" s="20"/>
      <c r="P918" s="20"/>
    </row>
    <row r="919" spans="2:16" x14ac:dyDescent="0.25">
      <c r="B919" s="15"/>
      <c r="C919" s="8"/>
      <c r="D919" s="8"/>
      <c r="E919" s="16">
        <f>IFERROR(IF($D919="","",VLOOKUP($D919,'Cari Kartlar'!$B$5:$C$204,2,FALSE)),"— tanımsız cari —")</f>
      </c>
      <c r="F919" s="8"/>
      <c r="G919" s="16">
        <f>IFERROR(IF($F919="","",VLOOKUP($F919,'Ürün Kartlar'!$B$5:$C$204,2,FALSE)),"— tanımsız ürün —")</f>
      </c>
      <c r="H919" s="17"/>
      <c r="I919" s="13">
        <f>IFERROR(IF($F919="","",IF($C919="Alış",VLOOKUP($F919,'Ürün Kartlar'!$B$5:$E$204,4,FALSE),VLOOKUP($F919,'Ürün Kartlar'!$B$5:$F$204,5,FALSE))),"")</f>
      </c>
      <c r="J919" s="11">
        <f>IFERROR(IF($F919="",Ayarlar!$C$9,VLOOKUP($F919,'Ürün Kartlar'!$B$5:$G$204,6,FALSE)),Ayarlar!$C$9)</f>
      </c>
      <c r="K919" s="18">
        <f>IF(OR($H919="",$I919=""),0,$H919*$I919)</f>
      </c>
      <c r="L919" s="18">
        <f>$K919*$J919</f>
      </c>
      <c r="M919" s="18">
        <f>$K919+$L919</f>
      </c>
      <c r="N919" s="8"/>
      <c r="O919" s="8"/>
      <c r="P919" s="8"/>
    </row>
    <row r="920" spans="2:16" x14ac:dyDescent="0.25">
      <c r="B920" s="19"/>
      <c r="C920" s="20"/>
      <c r="D920" s="20"/>
      <c r="E920" s="16">
        <f>IFERROR(IF($D920="","",VLOOKUP($D920,'Cari Kartlar'!$B$5:$C$204,2,FALSE)),"— tanımsız cari —")</f>
      </c>
      <c r="F920" s="20"/>
      <c r="G920" s="16">
        <f>IFERROR(IF($F920="","",VLOOKUP($F920,'Ürün Kartlar'!$B$5:$C$204,2,FALSE)),"— tanımsız ürün —")</f>
      </c>
      <c r="H920" s="21"/>
      <c r="I920" s="22">
        <f>IFERROR(IF($F920="","",IF($C920="Alış",VLOOKUP($F920,'Ürün Kartlar'!$B$5:$E$204,4,FALSE),VLOOKUP($F920,'Ürün Kartlar'!$B$5:$F$204,5,FALSE))),"")</f>
      </c>
      <c r="J920" s="23">
        <f>IFERROR(IF($F920="",Ayarlar!$C$9,VLOOKUP($F920,'Ürün Kartlar'!$B$5:$G$204,6,FALSE)),Ayarlar!$C$9)</f>
      </c>
      <c r="K920" s="18">
        <f>IF(OR($H920="",$I920=""),0,$H920*$I920)</f>
      </c>
      <c r="L920" s="18">
        <f>$K920*$J920</f>
      </c>
      <c r="M920" s="18">
        <f>$K920+$L920</f>
      </c>
      <c r="N920" s="20"/>
      <c r="O920" s="20"/>
      <c r="P920" s="20"/>
    </row>
    <row r="921" spans="2:16" x14ac:dyDescent="0.25">
      <c r="B921" s="15"/>
      <c r="C921" s="8"/>
      <c r="D921" s="8"/>
      <c r="E921" s="16">
        <f>IFERROR(IF($D921="","",VLOOKUP($D921,'Cari Kartlar'!$B$5:$C$204,2,FALSE)),"— tanımsız cari —")</f>
      </c>
      <c r="F921" s="8"/>
      <c r="G921" s="16">
        <f>IFERROR(IF($F921="","",VLOOKUP($F921,'Ürün Kartlar'!$B$5:$C$204,2,FALSE)),"— tanımsız ürün —")</f>
      </c>
      <c r="H921" s="17"/>
      <c r="I921" s="13">
        <f>IFERROR(IF($F921="","",IF($C921="Alış",VLOOKUP($F921,'Ürün Kartlar'!$B$5:$E$204,4,FALSE),VLOOKUP($F921,'Ürün Kartlar'!$B$5:$F$204,5,FALSE))),"")</f>
      </c>
      <c r="J921" s="11">
        <f>IFERROR(IF($F921="",Ayarlar!$C$9,VLOOKUP($F921,'Ürün Kartlar'!$B$5:$G$204,6,FALSE)),Ayarlar!$C$9)</f>
      </c>
      <c r="K921" s="18">
        <f>IF(OR($H921="",$I921=""),0,$H921*$I921)</f>
      </c>
      <c r="L921" s="18">
        <f>$K921*$J921</f>
      </c>
      <c r="M921" s="18">
        <f>$K921+$L921</f>
      </c>
      <c r="N921" s="8"/>
      <c r="O921" s="8"/>
      <c r="P921" s="8"/>
    </row>
    <row r="922" spans="2:16" x14ac:dyDescent="0.25">
      <c r="B922" s="19"/>
      <c r="C922" s="20"/>
      <c r="D922" s="20"/>
      <c r="E922" s="16">
        <f>IFERROR(IF($D922="","",VLOOKUP($D922,'Cari Kartlar'!$B$5:$C$204,2,FALSE)),"— tanımsız cari —")</f>
      </c>
      <c r="F922" s="20"/>
      <c r="G922" s="16">
        <f>IFERROR(IF($F922="","",VLOOKUP($F922,'Ürün Kartlar'!$B$5:$C$204,2,FALSE)),"— tanımsız ürün —")</f>
      </c>
      <c r="H922" s="21"/>
      <c r="I922" s="22">
        <f>IFERROR(IF($F922="","",IF($C922="Alış",VLOOKUP($F922,'Ürün Kartlar'!$B$5:$E$204,4,FALSE),VLOOKUP($F922,'Ürün Kartlar'!$B$5:$F$204,5,FALSE))),"")</f>
      </c>
      <c r="J922" s="23">
        <f>IFERROR(IF($F922="",Ayarlar!$C$9,VLOOKUP($F922,'Ürün Kartlar'!$B$5:$G$204,6,FALSE)),Ayarlar!$C$9)</f>
      </c>
      <c r="K922" s="18">
        <f>IF(OR($H922="",$I922=""),0,$H922*$I922)</f>
      </c>
      <c r="L922" s="18">
        <f>$K922*$J922</f>
      </c>
      <c r="M922" s="18">
        <f>$K922+$L922</f>
      </c>
      <c r="N922" s="20"/>
      <c r="O922" s="20"/>
      <c r="P922" s="20"/>
    </row>
    <row r="923" spans="2:16" x14ac:dyDescent="0.25">
      <c r="B923" s="15"/>
      <c r="C923" s="8"/>
      <c r="D923" s="8"/>
      <c r="E923" s="16">
        <f>IFERROR(IF($D923="","",VLOOKUP($D923,'Cari Kartlar'!$B$5:$C$204,2,FALSE)),"— tanımsız cari —")</f>
      </c>
      <c r="F923" s="8"/>
      <c r="G923" s="16">
        <f>IFERROR(IF($F923="","",VLOOKUP($F923,'Ürün Kartlar'!$B$5:$C$204,2,FALSE)),"— tanımsız ürün —")</f>
      </c>
      <c r="H923" s="17"/>
      <c r="I923" s="13">
        <f>IFERROR(IF($F923="","",IF($C923="Alış",VLOOKUP($F923,'Ürün Kartlar'!$B$5:$E$204,4,FALSE),VLOOKUP($F923,'Ürün Kartlar'!$B$5:$F$204,5,FALSE))),"")</f>
      </c>
      <c r="J923" s="11">
        <f>IFERROR(IF($F923="",Ayarlar!$C$9,VLOOKUP($F923,'Ürün Kartlar'!$B$5:$G$204,6,FALSE)),Ayarlar!$C$9)</f>
      </c>
      <c r="K923" s="18">
        <f>IF(OR($H923="",$I923=""),0,$H923*$I923)</f>
      </c>
      <c r="L923" s="18">
        <f>$K923*$J923</f>
      </c>
      <c r="M923" s="18">
        <f>$K923+$L923</f>
      </c>
      <c r="N923" s="8"/>
      <c r="O923" s="8"/>
      <c r="P923" s="8"/>
    </row>
    <row r="924" spans="2:16" x14ac:dyDescent="0.25">
      <c r="B924" s="19"/>
      <c r="C924" s="20"/>
      <c r="D924" s="20"/>
      <c r="E924" s="16">
        <f>IFERROR(IF($D924="","",VLOOKUP($D924,'Cari Kartlar'!$B$5:$C$204,2,FALSE)),"— tanımsız cari —")</f>
      </c>
      <c r="F924" s="20"/>
      <c r="G924" s="16">
        <f>IFERROR(IF($F924="","",VLOOKUP($F924,'Ürün Kartlar'!$B$5:$C$204,2,FALSE)),"— tanımsız ürün —")</f>
      </c>
      <c r="H924" s="21"/>
      <c r="I924" s="22">
        <f>IFERROR(IF($F924="","",IF($C924="Alış",VLOOKUP($F924,'Ürün Kartlar'!$B$5:$E$204,4,FALSE),VLOOKUP($F924,'Ürün Kartlar'!$B$5:$F$204,5,FALSE))),"")</f>
      </c>
      <c r="J924" s="23">
        <f>IFERROR(IF($F924="",Ayarlar!$C$9,VLOOKUP($F924,'Ürün Kartlar'!$B$5:$G$204,6,FALSE)),Ayarlar!$C$9)</f>
      </c>
      <c r="K924" s="18">
        <f>IF(OR($H924="",$I924=""),0,$H924*$I924)</f>
      </c>
      <c r="L924" s="18">
        <f>$K924*$J924</f>
      </c>
      <c r="M924" s="18">
        <f>$K924+$L924</f>
      </c>
      <c r="N924" s="20"/>
      <c r="O924" s="20"/>
      <c r="P924" s="20"/>
    </row>
    <row r="925" spans="2:16" x14ac:dyDescent="0.25">
      <c r="B925" s="15"/>
      <c r="C925" s="8"/>
      <c r="D925" s="8"/>
      <c r="E925" s="16">
        <f>IFERROR(IF($D925="","",VLOOKUP($D925,'Cari Kartlar'!$B$5:$C$204,2,FALSE)),"— tanımsız cari —")</f>
      </c>
      <c r="F925" s="8"/>
      <c r="G925" s="16">
        <f>IFERROR(IF($F925="","",VLOOKUP($F925,'Ürün Kartlar'!$B$5:$C$204,2,FALSE)),"— tanımsız ürün —")</f>
      </c>
      <c r="H925" s="17"/>
      <c r="I925" s="13">
        <f>IFERROR(IF($F925="","",IF($C925="Alış",VLOOKUP($F925,'Ürün Kartlar'!$B$5:$E$204,4,FALSE),VLOOKUP($F925,'Ürün Kartlar'!$B$5:$F$204,5,FALSE))),"")</f>
      </c>
      <c r="J925" s="11">
        <f>IFERROR(IF($F925="",Ayarlar!$C$9,VLOOKUP($F925,'Ürün Kartlar'!$B$5:$G$204,6,FALSE)),Ayarlar!$C$9)</f>
      </c>
      <c r="K925" s="18">
        <f>IF(OR($H925="",$I925=""),0,$H925*$I925)</f>
      </c>
      <c r="L925" s="18">
        <f>$K925*$J925</f>
      </c>
      <c r="M925" s="18">
        <f>$K925+$L925</f>
      </c>
      <c r="N925" s="8"/>
      <c r="O925" s="8"/>
      <c r="P925" s="8"/>
    </row>
    <row r="926" spans="2:16" x14ac:dyDescent="0.25">
      <c r="B926" s="19"/>
      <c r="C926" s="20"/>
      <c r="D926" s="20"/>
      <c r="E926" s="16">
        <f>IFERROR(IF($D926="","",VLOOKUP($D926,'Cari Kartlar'!$B$5:$C$204,2,FALSE)),"— tanımsız cari —")</f>
      </c>
      <c r="F926" s="20"/>
      <c r="G926" s="16">
        <f>IFERROR(IF($F926="","",VLOOKUP($F926,'Ürün Kartlar'!$B$5:$C$204,2,FALSE)),"— tanımsız ürün —")</f>
      </c>
      <c r="H926" s="21"/>
      <c r="I926" s="22">
        <f>IFERROR(IF($F926="","",IF($C926="Alış",VLOOKUP($F926,'Ürün Kartlar'!$B$5:$E$204,4,FALSE),VLOOKUP($F926,'Ürün Kartlar'!$B$5:$F$204,5,FALSE))),"")</f>
      </c>
      <c r="J926" s="23">
        <f>IFERROR(IF($F926="",Ayarlar!$C$9,VLOOKUP($F926,'Ürün Kartlar'!$B$5:$G$204,6,FALSE)),Ayarlar!$C$9)</f>
      </c>
      <c r="K926" s="18">
        <f>IF(OR($H926="",$I926=""),0,$H926*$I926)</f>
      </c>
      <c r="L926" s="18">
        <f>$K926*$J926</f>
      </c>
      <c r="M926" s="18">
        <f>$K926+$L926</f>
      </c>
      <c r="N926" s="20"/>
      <c r="O926" s="20"/>
      <c r="P926" s="20"/>
    </row>
    <row r="927" spans="2:16" x14ac:dyDescent="0.25">
      <c r="B927" s="15"/>
      <c r="C927" s="8"/>
      <c r="D927" s="8"/>
      <c r="E927" s="16">
        <f>IFERROR(IF($D927="","",VLOOKUP($D927,'Cari Kartlar'!$B$5:$C$204,2,FALSE)),"— tanımsız cari —")</f>
      </c>
      <c r="F927" s="8"/>
      <c r="G927" s="16">
        <f>IFERROR(IF($F927="","",VLOOKUP($F927,'Ürün Kartlar'!$B$5:$C$204,2,FALSE)),"— tanımsız ürün —")</f>
      </c>
      <c r="H927" s="17"/>
      <c r="I927" s="13">
        <f>IFERROR(IF($F927="","",IF($C927="Alış",VLOOKUP($F927,'Ürün Kartlar'!$B$5:$E$204,4,FALSE),VLOOKUP($F927,'Ürün Kartlar'!$B$5:$F$204,5,FALSE))),"")</f>
      </c>
      <c r="J927" s="11">
        <f>IFERROR(IF($F927="",Ayarlar!$C$9,VLOOKUP($F927,'Ürün Kartlar'!$B$5:$G$204,6,FALSE)),Ayarlar!$C$9)</f>
      </c>
      <c r="K927" s="18">
        <f>IF(OR($H927="",$I927=""),0,$H927*$I927)</f>
      </c>
      <c r="L927" s="18">
        <f>$K927*$J927</f>
      </c>
      <c r="M927" s="18">
        <f>$K927+$L927</f>
      </c>
      <c r="N927" s="8"/>
      <c r="O927" s="8"/>
      <c r="P927" s="8"/>
    </row>
    <row r="928" spans="2:16" x14ac:dyDescent="0.25">
      <c r="B928" s="19"/>
      <c r="C928" s="20"/>
      <c r="D928" s="20"/>
      <c r="E928" s="16">
        <f>IFERROR(IF($D928="","",VLOOKUP($D928,'Cari Kartlar'!$B$5:$C$204,2,FALSE)),"— tanımsız cari —")</f>
      </c>
      <c r="F928" s="20"/>
      <c r="G928" s="16">
        <f>IFERROR(IF($F928="","",VLOOKUP($F928,'Ürün Kartlar'!$B$5:$C$204,2,FALSE)),"— tanımsız ürün —")</f>
      </c>
      <c r="H928" s="21"/>
      <c r="I928" s="22">
        <f>IFERROR(IF($F928="","",IF($C928="Alış",VLOOKUP($F928,'Ürün Kartlar'!$B$5:$E$204,4,FALSE),VLOOKUP($F928,'Ürün Kartlar'!$B$5:$F$204,5,FALSE))),"")</f>
      </c>
      <c r="J928" s="23">
        <f>IFERROR(IF($F928="",Ayarlar!$C$9,VLOOKUP($F928,'Ürün Kartlar'!$B$5:$G$204,6,FALSE)),Ayarlar!$C$9)</f>
      </c>
      <c r="K928" s="18">
        <f>IF(OR($H928="",$I928=""),0,$H928*$I928)</f>
      </c>
      <c r="L928" s="18">
        <f>$K928*$J928</f>
      </c>
      <c r="M928" s="18">
        <f>$K928+$L928</f>
      </c>
      <c r="N928" s="20"/>
      <c r="O928" s="20"/>
      <c r="P928" s="20"/>
    </row>
    <row r="929" spans="2:16" x14ac:dyDescent="0.25">
      <c r="B929" s="15"/>
      <c r="C929" s="8"/>
      <c r="D929" s="8"/>
      <c r="E929" s="16">
        <f>IFERROR(IF($D929="","",VLOOKUP($D929,'Cari Kartlar'!$B$5:$C$204,2,FALSE)),"— tanımsız cari —")</f>
      </c>
      <c r="F929" s="8"/>
      <c r="G929" s="16">
        <f>IFERROR(IF($F929="","",VLOOKUP($F929,'Ürün Kartlar'!$B$5:$C$204,2,FALSE)),"— tanımsız ürün —")</f>
      </c>
      <c r="H929" s="17"/>
      <c r="I929" s="13">
        <f>IFERROR(IF($F929="","",IF($C929="Alış",VLOOKUP($F929,'Ürün Kartlar'!$B$5:$E$204,4,FALSE),VLOOKUP($F929,'Ürün Kartlar'!$B$5:$F$204,5,FALSE))),"")</f>
      </c>
      <c r="J929" s="11">
        <f>IFERROR(IF($F929="",Ayarlar!$C$9,VLOOKUP($F929,'Ürün Kartlar'!$B$5:$G$204,6,FALSE)),Ayarlar!$C$9)</f>
      </c>
      <c r="K929" s="18">
        <f>IF(OR($H929="",$I929=""),0,$H929*$I929)</f>
      </c>
      <c r="L929" s="18">
        <f>$K929*$J929</f>
      </c>
      <c r="M929" s="18">
        <f>$K929+$L929</f>
      </c>
      <c r="N929" s="8"/>
      <c r="O929" s="8"/>
      <c r="P929" s="8"/>
    </row>
    <row r="930" spans="2:16" x14ac:dyDescent="0.25">
      <c r="B930" s="19"/>
      <c r="C930" s="20"/>
      <c r="D930" s="20"/>
      <c r="E930" s="16">
        <f>IFERROR(IF($D930="","",VLOOKUP($D930,'Cari Kartlar'!$B$5:$C$204,2,FALSE)),"— tanımsız cari —")</f>
      </c>
      <c r="F930" s="20"/>
      <c r="G930" s="16">
        <f>IFERROR(IF($F930="","",VLOOKUP($F930,'Ürün Kartlar'!$B$5:$C$204,2,FALSE)),"— tanımsız ürün —")</f>
      </c>
      <c r="H930" s="21"/>
      <c r="I930" s="22">
        <f>IFERROR(IF($F930="","",IF($C930="Alış",VLOOKUP($F930,'Ürün Kartlar'!$B$5:$E$204,4,FALSE),VLOOKUP($F930,'Ürün Kartlar'!$B$5:$F$204,5,FALSE))),"")</f>
      </c>
      <c r="J930" s="23">
        <f>IFERROR(IF($F930="",Ayarlar!$C$9,VLOOKUP($F930,'Ürün Kartlar'!$B$5:$G$204,6,FALSE)),Ayarlar!$C$9)</f>
      </c>
      <c r="K930" s="18">
        <f>IF(OR($H930="",$I930=""),0,$H930*$I930)</f>
      </c>
      <c r="L930" s="18">
        <f>$K930*$J930</f>
      </c>
      <c r="M930" s="18">
        <f>$K930+$L930</f>
      </c>
      <c r="N930" s="20"/>
      <c r="O930" s="20"/>
      <c r="P930" s="20"/>
    </row>
    <row r="931" spans="2:16" x14ac:dyDescent="0.25">
      <c r="B931" s="15"/>
      <c r="C931" s="8"/>
      <c r="D931" s="8"/>
      <c r="E931" s="16">
        <f>IFERROR(IF($D931="","",VLOOKUP($D931,'Cari Kartlar'!$B$5:$C$204,2,FALSE)),"— tanımsız cari —")</f>
      </c>
      <c r="F931" s="8"/>
      <c r="G931" s="16">
        <f>IFERROR(IF($F931="","",VLOOKUP($F931,'Ürün Kartlar'!$B$5:$C$204,2,FALSE)),"— tanımsız ürün —")</f>
      </c>
      <c r="H931" s="17"/>
      <c r="I931" s="13">
        <f>IFERROR(IF($F931="","",IF($C931="Alış",VLOOKUP($F931,'Ürün Kartlar'!$B$5:$E$204,4,FALSE),VLOOKUP($F931,'Ürün Kartlar'!$B$5:$F$204,5,FALSE))),"")</f>
      </c>
      <c r="J931" s="11">
        <f>IFERROR(IF($F931="",Ayarlar!$C$9,VLOOKUP($F931,'Ürün Kartlar'!$B$5:$G$204,6,FALSE)),Ayarlar!$C$9)</f>
      </c>
      <c r="K931" s="18">
        <f>IF(OR($H931="",$I931=""),0,$H931*$I931)</f>
      </c>
      <c r="L931" s="18">
        <f>$K931*$J931</f>
      </c>
      <c r="M931" s="18">
        <f>$K931+$L931</f>
      </c>
      <c r="N931" s="8"/>
      <c r="O931" s="8"/>
      <c r="P931" s="8"/>
    </row>
    <row r="932" spans="2:16" x14ac:dyDescent="0.25">
      <c r="B932" s="19"/>
      <c r="C932" s="20"/>
      <c r="D932" s="20"/>
      <c r="E932" s="16">
        <f>IFERROR(IF($D932="","",VLOOKUP($D932,'Cari Kartlar'!$B$5:$C$204,2,FALSE)),"— tanımsız cari —")</f>
      </c>
      <c r="F932" s="20"/>
      <c r="G932" s="16">
        <f>IFERROR(IF($F932="","",VLOOKUP($F932,'Ürün Kartlar'!$B$5:$C$204,2,FALSE)),"— tanımsız ürün —")</f>
      </c>
      <c r="H932" s="21"/>
      <c r="I932" s="22">
        <f>IFERROR(IF($F932="","",IF($C932="Alış",VLOOKUP($F932,'Ürün Kartlar'!$B$5:$E$204,4,FALSE),VLOOKUP($F932,'Ürün Kartlar'!$B$5:$F$204,5,FALSE))),"")</f>
      </c>
      <c r="J932" s="23">
        <f>IFERROR(IF($F932="",Ayarlar!$C$9,VLOOKUP($F932,'Ürün Kartlar'!$B$5:$G$204,6,FALSE)),Ayarlar!$C$9)</f>
      </c>
      <c r="K932" s="18">
        <f>IF(OR($H932="",$I932=""),0,$H932*$I932)</f>
      </c>
      <c r="L932" s="18">
        <f>$K932*$J932</f>
      </c>
      <c r="M932" s="18">
        <f>$K932+$L932</f>
      </c>
      <c r="N932" s="20"/>
      <c r="O932" s="20"/>
      <c r="P932" s="20"/>
    </row>
    <row r="933" spans="2:16" x14ac:dyDescent="0.25">
      <c r="B933" s="15"/>
      <c r="C933" s="8"/>
      <c r="D933" s="8"/>
      <c r="E933" s="16">
        <f>IFERROR(IF($D933="","",VLOOKUP($D933,'Cari Kartlar'!$B$5:$C$204,2,FALSE)),"— tanımsız cari —")</f>
      </c>
      <c r="F933" s="8"/>
      <c r="G933" s="16">
        <f>IFERROR(IF($F933="","",VLOOKUP($F933,'Ürün Kartlar'!$B$5:$C$204,2,FALSE)),"— tanımsız ürün —")</f>
      </c>
      <c r="H933" s="17"/>
      <c r="I933" s="13">
        <f>IFERROR(IF($F933="","",IF($C933="Alış",VLOOKUP($F933,'Ürün Kartlar'!$B$5:$E$204,4,FALSE),VLOOKUP($F933,'Ürün Kartlar'!$B$5:$F$204,5,FALSE))),"")</f>
      </c>
      <c r="J933" s="11">
        <f>IFERROR(IF($F933="",Ayarlar!$C$9,VLOOKUP($F933,'Ürün Kartlar'!$B$5:$G$204,6,FALSE)),Ayarlar!$C$9)</f>
      </c>
      <c r="K933" s="18">
        <f>IF(OR($H933="",$I933=""),0,$H933*$I933)</f>
      </c>
      <c r="L933" s="18">
        <f>$K933*$J933</f>
      </c>
      <c r="M933" s="18">
        <f>$K933+$L933</f>
      </c>
      <c r="N933" s="8"/>
      <c r="O933" s="8"/>
      <c r="P933" s="8"/>
    </row>
    <row r="934" spans="2:16" x14ac:dyDescent="0.25">
      <c r="B934" s="19"/>
      <c r="C934" s="20"/>
      <c r="D934" s="20"/>
      <c r="E934" s="16">
        <f>IFERROR(IF($D934="","",VLOOKUP($D934,'Cari Kartlar'!$B$5:$C$204,2,FALSE)),"— tanımsız cari —")</f>
      </c>
      <c r="F934" s="20"/>
      <c r="G934" s="16">
        <f>IFERROR(IF($F934="","",VLOOKUP($F934,'Ürün Kartlar'!$B$5:$C$204,2,FALSE)),"— tanımsız ürün —")</f>
      </c>
      <c r="H934" s="21"/>
      <c r="I934" s="22">
        <f>IFERROR(IF($F934="","",IF($C934="Alış",VLOOKUP($F934,'Ürün Kartlar'!$B$5:$E$204,4,FALSE),VLOOKUP($F934,'Ürün Kartlar'!$B$5:$F$204,5,FALSE))),"")</f>
      </c>
      <c r="J934" s="23">
        <f>IFERROR(IF($F934="",Ayarlar!$C$9,VLOOKUP($F934,'Ürün Kartlar'!$B$5:$G$204,6,FALSE)),Ayarlar!$C$9)</f>
      </c>
      <c r="K934" s="18">
        <f>IF(OR($H934="",$I934=""),0,$H934*$I934)</f>
      </c>
      <c r="L934" s="18">
        <f>$K934*$J934</f>
      </c>
      <c r="M934" s="18">
        <f>$K934+$L934</f>
      </c>
      <c r="N934" s="20"/>
      <c r="O934" s="20"/>
      <c r="P934" s="20"/>
    </row>
    <row r="935" spans="2:16" x14ac:dyDescent="0.25">
      <c r="B935" s="15"/>
      <c r="C935" s="8"/>
      <c r="D935" s="8"/>
      <c r="E935" s="16">
        <f>IFERROR(IF($D935="","",VLOOKUP($D935,'Cari Kartlar'!$B$5:$C$204,2,FALSE)),"— tanımsız cari —")</f>
      </c>
      <c r="F935" s="8"/>
      <c r="G935" s="16">
        <f>IFERROR(IF($F935="","",VLOOKUP($F935,'Ürün Kartlar'!$B$5:$C$204,2,FALSE)),"— tanımsız ürün —")</f>
      </c>
      <c r="H935" s="17"/>
      <c r="I935" s="13">
        <f>IFERROR(IF($F935="","",IF($C935="Alış",VLOOKUP($F935,'Ürün Kartlar'!$B$5:$E$204,4,FALSE),VLOOKUP($F935,'Ürün Kartlar'!$B$5:$F$204,5,FALSE))),"")</f>
      </c>
      <c r="J935" s="11">
        <f>IFERROR(IF($F935="",Ayarlar!$C$9,VLOOKUP($F935,'Ürün Kartlar'!$B$5:$G$204,6,FALSE)),Ayarlar!$C$9)</f>
      </c>
      <c r="K935" s="18">
        <f>IF(OR($H935="",$I935=""),0,$H935*$I935)</f>
      </c>
      <c r="L935" s="18">
        <f>$K935*$J935</f>
      </c>
      <c r="M935" s="18">
        <f>$K935+$L935</f>
      </c>
      <c r="N935" s="8"/>
      <c r="O935" s="8"/>
      <c r="P935" s="8"/>
    </row>
    <row r="936" spans="2:16" x14ac:dyDescent="0.25">
      <c r="B936" s="19"/>
      <c r="C936" s="20"/>
      <c r="D936" s="20"/>
      <c r="E936" s="16">
        <f>IFERROR(IF($D936="","",VLOOKUP($D936,'Cari Kartlar'!$B$5:$C$204,2,FALSE)),"— tanımsız cari —")</f>
      </c>
      <c r="F936" s="20"/>
      <c r="G936" s="16">
        <f>IFERROR(IF($F936="","",VLOOKUP($F936,'Ürün Kartlar'!$B$5:$C$204,2,FALSE)),"— tanımsız ürün —")</f>
      </c>
      <c r="H936" s="21"/>
      <c r="I936" s="22">
        <f>IFERROR(IF($F936="","",IF($C936="Alış",VLOOKUP($F936,'Ürün Kartlar'!$B$5:$E$204,4,FALSE),VLOOKUP($F936,'Ürün Kartlar'!$B$5:$F$204,5,FALSE))),"")</f>
      </c>
      <c r="J936" s="23">
        <f>IFERROR(IF($F936="",Ayarlar!$C$9,VLOOKUP($F936,'Ürün Kartlar'!$B$5:$G$204,6,FALSE)),Ayarlar!$C$9)</f>
      </c>
      <c r="K936" s="18">
        <f>IF(OR($H936="",$I936=""),0,$H936*$I936)</f>
      </c>
      <c r="L936" s="18">
        <f>$K936*$J936</f>
      </c>
      <c r="M936" s="18">
        <f>$K936+$L936</f>
      </c>
      <c r="N936" s="20"/>
      <c r="O936" s="20"/>
      <c r="P936" s="20"/>
    </row>
    <row r="937" spans="2:16" x14ac:dyDescent="0.25">
      <c r="B937" s="15"/>
      <c r="C937" s="8"/>
      <c r="D937" s="8"/>
      <c r="E937" s="16">
        <f>IFERROR(IF($D937="","",VLOOKUP($D937,'Cari Kartlar'!$B$5:$C$204,2,FALSE)),"— tanımsız cari —")</f>
      </c>
      <c r="F937" s="8"/>
      <c r="G937" s="16">
        <f>IFERROR(IF($F937="","",VLOOKUP($F937,'Ürün Kartlar'!$B$5:$C$204,2,FALSE)),"— tanımsız ürün —")</f>
      </c>
      <c r="H937" s="17"/>
      <c r="I937" s="13">
        <f>IFERROR(IF($F937="","",IF($C937="Alış",VLOOKUP($F937,'Ürün Kartlar'!$B$5:$E$204,4,FALSE),VLOOKUP($F937,'Ürün Kartlar'!$B$5:$F$204,5,FALSE))),"")</f>
      </c>
      <c r="J937" s="11">
        <f>IFERROR(IF($F937="",Ayarlar!$C$9,VLOOKUP($F937,'Ürün Kartlar'!$B$5:$G$204,6,FALSE)),Ayarlar!$C$9)</f>
      </c>
      <c r="K937" s="18">
        <f>IF(OR($H937="",$I937=""),0,$H937*$I937)</f>
      </c>
      <c r="L937" s="18">
        <f>$K937*$J937</f>
      </c>
      <c r="M937" s="18">
        <f>$K937+$L937</f>
      </c>
      <c r="N937" s="8"/>
      <c r="O937" s="8"/>
      <c r="P937" s="8"/>
    </row>
    <row r="938" spans="2:16" x14ac:dyDescent="0.25">
      <c r="B938" s="19"/>
      <c r="C938" s="20"/>
      <c r="D938" s="20"/>
      <c r="E938" s="16">
        <f>IFERROR(IF($D938="","",VLOOKUP($D938,'Cari Kartlar'!$B$5:$C$204,2,FALSE)),"— tanımsız cari —")</f>
      </c>
      <c r="F938" s="20"/>
      <c r="G938" s="16">
        <f>IFERROR(IF($F938="","",VLOOKUP($F938,'Ürün Kartlar'!$B$5:$C$204,2,FALSE)),"— tanımsız ürün —")</f>
      </c>
      <c r="H938" s="21"/>
      <c r="I938" s="22">
        <f>IFERROR(IF($F938="","",IF($C938="Alış",VLOOKUP($F938,'Ürün Kartlar'!$B$5:$E$204,4,FALSE),VLOOKUP($F938,'Ürün Kartlar'!$B$5:$F$204,5,FALSE))),"")</f>
      </c>
      <c r="J938" s="23">
        <f>IFERROR(IF($F938="",Ayarlar!$C$9,VLOOKUP($F938,'Ürün Kartlar'!$B$5:$G$204,6,FALSE)),Ayarlar!$C$9)</f>
      </c>
      <c r="K938" s="18">
        <f>IF(OR($H938="",$I938=""),0,$H938*$I938)</f>
      </c>
      <c r="L938" s="18">
        <f>$K938*$J938</f>
      </c>
      <c r="M938" s="18">
        <f>$K938+$L938</f>
      </c>
      <c r="N938" s="20"/>
      <c r="O938" s="20"/>
      <c r="P938" s="20"/>
    </row>
    <row r="939" spans="2:16" x14ac:dyDescent="0.25">
      <c r="B939" s="15"/>
      <c r="C939" s="8"/>
      <c r="D939" s="8"/>
      <c r="E939" s="16">
        <f>IFERROR(IF($D939="","",VLOOKUP($D939,'Cari Kartlar'!$B$5:$C$204,2,FALSE)),"— tanımsız cari —")</f>
      </c>
      <c r="F939" s="8"/>
      <c r="G939" s="16">
        <f>IFERROR(IF($F939="","",VLOOKUP($F939,'Ürün Kartlar'!$B$5:$C$204,2,FALSE)),"— tanımsız ürün —")</f>
      </c>
      <c r="H939" s="17"/>
      <c r="I939" s="13">
        <f>IFERROR(IF($F939="","",IF($C939="Alış",VLOOKUP($F939,'Ürün Kartlar'!$B$5:$E$204,4,FALSE),VLOOKUP($F939,'Ürün Kartlar'!$B$5:$F$204,5,FALSE))),"")</f>
      </c>
      <c r="J939" s="11">
        <f>IFERROR(IF($F939="",Ayarlar!$C$9,VLOOKUP($F939,'Ürün Kartlar'!$B$5:$G$204,6,FALSE)),Ayarlar!$C$9)</f>
      </c>
      <c r="K939" s="18">
        <f>IF(OR($H939="",$I939=""),0,$H939*$I939)</f>
      </c>
      <c r="L939" s="18">
        <f>$K939*$J939</f>
      </c>
      <c r="M939" s="18">
        <f>$K939+$L939</f>
      </c>
      <c r="N939" s="8"/>
      <c r="O939" s="8"/>
      <c r="P939" s="8"/>
    </row>
    <row r="940" spans="2:16" x14ac:dyDescent="0.25">
      <c r="B940" s="19"/>
      <c r="C940" s="20"/>
      <c r="D940" s="20"/>
      <c r="E940" s="16">
        <f>IFERROR(IF($D940="","",VLOOKUP($D940,'Cari Kartlar'!$B$5:$C$204,2,FALSE)),"— tanımsız cari —")</f>
      </c>
      <c r="F940" s="20"/>
      <c r="G940" s="16">
        <f>IFERROR(IF($F940="","",VLOOKUP($F940,'Ürün Kartlar'!$B$5:$C$204,2,FALSE)),"— tanımsız ürün —")</f>
      </c>
      <c r="H940" s="21"/>
      <c r="I940" s="22">
        <f>IFERROR(IF($F940="","",IF($C940="Alış",VLOOKUP($F940,'Ürün Kartlar'!$B$5:$E$204,4,FALSE),VLOOKUP($F940,'Ürün Kartlar'!$B$5:$F$204,5,FALSE))),"")</f>
      </c>
      <c r="J940" s="23">
        <f>IFERROR(IF($F940="",Ayarlar!$C$9,VLOOKUP($F940,'Ürün Kartlar'!$B$5:$G$204,6,FALSE)),Ayarlar!$C$9)</f>
      </c>
      <c r="K940" s="18">
        <f>IF(OR($H940="",$I940=""),0,$H940*$I940)</f>
      </c>
      <c r="L940" s="18">
        <f>$K940*$J940</f>
      </c>
      <c r="M940" s="18">
        <f>$K940+$L940</f>
      </c>
      <c r="N940" s="20"/>
      <c r="O940" s="20"/>
      <c r="P940" s="20"/>
    </row>
    <row r="941" spans="2:16" x14ac:dyDescent="0.25">
      <c r="B941" s="15"/>
      <c r="C941" s="8"/>
      <c r="D941" s="8"/>
      <c r="E941" s="16">
        <f>IFERROR(IF($D941="","",VLOOKUP($D941,'Cari Kartlar'!$B$5:$C$204,2,FALSE)),"— tanımsız cari —")</f>
      </c>
      <c r="F941" s="8"/>
      <c r="G941" s="16">
        <f>IFERROR(IF($F941="","",VLOOKUP($F941,'Ürün Kartlar'!$B$5:$C$204,2,FALSE)),"— tanımsız ürün —")</f>
      </c>
      <c r="H941" s="17"/>
      <c r="I941" s="13">
        <f>IFERROR(IF($F941="","",IF($C941="Alış",VLOOKUP($F941,'Ürün Kartlar'!$B$5:$E$204,4,FALSE),VLOOKUP($F941,'Ürün Kartlar'!$B$5:$F$204,5,FALSE))),"")</f>
      </c>
      <c r="J941" s="11">
        <f>IFERROR(IF($F941="",Ayarlar!$C$9,VLOOKUP($F941,'Ürün Kartlar'!$B$5:$G$204,6,FALSE)),Ayarlar!$C$9)</f>
      </c>
      <c r="K941" s="18">
        <f>IF(OR($H941="",$I941=""),0,$H941*$I941)</f>
      </c>
      <c r="L941" s="18">
        <f>$K941*$J941</f>
      </c>
      <c r="M941" s="18">
        <f>$K941+$L941</f>
      </c>
      <c r="N941" s="8"/>
      <c r="O941" s="8"/>
      <c r="P941" s="8"/>
    </row>
    <row r="942" spans="2:16" x14ac:dyDescent="0.25">
      <c r="B942" s="19"/>
      <c r="C942" s="20"/>
      <c r="D942" s="20"/>
      <c r="E942" s="16">
        <f>IFERROR(IF($D942="","",VLOOKUP($D942,'Cari Kartlar'!$B$5:$C$204,2,FALSE)),"— tanımsız cari —")</f>
      </c>
      <c r="F942" s="20"/>
      <c r="G942" s="16">
        <f>IFERROR(IF($F942="","",VLOOKUP($F942,'Ürün Kartlar'!$B$5:$C$204,2,FALSE)),"— tanımsız ürün —")</f>
      </c>
      <c r="H942" s="21"/>
      <c r="I942" s="22">
        <f>IFERROR(IF($F942="","",IF($C942="Alış",VLOOKUP($F942,'Ürün Kartlar'!$B$5:$E$204,4,FALSE),VLOOKUP($F942,'Ürün Kartlar'!$B$5:$F$204,5,FALSE))),"")</f>
      </c>
      <c r="J942" s="23">
        <f>IFERROR(IF($F942="",Ayarlar!$C$9,VLOOKUP($F942,'Ürün Kartlar'!$B$5:$G$204,6,FALSE)),Ayarlar!$C$9)</f>
      </c>
      <c r="K942" s="18">
        <f>IF(OR($H942="",$I942=""),0,$H942*$I942)</f>
      </c>
      <c r="L942" s="18">
        <f>$K942*$J942</f>
      </c>
      <c r="M942" s="18">
        <f>$K942+$L942</f>
      </c>
      <c r="N942" s="20"/>
      <c r="O942" s="20"/>
      <c r="P942" s="20"/>
    </row>
    <row r="943" spans="2:16" x14ac:dyDescent="0.25">
      <c r="B943" s="15"/>
      <c r="C943" s="8"/>
      <c r="D943" s="8"/>
      <c r="E943" s="16">
        <f>IFERROR(IF($D943="","",VLOOKUP($D943,'Cari Kartlar'!$B$5:$C$204,2,FALSE)),"— tanımsız cari —")</f>
      </c>
      <c r="F943" s="8"/>
      <c r="G943" s="16">
        <f>IFERROR(IF($F943="","",VLOOKUP($F943,'Ürün Kartlar'!$B$5:$C$204,2,FALSE)),"— tanımsız ürün —")</f>
      </c>
      <c r="H943" s="17"/>
      <c r="I943" s="13">
        <f>IFERROR(IF($F943="","",IF($C943="Alış",VLOOKUP($F943,'Ürün Kartlar'!$B$5:$E$204,4,FALSE),VLOOKUP($F943,'Ürün Kartlar'!$B$5:$F$204,5,FALSE))),"")</f>
      </c>
      <c r="J943" s="11">
        <f>IFERROR(IF($F943="",Ayarlar!$C$9,VLOOKUP($F943,'Ürün Kartlar'!$B$5:$G$204,6,FALSE)),Ayarlar!$C$9)</f>
      </c>
      <c r="K943" s="18">
        <f>IF(OR($H943="",$I943=""),0,$H943*$I943)</f>
      </c>
      <c r="L943" s="18">
        <f>$K943*$J943</f>
      </c>
      <c r="M943" s="18">
        <f>$K943+$L943</f>
      </c>
      <c r="N943" s="8"/>
      <c r="O943" s="8"/>
      <c r="P943" s="8"/>
    </row>
    <row r="944" spans="2:16" x14ac:dyDescent="0.25">
      <c r="B944" s="19"/>
      <c r="C944" s="20"/>
      <c r="D944" s="20"/>
      <c r="E944" s="16">
        <f>IFERROR(IF($D944="","",VLOOKUP($D944,'Cari Kartlar'!$B$5:$C$204,2,FALSE)),"— tanımsız cari —")</f>
      </c>
      <c r="F944" s="20"/>
      <c r="G944" s="16">
        <f>IFERROR(IF($F944="","",VLOOKUP($F944,'Ürün Kartlar'!$B$5:$C$204,2,FALSE)),"— tanımsız ürün —")</f>
      </c>
      <c r="H944" s="21"/>
      <c r="I944" s="22">
        <f>IFERROR(IF($F944="","",IF($C944="Alış",VLOOKUP($F944,'Ürün Kartlar'!$B$5:$E$204,4,FALSE),VLOOKUP($F944,'Ürün Kartlar'!$B$5:$F$204,5,FALSE))),"")</f>
      </c>
      <c r="J944" s="23">
        <f>IFERROR(IF($F944="",Ayarlar!$C$9,VLOOKUP($F944,'Ürün Kartlar'!$B$5:$G$204,6,FALSE)),Ayarlar!$C$9)</f>
      </c>
      <c r="K944" s="18">
        <f>IF(OR($H944="",$I944=""),0,$H944*$I944)</f>
      </c>
      <c r="L944" s="18">
        <f>$K944*$J944</f>
      </c>
      <c r="M944" s="18">
        <f>$K944+$L944</f>
      </c>
      <c r="N944" s="20"/>
      <c r="O944" s="20"/>
      <c r="P944" s="20"/>
    </row>
    <row r="945" spans="2:16" x14ac:dyDescent="0.25">
      <c r="B945" s="15"/>
      <c r="C945" s="8"/>
      <c r="D945" s="8"/>
      <c r="E945" s="16">
        <f>IFERROR(IF($D945="","",VLOOKUP($D945,'Cari Kartlar'!$B$5:$C$204,2,FALSE)),"— tanımsız cari —")</f>
      </c>
      <c r="F945" s="8"/>
      <c r="G945" s="16">
        <f>IFERROR(IF($F945="","",VLOOKUP($F945,'Ürün Kartlar'!$B$5:$C$204,2,FALSE)),"— tanımsız ürün —")</f>
      </c>
      <c r="H945" s="17"/>
      <c r="I945" s="13">
        <f>IFERROR(IF($F945="","",IF($C945="Alış",VLOOKUP($F945,'Ürün Kartlar'!$B$5:$E$204,4,FALSE),VLOOKUP($F945,'Ürün Kartlar'!$B$5:$F$204,5,FALSE))),"")</f>
      </c>
      <c r="J945" s="11">
        <f>IFERROR(IF($F945="",Ayarlar!$C$9,VLOOKUP($F945,'Ürün Kartlar'!$B$5:$G$204,6,FALSE)),Ayarlar!$C$9)</f>
      </c>
      <c r="K945" s="18">
        <f>IF(OR($H945="",$I945=""),0,$H945*$I945)</f>
      </c>
      <c r="L945" s="18">
        <f>$K945*$J945</f>
      </c>
      <c r="M945" s="18">
        <f>$K945+$L945</f>
      </c>
      <c r="N945" s="8"/>
      <c r="O945" s="8"/>
      <c r="P945" s="8"/>
    </row>
    <row r="946" spans="2:16" x14ac:dyDescent="0.25">
      <c r="B946" s="19"/>
      <c r="C946" s="20"/>
      <c r="D946" s="20"/>
      <c r="E946" s="16">
        <f>IFERROR(IF($D946="","",VLOOKUP($D946,'Cari Kartlar'!$B$5:$C$204,2,FALSE)),"— tanımsız cari —")</f>
      </c>
      <c r="F946" s="20"/>
      <c r="G946" s="16">
        <f>IFERROR(IF($F946="","",VLOOKUP($F946,'Ürün Kartlar'!$B$5:$C$204,2,FALSE)),"— tanımsız ürün —")</f>
      </c>
      <c r="H946" s="21"/>
      <c r="I946" s="22">
        <f>IFERROR(IF($F946="","",IF($C946="Alış",VLOOKUP($F946,'Ürün Kartlar'!$B$5:$E$204,4,FALSE),VLOOKUP($F946,'Ürün Kartlar'!$B$5:$F$204,5,FALSE))),"")</f>
      </c>
      <c r="J946" s="23">
        <f>IFERROR(IF($F946="",Ayarlar!$C$9,VLOOKUP($F946,'Ürün Kartlar'!$B$5:$G$204,6,FALSE)),Ayarlar!$C$9)</f>
      </c>
      <c r="K946" s="18">
        <f>IF(OR($H946="",$I946=""),0,$H946*$I946)</f>
      </c>
      <c r="L946" s="18">
        <f>$K946*$J946</f>
      </c>
      <c r="M946" s="18">
        <f>$K946+$L946</f>
      </c>
      <c r="N946" s="20"/>
      <c r="O946" s="20"/>
      <c r="P946" s="20"/>
    </row>
    <row r="947" spans="2:16" x14ac:dyDescent="0.25">
      <c r="B947" s="15"/>
      <c r="C947" s="8"/>
      <c r="D947" s="8"/>
      <c r="E947" s="16">
        <f>IFERROR(IF($D947="","",VLOOKUP($D947,'Cari Kartlar'!$B$5:$C$204,2,FALSE)),"— tanımsız cari —")</f>
      </c>
      <c r="F947" s="8"/>
      <c r="G947" s="16">
        <f>IFERROR(IF($F947="","",VLOOKUP($F947,'Ürün Kartlar'!$B$5:$C$204,2,FALSE)),"— tanımsız ürün —")</f>
      </c>
      <c r="H947" s="17"/>
      <c r="I947" s="13">
        <f>IFERROR(IF($F947="","",IF($C947="Alış",VLOOKUP($F947,'Ürün Kartlar'!$B$5:$E$204,4,FALSE),VLOOKUP($F947,'Ürün Kartlar'!$B$5:$F$204,5,FALSE))),"")</f>
      </c>
      <c r="J947" s="11">
        <f>IFERROR(IF($F947="",Ayarlar!$C$9,VLOOKUP($F947,'Ürün Kartlar'!$B$5:$G$204,6,FALSE)),Ayarlar!$C$9)</f>
      </c>
      <c r="K947" s="18">
        <f>IF(OR($H947="",$I947=""),0,$H947*$I947)</f>
      </c>
      <c r="L947" s="18">
        <f>$K947*$J947</f>
      </c>
      <c r="M947" s="18">
        <f>$K947+$L947</f>
      </c>
      <c r="N947" s="8"/>
      <c r="O947" s="8"/>
      <c r="P947" s="8"/>
    </row>
    <row r="948" spans="2:16" x14ac:dyDescent="0.25">
      <c r="B948" s="19"/>
      <c r="C948" s="20"/>
      <c r="D948" s="20"/>
      <c r="E948" s="16">
        <f>IFERROR(IF($D948="","",VLOOKUP($D948,'Cari Kartlar'!$B$5:$C$204,2,FALSE)),"— tanımsız cari —")</f>
      </c>
      <c r="F948" s="20"/>
      <c r="G948" s="16">
        <f>IFERROR(IF($F948="","",VLOOKUP($F948,'Ürün Kartlar'!$B$5:$C$204,2,FALSE)),"— tanımsız ürün —")</f>
      </c>
      <c r="H948" s="21"/>
      <c r="I948" s="22">
        <f>IFERROR(IF($F948="","",IF($C948="Alış",VLOOKUP($F948,'Ürün Kartlar'!$B$5:$E$204,4,FALSE),VLOOKUP($F948,'Ürün Kartlar'!$B$5:$F$204,5,FALSE))),"")</f>
      </c>
      <c r="J948" s="23">
        <f>IFERROR(IF($F948="",Ayarlar!$C$9,VLOOKUP($F948,'Ürün Kartlar'!$B$5:$G$204,6,FALSE)),Ayarlar!$C$9)</f>
      </c>
      <c r="K948" s="18">
        <f>IF(OR($H948="",$I948=""),0,$H948*$I948)</f>
      </c>
      <c r="L948" s="18">
        <f>$K948*$J948</f>
      </c>
      <c r="M948" s="18">
        <f>$K948+$L948</f>
      </c>
      <c r="N948" s="20"/>
      <c r="O948" s="20"/>
      <c r="P948" s="20"/>
    </row>
    <row r="949" spans="2:16" x14ac:dyDescent="0.25">
      <c r="B949" s="15"/>
      <c r="C949" s="8"/>
      <c r="D949" s="8"/>
      <c r="E949" s="16">
        <f>IFERROR(IF($D949="","",VLOOKUP($D949,'Cari Kartlar'!$B$5:$C$204,2,FALSE)),"— tanımsız cari —")</f>
      </c>
      <c r="F949" s="8"/>
      <c r="G949" s="16">
        <f>IFERROR(IF($F949="","",VLOOKUP($F949,'Ürün Kartlar'!$B$5:$C$204,2,FALSE)),"— tanımsız ürün —")</f>
      </c>
      <c r="H949" s="17"/>
      <c r="I949" s="13">
        <f>IFERROR(IF($F949="","",IF($C949="Alış",VLOOKUP($F949,'Ürün Kartlar'!$B$5:$E$204,4,FALSE),VLOOKUP($F949,'Ürün Kartlar'!$B$5:$F$204,5,FALSE))),"")</f>
      </c>
      <c r="J949" s="11">
        <f>IFERROR(IF($F949="",Ayarlar!$C$9,VLOOKUP($F949,'Ürün Kartlar'!$B$5:$G$204,6,FALSE)),Ayarlar!$C$9)</f>
      </c>
      <c r="K949" s="18">
        <f>IF(OR($H949="",$I949=""),0,$H949*$I949)</f>
      </c>
      <c r="L949" s="18">
        <f>$K949*$J949</f>
      </c>
      <c r="M949" s="18">
        <f>$K949+$L949</f>
      </c>
      <c r="N949" s="8"/>
      <c r="O949" s="8"/>
      <c r="P949" s="8"/>
    </row>
    <row r="950" spans="2:16" x14ac:dyDescent="0.25">
      <c r="B950" s="19"/>
      <c r="C950" s="20"/>
      <c r="D950" s="20"/>
      <c r="E950" s="16">
        <f>IFERROR(IF($D950="","",VLOOKUP($D950,'Cari Kartlar'!$B$5:$C$204,2,FALSE)),"— tanımsız cari —")</f>
      </c>
      <c r="F950" s="20"/>
      <c r="G950" s="16">
        <f>IFERROR(IF($F950="","",VLOOKUP($F950,'Ürün Kartlar'!$B$5:$C$204,2,FALSE)),"— tanımsız ürün —")</f>
      </c>
      <c r="H950" s="21"/>
      <c r="I950" s="22">
        <f>IFERROR(IF($F950="","",IF($C950="Alış",VLOOKUP($F950,'Ürün Kartlar'!$B$5:$E$204,4,FALSE),VLOOKUP($F950,'Ürün Kartlar'!$B$5:$F$204,5,FALSE))),"")</f>
      </c>
      <c r="J950" s="23">
        <f>IFERROR(IF($F950="",Ayarlar!$C$9,VLOOKUP($F950,'Ürün Kartlar'!$B$5:$G$204,6,FALSE)),Ayarlar!$C$9)</f>
      </c>
      <c r="K950" s="18">
        <f>IF(OR($H950="",$I950=""),0,$H950*$I950)</f>
      </c>
      <c r="L950" s="18">
        <f>$K950*$J950</f>
      </c>
      <c r="M950" s="18">
        <f>$K950+$L950</f>
      </c>
      <c r="N950" s="20"/>
      <c r="O950" s="20"/>
      <c r="P950" s="20"/>
    </row>
    <row r="951" spans="2:16" x14ac:dyDescent="0.25">
      <c r="B951" s="15"/>
      <c r="C951" s="8"/>
      <c r="D951" s="8"/>
      <c r="E951" s="16">
        <f>IFERROR(IF($D951="","",VLOOKUP($D951,'Cari Kartlar'!$B$5:$C$204,2,FALSE)),"— tanımsız cari —")</f>
      </c>
      <c r="F951" s="8"/>
      <c r="G951" s="16">
        <f>IFERROR(IF($F951="","",VLOOKUP($F951,'Ürün Kartlar'!$B$5:$C$204,2,FALSE)),"— tanımsız ürün —")</f>
      </c>
      <c r="H951" s="17"/>
      <c r="I951" s="13">
        <f>IFERROR(IF($F951="","",IF($C951="Alış",VLOOKUP($F951,'Ürün Kartlar'!$B$5:$E$204,4,FALSE),VLOOKUP($F951,'Ürün Kartlar'!$B$5:$F$204,5,FALSE))),"")</f>
      </c>
      <c r="J951" s="11">
        <f>IFERROR(IF($F951="",Ayarlar!$C$9,VLOOKUP($F951,'Ürün Kartlar'!$B$5:$G$204,6,FALSE)),Ayarlar!$C$9)</f>
      </c>
      <c r="K951" s="18">
        <f>IF(OR($H951="",$I951=""),0,$H951*$I951)</f>
      </c>
      <c r="L951" s="18">
        <f>$K951*$J951</f>
      </c>
      <c r="M951" s="18">
        <f>$K951+$L951</f>
      </c>
      <c r="N951" s="8"/>
      <c r="O951" s="8"/>
      <c r="P951" s="8"/>
    </row>
    <row r="952" spans="2:16" x14ac:dyDescent="0.25">
      <c r="B952" s="19"/>
      <c r="C952" s="20"/>
      <c r="D952" s="20"/>
      <c r="E952" s="16">
        <f>IFERROR(IF($D952="","",VLOOKUP($D952,'Cari Kartlar'!$B$5:$C$204,2,FALSE)),"— tanımsız cari —")</f>
      </c>
      <c r="F952" s="20"/>
      <c r="G952" s="16">
        <f>IFERROR(IF($F952="","",VLOOKUP($F952,'Ürün Kartlar'!$B$5:$C$204,2,FALSE)),"— tanımsız ürün —")</f>
      </c>
      <c r="H952" s="21"/>
      <c r="I952" s="22">
        <f>IFERROR(IF($F952="","",IF($C952="Alış",VLOOKUP($F952,'Ürün Kartlar'!$B$5:$E$204,4,FALSE),VLOOKUP($F952,'Ürün Kartlar'!$B$5:$F$204,5,FALSE))),"")</f>
      </c>
      <c r="J952" s="23">
        <f>IFERROR(IF($F952="",Ayarlar!$C$9,VLOOKUP($F952,'Ürün Kartlar'!$B$5:$G$204,6,FALSE)),Ayarlar!$C$9)</f>
      </c>
      <c r="K952" s="18">
        <f>IF(OR($H952="",$I952=""),0,$H952*$I952)</f>
      </c>
      <c r="L952" s="18">
        <f>$K952*$J952</f>
      </c>
      <c r="M952" s="18">
        <f>$K952+$L952</f>
      </c>
      <c r="N952" s="20"/>
      <c r="O952" s="20"/>
      <c r="P952" s="20"/>
    </row>
    <row r="953" spans="2:16" x14ac:dyDescent="0.25">
      <c r="B953" s="15"/>
      <c r="C953" s="8"/>
      <c r="D953" s="8"/>
      <c r="E953" s="16">
        <f>IFERROR(IF($D953="","",VLOOKUP($D953,'Cari Kartlar'!$B$5:$C$204,2,FALSE)),"— tanımsız cari —")</f>
      </c>
      <c r="F953" s="8"/>
      <c r="G953" s="16">
        <f>IFERROR(IF($F953="","",VLOOKUP($F953,'Ürün Kartlar'!$B$5:$C$204,2,FALSE)),"— tanımsız ürün —")</f>
      </c>
      <c r="H953" s="17"/>
      <c r="I953" s="13">
        <f>IFERROR(IF($F953="","",IF($C953="Alış",VLOOKUP($F953,'Ürün Kartlar'!$B$5:$E$204,4,FALSE),VLOOKUP($F953,'Ürün Kartlar'!$B$5:$F$204,5,FALSE))),"")</f>
      </c>
      <c r="J953" s="11">
        <f>IFERROR(IF($F953="",Ayarlar!$C$9,VLOOKUP($F953,'Ürün Kartlar'!$B$5:$G$204,6,FALSE)),Ayarlar!$C$9)</f>
      </c>
      <c r="K953" s="18">
        <f>IF(OR($H953="",$I953=""),0,$H953*$I953)</f>
      </c>
      <c r="L953" s="18">
        <f>$K953*$J953</f>
      </c>
      <c r="M953" s="18">
        <f>$K953+$L953</f>
      </c>
      <c r="N953" s="8"/>
      <c r="O953" s="8"/>
      <c r="P953" s="8"/>
    </row>
    <row r="954" spans="2:16" x14ac:dyDescent="0.25">
      <c r="B954" s="19"/>
      <c r="C954" s="20"/>
      <c r="D954" s="20"/>
      <c r="E954" s="16">
        <f>IFERROR(IF($D954="","",VLOOKUP($D954,'Cari Kartlar'!$B$5:$C$204,2,FALSE)),"— tanımsız cari —")</f>
      </c>
      <c r="F954" s="20"/>
      <c r="G954" s="16">
        <f>IFERROR(IF($F954="","",VLOOKUP($F954,'Ürün Kartlar'!$B$5:$C$204,2,FALSE)),"— tanımsız ürün —")</f>
      </c>
      <c r="H954" s="21"/>
      <c r="I954" s="22">
        <f>IFERROR(IF($F954="","",IF($C954="Alış",VLOOKUP($F954,'Ürün Kartlar'!$B$5:$E$204,4,FALSE),VLOOKUP($F954,'Ürün Kartlar'!$B$5:$F$204,5,FALSE))),"")</f>
      </c>
      <c r="J954" s="23">
        <f>IFERROR(IF($F954="",Ayarlar!$C$9,VLOOKUP($F954,'Ürün Kartlar'!$B$5:$G$204,6,FALSE)),Ayarlar!$C$9)</f>
      </c>
      <c r="K954" s="18">
        <f>IF(OR($H954="",$I954=""),0,$H954*$I954)</f>
      </c>
      <c r="L954" s="18">
        <f>$K954*$J954</f>
      </c>
      <c r="M954" s="18">
        <f>$K954+$L954</f>
      </c>
      <c r="N954" s="20"/>
      <c r="O954" s="20"/>
      <c r="P954" s="20"/>
    </row>
    <row r="955" spans="2:16" x14ac:dyDescent="0.25">
      <c r="B955" s="15"/>
      <c r="C955" s="8"/>
      <c r="D955" s="8"/>
      <c r="E955" s="16">
        <f>IFERROR(IF($D955="","",VLOOKUP($D955,'Cari Kartlar'!$B$5:$C$204,2,FALSE)),"— tanımsız cari —")</f>
      </c>
      <c r="F955" s="8"/>
      <c r="G955" s="16">
        <f>IFERROR(IF($F955="","",VLOOKUP($F955,'Ürün Kartlar'!$B$5:$C$204,2,FALSE)),"— tanımsız ürün —")</f>
      </c>
      <c r="H955" s="17"/>
      <c r="I955" s="13">
        <f>IFERROR(IF($F955="","",IF($C955="Alış",VLOOKUP($F955,'Ürün Kartlar'!$B$5:$E$204,4,FALSE),VLOOKUP($F955,'Ürün Kartlar'!$B$5:$F$204,5,FALSE))),"")</f>
      </c>
      <c r="J955" s="11">
        <f>IFERROR(IF($F955="",Ayarlar!$C$9,VLOOKUP($F955,'Ürün Kartlar'!$B$5:$G$204,6,FALSE)),Ayarlar!$C$9)</f>
      </c>
      <c r="K955" s="18">
        <f>IF(OR($H955="",$I955=""),0,$H955*$I955)</f>
      </c>
      <c r="L955" s="18">
        <f>$K955*$J955</f>
      </c>
      <c r="M955" s="18">
        <f>$K955+$L955</f>
      </c>
      <c r="N955" s="8"/>
      <c r="O955" s="8"/>
      <c r="P955" s="8"/>
    </row>
    <row r="956" spans="2:16" x14ac:dyDescent="0.25">
      <c r="B956" s="19"/>
      <c r="C956" s="20"/>
      <c r="D956" s="20"/>
      <c r="E956" s="16">
        <f>IFERROR(IF($D956="","",VLOOKUP($D956,'Cari Kartlar'!$B$5:$C$204,2,FALSE)),"— tanımsız cari —")</f>
      </c>
      <c r="F956" s="20"/>
      <c r="G956" s="16">
        <f>IFERROR(IF($F956="","",VLOOKUP($F956,'Ürün Kartlar'!$B$5:$C$204,2,FALSE)),"— tanımsız ürün —")</f>
      </c>
      <c r="H956" s="21"/>
      <c r="I956" s="22">
        <f>IFERROR(IF($F956="","",IF($C956="Alış",VLOOKUP($F956,'Ürün Kartlar'!$B$5:$E$204,4,FALSE),VLOOKUP($F956,'Ürün Kartlar'!$B$5:$F$204,5,FALSE))),"")</f>
      </c>
      <c r="J956" s="23">
        <f>IFERROR(IF($F956="",Ayarlar!$C$9,VLOOKUP($F956,'Ürün Kartlar'!$B$5:$G$204,6,FALSE)),Ayarlar!$C$9)</f>
      </c>
      <c r="K956" s="18">
        <f>IF(OR($H956="",$I956=""),0,$H956*$I956)</f>
      </c>
      <c r="L956" s="18">
        <f>$K956*$J956</f>
      </c>
      <c r="M956" s="18">
        <f>$K956+$L956</f>
      </c>
      <c r="N956" s="20"/>
      <c r="O956" s="20"/>
      <c r="P956" s="20"/>
    </row>
    <row r="957" spans="2:16" x14ac:dyDescent="0.25">
      <c r="B957" s="15"/>
      <c r="C957" s="8"/>
      <c r="D957" s="8"/>
      <c r="E957" s="16">
        <f>IFERROR(IF($D957="","",VLOOKUP($D957,'Cari Kartlar'!$B$5:$C$204,2,FALSE)),"— tanımsız cari —")</f>
      </c>
      <c r="F957" s="8"/>
      <c r="G957" s="16">
        <f>IFERROR(IF($F957="","",VLOOKUP($F957,'Ürün Kartlar'!$B$5:$C$204,2,FALSE)),"— tanımsız ürün —")</f>
      </c>
      <c r="H957" s="17"/>
      <c r="I957" s="13">
        <f>IFERROR(IF($F957="","",IF($C957="Alış",VLOOKUP($F957,'Ürün Kartlar'!$B$5:$E$204,4,FALSE),VLOOKUP($F957,'Ürün Kartlar'!$B$5:$F$204,5,FALSE))),"")</f>
      </c>
      <c r="J957" s="11">
        <f>IFERROR(IF($F957="",Ayarlar!$C$9,VLOOKUP($F957,'Ürün Kartlar'!$B$5:$G$204,6,FALSE)),Ayarlar!$C$9)</f>
      </c>
      <c r="K957" s="18">
        <f>IF(OR($H957="",$I957=""),0,$H957*$I957)</f>
      </c>
      <c r="L957" s="18">
        <f>$K957*$J957</f>
      </c>
      <c r="M957" s="18">
        <f>$K957+$L957</f>
      </c>
      <c r="N957" s="8"/>
      <c r="O957" s="8"/>
      <c r="P957" s="8"/>
    </row>
    <row r="958" spans="2:16" x14ac:dyDescent="0.25">
      <c r="B958" s="19"/>
      <c r="C958" s="20"/>
      <c r="D958" s="20"/>
      <c r="E958" s="16">
        <f>IFERROR(IF($D958="","",VLOOKUP($D958,'Cari Kartlar'!$B$5:$C$204,2,FALSE)),"— tanımsız cari —")</f>
      </c>
      <c r="F958" s="20"/>
      <c r="G958" s="16">
        <f>IFERROR(IF($F958="","",VLOOKUP($F958,'Ürün Kartlar'!$B$5:$C$204,2,FALSE)),"— tanımsız ürün —")</f>
      </c>
      <c r="H958" s="21"/>
      <c r="I958" s="22">
        <f>IFERROR(IF($F958="","",IF($C958="Alış",VLOOKUP($F958,'Ürün Kartlar'!$B$5:$E$204,4,FALSE),VLOOKUP($F958,'Ürün Kartlar'!$B$5:$F$204,5,FALSE))),"")</f>
      </c>
      <c r="J958" s="23">
        <f>IFERROR(IF($F958="",Ayarlar!$C$9,VLOOKUP($F958,'Ürün Kartlar'!$B$5:$G$204,6,FALSE)),Ayarlar!$C$9)</f>
      </c>
      <c r="K958" s="18">
        <f>IF(OR($H958="",$I958=""),0,$H958*$I958)</f>
      </c>
      <c r="L958" s="18">
        <f>$K958*$J958</f>
      </c>
      <c r="M958" s="18">
        <f>$K958+$L958</f>
      </c>
      <c r="N958" s="20"/>
      <c r="O958" s="20"/>
      <c r="P958" s="20"/>
    </row>
    <row r="959" spans="2:16" x14ac:dyDescent="0.25">
      <c r="B959" s="15"/>
      <c r="C959" s="8"/>
      <c r="D959" s="8"/>
      <c r="E959" s="16">
        <f>IFERROR(IF($D959="","",VLOOKUP($D959,'Cari Kartlar'!$B$5:$C$204,2,FALSE)),"— tanımsız cari —")</f>
      </c>
      <c r="F959" s="8"/>
      <c r="G959" s="16">
        <f>IFERROR(IF($F959="","",VLOOKUP($F959,'Ürün Kartlar'!$B$5:$C$204,2,FALSE)),"— tanımsız ürün —")</f>
      </c>
      <c r="H959" s="17"/>
      <c r="I959" s="13">
        <f>IFERROR(IF($F959="","",IF($C959="Alış",VLOOKUP($F959,'Ürün Kartlar'!$B$5:$E$204,4,FALSE),VLOOKUP($F959,'Ürün Kartlar'!$B$5:$F$204,5,FALSE))),"")</f>
      </c>
      <c r="J959" s="11">
        <f>IFERROR(IF($F959="",Ayarlar!$C$9,VLOOKUP($F959,'Ürün Kartlar'!$B$5:$G$204,6,FALSE)),Ayarlar!$C$9)</f>
      </c>
      <c r="K959" s="18">
        <f>IF(OR($H959="",$I959=""),0,$H959*$I959)</f>
      </c>
      <c r="L959" s="18">
        <f>$K959*$J959</f>
      </c>
      <c r="M959" s="18">
        <f>$K959+$L959</f>
      </c>
      <c r="N959" s="8"/>
      <c r="O959" s="8"/>
      <c r="P959" s="8"/>
    </row>
    <row r="960" spans="2:16" x14ac:dyDescent="0.25">
      <c r="B960" s="19"/>
      <c r="C960" s="20"/>
      <c r="D960" s="20"/>
      <c r="E960" s="16">
        <f>IFERROR(IF($D960="","",VLOOKUP($D960,'Cari Kartlar'!$B$5:$C$204,2,FALSE)),"— tanımsız cari —")</f>
      </c>
      <c r="F960" s="20"/>
      <c r="G960" s="16">
        <f>IFERROR(IF($F960="","",VLOOKUP($F960,'Ürün Kartlar'!$B$5:$C$204,2,FALSE)),"— tanımsız ürün —")</f>
      </c>
      <c r="H960" s="21"/>
      <c r="I960" s="22">
        <f>IFERROR(IF($F960="","",IF($C960="Alış",VLOOKUP($F960,'Ürün Kartlar'!$B$5:$E$204,4,FALSE),VLOOKUP($F960,'Ürün Kartlar'!$B$5:$F$204,5,FALSE))),"")</f>
      </c>
      <c r="J960" s="23">
        <f>IFERROR(IF($F960="",Ayarlar!$C$9,VLOOKUP($F960,'Ürün Kartlar'!$B$5:$G$204,6,FALSE)),Ayarlar!$C$9)</f>
      </c>
      <c r="K960" s="18">
        <f>IF(OR($H960="",$I960=""),0,$H960*$I960)</f>
      </c>
      <c r="L960" s="18">
        <f>$K960*$J960</f>
      </c>
      <c r="M960" s="18">
        <f>$K960+$L960</f>
      </c>
      <c r="N960" s="20"/>
      <c r="O960" s="20"/>
      <c r="P960" s="20"/>
    </row>
    <row r="961" spans="2:16" x14ac:dyDescent="0.25">
      <c r="B961" s="15"/>
      <c r="C961" s="8"/>
      <c r="D961" s="8"/>
      <c r="E961" s="16">
        <f>IFERROR(IF($D961="","",VLOOKUP($D961,'Cari Kartlar'!$B$5:$C$204,2,FALSE)),"— tanımsız cari —")</f>
      </c>
      <c r="F961" s="8"/>
      <c r="G961" s="16">
        <f>IFERROR(IF($F961="","",VLOOKUP($F961,'Ürün Kartlar'!$B$5:$C$204,2,FALSE)),"— tanımsız ürün —")</f>
      </c>
      <c r="H961" s="17"/>
      <c r="I961" s="13">
        <f>IFERROR(IF($F961="","",IF($C961="Alış",VLOOKUP($F961,'Ürün Kartlar'!$B$5:$E$204,4,FALSE),VLOOKUP($F961,'Ürün Kartlar'!$B$5:$F$204,5,FALSE))),"")</f>
      </c>
      <c r="J961" s="11">
        <f>IFERROR(IF($F961="",Ayarlar!$C$9,VLOOKUP($F961,'Ürün Kartlar'!$B$5:$G$204,6,FALSE)),Ayarlar!$C$9)</f>
      </c>
      <c r="K961" s="18">
        <f>IF(OR($H961="",$I961=""),0,$H961*$I961)</f>
      </c>
      <c r="L961" s="18">
        <f>$K961*$J961</f>
      </c>
      <c r="M961" s="18">
        <f>$K961+$L961</f>
      </c>
      <c r="N961" s="8"/>
      <c r="O961" s="8"/>
      <c r="P961" s="8"/>
    </row>
    <row r="962" spans="2:16" x14ac:dyDescent="0.25">
      <c r="B962" s="19"/>
      <c r="C962" s="20"/>
      <c r="D962" s="20"/>
      <c r="E962" s="16">
        <f>IFERROR(IF($D962="","",VLOOKUP($D962,'Cari Kartlar'!$B$5:$C$204,2,FALSE)),"— tanımsız cari —")</f>
      </c>
      <c r="F962" s="20"/>
      <c r="G962" s="16">
        <f>IFERROR(IF($F962="","",VLOOKUP($F962,'Ürün Kartlar'!$B$5:$C$204,2,FALSE)),"— tanımsız ürün —")</f>
      </c>
      <c r="H962" s="21"/>
      <c r="I962" s="22">
        <f>IFERROR(IF($F962="","",IF($C962="Alış",VLOOKUP($F962,'Ürün Kartlar'!$B$5:$E$204,4,FALSE),VLOOKUP($F962,'Ürün Kartlar'!$B$5:$F$204,5,FALSE))),"")</f>
      </c>
      <c r="J962" s="23">
        <f>IFERROR(IF($F962="",Ayarlar!$C$9,VLOOKUP($F962,'Ürün Kartlar'!$B$5:$G$204,6,FALSE)),Ayarlar!$C$9)</f>
      </c>
      <c r="K962" s="18">
        <f>IF(OR($H962="",$I962=""),0,$H962*$I962)</f>
      </c>
      <c r="L962" s="18">
        <f>$K962*$J962</f>
      </c>
      <c r="M962" s="18">
        <f>$K962+$L962</f>
      </c>
      <c r="N962" s="20"/>
      <c r="O962" s="20"/>
      <c r="P962" s="20"/>
    </row>
    <row r="963" spans="2:16" x14ac:dyDescent="0.25">
      <c r="B963" s="15"/>
      <c r="C963" s="8"/>
      <c r="D963" s="8"/>
      <c r="E963" s="16">
        <f>IFERROR(IF($D963="","",VLOOKUP($D963,'Cari Kartlar'!$B$5:$C$204,2,FALSE)),"— tanımsız cari —")</f>
      </c>
      <c r="F963" s="8"/>
      <c r="G963" s="16">
        <f>IFERROR(IF($F963="","",VLOOKUP($F963,'Ürün Kartlar'!$B$5:$C$204,2,FALSE)),"— tanımsız ürün —")</f>
      </c>
      <c r="H963" s="17"/>
      <c r="I963" s="13">
        <f>IFERROR(IF($F963="","",IF($C963="Alış",VLOOKUP($F963,'Ürün Kartlar'!$B$5:$E$204,4,FALSE),VLOOKUP($F963,'Ürün Kartlar'!$B$5:$F$204,5,FALSE))),"")</f>
      </c>
      <c r="J963" s="11">
        <f>IFERROR(IF($F963="",Ayarlar!$C$9,VLOOKUP($F963,'Ürün Kartlar'!$B$5:$G$204,6,FALSE)),Ayarlar!$C$9)</f>
      </c>
      <c r="K963" s="18">
        <f>IF(OR($H963="",$I963=""),0,$H963*$I963)</f>
      </c>
      <c r="L963" s="18">
        <f>$K963*$J963</f>
      </c>
      <c r="M963" s="18">
        <f>$K963+$L963</f>
      </c>
      <c r="N963" s="8"/>
      <c r="O963" s="8"/>
      <c r="P963" s="8"/>
    </row>
    <row r="964" spans="2:16" x14ac:dyDescent="0.25">
      <c r="B964" s="19"/>
      <c r="C964" s="20"/>
      <c r="D964" s="20"/>
      <c r="E964" s="16">
        <f>IFERROR(IF($D964="","",VLOOKUP($D964,'Cari Kartlar'!$B$5:$C$204,2,FALSE)),"— tanımsız cari —")</f>
      </c>
      <c r="F964" s="20"/>
      <c r="G964" s="16">
        <f>IFERROR(IF($F964="","",VLOOKUP($F964,'Ürün Kartlar'!$B$5:$C$204,2,FALSE)),"— tanımsız ürün —")</f>
      </c>
      <c r="H964" s="21"/>
      <c r="I964" s="22">
        <f>IFERROR(IF($F964="","",IF($C964="Alış",VLOOKUP($F964,'Ürün Kartlar'!$B$5:$E$204,4,FALSE),VLOOKUP($F964,'Ürün Kartlar'!$B$5:$F$204,5,FALSE))),"")</f>
      </c>
      <c r="J964" s="23">
        <f>IFERROR(IF($F964="",Ayarlar!$C$9,VLOOKUP($F964,'Ürün Kartlar'!$B$5:$G$204,6,FALSE)),Ayarlar!$C$9)</f>
      </c>
      <c r="K964" s="18">
        <f>IF(OR($H964="",$I964=""),0,$H964*$I964)</f>
      </c>
      <c r="L964" s="18">
        <f>$K964*$J964</f>
      </c>
      <c r="M964" s="18">
        <f>$K964+$L964</f>
      </c>
      <c r="N964" s="20"/>
      <c r="O964" s="20"/>
      <c r="P964" s="20"/>
    </row>
    <row r="965" spans="2:16" x14ac:dyDescent="0.25">
      <c r="B965" s="15"/>
      <c r="C965" s="8"/>
      <c r="D965" s="8"/>
      <c r="E965" s="16">
        <f>IFERROR(IF($D965="","",VLOOKUP($D965,'Cari Kartlar'!$B$5:$C$204,2,FALSE)),"— tanımsız cari —")</f>
      </c>
      <c r="F965" s="8"/>
      <c r="G965" s="16">
        <f>IFERROR(IF($F965="","",VLOOKUP($F965,'Ürün Kartlar'!$B$5:$C$204,2,FALSE)),"— tanımsız ürün —")</f>
      </c>
      <c r="H965" s="17"/>
      <c r="I965" s="13">
        <f>IFERROR(IF($F965="","",IF($C965="Alış",VLOOKUP($F965,'Ürün Kartlar'!$B$5:$E$204,4,FALSE),VLOOKUP($F965,'Ürün Kartlar'!$B$5:$F$204,5,FALSE))),"")</f>
      </c>
      <c r="J965" s="11">
        <f>IFERROR(IF($F965="",Ayarlar!$C$9,VLOOKUP($F965,'Ürün Kartlar'!$B$5:$G$204,6,FALSE)),Ayarlar!$C$9)</f>
      </c>
      <c r="K965" s="18">
        <f>IF(OR($H965="",$I965=""),0,$H965*$I965)</f>
      </c>
      <c r="L965" s="18">
        <f>$K965*$J965</f>
      </c>
      <c r="M965" s="18">
        <f>$K965+$L965</f>
      </c>
      <c r="N965" s="8"/>
      <c r="O965" s="8"/>
      <c r="P965" s="8"/>
    </row>
    <row r="966" spans="2:16" x14ac:dyDescent="0.25">
      <c r="B966" s="19"/>
      <c r="C966" s="20"/>
      <c r="D966" s="20"/>
      <c r="E966" s="16">
        <f>IFERROR(IF($D966="","",VLOOKUP($D966,'Cari Kartlar'!$B$5:$C$204,2,FALSE)),"— tanımsız cari —")</f>
      </c>
      <c r="F966" s="20"/>
      <c r="G966" s="16">
        <f>IFERROR(IF($F966="","",VLOOKUP($F966,'Ürün Kartlar'!$B$5:$C$204,2,FALSE)),"— tanımsız ürün —")</f>
      </c>
      <c r="H966" s="21"/>
      <c r="I966" s="22">
        <f>IFERROR(IF($F966="","",IF($C966="Alış",VLOOKUP($F966,'Ürün Kartlar'!$B$5:$E$204,4,FALSE),VLOOKUP($F966,'Ürün Kartlar'!$B$5:$F$204,5,FALSE))),"")</f>
      </c>
      <c r="J966" s="23">
        <f>IFERROR(IF($F966="",Ayarlar!$C$9,VLOOKUP($F966,'Ürün Kartlar'!$B$5:$G$204,6,FALSE)),Ayarlar!$C$9)</f>
      </c>
      <c r="K966" s="18">
        <f>IF(OR($H966="",$I966=""),0,$H966*$I966)</f>
      </c>
      <c r="L966" s="18">
        <f>$K966*$J966</f>
      </c>
      <c r="M966" s="18">
        <f>$K966+$L966</f>
      </c>
      <c r="N966" s="20"/>
      <c r="O966" s="20"/>
      <c r="P966" s="20"/>
    </row>
    <row r="967" spans="2:16" x14ac:dyDescent="0.25">
      <c r="B967" s="15"/>
      <c r="C967" s="8"/>
      <c r="D967" s="8"/>
      <c r="E967" s="16">
        <f>IFERROR(IF($D967="","",VLOOKUP($D967,'Cari Kartlar'!$B$5:$C$204,2,FALSE)),"— tanımsız cari —")</f>
      </c>
      <c r="F967" s="8"/>
      <c r="G967" s="16">
        <f>IFERROR(IF($F967="","",VLOOKUP($F967,'Ürün Kartlar'!$B$5:$C$204,2,FALSE)),"— tanımsız ürün —")</f>
      </c>
      <c r="H967" s="17"/>
      <c r="I967" s="13">
        <f>IFERROR(IF($F967="","",IF($C967="Alış",VLOOKUP($F967,'Ürün Kartlar'!$B$5:$E$204,4,FALSE),VLOOKUP($F967,'Ürün Kartlar'!$B$5:$F$204,5,FALSE))),"")</f>
      </c>
      <c r="J967" s="11">
        <f>IFERROR(IF($F967="",Ayarlar!$C$9,VLOOKUP($F967,'Ürün Kartlar'!$B$5:$G$204,6,FALSE)),Ayarlar!$C$9)</f>
      </c>
      <c r="K967" s="18">
        <f>IF(OR($H967="",$I967=""),0,$H967*$I967)</f>
      </c>
      <c r="L967" s="18">
        <f>$K967*$J967</f>
      </c>
      <c r="M967" s="18">
        <f>$K967+$L967</f>
      </c>
      <c r="N967" s="8"/>
      <c r="O967" s="8"/>
      <c r="P967" s="8"/>
    </row>
    <row r="968" spans="2:16" x14ac:dyDescent="0.25">
      <c r="B968" s="19"/>
      <c r="C968" s="20"/>
      <c r="D968" s="20"/>
      <c r="E968" s="16">
        <f>IFERROR(IF($D968="","",VLOOKUP($D968,'Cari Kartlar'!$B$5:$C$204,2,FALSE)),"— tanımsız cari —")</f>
      </c>
      <c r="F968" s="20"/>
      <c r="G968" s="16">
        <f>IFERROR(IF($F968="","",VLOOKUP($F968,'Ürün Kartlar'!$B$5:$C$204,2,FALSE)),"— tanımsız ürün —")</f>
      </c>
      <c r="H968" s="21"/>
      <c r="I968" s="22">
        <f>IFERROR(IF($F968="","",IF($C968="Alış",VLOOKUP($F968,'Ürün Kartlar'!$B$5:$E$204,4,FALSE),VLOOKUP($F968,'Ürün Kartlar'!$B$5:$F$204,5,FALSE))),"")</f>
      </c>
      <c r="J968" s="23">
        <f>IFERROR(IF($F968="",Ayarlar!$C$9,VLOOKUP($F968,'Ürün Kartlar'!$B$5:$G$204,6,FALSE)),Ayarlar!$C$9)</f>
      </c>
      <c r="K968" s="18">
        <f>IF(OR($H968="",$I968=""),0,$H968*$I968)</f>
      </c>
      <c r="L968" s="18">
        <f>$K968*$J968</f>
      </c>
      <c r="M968" s="18">
        <f>$K968+$L968</f>
      </c>
      <c r="N968" s="20"/>
      <c r="O968" s="20"/>
      <c r="P968" s="20"/>
    </row>
    <row r="969" spans="2:16" x14ac:dyDescent="0.25">
      <c r="B969" s="15"/>
      <c r="C969" s="8"/>
      <c r="D969" s="8"/>
      <c r="E969" s="16">
        <f>IFERROR(IF($D969="","",VLOOKUP($D969,'Cari Kartlar'!$B$5:$C$204,2,FALSE)),"— tanımsız cari —")</f>
      </c>
      <c r="F969" s="8"/>
      <c r="G969" s="16">
        <f>IFERROR(IF($F969="","",VLOOKUP($F969,'Ürün Kartlar'!$B$5:$C$204,2,FALSE)),"— tanımsız ürün —")</f>
      </c>
      <c r="H969" s="17"/>
      <c r="I969" s="13">
        <f>IFERROR(IF($F969="","",IF($C969="Alış",VLOOKUP($F969,'Ürün Kartlar'!$B$5:$E$204,4,FALSE),VLOOKUP($F969,'Ürün Kartlar'!$B$5:$F$204,5,FALSE))),"")</f>
      </c>
      <c r="J969" s="11">
        <f>IFERROR(IF($F969="",Ayarlar!$C$9,VLOOKUP($F969,'Ürün Kartlar'!$B$5:$G$204,6,FALSE)),Ayarlar!$C$9)</f>
      </c>
      <c r="K969" s="18">
        <f>IF(OR($H969="",$I969=""),0,$H969*$I969)</f>
      </c>
      <c r="L969" s="18">
        <f>$K969*$J969</f>
      </c>
      <c r="M969" s="18">
        <f>$K969+$L969</f>
      </c>
      <c r="N969" s="8"/>
      <c r="O969" s="8"/>
      <c r="P969" s="8"/>
    </row>
    <row r="970" spans="2:16" x14ac:dyDescent="0.25">
      <c r="B970" s="19"/>
      <c r="C970" s="20"/>
      <c r="D970" s="20"/>
      <c r="E970" s="16">
        <f>IFERROR(IF($D970="","",VLOOKUP($D970,'Cari Kartlar'!$B$5:$C$204,2,FALSE)),"— tanımsız cari —")</f>
      </c>
      <c r="F970" s="20"/>
      <c r="G970" s="16">
        <f>IFERROR(IF($F970="","",VLOOKUP($F970,'Ürün Kartlar'!$B$5:$C$204,2,FALSE)),"— tanımsız ürün —")</f>
      </c>
      <c r="H970" s="21"/>
      <c r="I970" s="22">
        <f>IFERROR(IF($F970="","",IF($C970="Alış",VLOOKUP($F970,'Ürün Kartlar'!$B$5:$E$204,4,FALSE),VLOOKUP($F970,'Ürün Kartlar'!$B$5:$F$204,5,FALSE))),"")</f>
      </c>
      <c r="J970" s="23">
        <f>IFERROR(IF($F970="",Ayarlar!$C$9,VLOOKUP($F970,'Ürün Kartlar'!$B$5:$G$204,6,FALSE)),Ayarlar!$C$9)</f>
      </c>
      <c r="K970" s="18">
        <f>IF(OR($H970="",$I970=""),0,$H970*$I970)</f>
      </c>
      <c r="L970" s="18">
        <f>$K970*$J970</f>
      </c>
      <c r="M970" s="18">
        <f>$K970+$L970</f>
      </c>
      <c r="N970" s="20"/>
      <c r="O970" s="20"/>
      <c r="P970" s="20"/>
    </row>
    <row r="971" spans="2:16" x14ac:dyDescent="0.25">
      <c r="B971" s="15"/>
      <c r="C971" s="8"/>
      <c r="D971" s="8"/>
      <c r="E971" s="16">
        <f>IFERROR(IF($D971="","",VLOOKUP($D971,'Cari Kartlar'!$B$5:$C$204,2,FALSE)),"— tanımsız cari —")</f>
      </c>
      <c r="F971" s="8"/>
      <c r="G971" s="16">
        <f>IFERROR(IF($F971="","",VLOOKUP($F971,'Ürün Kartlar'!$B$5:$C$204,2,FALSE)),"— tanımsız ürün —")</f>
      </c>
      <c r="H971" s="17"/>
      <c r="I971" s="13">
        <f>IFERROR(IF($F971="","",IF($C971="Alış",VLOOKUP($F971,'Ürün Kartlar'!$B$5:$E$204,4,FALSE),VLOOKUP($F971,'Ürün Kartlar'!$B$5:$F$204,5,FALSE))),"")</f>
      </c>
      <c r="J971" s="11">
        <f>IFERROR(IF($F971="",Ayarlar!$C$9,VLOOKUP($F971,'Ürün Kartlar'!$B$5:$G$204,6,FALSE)),Ayarlar!$C$9)</f>
      </c>
      <c r="K971" s="18">
        <f>IF(OR($H971="",$I971=""),0,$H971*$I971)</f>
      </c>
      <c r="L971" s="18">
        <f>$K971*$J971</f>
      </c>
      <c r="M971" s="18">
        <f>$K971+$L971</f>
      </c>
      <c r="N971" s="8"/>
      <c r="O971" s="8"/>
      <c r="P971" s="8"/>
    </row>
    <row r="972" spans="2:16" x14ac:dyDescent="0.25">
      <c r="B972" s="19"/>
      <c r="C972" s="20"/>
      <c r="D972" s="20"/>
      <c r="E972" s="16">
        <f>IFERROR(IF($D972="","",VLOOKUP($D972,'Cari Kartlar'!$B$5:$C$204,2,FALSE)),"— tanımsız cari —")</f>
      </c>
      <c r="F972" s="20"/>
      <c r="G972" s="16">
        <f>IFERROR(IF($F972="","",VLOOKUP($F972,'Ürün Kartlar'!$B$5:$C$204,2,FALSE)),"— tanımsız ürün —")</f>
      </c>
      <c r="H972" s="21"/>
      <c r="I972" s="22">
        <f>IFERROR(IF($F972="","",IF($C972="Alış",VLOOKUP($F972,'Ürün Kartlar'!$B$5:$E$204,4,FALSE),VLOOKUP($F972,'Ürün Kartlar'!$B$5:$F$204,5,FALSE))),"")</f>
      </c>
      <c r="J972" s="23">
        <f>IFERROR(IF($F972="",Ayarlar!$C$9,VLOOKUP($F972,'Ürün Kartlar'!$B$5:$G$204,6,FALSE)),Ayarlar!$C$9)</f>
      </c>
      <c r="K972" s="18">
        <f>IF(OR($H972="",$I972=""),0,$H972*$I972)</f>
      </c>
      <c r="L972" s="18">
        <f>$K972*$J972</f>
      </c>
      <c r="M972" s="18">
        <f>$K972+$L972</f>
      </c>
      <c r="N972" s="20"/>
      <c r="O972" s="20"/>
      <c r="P972" s="20"/>
    </row>
    <row r="973" spans="2:16" x14ac:dyDescent="0.25">
      <c r="B973" s="15"/>
      <c r="C973" s="8"/>
      <c r="D973" s="8"/>
      <c r="E973" s="16">
        <f>IFERROR(IF($D973="","",VLOOKUP($D973,'Cari Kartlar'!$B$5:$C$204,2,FALSE)),"— tanımsız cari —")</f>
      </c>
      <c r="F973" s="8"/>
      <c r="G973" s="16">
        <f>IFERROR(IF($F973="","",VLOOKUP($F973,'Ürün Kartlar'!$B$5:$C$204,2,FALSE)),"— tanımsız ürün —")</f>
      </c>
      <c r="H973" s="17"/>
      <c r="I973" s="13">
        <f>IFERROR(IF($F973="","",IF($C973="Alış",VLOOKUP($F973,'Ürün Kartlar'!$B$5:$E$204,4,FALSE),VLOOKUP($F973,'Ürün Kartlar'!$B$5:$F$204,5,FALSE))),"")</f>
      </c>
      <c r="J973" s="11">
        <f>IFERROR(IF($F973="",Ayarlar!$C$9,VLOOKUP($F973,'Ürün Kartlar'!$B$5:$G$204,6,FALSE)),Ayarlar!$C$9)</f>
      </c>
      <c r="K973" s="18">
        <f>IF(OR($H973="",$I973=""),0,$H973*$I973)</f>
      </c>
      <c r="L973" s="18">
        <f>$K973*$J973</f>
      </c>
      <c r="M973" s="18">
        <f>$K973+$L973</f>
      </c>
      <c r="N973" s="8"/>
      <c r="O973" s="8"/>
      <c r="P973" s="8"/>
    </row>
    <row r="974" spans="2:16" x14ac:dyDescent="0.25">
      <c r="B974" s="19"/>
      <c r="C974" s="20"/>
      <c r="D974" s="20"/>
      <c r="E974" s="16">
        <f>IFERROR(IF($D974="","",VLOOKUP($D974,'Cari Kartlar'!$B$5:$C$204,2,FALSE)),"— tanımsız cari —")</f>
      </c>
      <c r="F974" s="20"/>
      <c r="G974" s="16">
        <f>IFERROR(IF($F974="","",VLOOKUP($F974,'Ürün Kartlar'!$B$5:$C$204,2,FALSE)),"— tanımsız ürün —")</f>
      </c>
      <c r="H974" s="21"/>
      <c r="I974" s="22">
        <f>IFERROR(IF($F974="","",IF($C974="Alış",VLOOKUP($F974,'Ürün Kartlar'!$B$5:$E$204,4,FALSE),VLOOKUP($F974,'Ürün Kartlar'!$B$5:$F$204,5,FALSE))),"")</f>
      </c>
      <c r="J974" s="23">
        <f>IFERROR(IF($F974="",Ayarlar!$C$9,VLOOKUP($F974,'Ürün Kartlar'!$B$5:$G$204,6,FALSE)),Ayarlar!$C$9)</f>
      </c>
      <c r="K974" s="18">
        <f>IF(OR($H974="",$I974=""),0,$H974*$I974)</f>
      </c>
      <c r="L974" s="18">
        <f>$K974*$J974</f>
      </c>
      <c r="M974" s="18">
        <f>$K974+$L974</f>
      </c>
      <c r="N974" s="20"/>
      <c r="O974" s="20"/>
      <c r="P974" s="20"/>
    </row>
    <row r="975" spans="2:16" x14ac:dyDescent="0.25">
      <c r="B975" s="15"/>
      <c r="C975" s="8"/>
      <c r="D975" s="8"/>
      <c r="E975" s="16">
        <f>IFERROR(IF($D975="","",VLOOKUP($D975,'Cari Kartlar'!$B$5:$C$204,2,FALSE)),"— tanımsız cari —")</f>
      </c>
      <c r="F975" s="8"/>
      <c r="G975" s="16">
        <f>IFERROR(IF($F975="","",VLOOKUP($F975,'Ürün Kartlar'!$B$5:$C$204,2,FALSE)),"— tanımsız ürün —")</f>
      </c>
      <c r="H975" s="17"/>
      <c r="I975" s="13">
        <f>IFERROR(IF($F975="","",IF($C975="Alış",VLOOKUP($F975,'Ürün Kartlar'!$B$5:$E$204,4,FALSE),VLOOKUP($F975,'Ürün Kartlar'!$B$5:$F$204,5,FALSE))),"")</f>
      </c>
      <c r="J975" s="11">
        <f>IFERROR(IF($F975="",Ayarlar!$C$9,VLOOKUP($F975,'Ürün Kartlar'!$B$5:$G$204,6,FALSE)),Ayarlar!$C$9)</f>
      </c>
      <c r="K975" s="18">
        <f>IF(OR($H975="",$I975=""),0,$H975*$I975)</f>
      </c>
      <c r="L975" s="18">
        <f>$K975*$J975</f>
      </c>
      <c r="M975" s="18">
        <f>$K975+$L975</f>
      </c>
      <c r="N975" s="8"/>
      <c r="O975" s="8"/>
      <c r="P975" s="8"/>
    </row>
    <row r="976" spans="2:16" x14ac:dyDescent="0.25">
      <c r="B976" s="19"/>
      <c r="C976" s="20"/>
      <c r="D976" s="20"/>
      <c r="E976" s="16">
        <f>IFERROR(IF($D976="","",VLOOKUP($D976,'Cari Kartlar'!$B$5:$C$204,2,FALSE)),"— tanımsız cari —")</f>
      </c>
      <c r="F976" s="20"/>
      <c r="G976" s="16">
        <f>IFERROR(IF($F976="","",VLOOKUP($F976,'Ürün Kartlar'!$B$5:$C$204,2,FALSE)),"— tanımsız ürün —")</f>
      </c>
      <c r="H976" s="21"/>
      <c r="I976" s="22">
        <f>IFERROR(IF($F976="","",IF($C976="Alış",VLOOKUP($F976,'Ürün Kartlar'!$B$5:$E$204,4,FALSE),VLOOKUP($F976,'Ürün Kartlar'!$B$5:$F$204,5,FALSE))),"")</f>
      </c>
      <c r="J976" s="23">
        <f>IFERROR(IF($F976="",Ayarlar!$C$9,VLOOKUP($F976,'Ürün Kartlar'!$B$5:$G$204,6,FALSE)),Ayarlar!$C$9)</f>
      </c>
      <c r="K976" s="18">
        <f>IF(OR($H976="",$I976=""),0,$H976*$I976)</f>
      </c>
      <c r="L976" s="18">
        <f>$K976*$J976</f>
      </c>
      <c r="M976" s="18">
        <f>$K976+$L976</f>
      </c>
      <c r="N976" s="20"/>
      <c r="O976" s="20"/>
      <c r="P976" s="20"/>
    </row>
    <row r="977" spans="2:16" x14ac:dyDescent="0.25">
      <c r="B977" s="15"/>
      <c r="C977" s="8"/>
      <c r="D977" s="8"/>
      <c r="E977" s="16">
        <f>IFERROR(IF($D977="","",VLOOKUP($D977,'Cari Kartlar'!$B$5:$C$204,2,FALSE)),"— tanımsız cari —")</f>
      </c>
      <c r="F977" s="8"/>
      <c r="G977" s="16">
        <f>IFERROR(IF($F977="","",VLOOKUP($F977,'Ürün Kartlar'!$B$5:$C$204,2,FALSE)),"— tanımsız ürün —")</f>
      </c>
      <c r="H977" s="17"/>
      <c r="I977" s="13">
        <f>IFERROR(IF($F977="","",IF($C977="Alış",VLOOKUP($F977,'Ürün Kartlar'!$B$5:$E$204,4,FALSE),VLOOKUP($F977,'Ürün Kartlar'!$B$5:$F$204,5,FALSE))),"")</f>
      </c>
      <c r="J977" s="11">
        <f>IFERROR(IF($F977="",Ayarlar!$C$9,VLOOKUP($F977,'Ürün Kartlar'!$B$5:$G$204,6,FALSE)),Ayarlar!$C$9)</f>
      </c>
      <c r="K977" s="18">
        <f>IF(OR($H977="",$I977=""),0,$H977*$I977)</f>
      </c>
      <c r="L977" s="18">
        <f>$K977*$J977</f>
      </c>
      <c r="M977" s="18">
        <f>$K977+$L977</f>
      </c>
      <c r="N977" s="8"/>
      <c r="O977" s="8"/>
      <c r="P977" s="8"/>
    </row>
    <row r="978" spans="2:16" x14ac:dyDescent="0.25">
      <c r="B978" s="19"/>
      <c r="C978" s="20"/>
      <c r="D978" s="20"/>
      <c r="E978" s="16">
        <f>IFERROR(IF($D978="","",VLOOKUP($D978,'Cari Kartlar'!$B$5:$C$204,2,FALSE)),"— tanımsız cari —")</f>
      </c>
      <c r="F978" s="20"/>
      <c r="G978" s="16">
        <f>IFERROR(IF($F978="","",VLOOKUP($F978,'Ürün Kartlar'!$B$5:$C$204,2,FALSE)),"— tanımsız ürün —")</f>
      </c>
      <c r="H978" s="21"/>
      <c r="I978" s="22">
        <f>IFERROR(IF($F978="","",IF($C978="Alış",VLOOKUP($F978,'Ürün Kartlar'!$B$5:$E$204,4,FALSE),VLOOKUP($F978,'Ürün Kartlar'!$B$5:$F$204,5,FALSE))),"")</f>
      </c>
      <c r="J978" s="23">
        <f>IFERROR(IF($F978="",Ayarlar!$C$9,VLOOKUP($F978,'Ürün Kartlar'!$B$5:$G$204,6,FALSE)),Ayarlar!$C$9)</f>
      </c>
      <c r="K978" s="18">
        <f>IF(OR($H978="",$I978=""),0,$H978*$I978)</f>
      </c>
      <c r="L978" s="18">
        <f>$K978*$J978</f>
      </c>
      <c r="M978" s="18">
        <f>$K978+$L978</f>
      </c>
      <c r="N978" s="20"/>
      <c r="O978" s="20"/>
      <c r="P978" s="20"/>
    </row>
    <row r="979" spans="2:16" x14ac:dyDescent="0.25">
      <c r="B979" s="15"/>
      <c r="C979" s="8"/>
      <c r="D979" s="8"/>
      <c r="E979" s="16">
        <f>IFERROR(IF($D979="","",VLOOKUP($D979,'Cari Kartlar'!$B$5:$C$204,2,FALSE)),"— tanımsız cari —")</f>
      </c>
      <c r="F979" s="8"/>
      <c r="G979" s="16">
        <f>IFERROR(IF($F979="","",VLOOKUP($F979,'Ürün Kartlar'!$B$5:$C$204,2,FALSE)),"— tanımsız ürün —")</f>
      </c>
      <c r="H979" s="17"/>
      <c r="I979" s="13">
        <f>IFERROR(IF($F979="","",IF($C979="Alış",VLOOKUP($F979,'Ürün Kartlar'!$B$5:$E$204,4,FALSE),VLOOKUP($F979,'Ürün Kartlar'!$B$5:$F$204,5,FALSE))),"")</f>
      </c>
      <c r="J979" s="11">
        <f>IFERROR(IF($F979="",Ayarlar!$C$9,VLOOKUP($F979,'Ürün Kartlar'!$B$5:$G$204,6,FALSE)),Ayarlar!$C$9)</f>
      </c>
      <c r="K979" s="18">
        <f>IF(OR($H979="",$I979=""),0,$H979*$I979)</f>
      </c>
      <c r="L979" s="18">
        <f>$K979*$J979</f>
      </c>
      <c r="M979" s="18">
        <f>$K979+$L979</f>
      </c>
      <c r="N979" s="8"/>
      <c r="O979" s="8"/>
      <c r="P979" s="8"/>
    </row>
    <row r="980" spans="2:16" x14ac:dyDescent="0.25">
      <c r="B980" s="19"/>
      <c r="C980" s="20"/>
      <c r="D980" s="20"/>
      <c r="E980" s="16">
        <f>IFERROR(IF($D980="","",VLOOKUP($D980,'Cari Kartlar'!$B$5:$C$204,2,FALSE)),"— tanımsız cari —")</f>
      </c>
      <c r="F980" s="20"/>
      <c r="G980" s="16">
        <f>IFERROR(IF($F980="","",VLOOKUP($F980,'Ürün Kartlar'!$B$5:$C$204,2,FALSE)),"— tanımsız ürün —")</f>
      </c>
      <c r="H980" s="21"/>
      <c r="I980" s="22">
        <f>IFERROR(IF($F980="","",IF($C980="Alış",VLOOKUP($F980,'Ürün Kartlar'!$B$5:$E$204,4,FALSE),VLOOKUP($F980,'Ürün Kartlar'!$B$5:$F$204,5,FALSE))),"")</f>
      </c>
      <c r="J980" s="23">
        <f>IFERROR(IF($F980="",Ayarlar!$C$9,VLOOKUP($F980,'Ürün Kartlar'!$B$5:$G$204,6,FALSE)),Ayarlar!$C$9)</f>
      </c>
      <c r="K980" s="18">
        <f>IF(OR($H980="",$I980=""),0,$H980*$I980)</f>
      </c>
      <c r="L980" s="18">
        <f>$K980*$J980</f>
      </c>
      <c r="M980" s="18">
        <f>$K980+$L980</f>
      </c>
      <c r="N980" s="20"/>
      <c r="O980" s="20"/>
      <c r="P980" s="20"/>
    </row>
    <row r="981" spans="2:16" x14ac:dyDescent="0.25">
      <c r="B981" s="15"/>
      <c r="C981" s="8"/>
      <c r="D981" s="8"/>
      <c r="E981" s="16">
        <f>IFERROR(IF($D981="","",VLOOKUP($D981,'Cari Kartlar'!$B$5:$C$204,2,FALSE)),"— tanımsız cari —")</f>
      </c>
      <c r="F981" s="8"/>
      <c r="G981" s="16">
        <f>IFERROR(IF($F981="","",VLOOKUP($F981,'Ürün Kartlar'!$B$5:$C$204,2,FALSE)),"— tanımsız ürün —")</f>
      </c>
      <c r="H981" s="17"/>
      <c r="I981" s="13">
        <f>IFERROR(IF($F981="","",IF($C981="Alış",VLOOKUP($F981,'Ürün Kartlar'!$B$5:$E$204,4,FALSE),VLOOKUP($F981,'Ürün Kartlar'!$B$5:$F$204,5,FALSE))),"")</f>
      </c>
      <c r="J981" s="11">
        <f>IFERROR(IF($F981="",Ayarlar!$C$9,VLOOKUP($F981,'Ürün Kartlar'!$B$5:$G$204,6,FALSE)),Ayarlar!$C$9)</f>
      </c>
      <c r="K981" s="18">
        <f>IF(OR($H981="",$I981=""),0,$H981*$I981)</f>
      </c>
      <c r="L981" s="18">
        <f>$K981*$J981</f>
      </c>
      <c r="M981" s="18">
        <f>$K981+$L981</f>
      </c>
      <c r="N981" s="8"/>
      <c r="O981" s="8"/>
      <c r="P981" s="8"/>
    </row>
    <row r="982" spans="2:16" x14ac:dyDescent="0.25">
      <c r="B982" s="19"/>
      <c r="C982" s="20"/>
      <c r="D982" s="20"/>
      <c r="E982" s="16">
        <f>IFERROR(IF($D982="","",VLOOKUP($D982,'Cari Kartlar'!$B$5:$C$204,2,FALSE)),"— tanımsız cari —")</f>
      </c>
      <c r="F982" s="20"/>
      <c r="G982" s="16">
        <f>IFERROR(IF($F982="","",VLOOKUP($F982,'Ürün Kartlar'!$B$5:$C$204,2,FALSE)),"— tanımsız ürün —")</f>
      </c>
      <c r="H982" s="21"/>
      <c r="I982" s="22">
        <f>IFERROR(IF($F982="","",IF($C982="Alış",VLOOKUP($F982,'Ürün Kartlar'!$B$5:$E$204,4,FALSE),VLOOKUP($F982,'Ürün Kartlar'!$B$5:$F$204,5,FALSE))),"")</f>
      </c>
      <c r="J982" s="23">
        <f>IFERROR(IF($F982="",Ayarlar!$C$9,VLOOKUP($F982,'Ürün Kartlar'!$B$5:$G$204,6,FALSE)),Ayarlar!$C$9)</f>
      </c>
      <c r="K982" s="18">
        <f>IF(OR($H982="",$I982=""),0,$H982*$I982)</f>
      </c>
      <c r="L982" s="18">
        <f>$K982*$J982</f>
      </c>
      <c r="M982" s="18">
        <f>$K982+$L982</f>
      </c>
      <c r="N982" s="20"/>
      <c r="O982" s="20"/>
      <c r="P982" s="20"/>
    </row>
    <row r="983" spans="2:16" x14ac:dyDescent="0.25">
      <c r="B983" s="15"/>
      <c r="C983" s="8"/>
      <c r="D983" s="8"/>
      <c r="E983" s="16">
        <f>IFERROR(IF($D983="","",VLOOKUP($D983,'Cari Kartlar'!$B$5:$C$204,2,FALSE)),"— tanımsız cari —")</f>
      </c>
      <c r="F983" s="8"/>
      <c r="G983" s="16">
        <f>IFERROR(IF($F983="","",VLOOKUP($F983,'Ürün Kartlar'!$B$5:$C$204,2,FALSE)),"— tanımsız ürün —")</f>
      </c>
      <c r="H983" s="17"/>
      <c r="I983" s="13">
        <f>IFERROR(IF($F983="","",IF($C983="Alış",VLOOKUP($F983,'Ürün Kartlar'!$B$5:$E$204,4,FALSE),VLOOKUP($F983,'Ürün Kartlar'!$B$5:$F$204,5,FALSE))),"")</f>
      </c>
      <c r="J983" s="11">
        <f>IFERROR(IF($F983="",Ayarlar!$C$9,VLOOKUP($F983,'Ürün Kartlar'!$B$5:$G$204,6,FALSE)),Ayarlar!$C$9)</f>
      </c>
      <c r="K983" s="18">
        <f>IF(OR($H983="",$I983=""),0,$H983*$I983)</f>
      </c>
      <c r="L983" s="18">
        <f>$K983*$J983</f>
      </c>
      <c r="M983" s="18">
        <f>$K983+$L983</f>
      </c>
      <c r="N983" s="8"/>
      <c r="O983" s="8"/>
      <c r="P983" s="8"/>
    </row>
    <row r="984" spans="2:16" x14ac:dyDescent="0.25">
      <c r="B984" s="19"/>
      <c r="C984" s="20"/>
      <c r="D984" s="20"/>
      <c r="E984" s="16">
        <f>IFERROR(IF($D984="","",VLOOKUP($D984,'Cari Kartlar'!$B$5:$C$204,2,FALSE)),"— tanımsız cari —")</f>
      </c>
      <c r="F984" s="20"/>
      <c r="G984" s="16">
        <f>IFERROR(IF($F984="","",VLOOKUP($F984,'Ürün Kartlar'!$B$5:$C$204,2,FALSE)),"— tanımsız ürün —")</f>
      </c>
      <c r="H984" s="21"/>
      <c r="I984" s="22">
        <f>IFERROR(IF($F984="","",IF($C984="Alış",VLOOKUP($F984,'Ürün Kartlar'!$B$5:$E$204,4,FALSE),VLOOKUP($F984,'Ürün Kartlar'!$B$5:$F$204,5,FALSE))),"")</f>
      </c>
      <c r="J984" s="23">
        <f>IFERROR(IF($F984="",Ayarlar!$C$9,VLOOKUP($F984,'Ürün Kartlar'!$B$5:$G$204,6,FALSE)),Ayarlar!$C$9)</f>
      </c>
      <c r="K984" s="18">
        <f>IF(OR($H984="",$I984=""),0,$H984*$I984)</f>
      </c>
      <c r="L984" s="18">
        <f>$K984*$J984</f>
      </c>
      <c r="M984" s="18">
        <f>$K984+$L984</f>
      </c>
      <c r="N984" s="20"/>
      <c r="O984" s="20"/>
      <c r="P984" s="20"/>
    </row>
    <row r="985" spans="2:16" x14ac:dyDescent="0.25">
      <c r="B985" s="15"/>
      <c r="C985" s="8"/>
      <c r="D985" s="8"/>
      <c r="E985" s="16">
        <f>IFERROR(IF($D985="","",VLOOKUP($D985,'Cari Kartlar'!$B$5:$C$204,2,FALSE)),"— tanımsız cari —")</f>
      </c>
      <c r="F985" s="8"/>
      <c r="G985" s="16">
        <f>IFERROR(IF($F985="","",VLOOKUP($F985,'Ürün Kartlar'!$B$5:$C$204,2,FALSE)),"— tanımsız ürün —")</f>
      </c>
      <c r="H985" s="17"/>
      <c r="I985" s="13">
        <f>IFERROR(IF($F985="","",IF($C985="Alış",VLOOKUP($F985,'Ürün Kartlar'!$B$5:$E$204,4,FALSE),VLOOKUP($F985,'Ürün Kartlar'!$B$5:$F$204,5,FALSE))),"")</f>
      </c>
      <c r="J985" s="11">
        <f>IFERROR(IF($F985="",Ayarlar!$C$9,VLOOKUP($F985,'Ürün Kartlar'!$B$5:$G$204,6,FALSE)),Ayarlar!$C$9)</f>
      </c>
      <c r="K985" s="18">
        <f>IF(OR($H985="",$I985=""),0,$H985*$I985)</f>
      </c>
      <c r="L985" s="18">
        <f>$K985*$J985</f>
      </c>
      <c r="M985" s="18">
        <f>$K985+$L985</f>
      </c>
      <c r="N985" s="8"/>
      <c r="O985" s="8"/>
      <c r="P985" s="8"/>
    </row>
    <row r="986" spans="2:16" x14ac:dyDescent="0.25">
      <c r="B986" s="19"/>
      <c r="C986" s="20"/>
      <c r="D986" s="20"/>
      <c r="E986" s="16">
        <f>IFERROR(IF($D986="","",VLOOKUP($D986,'Cari Kartlar'!$B$5:$C$204,2,FALSE)),"— tanımsız cari —")</f>
      </c>
      <c r="F986" s="20"/>
      <c r="G986" s="16">
        <f>IFERROR(IF($F986="","",VLOOKUP($F986,'Ürün Kartlar'!$B$5:$C$204,2,FALSE)),"— tanımsız ürün —")</f>
      </c>
      <c r="H986" s="21"/>
      <c r="I986" s="22">
        <f>IFERROR(IF($F986="","",IF($C986="Alış",VLOOKUP($F986,'Ürün Kartlar'!$B$5:$E$204,4,FALSE),VLOOKUP($F986,'Ürün Kartlar'!$B$5:$F$204,5,FALSE))),"")</f>
      </c>
      <c r="J986" s="23">
        <f>IFERROR(IF($F986="",Ayarlar!$C$9,VLOOKUP($F986,'Ürün Kartlar'!$B$5:$G$204,6,FALSE)),Ayarlar!$C$9)</f>
      </c>
      <c r="K986" s="18">
        <f>IF(OR($H986="",$I986=""),0,$H986*$I986)</f>
      </c>
      <c r="L986" s="18">
        <f>$K986*$J986</f>
      </c>
      <c r="M986" s="18">
        <f>$K986+$L986</f>
      </c>
      <c r="N986" s="20"/>
      <c r="O986" s="20"/>
      <c r="P986" s="20"/>
    </row>
    <row r="987" spans="2:16" x14ac:dyDescent="0.25">
      <c r="B987" s="15"/>
      <c r="C987" s="8"/>
      <c r="D987" s="8"/>
      <c r="E987" s="16">
        <f>IFERROR(IF($D987="","",VLOOKUP($D987,'Cari Kartlar'!$B$5:$C$204,2,FALSE)),"— tanımsız cari —")</f>
      </c>
      <c r="F987" s="8"/>
      <c r="G987" s="16">
        <f>IFERROR(IF($F987="","",VLOOKUP($F987,'Ürün Kartlar'!$B$5:$C$204,2,FALSE)),"— tanımsız ürün —")</f>
      </c>
      <c r="H987" s="17"/>
      <c r="I987" s="13">
        <f>IFERROR(IF($F987="","",IF($C987="Alış",VLOOKUP($F987,'Ürün Kartlar'!$B$5:$E$204,4,FALSE),VLOOKUP($F987,'Ürün Kartlar'!$B$5:$F$204,5,FALSE))),"")</f>
      </c>
      <c r="J987" s="11">
        <f>IFERROR(IF($F987="",Ayarlar!$C$9,VLOOKUP($F987,'Ürün Kartlar'!$B$5:$G$204,6,FALSE)),Ayarlar!$C$9)</f>
      </c>
      <c r="K987" s="18">
        <f>IF(OR($H987="",$I987=""),0,$H987*$I987)</f>
      </c>
      <c r="L987" s="18">
        <f>$K987*$J987</f>
      </c>
      <c r="M987" s="18">
        <f>$K987+$L987</f>
      </c>
      <c r="N987" s="8"/>
      <c r="O987" s="8"/>
      <c r="P987" s="8"/>
    </row>
    <row r="988" spans="2:16" x14ac:dyDescent="0.25">
      <c r="B988" s="19"/>
      <c r="C988" s="20"/>
      <c r="D988" s="20"/>
      <c r="E988" s="16">
        <f>IFERROR(IF($D988="","",VLOOKUP($D988,'Cari Kartlar'!$B$5:$C$204,2,FALSE)),"— tanımsız cari —")</f>
      </c>
      <c r="F988" s="20"/>
      <c r="G988" s="16">
        <f>IFERROR(IF($F988="","",VLOOKUP($F988,'Ürün Kartlar'!$B$5:$C$204,2,FALSE)),"— tanımsız ürün —")</f>
      </c>
      <c r="H988" s="21"/>
      <c r="I988" s="22">
        <f>IFERROR(IF($F988="","",IF($C988="Alış",VLOOKUP($F988,'Ürün Kartlar'!$B$5:$E$204,4,FALSE),VLOOKUP($F988,'Ürün Kartlar'!$B$5:$F$204,5,FALSE))),"")</f>
      </c>
      <c r="J988" s="23">
        <f>IFERROR(IF($F988="",Ayarlar!$C$9,VLOOKUP($F988,'Ürün Kartlar'!$B$5:$G$204,6,FALSE)),Ayarlar!$C$9)</f>
      </c>
      <c r="K988" s="18">
        <f>IF(OR($H988="",$I988=""),0,$H988*$I988)</f>
      </c>
      <c r="L988" s="18">
        <f>$K988*$J988</f>
      </c>
      <c r="M988" s="18">
        <f>$K988+$L988</f>
      </c>
      <c r="N988" s="20"/>
      <c r="O988" s="20"/>
      <c r="P988" s="20"/>
    </row>
    <row r="989" spans="2:16" x14ac:dyDescent="0.25">
      <c r="B989" s="15"/>
      <c r="C989" s="8"/>
      <c r="D989" s="8"/>
      <c r="E989" s="16">
        <f>IFERROR(IF($D989="","",VLOOKUP($D989,'Cari Kartlar'!$B$5:$C$204,2,FALSE)),"— tanımsız cari —")</f>
      </c>
      <c r="F989" s="8"/>
      <c r="G989" s="16">
        <f>IFERROR(IF($F989="","",VLOOKUP($F989,'Ürün Kartlar'!$B$5:$C$204,2,FALSE)),"— tanımsız ürün —")</f>
      </c>
      <c r="H989" s="17"/>
      <c r="I989" s="13">
        <f>IFERROR(IF($F989="","",IF($C989="Alış",VLOOKUP($F989,'Ürün Kartlar'!$B$5:$E$204,4,FALSE),VLOOKUP($F989,'Ürün Kartlar'!$B$5:$F$204,5,FALSE))),"")</f>
      </c>
      <c r="J989" s="11">
        <f>IFERROR(IF($F989="",Ayarlar!$C$9,VLOOKUP($F989,'Ürün Kartlar'!$B$5:$G$204,6,FALSE)),Ayarlar!$C$9)</f>
      </c>
      <c r="K989" s="18">
        <f>IF(OR($H989="",$I989=""),0,$H989*$I989)</f>
      </c>
      <c r="L989" s="18">
        <f>$K989*$J989</f>
      </c>
      <c r="M989" s="18">
        <f>$K989+$L989</f>
      </c>
      <c r="N989" s="8"/>
      <c r="O989" s="8"/>
      <c r="P989" s="8"/>
    </row>
    <row r="990" spans="2:16" x14ac:dyDescent="0.25">
      <c r="B990" s="19"/>
      <c r="C990" s="20"/>
      <c r="D990" s="20"/>
      <c r="E990" s="16">
        <f>IFERROR(IF($D990="","",VLOOKUP($D990,'Cari Kartlar'!$B$5:$C$204,2,FALSE)),"— tanımsız cari —")</f>
      </c>
      <c r="F990" s="20"/>
      <c r="G990" s="16">
        <f>IFERROR(IF($F990="","",VLOOKUP($F990,'Ürün Kartlar'!$B$5:$C$204,2,FALSE)),"— tanımsız ürün —")</f>
      </c>
      <c r="H990" s="21"/>
      <c r="I990" s="22">
        <f>IFERROR(IF($F990="","",IF($C990="Alış",VLOOKUP($F990,'Ürün Kartlar'!$B$5:$E$204,4,FALSE),VLOOKUP($F990,'Ürün Kartlar'!$B$5:$F$204,5,FALSE))),"")</f>
      </c>
      <c r="J990" s="23">
        <f>IFERROR(IF($F990="",Ayarlar!$C$9,VLOOKUP($F990,'Ürün Kartlar'!$B$5:$G$204,6,FALSE)),Ayarlar!$C$9)</f>
      </c>
      <c r="K990" s="18">
        <f>IF(OR($H990="",$I990=""),0,$H990*$I990)</f>
      </c>
      <c r="L990" s="18">
        <f>$K990*$J990</f>
      </c>
      <c r="M990" s="18">
        <f>$K990+$L990</f>
      </c>
      <c r="N990" s="20"/>
      <c r="O990" s="20"/>
      <c r="P990" s="20"/>
    </row>
    <row r="991" spans="2:16" x14ac:dyDescent="0.25">
      <c r="B991" s="15"/>
      <c r="C991" s="8"/>
      <c r="D991" s="8"/>
      <c r="E991" s="16">
        <f>IFERROR(IF($D991="","",VLOOKUP($D991,'Cari Kartlar'!$B$5:$C$204,2,FALSE)),"— tanımsız cari —")</f>
      </c>
      <c r="F991" s="8"/>
      <c r="G991" s="16">
        <f>IFERROR(IF($F991="","",VLOOKUP($F991,'Ürün Kartlar'!$B$5:$C$204,2,FALSE)),"— tanımsız ürün —")</f>
      </c>
      <c r="H991" s="17"/>
      <c r="I991" s="13">
        <f>IFERROR(IF($F991="","",IF($C991="Alış",VLOOKUP($F991,'Ürün Kartlar'!$B$5:$E$204,4,FALSE),VLOOKUP($F991,'Ürün Kartlar'!$B$5:$F$204,5,FALSE))),"")</f>
      </c>
      <c r="J991" s="11">
        <f>IFERROR(IF($F991="",Ayarlar!$C$9,VLOOKUP($F991,'Ürün Kartlar'!$B$5:$G$204,6,FALSE)),Ayarlar!$C$9)</f>
      </c>
      <c r="K991" s="18">
        <f>IF(OR($H991="",$I991=""),0,$H991*$I991)</f>
      </c>
      <c r="L991" s="18">
        <f>$K991*$J991</f>
      </c>
      <c r="M991" s="18">
        <f>$K991+$L991</f>
      </c>
      <c r="N991" s="8"/>
      <c r="O991" s="8"/>
      <c r="P991" s="8"/>
    </row>
    <row r="992" spans="2:16" x14ac:dyDescent="0.25">
      <c r="B992" s="19"/>
      <c r="C992" s="20"/>
      <c r="D992" s="20"/>
      <c r="E992" s="16">
        <f>IFERROR(IF($D992="","",VLOOKUP($D992,'Cari Kartlar'!$B$5:$C$204,2,FALSE)),"— tanımsız cari —")</f>
      </c>
      <c r="F992" s="20"/>
      <c r="G992" s="16">
        <f>IFERROR(IF($F992="","",VLOOKUP($F992,'Ürün Kartlar'!$B$5:$C$204,2,FALSE)),"— tanımsız ürün —")</f>
      </c>
      <c r="H992" s="21"/>
      <c r="I992" s="22">
        <f>IFERROR(IF($F992="","",IF($C992="Alış",VLOOKUP($F992,'Ürün Kartlar'!$B$5:$E$204,4,FALSE),VLOOKUP($F992,'Ürün Kartlar'!$B$5:$F$204,5,FALSE))),"")</f>
      </c>
      <c r="J992" s="23">
        <f>IFERROR(IF($F992="",Ayarlar!$C$9,VLOOKUP($F992,'Ürün Kartlar'!$B$5:$G$204,6,FALSE)),Ayarlar!$C$9)</f>
      </c>
      <c r="K992" s="18">
        <f>IF(OR($H992="",$I992=""),0,$H992*$I992)</f>
      </c>
      <c r="L992" s="18">
        <f>$K992*$J992</f>
      </c>
      <c r="M992" s="18">
        <f>$K992+$L992</f>
      </c>
      <c r="N992" s="20"/>
      <c r="O992" s="20"/>
      <c r="P992" s="20"/>
    </row>
    <row r="993" spans="2:16" x14ac:dyDescent="0.25">
      <c r="B993" s="15"/>
      <c r="C993" s="8"/>
      <c r="D993" s="8"/>
      <c r="E993" s="16">
        <f>IFERROR(IF($D993="","",VLOOKUP($D993,'Cari Kartlar'!$B$5:$C$204,2,FALSE)),"— tanımsız cari —")</f>
      </c>
      <c r="F993" s="8"/>
      <c r="G993" s="16">
        <f>IFERROR(IF($F993="","",VLOOKUP($F993,'Ürün Kartlar'!$B$5:$C$204,2,FALSE)),"— tanımsız ürün —")</f>
      </c>
      <c r="H993" s="17"/>
      <c r="I993" s="13">
        <f>IFERROR(IF($F993="","",IF($C993="Alış",VLOOKUP($F993,'Ürün Kartlar'!$B$5:$E$204,4,FALSE),VLOOKUP($F993,'Ürün Kartlar'!$B$5:$F$204,5,FALSE))),"")</f>
      </c>
      <c r="J993" s="11">
        <f>IFERROR(IF($F993="",Ayarlar!$C$9,VLOOKUP($F993,'Ürün Kartlar'!$B$5:$G$204,6,FALSE)),Ayarlar!$C$9)</f>
      </c>
      <c r="K993" s="18">
        <f>IF(OR($H993="",$I993=""),0,$H993*$I993)</f>
      </c>
      <c r="L993" s="18">
        <f>$K993*$J993</f>
      </c>
      <c r="M993" s="18">
        <f>$K993+$L993</f>
      </c>
      <c r="N993" s="8"/>
      <c r="O993" s="8"/>
      <c r="P993" s="8"/>
    </row>
    <row r="994" spans="2:16" x14ac:dyDescent="0.25">
      <c r="B994" s="19"/>
      <c r="C994" s="20"/>
      <c r="D994" s="20"/>
      <c r="E994" s="16">
        <f>IFERROR(IF($D994="","",VLOOKUP($D994,'Cari Kartlar'!$B$5:$C$204,2,FALSE)),"— tanımsız cari —")</f>
      </c>
      <c r="F994" s="20"/>
      <c r="G994" s="16">
        <f>IFERROR(IF($F994="","",VLOOKUP($F994,'Ürün Kartlar'!$B$5:$C$204,2,FALSE)),"— tanımsız ürün —")</f>
      </c>
      <c r="H994" s="21"/>
      <c r="I994" s="22">
        <f>IFERROR(IF($F994="","",IF($C994="Alış",VLOOKUP($F994,'Ürün Kartlar'!$B$5:$E$204,4,FALSE),VLOOKUP($F994,'Ürün Kartlar'!$B$5:$F$204,5,FALSE))),"")</f>
      </c>
      <c r="J994" s="23">
        <f>IFERROR(IF($F994="",Ayarlar!$C$9,VLOOKUP($F994,'Ürün Kartlar'!$B$5:$G$204,6,FALSE)),Ayarlar!$C$9)</f>
      </c>
      <c r="K994" s="18">
        <f>IF(OR($H994="",$I994=""),0,$H994*$I994)</f>
      </c>
      <c r="L994" s="18">
        <f>$K994*$J994</f>
      </c>
      <c r="M994" s="18">
        <f>$K994+$L994</f>
      </c>
      <c r="N994" s="20"/>
      <c r="O994" s="20"/>
      <c r="P994" s="20"/>
    </row>
    <row r="995" spans="2:16" x14ac:dyDescent="0.25">
      <c r="B995" s="15"/>
      <c r="C995" s="8"/>
      <c r="D995" s="8"/>
      <c r="E995" s="16">
        <f>IFERROR(IF($D995="","",VLOOKUP($D995,'Cari Kartlar'!$B$5:$C$204,2,FALSE)),"— tanımsız cari —")</f>
      </c>
      <c r="F995" s="8"/>
      <c r="G995" s="16">
        <f>IFERROR(IF($F995="","",VLOOKUP($F995,'Ürün Kartlar'!$B$5:$C$204,2,FALSE)),"— tanımsız ürün —")</f>
      </c>
      <c r="H995" s="17"/>
      <c r="I995" s="13">
        <f>IFERROR(IF($F995="","",IF($C995="Alış",VLOOKUP($F995,'Ürün Kartlar'!$B$5:$E$204,4,FALSE),VLOOKUP($F995,'Ürün Kartlar'!$B$5:$F$204,5,FALSE))),"")</f>
      </c>
      <c r="J995" s="11">
        <f>IFERROR(IF($F995="",Ayarlar!$C$9,VLOOKUP($F995,'Ürün Kartlar'!$B$5:$G$204,6,FALSE)),Ayarlar!$C$9)</f>
      </c>
      <c r="K995" s="18">
        <f>IF(OR($H995="",$I995=""),0,$H995*$I995)</f>
      </c>
      <c r="L995" s="18">
        <f>$K995*$J995</f>
      </c>
      <c r="M995" s="18">
        <f>$K995+$L995</f>
      </c>
      <c r="N995" s="8"/>
      <c r="O995" s="8"/>
      <c r="P995" s="8"/>
    </row>
    <row r="996" spans="2:16" x14ac:dyDescent="0.25">
      <c r="B996" s="19"/>
      <c r="C996" s="20"/>
      <c r="D996" s="20"/>
      <c r="E996" s="16">
        <f>IFERROR(IF($D996="","",VLOOKUP($D996,'Cari Kartlar'!$B$5:$C$204,2,FALSE)),"— tanımsız cari —")</f>
      </c>
      <c r="F996" s="20"/>
      <c r="G996" s="16">
        <f>IFERROR(IF($F996="","",VLOOKUP($F996,'Ürün Kartlar'!$B$5:$C$204,2,FALSE)),"— tanımsız ürün —")</f>
      </c>
      <c r="H996" s="21"/>
      <c r="I996" s="22">
        <f>IFERROR(IF($F996="","",IF($C996="Alış",VLOOKUP($F996,'Ürün Kartlar'!$B$5:$E$204,4,FALSE),VLOOKUP($F996,'Ürün Kartlar'!$B$5:$F$204,5,FALSE))),"")</f>
      </c>
      <c r="J996" s="23">
        <f>IFERROR(IF($F996="",Ayarlar!$C$9,VLOOKUP($F996,'Ürün Kartlar'!$B$5:$G$204,6,FALSE)),Ayarlar!$C$9)</f>
      </c>
      <c r="K996" s="18">
        <f>IF(OR($H996="",$I996=""),0,$H996*$I996)</f>
      </c>
      <c r="L996" s="18">
        <f>$K996*$J996</f>
      </c>
      <c r="M996" s="18">
        <f>$K996+$L996</f>
      </c>
      <c r="N996" s="20"/>
      <c r="O996" s="20"/>
      <c r="P996" s="20"/>
    </row>
    <row r="997" spans="2:16" x14ac:dyDescent="0.25">
      <c r="B997" s="15"/>
      <c r="C997" s="8"/>
      <c r="D997" s="8"/>
      <c r="E997" s="16">
        <f>IFERROR(IF($D997="","",VLOOKUP($D997,'Cari Kartlar'!$B$5:$C$204,2,FALSE)),"— tanımsız cari —")</f>
      </c>
      <c r="F997" s="8"/>
      <c r="G997" s="16">
        <f>IFERROR(IF($F997="","",VLOOKUP($F997,'Ürün Kartlar'!$B$5:$C$204,2,FALSE)),"— tanımsız ürün —")</f>
      </c>
      <c r="H997" s="17"/>
      <c r="I997" s="13">
        <f>IFERROR(IF($F997="","",IF($C997="Alış",VLOOKUP($F997,'Ürün Kartlar'!$B$5:$E$204,4,FALSE),VLOOKUP($F997,'Ürün Kartlar'!$B$5:$F$204,5,FALSE))),"")</f>
      </c>
      <c r="J997" s="11">
        <f>IFERROR(IF($F997="",Ayarlar!$C$9,VLOOKUP($F997,'Ürün Kartlar'!$B$5:$G$204,6,FALSE)),Ayarlar!$C$9)</f>
      </c>
      <c r="K997" s="18">
        <f>IF(OR($H997="",$I997=""),0,$H997*$I997)</f>
      </c>
      <c r="L997" s="18">
        <f>$K997*$J997</f>
      </c>
      <c r="M997" s="18">
        <f>$K997+$L997</f>
      </c>
      <c r="N997" s="8"/>
      <c r="O997" s="8"/>
      <c r="P997" s="8"/>
    </row>
    <row r="998" spans="2:16" x14ac:dyDescent="0.25">
      <c r="B998" s="19"/>
      <c r="C998" s="20"/>
      <c r="D998" s="20"/>
      <c r="E998" s="16">
        <f>IFERROR(IF($D998="","",VLOOKUP($D998,'Cari Kartlar'!$B$5:$C$204,2,FALSE)),"— tanımsız cari —")</f>
      </c>
      <c r="F998" s="20"/>
      <c r="G998" s="16">
        <f>IFERROR(IF($F998="","",VLOOKUP($F998,'Ürün Kartlar'!$B$5:$C$204,2,FALSE)),"— tanımsız ürün —")</f>
      </c>
      <c r="H998" s="21"/>
      <c r="I998" s="22">
        <f>IFERROR(IF($F998="","",IF($C998="Alış",VLOOKUP($F998,'Ürün Kartlar'!$B$5:$E$204,4,FALSE),VLOOKUP($F998,'Ürün Kartlar'!$B$5:$F$204,5,FALSE))),"")</f>
      </c>
      <c r="J998" s="23">
        <f>IFERROR(IF($F998="",Ayarlar!$C$9,VLOOKUP($F998,'Ürün Kartlar'!$B$5:$G$204,6,FALSE)),Ayarlar!$C$9)</f>
      </c>
      <c r="K998" s="18">
        <f>IF(OR($H998="",$I998=""),0,$H998*$I998)</f>
      </c>
      <c r="L998" s="18">
        <f>$K998*$J998</f>
      </c>
      <c r="M998" s="18">
        <f>$K998+$L998</f>
      </c>
      <c r="N998" s="20"/>
      <c r="O998" s="20"/>
      <c r="P998" s="20"/>
    </row>
    <row r="999" spans="2:16" x14ac:dyDescent="0.25">
      <c r="B999" s="15"/>
      <c r="C999" s="8"/>
      <c r="D999" s="8"/>
      <c r="E999" s="16">
        <f>IFERROR(IF($D999="","",VLOOKUP($D999,'Cari Kartlar'!$B$5:$C$204,2,FALSE)),"— tanımsız cari —")</f>
      </c>
      <c r="F999" s="8"/>
      <c r="G999" s="16">
        <f>IFERROR(IF($F999="","",VLOOKUP($F999,'Ürün Kartlar'!$B$5:$C$204,2,FALSE)),"— tanımsız ürün —")</f>
      </c>
      <c r="H999" s="17"/>
      <c r="I999" s="13">
        <f>IFERROR(IF($F999="","",IF($C999="Alış",VLOOKUP($F999,'Ürün Kartlar'!$B$5:$E$204,4,FALSE),VLOOKUP($F999,'Ürün Kartlar'!$B$5:$F$204,5,FALSE))),"")</f>
      </c>
      <c r="J999" s="11">
        <f>IFERROR(IF($F999="",Ayarlar!$C$9,VLOOKUP($F999,'Ürün Kartlar'!$B$5:$G$204,6,FALSE)),Ayarlar!$C$9)</f>
      </c>
      <c r="K999" s="18">
        <f>IF(OR($H999="",$I999=""),0,$H999*$I999)</f>
      </c>
      <c r="L999" s="18">
        <f>$K999*$J999</f>
      </c>
      <c r="M999" s="18">
        <f>$K999+$L999</f>
      </c>
      <c r="N999" s="8"/>
      <c r="O999" s="8"/>
      <c r="P999" s="8"/>
    </row>
    <row r="1000" spans="2:16" x14ac:dyDescent="0.25">
      <c r="B1000" s="19"/>
      <c r="C1000" s="20"/>
      <c r="D1000" s="20"/>
      <c r="E1000" s="16">
        <f>IFERROR(IF($D1000="","",VLOOKUP($D1000,'Cari Kartlar'!$B$5:$C$204,2,FALSE)),"— tanımsız cari —")</f>
      </c>
      <c r="F1000" s="20"/>
      <c r="G1000" s="16">
        <f>IFERROR(IF($F1000="","",VLOOKUP($F1000,'Ürün Kartlar'!$B$5:$C$204,2,FALSE)),"— tanımsız ürün —")</f>
      </c>
      <c r="H1000" s="21"/>
      <c r="I1000" s="22">
        <f>IFERROR(IF($F1000="","",IF($C1000="Alış",VLOOKUP($F1000,'Ürün Kartlar'!$B$5:$E$204,4,FALSE),VLOOKUP($F1000,'Ürün Kartlar'!$B$5:$F$204,5,FALSE))),"")</f>
      </c>
      <c r="J1000" s="23">
        <f>IFERROR(IF($F1000="",Ayarlar!$C$9,VLOOKUP($F1000,'Ürün Kartlar'!$B$5:$G$204,6,FALSE)),Ayarlar!$C$9)</f>
      </c>
      <c r="K1000" s="18">
        <f>IF(OR($H1000="",$I1000=""),0,$H1000*$I1000)</f>
      </c>
      <c r="L1000" s="18">
        <f>$K1000*$J1000</f>
      </c>
      <c r="M1000" s="18">
        <f>$K1000+$L1000</f>
      </c>
      <c r="N1000" s="20"/>
      <c r="O1000" s="20"/>
      <c r="P1000" s="20"/>
    </row>
    <row r="1001" spans="2:16" x14ac:dyDescent="0.25">
      <c r="B1001" s="15"/>
      <c r="C1001" s="8"/>
      <c r="D1001" s="8"/>
      <c r="E1001" s="16">
        <f>IFERROR(IF($D1001="","",VLOOKUP($D1001,'Cari Kartlar'!$B$5:$C$204,2,FALSE)),"— tanımsız cari —")</f>
      </c>
      <c r="F1001" s="8"/>
      <c r="G1001" s="16">
        <f>IFERROR(IF($F1001="","",VLOOKUP($F1001,'Ürün Kartlar'!$B$5:$C$204,2,FALSE)),"— tanımsız ürün —")</f>
      </c>
      <c r="H1001" s="17"/>
      <c r="I1001" s="13">
        <f>IFERROR(IF($F1001="","",IF($C1001="Alış",VLOOKUP($F1001,'Ürün Kartlar'!$B$5:$E$204,4,FALSE),VLOOKUP($F1001,'Ürün Kartlar'!$B$5:$F$204,5,FALSE))),"")</f>
      </c>
      <c r="J1001" s="11">
        <f>IFERROR(IF($F1001="",Ayarlar!$C$9,VLOOKUP($F1001,'Ürün Kartlar'!$B$5:$G$204,6,FALSE)),Ayarlar!$C$9)</f>
      </c>
      <c r="K1001" s="18">
        <f>IF(OR($H1001="",$I1001=""),0,$H1001*$I1001)</f>
      </c>
      <c r="L1001" s="18">
        <f>$K1001*$J1001</f>
      </c>
      <c r="M1001" s="18">
        <f>$K1001+$L1001</f>
      </c>
      <c r="N1001" s="8"/>
      <c r="O1001" s="8"/>
      <c r="P1001" s="8"/>
    </row>
    <row r="1002" spans="2:16" x14ac:dyDescent="0.25">
      <c r="B1002" s="19"/>
      <c r="C1002" s="20"/>
      <c r="D1002" s="20"/>
      <c r="E1002" s="16">
        <f>IFERROR(IF($D1002="","",VLOOKUP($D1002,'Cari Kartlar'!$B$5:$C$204,2,FALSE)),"— tanımsız cari —")</f>
      </c>
      <c r="F1002" s="20"/>
      <c r="G1002" s="16">
        <f>IFERROR(IF($F1002="","",VLOOKUP($F1002,'Ürün Kartlar'!$B$5:$C$204,2,FALSE)),"— tanımsız ürün —")</f>
      </c>
      <c r="H1002" s="21"/>
      <c r="I1002" s="22">
        <f>IFERROR(IF($F1002="","",IF($C1002="Alış",VLOOKUP($F1002,'Ürün Kartlar'!$B$5:$E$204,4,FALSE),VLOOKUP($F1002,'Ürün Kartlar'!$B$5:$F$204,5,FALSE))),"")</f>
      </c>
      <c r="J1002" s="23">
        <f>IFERROR(IF($F1002="",Ayarlar!$C$9,VLOOKUP($F1002,'Ürün Kartlar'!$B$5:$G$204,6,FALSE)),Ayarlar!$C$9)</f>
      </c>
      <c r="K1002" s="18">
        <f>IF(OR($H1002="",$I1002=""),0,$H1002*$I1002)</f>
      </c>
      <c r="L1002" s="18">
        <f>$K1002*$J1002</f>
      </c>
      <c r="M1002" s="18">
        <f>$K1002+$L1002</f>
      </c>
      <c r="N1002" s="20"/>
      <c r="O1002" s="20"/>
      <c r="P1002" s="20"/>
    </row>
    <row r="1003" spans="2:16" x14ac:dyDescent="0.25">
      <c r="B1003" s="15"/>
      <c r="C1003" s="8"/>
      <c r="D1003" s="8"/>
      <c r="E1003" s="16">
        <f>IFERROR(IF($D1003="","",VLOOKUP($D1003,'Cari Kartlar'!$B$5:$C$204,2,FALSE)),"— tanımsız cari —")</f>
      </c>
      <c r="F1003" s="8"/>
      <c r="G1003" s="16">
        <f>IFERROR(IF($F1003="","",VLOOKUP($F1003,'Ürün Kartlar'!$B$5:$C$204,2,FALSE)),"— tanımsız ürün —")</f>
      </c>
      <c r="H1003" s="17"/>
      <c r="I1003" s="13">
        <f>IFERROR(IF($F1003="","",IF($C1003="Alış",VLOOKUP($F1003,'Ürün Kartlar'!$B$5:$E$204,4,FALSE),VLOOKUP($F1003,'Ürün Kartlar'!$B$5:$F$204,5,FALSE))),"")</f>
      </c>
      <c r="J1003" s="11">
        <f>IFERROR(IF($F1003="",Ayarlar!$C$9,VLOOKUP($F1003,'Ürün Kartlar'!$B$5:$G$204,6,FALSE)),Ayarlar!$C$9)</f>
      </c>
      <c r="K1003" s="18">
        <f>IF(OR($H1003="",$I1003=""),0,$H1003*$I1003)</f>
      </c>
      <c r="L1003" s="18">
        <f>$K1003*$J1003</f>
      </c>
      <c r="M1003" s="18">
        <f>$K1003+$L1003</f>
      </c>
      <c r="N1003" s="8"/>
      <c r="O1003" s="8"/>
      <c r="P1003" s="8"/>
    </row>
    <row r="1004" spans="2:16" x14ac:dyDescent="0.25">
      <c r="B1004" s="19"/>
      <c r="C1004" s="20"/>
      <c r="D1004" s="20"/>
      <c r="E1004" s="16">
        <f>IFERROR(IF($D1004="","",VLOOKUP($D1004,'Cari Kartlar'!$B$5:$C$204,2,FALSE)),"— tanımsız cari —")</f>
      </c>
      <c r="F1004" s="20"/>
      <c r="G1004" s="16">
        <f>IFERROR(IF($F1004="","",VLOOKUP($F1004,'Ürün Kartlar'!$B$5:$C$204,2,FALSE)),"— tanımsız ürün —")</f>
      </c>
      <c r="H1004" s="21"/>
      <c r="I1004" s="22">
        <f>IFERROR(IF($F1004="","",IF($C1004="Alış",VLOOKUP($F1004,'Ürün Kartlar'!$B$5:$E$204,4,FALSE),VLOOKUP($F1004,'Ürün Kartlar'!$B$5:$F$204,5,FALSE))),"")</f>
      </c>
      <c r="J1004" s="23">
        <f>IFERROR(IF($F1004="",Ayarlar!$C$9,VLOOKUP($F1004,'Ürün Kartlar'!$B$5:$G$204,6,FALSE)),Ayarlar!$C$9)</f>
      </c>
      <c r="K1004" s="18">
        <f>IF(OR($H1004="",$I1004=""),0,$H1004*$I1004)</f>
      </c>
      <c r="L1004" s="18">
        <f>$K1004*$J1004</f>
      </c>
      <c r="M1004" s="18">
        <f>$K1004+$L1004</f>
      </c>
      <c r="N1004" s="20"/>
      <c r="O1004" s="20"/>
      <c r="P1004" s="20"/>
    </row>
  </sheetData>
  <autoFilter ref="B4:P4"/>
  <mergeCells count="2">
    <mergeCell ref="A1:P1"/>
    <mergeCell ref="A2:P2"/>
  </mergeCells>
  <dataValidations count="4">
    <dataValidation type="list" allowBlank="1" sqref="C5:C1004">
      <formula1>=HareketTipleri</formula1>
    </dataValidation>
    <dataValidation type="list" allowBlank="1" sqref="D5:D1004">
      <formula1>=CariKodlari</formula1>
    </dataValidation>
    <dataValidation type="list" allowBlank="1" sqref="F5:F1004">
      <formula1>=UrunKodlari</formula1>
    </dataValidation>
    <dataValidation type="list" allowBlank="1" sqref="N5:N1004">
      <formula1>=OdemeYontemleri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59E0B"/>
  </sheetPr>
  <dimension ref="A1:J204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3" customWidth="1"/>
    <col min="2" max="2" width="14" customWidth="1"/>
    <col min="3" max="3" width="34" customWidth="1"/>
    <col min="4" max="4" width="10" customWidth="1"/>
    <col min="5" max="8" width="14" customWidth="1"/>
    <col min="9" max="9" width="16" customWidth="1"/>
    <col min="10" max="10" width="20" customWidth="1"/>
  </cols>
  <sheetData>
    <row r="1" ht="34" customHeight="1" spans="1:10" x14ac:dyDescent="0.25">
      <c r="A1" s="1" t="s">
        <v>110</v>
      </c>
      <c r="B1" s="1"/>
      <c r="C1" s="1"/>
      <c r="D1" s="1"/>
      <c r="E1" s="1"/>
      <c r="F1" s="1"/>
      <c r="G1" s="1"/>
      <c r="H1" s="1"/>
      <c r="I1" s="1"/>
      <c r="J1" s="1"/>
    </row>
    <row r="2" ht="20" customHeight="1" spans="1:10" x14ac:dyDescent="0.25">
      <c r="A2" s="2" t="s">
        <v>111</v>
      </c>
      <c r="B2" s="2"/>
      <c r="C2" s="2"/>
      <c r="D2" s="2"/>
      <c r="E2" s="2"/>
      <c r="F2" s="2"/>
      <c r="G2" s="2"/>
      <c r="H2" s="2"/>
      <c r="I2" s="2"/>
      <c r="J2" s="2"/>
    </row>
    <row r="4" ht="30" customHeight="1" spans="1:10" x14ac:dyDescent="0.25">
      <c r="A4" s="9" t="s">
        <v>30</v>
      </c>
      <c r="B4" s="9" t="s">
        <v>76</v>
      </c>
      <c r="C4" s="9" t="s">
        <v>96</v>
      </c>
      <c r="D4" s="9" t="s">
        <v>78</v>
      </c>
      <c r="E4" s="9" t="s">
        <v>112</v>
      </c>
      <c r="F4" s="9" t="s">
        <v>113</v>
      </c>
      <c r="G4" s="9" t="s">
        <v>114</v>
      </c>
      <c r="H4" s="9" t="s">
        <v>115</v>
      </c>
      <c r="I4" s="9" t="s">
        <v>83</v>
      </c>
      <c r="J4" s="9" t="s">
        <v>28</v>
      </c>
    </row>
    <row r="5" spans="2:10" x14ac:dyDescent="0.25">
      <c r="B5" s="16">
        <f>IF('Ürün Kartlar'!B5="","",'Ürün Kartlar'!B5)</f>
      </c>
      <c r="C5" s="16">
        <f>IF('Ürün Kartlar'!C5="","",'Ürün Kartlar'!C5)</f>
      </c>
      <c r="D5" s="16">
        <f>IF('Ürün Kartlar'!D5="","",'Ürün Kartlar'!D5)</f>
      </c>
      <c r="E5" s="24">
        <f>IF('Ürün Kartlar'!H5="",0,'Ürün Kartlar'!H5)</f>
      </c>
      <c r="F5" s="24">
        <f>IF($B5="",0,SUMIFS('Hareketler'!$H$5:$H$1004,'Hareketler'!$F$5:$F$1004,$B5,'Hareketler'!$C$5:$C$1004,"Alış"))</f>
      </c>
      <c r="G5" s="24">
        <f>IF($B5="",0,SUMIFS('Hareketler'!$H$5:$H$1004,'Hareketler'!$F$5:$F$1004,$B5,'Hareketler'!$C$5:$C$1004,"Satış"))</f>
      </c>
      <c r="H5" s="25">
        <f>IF($B5="","",$E5+$F5-$G5)</f>
      </c>
      <c r="I5" s="24">
        <f>IF('Ürün Kartlar'!I5="",0,'Ürün Kartlar'!I5)</f>
      </c>
      <c r="J5" s="16">
        <f>IF($B5="","",IF($H5&lt;=0,"STOK YOK",IF($H5&lt;=$I5,"KRİTİK","Yeterli")))</f>
      </c>
    </row>
    <row r="6" spans="2:10" x14ac:dyDescent="0.25">
      <c r="B6" s="16">
        <f>IF('Ürün Kartlar'!B6="","",'Ürün Kartlar'!B6)</f>
      </c>
      <c r="C6" s="16">
        <f>IF('Ürün Kartlar'!C6="","",'Ürün Kartlar'!C6)</f>
      </c>
      <c r="D6" s="16">
        <f>IF('Ürün Kartlar'!D6="","",'Ürün Kartlar'!D6)</f>
      </c>
      <c r="E6" s="24">
        <f>IF('Ürün Kartlar'!H6="",0,'Ürün Kartlar'!H6)</f>
      </c>
      <c r="F6" s="24">
        <f>IF($B6="",0,SUMIFS('Hareketler'!$H$5:$H$1004,'Hareketler'!$F$5:$F$1004,$B6,'Hareketler'!$C$5:$C$1004,"Alış"))</f>
      </c>
      <c r="G6" s="24">
        <f>IF($B6="",0,SUMIFS('Hareketler'!$H$5:$H$1004,'Hareketler'!$F$5:$F$1004,$B6,'Hareketler'!$C$5:$C$1004,"Satış"))</f>
      </c>
      <c r="H6" s="25">
        <f>IF($B6="","",$E6+$F6-$G6)</f>
      </c>
      <c r="I6" s="24">
        <f>IF('Ürün Kartlar'!I6="",0,'Ürün Kartlar'!I6)</f>
      </c>
      <c r="J6" s="16">
        <f>IF($B6="","",IF($H6&lt;=0,"STOK YOK",IF($H6&lt;=$I6,"KRİTİK","Yeterli")))</f>
      </c>
    </row>
    <row r="7" spans="2:10" x14ac:dyDescent="0.25">
      <c r="B7" s="16">
        <f>IF('Ürün Kartlar'!B7="","",'Ürün Kartlar'!B7)</f>
      </c>
      <c r="C7" s="16">
        <f>IF('Ürün Kartlar'!C7="","",'Ürün Kartlar'!C7)</f>
      </c>
      <c r="D7" s="16">
        <f>IF('Ürün Kartlar'!D7="","",'Ürün Kartlar'!D7)</f>
      </c>
      <c r="E7" s="24">
        <f>IF('Ürün Kartlar'!H7="",0,'Ürün Kartlar'!H7)</f>
      </c>
      <c r="F7" s="24">
        <f>IF($B7="",0,SUMIFS('Hareketler'!$H$5:$H$1004,'Hareketler'!$F$5:$F$1004,$B7,'Hareketler'!$C$5:$C$1004,"Alış"))</f>
      </c>
      <c r="G7" s="24">
        <f>IF($B7="",0,SUMIFS('Hareketler'!$H$5:$H$1004,'Hareketler'!$F$5:$F$1004,$B7,'Hareketler'!$C$5:$C$1004,"Satış"))</f>
      </c>
      <c r="H7" s="25">
        <f>IF($B7="","",$E7+$F7-$G7)</f>
      </c>
      <c r="I7" s="24">
        <f>IF('Ürün Kartlar'!I7="",0,'Ürün Kartlar'!I7)</f>
      </c>
      <c r="J7" s="16">
        <f>IF($B7="","",IF($H7&lt;=0,"STOK YOK",IF($H7&lt;=$I7,"KRİTİK","Yeterli")))</f>
      </c>
    </row>
    <row r="8" spans="2:10" x14ac:dyDescent="0.25">
      <c r="B8" s="16">
        <f>IF('Ürün Kartlar'!B8="","",'Ürün Kartlar'!B8)</f>
      </c>
      <c r="C8" s="16">
        <f>IF('Ürün Kartlar'!C8="","",'Ürün Kartlar'!C8)</f>
      </c>
      <c r="D8" s="16">
        <f>IF('Ürün Kartlar'!D8="","",'Ürün Kartlar'!D8)</f>
      </c>
      <c r="E8" s="24">
        <f>IF('Ürün Kartlar'!H8="",0,'Ürün Kartlar'!H8)</f>
      </c>
      <c r="F8" s="24">
        <f>IF($B8="",0,SUMIFS('Hareketler'!$H$5:$H$1004,'Hareketler'!$F$5:$F$1004,$B8,'Hareketler'!$C$5:$C$1004,"Alış"))</f>
      </c>
      <c r="G8" s="24">
        <f>IF($B8="",0,SUMIFS('Hareketler'!$H$5:$H$1004,'Hareketler'!$F$5:$F$1004,$B8,'Hareketler'!$C$5:$C$1004,"Satış"))</f>
      </c>
      <c r="H8" s="25">
        <f>IF($B8="","",$E8+$F8-$G8)</f>
      </c>
      <c r="I8" s="24">
        <f>IF('Ürün Kartlar'!I8="",0,'Ürün Kartlar'!I8)</f>
      </c>
      <c r="J8" s="16">
        <f>IF($B8="","",IF($H8&lt;=0,"STOK YOK",IF($H8&lt;=$I8,"KRİTİK","Yeterli")))</f>
      </c>
    </row>
    <row r="9" spans="2:10" x14ac:dyDescent="0.25">
      <c r="B9" s="16">
        <f>IF('Ürün Kartlar'!B9="","",'Ürün Kartlar'!B9)</f>
      </c>
      <c r="C9" s="16">
        <f>IF('Ürün Kartlar'!C9="","",'Ürün Kartlar'!C9)</f>
      </c>
      <c r="D9" s="16">
        <f>IF('Ürün Kartlar'!D9="","",'Ürün Kartlar'!D9)</f>
      </c>
      <c r="E9" s="24">
        <f>IF('Ürün Kartlar'!H9="",0,'Ürün Kartlar'!H9)</f>
      </c>
      <c r="F9" s="24">
        <f>IF($B9="",0,SUMIFS('Hareketler'!$H$5:$H$1004,'Hareketler'!$F$5:$F$1004,$B9,'Hareketler'!$C$5:$C$1004,"Alış"))</f>
      </c>
      <c r="G9" s="24">
        <f>IF($B9="",0,SUMIFS('Hareketler'!$H$5:$H$1004,'Hareketler'!$F$5:$F$1004,$B9,'Hareketler'!$C$5:$C$1004,"Satış"))</f>
      </c>
      <c r="H9" s="25">
        <f>IF($B9="","",$E9+$F9-$G9)</f>
      </c>
      <c r="I9" s="24">
        <f>IF('Ürün Kartlar'!I9="",0,'Ürün Kartlar'!I9)</f>
      </c>
      <c r="J9" s="16">
        <f>IF($B9="","",IF($H9&lt;=0,"STOK YOK",IF($H9&lt;=$I9,"KRİTİK","Yeterli")))</f>
      </c>
    </row>
    <row r="10" spans="2:10" x14ac:dyDescent="0.25">
      <c r="B10" s="16">
        <f>IF('Ürün Kartlar'!B10="","",'Ürün Kartlar'!B10)</f>
      </c>
      <c r="C10" s="16">
        <f>IF('Ürün Kartlar'!C10="","",'Ürün Kartlar'!C10)</f>
      </c>
      <c r="D10" s="16">
        <f>IF('Ürün Kartlar'!D10="","",'Ürün Kartlar'!D10)</f>
      </c>
      <c r="E10" s="24">
        <f>IF('Ürün Kartlar'!H10="",0,'Ürün Kartlar'!H10)</f>
      </c>
      <c r="F10" s="24">
        <f>IF($B10="",0,SUMIFS('Hareketler'!$H$5:$H$1004,'Hareketler'!$F$5:$F$1004,$B10,'Hareketler'!$C$5:$C$1004,"Alış"))</f>
      </c>
      <c r="G10" s="24">
        <f>IF($B10="",0,SUMIFS('Hareketler'!$H$5:$H$1004,'Hareketler'!$F$5:$F$1004,$B10,'Hareketler'!$C$5:$C$1004,"Satış"))</f>
      </c>
      <c r="H10" s="25">
        <f>IF($B10="","",$E10+$F10-$G10)</f>
      </c>
      <c r="I10" s="24">
        <f>IF('Ürün Kartlar'!I10="",0,'Ürün Kartlar'!I10)</f>
      </c>
      <c r="J10" s="16">
        <f>IF($B10="","",IF($H10&lt;=0,"STOK YOK",IF($H10&lt;=$I10,"KRİTİK","Yeterli")))</f>
      </c>
    </row>
    <row r="11" spans="2:10" x14ac:dyDescent="0.25">
      <c r="B11" s="16">
        <f>IF('Ürün Kartlar'!B11="","",'Ürün Kartlar'!B11)</f>
      </c>
      <c r="C11" s="16">
        <f>IF('Ürün Kartlar'!C11="","",'Ürün Kartlar'!C11)</f>
      </c>
      <c r="D11" s="16">
        <f>IF('Ürün Kartlar'!D11="","",'Ürün Kartlar'!D11)</f>
      </c>
      <c r="E11" s="24">
        <f>IF('Ürün Kartlar'!H11="",0,'Ürün Kartlar'!H11)</f>
      </c>
      <c r="F11" s="24">
        <f>IF($B11="",0,SUMIFS('Hareketler'!$H$5:$H$1004,'Hareketler'!$F$5:$F$1004,$B11,'Hareketler'!$C$5:$C$1004,"Alış"))</f>
      </c>
      <c r="G11" s="24">
        <f>IF($B11="",0,SUMIFS('Hareketler'!$H$5:$H$1004,'Hareketler'!$F$5:$F$1004,$B11,'Hareketler'!$C$5:$C$1004,"Satış"))</f>
      </c>
      <c r="H11" s="25">
        <f>IF($B11="","",$E11+$F11-$G11)</f>
      </c>
      <c r="I11" s="24">
        <f>IF('Ürün Kartlar'!I11="",0,'Ürün Kartlar'!I11)</f>
      </c>
      <c r="J11" s="16">
        <f>IF($B11="","",IF($H11&lt;=0,"STOK YOK",IF($H11&lt;=$I11,"KRİTİK","Yeterli")))</f>
      </c>
    </row>
    <row r="12" spans="2:10" x14ac:dyDescent="0.25">
      <c r="B12" s="16">
        <f>IF('Ürün Kartlar'!B12="","",'Ürün Kartlar'!B12)</f>
      </c>
      <c r="C12" s="16">
        <f>IF('Ürün Kartlar'!C12="","",'Ürün Kartlar'!C12)</f>
      </c>
      <c r="D12" s="16">
        <f>IF('Ürün Kartlar'!D12="","",'Ürün Kartlar'!D12)</f>
      </c>
      <c r="E12" s="24">
        <f>IF('Ürün Kartlar'!H12="",0,'Ürün Kartlar'!H12)</f>
      </c>
      <c r="F12" s="24">
        <f>IF($B12="",0,SUMIFS('Hareketler'!$H$5:$H$1004,'Hareketler'!$F$5:$F$1004,$B12,'Hareketler'!$C$5:$C$1004,"Alış"))</f>
      </c>
      <c r="G12" s="24">
        <f>IF($B12="",0,SUMIFS('Hareketler'!$H$5:$H$1004,'Hareketler'!$F$5:$F$1004,$B12,'Hareketler'!$C$5:$C$1004,"Satış"))</f>
      </c>
      <c r="H12" s="25">
        <f>IF($B12="","",$E12+$F12-$G12)</f>
      </c>
      <c r="I12" s="24">
        <f>IF('Ürün Kartlar'!I12="",0,'Ürün Kartlar'!I12)</f>
      </c>
      <c r="J12" s="16">
        <f>IF($B12="","",IF($H12&lt;=0,"STOK YOK",IF($H12&lt;=$I12,"KRİTİK","Yeterli")))</f>
      </c>
    </row>
    <row r="13" spans="2:10" x14ac:dyDescent="0.25">
      <c r="B13" s="16">
        <f>IF('Ürün Kartlar'!B13="","",'Ürün Kartlar'!B13)</f>
      </c>
      <c r="C13" s="16">
        <f>IF('Ürün Kartlar'!C13="","",'Ürün Kartlar'!C13)</f>
      </c>
      <c r="D13" s="16">
        <f>IF('Ürün Kartlar'!D13="","",'Ürün Kartlar'!D13)</f>
      </c>
      <c r="E13" s="24">
        <f>IF('Ürün Kartlar'!H13="",0,'Ürün Kartlar'!H13)</f>
      </c>
      <c r="F13" s="24">
        <f>IF($B13="",0,SUMIFS('Hareketler'!$H$5:$H$1004,'Hareketler'!$F$5:$F$1004,$B13,'Hareketler'!$C$5:$C$1004,"Alış"))</f>
      </c>
      <c r="G13" s="24">
        <f>IF($B13="",0,SUMIFS('Hareketler'!$H$5:$H$1004,'Hareketler'!$F$5:$F$1004,$B13,'Hareketler'!$C$5:$C$1004,"Satış"))</f>
      </c>
      <c r="H13" s="25">
        <f>IF($B13="","",$E13+$F13-$G13)</f>
      </c>
      <c r="I13" s="24">
        <f>IF('Ürün Kartlar'!I13="",0,'Ürün Kartlar'!I13)</f>
      </c>
      <c r="J13" s="16">
        <f>IF($B13="","",IF($H13&lt;=0,"STOK YOK",IF($H13&lt;=$I13,"KRİTİK","Yeterli")))</f>
      </c>
    </row>
    <row r="14" spans="2:10" x14ac:dyDescent="0.25">
      <c r="B14" s="16">
        <f>IF('Ürün Kartlar'!B14="","",'Ürün Kartlar'!B14)</f>
      </c>
      <c r="C14" s="16">
        <f>IF('Ürün Kartlar'!C14="","",'Ürün Kartlar'!C14)</f>
      </c>
      <c r="D14" s="16">
        <f>IF('Ürün Kartlar'!D14="","",'Ürün Kartlar'!D14)</f>
      </c>
      <c r="E14" s="24">
        <f>IF('Ürün Kartlar'!H14="",0,'Ürün Kartlar'!H14)</f>
      </c>
      <c r="F14" s="24">
        <f>IF($B14="",0,SUMIFS('Hareketler'!$H$5:$H$1004,'Hareketler'!$F$5:$F$1004,$B14,'Hareketler'!$C$5:$C$1004,"Alış"))</f>
      </c>
      <c r="G14" s="24">
        <f>IF($B14="",0,SUMIFS('Hareketler'!$H$5:$H$1004,'Hareketler'!$F$5:$F$1004,$B14,'Hareketler'!$C$5:$C$1004,"Satış"))</f>
      </c>
      <c r="H14" s="25">
        <f>IF($B14="","",$E14+$F14-$G14)</f>
      </c>
      <c r="I14" s="24">
        <f>IF('Ürün Kartlar'!I14="",0,'Ürün Kartlar'!I14)</f>
      </c>
      <c r="J14" s="16">
        <f>IF($B14="","",IF($H14&lt;=0,"STOK YOK",IF($H14&lt;=$I14,"KRİTİK","Yeterli")))</f>
      </c>
    </row>
    <row r="15" spans="2:10" x14ac:dyDescent="0.25">
      <c r="B15" s="16">
        <f>IF('Ürün Kartlar'!B15="","",'Ürün Kartlar'!B15)</f>
      </c>
      <c r="C15" s="16">
        <f>IF('Ürün Kartlar'!C15="","",'Ürün Kartlar'!C15)</f>
      </c>
      <c r="D15" s="16">
        <f>IF('Ürün Kartlar'!D15="","",'Ürün Kartlar'!D15)</f>
      </c>
      <c r="E15" s="24">
        <f>IF('Ürün Kartlar'!H15="",0,'Ürün Kartlar'!H15)</f>
      </c>
      <c r="F15" s="24">
        <f>IF($B15="",0,SUMIFS('Hareketler'!$H$5:$H$1004,'Hareketler'!$F$5:$F$1004,$B15,'Hareketler'!$C$5:$C$1004,"Alış"))</f>
      </c>
      <c r="G15" s="24">
        <f>IF($B15="",0,SUMIFS('Hareketler'!$H$5:$H$1004,'Hareketler'!$F$5:$F$1004,$B15,'Hareketler'!$C$5:$C$1004,"Satış"))</f>
      </c>
      <c r="H15" s="25">
        <f>IF($B15="","",$E15+$F15-$G15)</f>
      </c>
      <c r="I15" s="24">
        <f>IF('Ürün Kartlar'!I15="",0,'Ürün Kartlar'!I15)</f>
      </c>
      <c r="J15" s="16">
        <f>IF($B15="","",IF($H15&lt;=0,"STOK YOK",IF($H15&lt;=$I15,"KRİTİK","Yeterli")))</f>
      </c>
    </row>
    <row r="16" spans="2:10" x14ac:dyDescent="0.25">
      <c r="B16" s="16">
        <f>IF('Ürün Kartlar'!B16="","",'Ürün Kartlar'!B16)</f>
      </c>
      <c r="C16" s="16">
        <f>IF('Ürün Kartlar'!C16="","",'Ürün Kartlar'!C16)</f>
      </c>
      <c r="D16" s="16">
        <f>IF('Ürün Kartlar'!D16="","",'Ürün Kartlar'!D16)</f>
      </c>
      <c r="E16" s="24">
        <f>IF('Ürün Kartlar'!H16="",0,'Ürün Kartlar'!H16)</f>
      </c>
      <c r="F16" s="24">
        <f>IF($B16="",0,SUMIFS('Hareketler'!$H$5:$H$1004,'Hareketler'!$F$5:$F$1004,$B16,'Hareketler'!$C$5:$C$1004,"Alış"))</f>
      </c>
      <c r="G16" s="24">
        <f>IF($B16="",0,SUMIFS('Hareketler'!$H$5:$H$1004,'Hareketler'!$F$5:$F$1004,$B16,'Hareketler'!$C$5:$C$1004,"Satış"))</f>
      </c>
      <c r="H16" s="25">
        <f>IF($B16="","",$E16+$F16-$G16)</f>
      </c>
      <c r="I16" s="24">
        <f>IF('Ürün Kartlar'!I16="",0,'Ürün Kartlar'!I16)</f>
      </c>
      <c r="J16" s="16">
        <f>IF($B16="","",IF($H16&lt;=0,"STOK YOK",IF($H16&lt;=$I16,"KRİTİK","Yeterli")))</f>
      </c>
    </row>
    <row r="17" spans="2:10" x14ac:dyDescent="0.25">
      <c r="B17" s="16">
        <f>IF('Ürün Kartlar'!B17="","",'Ürün Kartlar'!B17)</f>
      </c>
      <c r="C17" s="16">
        <f>IF('Ürün Kartlar'!C17="","",'Ürün Kartlar'!C17)</f>
      </c>
      <c r="D17" s="16">
        <f>IF('Ürün Kartlar'!D17="","",'Ürün Kartlar'!D17)</f>
      </c>
      <c r="E17" s="24">
        <f>IF('Ürün Kartlar'!H17="",0,'Ürün Kartlar'!H17)</f>
      </c>
      <c r="F17" s="24">
        <f>IF($B17="",0,SUMIFS('Hareketler'!$H$5:$H$1004,'Hareketler'!$F$5:$F$1004,$B17,'Hareketler'!$C$5:$C$1004,"Alış"))</f>
      </c>
      <c r="G17" s="24">
        <f>IF($B17="",0,SUMIFS('Hareketler'!$H$5:$H$1004,'Hareketler'!$F$5:$F$1004,$B17,'Hareketler'!$C$5:$C$1004,"Satış"))</f>
      </c>
      <c r="H17" s="25">
        <f>IF($B17="","",$E17+$F17-$G17)</f>
      </c>
      <c r="I17" s="24">
        <f>IF('Ürün Kartlar'!I17="",0,'Ürün Kartlar'!I17)</f>
      </c>
      <c r="J17" s="16">
        <f>IF($B17="","",IF($H17&lt;=0,"STOK YOK",IF($H17&lt;=$I17,"KRİTİK","Yeterli")))</f>
      </c>
    </row>
    <row r="18" spans="2:10" x14ac:dyDescent="0.25">
      <c r="B18" s="16">
        <f>IF('Ürün Kartlar'!B18="","",'Ürün Kartlar'!B18)</f>
      </c>
      <c r="C18" s="16">
        <f>IF('Ürün Kartlar'!C18="","",'Ürün Kartlar'!C18)</f>
      </c>
      <c r="D18" s="16">
        <f>IF('Ürün Kartlar'!D18="","",'Ürün Kartlar'!D18)</f>
      </c>
      <c r="E18" s="24">
        <f>IF('Ürün Kartlar'!H18="",0,'Ürün Kartlar'!H18)</f>
      </c>
      <c r="F18" s="24">
        <f>IF($B18="",0,SUMIFS('Hareketler'!$H$5:$H$1004,'Hareketler'!$F$5:$F$1004,$B18,'Hareketler'!$C$5:$C$1004,"Alış"))</f>
      </c>
      <c r="G18" s="24">
        <f>IF($B18="",0,SUMIFS('Hareketler'!$H$5:$H$1004,'Hareketler'!$F$5:$F$1004,$B18,'Hareketler'!$C$5:$C$1004,"Satış"))</f>
      </c>
      <c r="H18" s="25">
        <f>IF($B18="","",$E18+$F18-$G18)</f>
      </c>
      <c r="I18" s="24">
        <f>IF('Ürün Kartlar'!I18="",0,'Ürün Kartlar'!I18)</f>
      </c>
      <c r="J18" s="16">
        <f>IF($B18="","",IF($H18&lt;=0,"STOK YOK",IF($H18&lt;=$I18,"KRİTİK","Yeterli")))</f>
      </c>
    </row>
    <row r="19" spans="2:10" x14ac:dyDescent="0.25">
      <c r="B19" s="16">
        <f>IF('Ürün Kartlar'!B19="","",'Ürün Kartlar'!B19)</f>
      </c>
      <c r="C19" s="16">
        <f>IF('Ürün Kartlar'!C19="","",'Ürün Kartlar'!C19)</f>
      </c>
      <c r="D19" s="16">
        <f>IF('Ürün Kartlar'!D19="","",'Ürün Kartlar'!D19)</f>
      </c>
      <c r="E19" s="24">
        <f>IF('Ürün Kartlar'!H19="",0,'Ürün Kartlar'!H19)</f>
      </c>
      <c r="F19" s="24">
        <f>IF($B19="",0,SUMIFS('Hareketler'!$H$5:$H$1004,'Hareketler'!$F$5:$F$1004,$B19,'Hareketler'!$C$5:$C$1004,"Alış"))</f>
      </c>
      <c r="G19" s="24">
        <f>IF($B19="",0,SUMIFS('Hareketler'!$H$5:$H$1004,'Hareketler'!$F$5:$F$1004,$B19,'Hareketler'!$C$5:$C$1004,"Satış"))</f>
      </c>
      <c r="H19" s="25">
        <f>IF($B19="","",$E19+$F19-$G19)</f>
      </c>
      <c r="I19" s="24">
        <f>IF('Ürün Kartlar'!I19="",0,'Ürün Kartlar'!I19)</f>
      </c>
      <c r="J19" s="16">
        <f>IF($B19="","",IF($H19&lt;=0,"STOK YOK",IF($H19&lt;=$I19,"KRİTİK","Yeterli")))</f>
      </c>
    </row>
    <row r="20" spans="2:10" x14ac:dyDescent="0.25">
      <c r="B20" s="16">
        <f>IF('Ürün Kartlar'!B20="","",'Ürün Kartlar'!B20)</f>
      </c>
      <c r="C20" s="16">
        <f>IF('Ürün Kartlar'!C20="","",'Ürün Kartlar'!C20)</f>
      </c>
      <c r="D20" s="16">
        <f>IF('Ürün Kartlar'!D20="","",'Ürün Kartlar'!D20)</f>
      </c>
      <c r="E20" s="24">
        <f>IF('Ürün Kartlar'!H20="",0,'Ürün Kartlar'!H20)</f>
      </c>
      <c r="F20" s="24">
        <f>IF($B20="",0,SUMIFS('Hareketler'!$H$5:$H$1004,'Hareketler'!$F$5:$F$1004,$B20,'Hareketler'!$C$5:$C$1004,"Alış"))</f>
      </c>
      <c r="G20" s="24">
        <f>IF($B20="",0,SUMIFS('Hareketler'!$H$5:$H$1004,'Hareketler'!$F$5:$F$1004,$B20,'Hareketler'!$C$5:$C$1004,"Satış"))</f>
      </c>
      <c r="H20" s="25">
        <f>IF($B20="","",$E20+$F20-$G20)</f>
      </c>
      <c r="I20" s="24">
        <f>IF('Ürün Kartlar'!I20="",0,'Ürün Kartlar'!I20)</f>
      </c>
      <c r="J20" s="16">
        <f>IF($B20="","",IF($H20&lt;=0,"STOK YOK",IF($H20&lt;=$I20,"KRİTİK","Yeterli")))</f>
      </c>
    </row>
    <row r="21" spans="2:10" x14ac:dyDescent="0.25">
      <c r="B21" s="16">
        <f>IF('Ürün Kartlar'!B21="","",'Ürün Kartlar'!B21)</f>
      </c>
      <c r="C21" s="16">
        <f>IF('Ürün Kartlar'!C21="","",'Ürün Kartlar'!C21)</f>
      </c>
      <c r="D21" s="16">
        <f>IF('Ürün Kartlar'!D21="","",'Ürün Kartlar'!D21)</f>
      </c>
      <c r="E21" s="24">
        <f>IF('Ürün Kartlar'!H21="",0,'Ürün Kartlar'!H21)</f>
      </c>
      <c r="F21" s="24">
        <f>IF($B21="",0,SUMIFS('Hareketler'!$H$5:$H$1004,'Hareketler'!$F$5:$F$1004,$B21,'Hareketler'!$C$5:$C$1004,"Alış"))</f>
      </c>
      <c r="G21" s="24">
        <f>IF($B21="",0,SUMIFS('Hareketler'!$H$5:$H$1004,'Hareketler'!$F$5:$F$1004,$B21,'Hareketler'!$C$5:$C$1004,"Satış"))</f>
      </c>
      <c r="H21" s="25">
        <f>IF($B21="","",$E21+$F21-$G21)</f>
      </c>
      <c r="I21" s="24">
        <f>IF('Ürün Kartlar'!I21="",0,'Ürün Kartlar'!I21)</f>
      </c>
      <c r="J21" s="16">
        <f>IF($B21="","",IF($H21&lt;=0,"STOK YOK",IF($H21&lt;=$I21,"KRİTİK","Yeterli")))</f>
      </c>
    </row>
    <row r="22" spans="2:10" x14ac:dyDescent="0.25">
      <c r="B22" s="16">
        <f>IF('Ürün Kartlar'!B22="","",'Ürün Kartlar'!B22)</f>
      </c>
      <c r="C22" s="16">
        <f>IF('Ürün Kartlar'!C22="","",'Ürün Kartlar'!C22)</f>
      </c>
      <c r="D22" s="16">
        <f>IF('Ürün Kartlar'!D22="","",'Ürün Kartlar'!D22)</f>
      </c>
      <c r="E22" s="24">
        <f>IF('Ürün Kartlar'!H22="",0,'Ürün Kartlar'!H22)</f>
      </c>
      <c r="F22" s="24">
        <f>IF($B22="",0,SUMIFS('Hareketler'!$H$5:$H$1004,'Hareketler'!$F$5:$F$1004,$B22,'Hareketler'!$C$5:$C$1004,"Alış"))</f>
      </c>
      <c r="G22" s="24">
        <f>IF($B22="",0,SUMIFS('Hareketler'!$H$5:$H$1004,'Hareketler'!$F$5:$F$1004,$B22,'Hareketler'!$C$5:$C$1004,"Satış"))</f>
      </c>
      <c r="H22" s="25">
        <f>IF($B22="","",$E22+$F22-$G22)</f>
      </c>
      <c r="I22" s="24">
        <f>IF('Ürün Kartlar'!I22="",0,'Ürün Kartlar'!I22)</f>
      </c>
      <c r="J22" s="16">
        <f>IF($B22="","",IF($H22&lt;=0,"STOK YOK",IF($H22&lt;=$I22,"KRİTİK","Yeterli")))</f>
      </c>
    </row>
    <row r="23" spans="2:10" x14ac:dyDescent="0.25">
      <c r="B23" s="16">
        <f>IF('Ürün Kartlar'!B23="","",'Ürün Kartlar'!B23)</f>
      </c>
      <c r="C23" s="16">
        <f>IF('Ürün Kartlar'!C23="","",'Ürün Kartlar'!C23)</f>
      </c>
      <c r="D23" s="16">
        <f>IF('Ürün Kartlar'!D23="","",'Ürün Kartlar'!D23)</f>
      </c>
      <c r="E23" s="24">
        <f>IF('Ürün Kartlar'!H23="",0,'Ürün Kartlar'!H23)</f>
      </c>
      <c r="F23" s="24">
        <f>IF($B23="",0,SUMIFS('Hareketler'!$H$5:$H$1004,'Hareketler'!$F$5:$F$1004,$B23,'Hareketler'!$C$5:$C$1004,"Alış"))</f>
      </c>
      <c r="G23" s="24">
        <f>IF($B23="",0,SUMIFS('Hareketler'!$H$5:$H$1004,'Hareketler'!$F$5:$F$1004,$B23,'Hareketler'!$C$5:$C$1004,"Satış"))</f>
      </c>
      <c r="H23" s="25">
        <f>IF($B23="","",$E23+$F23-$G23)</f>
      </c>
      <c r="I23" s="24">
        <f>IF('Ürün Kartlar'!I23="",0,'Ürün Kartlar'!I23)</f>
      </c>
      <c r="J23" s="16">
        <f>IF($B23="","",IF($H23&lt;=0,"STOK YOK",IF($H23&lt;=$I23,"KRİTİK","Yeterli")))</f>
      </c>
    </row>
    <row r="24" spans="2:10" x14ac:dyDescent="0.25">
      <c r="B24" s="16">
        <f>IF('Ürün Kartlar'!B24="","",'Ürün Kartlar'!B24)</f>
      </c>
      <c r="C24" s="16">
        <f>IF('Ürün Kartlar'!C24="","",'Ürün Kartlar'!C24)</f>
      </c>
      <c r="D24" s="16">
        <f>IF('Ürün Kartlar'!D24="","",'Ürün Kartlar'!D24)</f>
      </c>
      <c r="E24" s="24">
        <f>IF('Ürün Kartlar'!H24="",0,'Ürün Kartlar'!H24)</f>
      </c>
      <c r="F24" s="24">
        <f>IF($B24="",0,SUMIFS('Hareketler'!$H$5:$H$1004,'Hareketler'!$F$5:$F$1004,$B24,'Hareketler'!$C$5:$C$1004,"Alış"))</f>
      </c>
      <c r="G24" s="24">
        <f>IF($B24="",0,SUMIFS('Hareketler'!$H$5:$H$1004,'Hareketler'!$F$5:$F$1004,$B24,'Hareketler'!$C$5:$C$1004,"Satış"))</f>
      </c>
      <c r="H24" s="25">
        <f>IF($B24="","",$E24+$F24-$G24)</f>
      </c>
      <c r="I24" s="24">
        <f>IF('Ürün Kartlar'!I24="",0,'Ürün Kartlar'!I24)</f>
      </c>
      <c r="J24" s="16">
        <f>IF($B24="","",IF($H24&lt;=0,"STOK YOK",IF($H24&lt;=$I24,"KRİTİK","Yeterli")))</f>
      </c>
    </row>
    <row r="25" spans="2:10" x14ac:dyDescent="0.25">
      <c r="B25" s="16">
        <f>IF('Ürün Kartlar'!B25="","",'Ürün Kartlar'!B25)</f>
      </c>
      <c r="C25" s="16">
        <f>IF('Ürün Kartlar'!C25="","",'Ürün Kartlar'!C25)</f>
      </c>
      <c r="D25" s="16">
        <f>IF('Ürün Kartlar'!D25="","",'Ürün Kartlar'!D25)</f>
      </c>
      <c r="E25" s="24">
        <f>IF('Ürün Kartlar'!H25="",0,'Ürün Kartlar'!H25)</f>
      </c>
      <c r="F25" s="24">
        <f>IF($B25="",0,SUMIFS('Hareketler'!$H$5:$H$1004,'Hareketler'!$F$5:$F$1004,$B25,'Hareketler'!$C$5:$C$1004,"Alış"))</f>
      </c>
      <c r="G25" s="24">
        <f>IF($B25="",0,SUMIFS('Hareketler'!$H$5:$H$1004,'Hareketler'!$F$5:$F$1004,$B25,'Hareketler'!$C$5:$C$1004,"Satış"))</f>
      </c>
      <c r="H25" s="25">
        <f>IF($B25="","",$E25+$F25-$G25)</f>
      </c>
      <c r="I25" s="24">
        <f>IF('Ürün Kartlar'!I25="",0,'Ürün Kartlar'!I25)</f>
      </c>
      <c r="J25" s="16">
        <f>IF($B25="","",IF($H25&lt;=0,"STOK YOK",IF($H25&lt;=$I25,"KRİTİK","Yeterli")))</f>
      </c>
    </row>
    <row r="26" spans="2:10" x14ac:dyDescent="0.25">
      <c r="B26" s="16">
        <f>IF('Ürün Kartlar'!B26="","",'Ürün Kartlar'!B26)</f>
      </c>
      <c r="C26" s="16">
        <f>IF('Ürün Kartlar'!C26="","",'Ürün Kartlar'!C26)</f>
      </c>
      <c r="D26" s="16">
        <f>IF('Ürün Kartlar'!D26="","",'Ürün Kartlar'!D26)</f>
      </c>
      <c r="E26" s="24">
        <f>IF('Ürün Kartlar'!H26="",0,'Ürün Kartlar'!H26)</f>
      </c>
      <c r="F26" s="24">
        <f>IF($B26="",0,SUMIFS('Hareketler'!$H$5:$H$1004,'Hareketler'!$F$5:$F$1004,$B26,'Hareketler'!$C$5:$C$1004,"Alış"))</f>
      </c>
      <c r="G26" s="24">
        <f>IF($B26="",0,SUMIFS('Hareketler'!$H$5:$H$1004,'Hareketler'!$F$5:$F$1004,$B26,'Hareketler'!$C$5:$C$1004,"Satış"))</f>
      </c>
      <c r="H26" s="25">
        <f>IF($B26="","",$E26+$F26-$G26)</f>
      </c>
      <c r="I26" s="24">
        <f>IF('Ürün Kartlar'!I26="",0,'Ürün Kartlar'!I26)</f>
      </c>
      <c r="J26" s="16">
        <f>IF($B26="","",IF($H26&lt;=0,"STOK YOK",IF($H26&lt;=$I26,"KRİTİK","Yeterli")))</f>
      </c>
    </row>
    <row r="27" spans="2:10" x14ac:dyDescent="0.25">
      <c r="B27" s="16">
        <f>IF('Ürün Kartlar'!B27="","",'Ürün Kartlar'!B27)</f>
      </c>
      <c r="C27" s="16">
        <f>IF('Ürün Kartlar'!C27="","",'Ürün Kartlar'!C27)</f>
      </c>
      <c r="D27" s="16">
        <f>IF('Ürün Kartlar'!D27="","",'Ürün Kartlar'!D27)</f>
      </c>
      <c r="E27" s="24">
        <f>IF('Ürün Kartlar'!H27="",0,'Ürün Kartlar'!H27)</f>
      </c>
      <c r="F27" s="24">
        <f>IF($B27="",0,SUMIFS('Hareketler'!$H$5:$H$1004,'Hareketler'!$F$5:$F$1004,$B27,'Hareketler'!$C$5:$C$1004,"Alış"))</f>
      </c>
      <c r="G27" s="24">
        <f>IF($B27="",0,SUMIFS('Hareketler'!$H$5:$H$1004,'Hareketler'!$F$5:$F$1004,$B27,'Hareketler'!$C$5:$C$1004,"Satış"))</f>
      </c>
      <c r="H27" s="25">
        <f>IF($B27="","",$E27+$F27-$G27)</f>
      </c>
      <c r="I27" s="24">
        <f>IF('Ürün Kartlar'!I27="",0,'Ürün Kartlar'!I27)</f>
      </c>
      <c r="J27" s="16">
        <f>IF($B27="","",IF($H27&lt;=0,"STOK YOK",IF($H27&lt;=$I27,"KRİTİK","Yeterli")))</f>
      </c>
    </row>
    <row r="28" spans="2:10" x14ac:dyDescent="0.25">
      <c r="B28" s="16">
        <f>IF('Ürün Kartlar'!B28="","",'Ürün Kartlar'!B28)</f>
      </c>
      <c r="C28" s="16">
        <f>IF('Ürün Kartlar'!C28="","",'Ürün Kartlar'!C28)</f>
      </c>
      <c r="D28" s="16">
        <f>IF('Ürün Kartlar'!D28="","",'Ürün Kartlar'!D28)</f>
      </c>
      <c r="E28" s="24">
        <f>IF('Ürün Kartlar'!H28="",0,'Ürün Kartlar'!H28)</f>
      </c>
      <c r="F28" s="24">
        <f>IF($B28="",0,SUMIFS('Hareketler'!$H$5:$H$1004,'Hareketler'!$F$5:$F$1004,$B28,'Hareketler'!$C$5:$C$1004,"Alış"))</f>
      </c>
      <c r="G28" s="24">
        <f>IF($B28="",0,SUMIFS('Hareketler'!$H$5:$H$1004,'Hareketler'!$F$5:$F$1004,$B28,'Hareketler'!$C$5:$C$1004,"Satış"))</f>
      </c>
      <c r="H28" s="25">
        <f>IF($B28="","",$E28+$F28-$G28)</f>
      </c>
      <c r="I28" s="24">
        <f>IF('Ürün Kartlar'!I28="",0,'Ürün Kartlar'!I28)</f>
      </c>
      <c r="J28" s="16">
        <f>IF($B28="","",IF($H28&lt;=0,"STOK YOK",IF($H28&lt;=$I28,"KRİTİK","Yeterli")))</f>
      </c>
    </row>
    <row r="29" spans="2:10" x14ac:dyDescent="0.25">
      <c r="B29" s="16">
        <f>IF('Ürün Kartlar'!B29="","",'Ürün Kartlar'!B29)</f>
      </c>
      <c r="C29" s="16">
        <f>IF('Ürün Kartlar'!C29="","",'Ürün Kartlar'!C29)</f>
      </c>
      <c r="D29" s="16">
        <f>IF('Ürün Kartlar'!D29="","",'Ürün Kartlar'!D29)</f>
      </c>
      <c r="E29" s="24">
        <f>IF('Ürün Kartlar'!H29="",0,'Ürün Kartlar'!H29)</f>
      </c>
      <c r="F29" s="24">
        <f>IF($B29="",0,SUMIFS('Hareketler'!$H$5:$H$1004,'Hareketler'!$F$5:$F$1004,$B29,'Hareketler'!$C$5:$C$1004,"Alış"))</f>
      </c>
      <c r="G29" s="24">
        <f>IF($B29="",0,SUMIFS('Hareketler'!$H$5:$H$1004,'Hareketler'!$F$5:$F$1004,$B29,'Hareketler'!$C$5:$C$1004,"Satış"))</f>
      </c>
      <c r="H29" s="25">
        <f>IF($B29="","",$E29+$F29-$G29)</f>
      </c>
      <c r="I29" s="24">
        <f>IF('Ürün Kartlar'!I29="",0,'Ürün Kartlar'!I29)</f>
      </c>
      <c r="J29" s="16">
        <f>IF($B29="","",IF($H29&lt;=0,"STOK YOK",IF($H29&lt;=$I29,"KRİTİK","Yeterli")))</f>
      </c>
    </row>
    <row r="30" spans="2:10" x14ac:dyDescent="0.25">
      <c r="B30" s="16">
        <f>IF('Ürün Kartlar'!B30="","",'Ürün Kartlar'!B30)</f>
      </c>
      <c r="C30" s="16">
        <f>IF('Ürün Kartlar'!C30="","",'Ürün Kartlar'!C30)</f>
      </c>
      <c r="D30" s="16">
        <f>IF('Ürün Kartlar'!D30="","",'Ürün Kartlar'!D30)</f>
      </c>
      <c r="E30" s="24">
        <f>IF('Ürün Kartlar'!H30="",0,'Ürün Kartlar'!H30)</f>
      </c>
      <c r="F30" s="24">
        <f>IF($B30="",0,SUMIFS('Hareketler'!$H$5:$H$1004,'Hareketler'!$F$5:$F$1004,$B30,'Hareketler'!$C$5:$C$1004,"Alış"))</f>
      </c>
      <c r="G30" s="24">
        <f>IF($B30="",0,SUMIFS('Hareketler'!$H$5:$H$1004,'Hareketler'!$F$5:$F$1004,$B30,'Hareketler'!$C$5:$C$1004,"Satış"))</f>
      </c>
      <c r="H30" s="25">
        <f>IF($B30="","",$E30+$F30-$G30)</f>
      </c>
      <c r="I30" s="24">
        <f>IF('Ürün Kartlar'!I30="",0,'Ürün Kartlar'!I30)</f>
      </c>
      <c r="J30" s="16">
        <f>IF($B30="","",IF($H30&lt;=0,"STOK YOK",IF($H30&lt;=$I30,"KRİTİK","Yeterli")))</f>
      </c>
    </row>
    <row r="31" spans="2:10" x14ac:dyDescent="0.25">
      <c r="B31" s="16">
        <f>IF('Ürün Kartlar'!B31="","",'Ürün Kartlar'!B31)</f>
      </c>
      <c r="C31" s="16">
        <f>IF('Ürün Kartlar'!C31="","",'Ürün Kartlar'!C31)</f>
      </c>
      <c r="D31" s="16">
        <f>IF('Ürün Kartlar'!D31="","",'Ürün Kartlar'!D31)</f>
      </c>
      <c r="E31" s="24">
        <f>IF('Ürün Kartlar'!H31="",0,'Ürün Kartlar'!H31)</f>
      </c>
      <c r="F31" s="24">
        <f>IF($B31="",0,SUMIFS('Hareketler'!$H$5:$H$1004,'Hareketler'!$F$5:$F$1004,$B31,'Hareketler'!$C$5:$C$1004,"Alış"))</f>
      </c>
      <c r="G31" s="24">
        <f>IF($B31="",0,SUMIFS('Hareketler'!$H$5:$H$1004,'Hareketler'!$F$5:$F$1004,$B31,'Hareketler'!$C$5:$C$1004,"Satış"))</f>
      </c>
      <c r="H31" s="25">
        <f>IF($B31="","",$E31+$F31-$G31)</f>
      </c>
      <c r="I31" s="24">
        <f>IF('Ürün Kartlar'!I31="",0,'Ürün Kartlar'!I31)</f>
      </c>
      <c r="J31" s="16">
        <f>IF($B31="","",IF($H31&lt;=0,"STOK YOK",IF($H31&lt;=$I31,"KRİTİK","Yeterli")))</f>
      </c>
    </row>
    <row r="32" spans="2:10" x14ac:dyDescent="0.25">
      <c r="B32" s="16">
        <f>IF('Ürün Kartlar'!B32="","",'Ürün Kartlar'!B32)</f>
      </c>
      <c r="C32" s="16">
        <f>IF('Ürün Kartlar'!C32="","",'Ürün Kartlar'!C32)</f>
      </c>
      <c r="D32" s="16">
        <f>IF('Ürün Kartlar'!D32="","",'Ürün Kartlar'!D32)</f>
      </c>
      <c r="E32" s="24">
        <f>IF('Ürün Kartlar'!H32="",0,'Ürün Kartlar'!H32)</f>
      </c>
      <c r="F32" s="24">
        <f>IF($B32="",0,SUMIFS('Hareketler'!$H$5:$H$1004,'Hareketler'!$F$5:$F$1004,$B32,'Hareketler'!$C$5:$C$1004,"Alış"))</f>
      </c>
      <c r="G32" s="24">
        <f>IF($B32="",0,SUMIFS('Hareketler'!$H$5:$H$1004,'Hareketler'!$F$5:$F$1004,$B32,'Hareketler'!$C$5:$C$1004,"Satış"))</f>
      </c>
      <c r="H32" s="25">
        <f>IF($B32="","",$E32+$F32-$G32)</f>
      </c>
      <c r="I32" s="24">
        <f>IF('Ürün Kartlar'!I32="",0,'Ürün Kartlar'!I32)</f>
      </c>
      <c r="J32" s="16">
        <f>IF($B32="","",IF($H32&lt;=0,"STOK YOK",IF($H32&lt;=$I32,"KRİTİK","Yeterli")))</f>
      </c>
    </row>
    <row r="33" spans="2:10" x14ac:dyDescent="0.25">
      <c r="B33" s="16">
        <f>IF('Ürün Kartlar'!B33="","",'Ürün Kartlar'!B33)</f>
      </c>
      <c r="C33" s="16">
        <f>IF('Ürün Kartlar'!C33="","",'Ürün Kartlar'!C33)</f>
      </c>
      <c r="D33" s="16">
        <f>IF('Ürün Kartlar'!D33="","",'Ürün Kartlar'!D33)</f>
      </c>
      <c r="E33" s="24">
        <f>IF('Ürün Kartlar'!H33="",0,'Ürün Kartlar'!H33)</f>
      </c>
      <c r="F33" s="24">
        <f>IF($B33="",0,SUMIFS('Hareketler'!$H$5:$H$1004,'Hareketler'!$F$5:$F$1004,$B33,'Hareketler'!$C$5:$C$1004,"Alış"))</f>
      </c>
      <c r="G33" s="24">
        <f>IF($B33="",0,SUMIFS('Hareketler'!$H$5:$H$1004,'Hareketler'!$F$5:$F$1004,$B33,'Hareketler'!$C$5:$C$1004,"Satış"))</f>
      </c>
      <c r="H33" s="25">
        <f>IF($B33="","",$E33+$F33-$G33)</f>
      </c>
      <c r="I33" s="24">
        <f>IF('Ürün Kartlar'!I33="",0,'Ürün Kartlar'!I33)</f>
      </c>
      <c r="J33" s="16">
        <f>IF($B33="","",IF($H33&lt;=0,"STOK YOK",IF($H33&lt;=$I33,"KRİTİK","Yeterli")))</f>
      </c>
    </row>
    <row r="34" spans="2:10" x14ac:dyDescent="0.25">
      <c r="B34" s="16">
        <f>IF('Ürün Kartlar'!B34="","",'Ürün Kartlar'!B34)</f>
      </c>
      <c r="C34" s="16">
        <f>IF('Ürün Kartlar'!C34="","",'Ürün Kartlar'!C34)</f>
      </c>
      <c r="D34" s="16">
        <f>IF('Ürün Kartlar'!D34="","",'Ürün Kartlar'!D34)</f>
      </c>
      <c r="E34" s="24">
        <f>IF('Ürün Kartlar'!H34="",0,'Ürün Kartlar'!H34)</f>
      </c>
      <c r="F34" s="24">
        <f>IF($B34="",0,SUMIFS('Hareketler'!$H$5:$H$1004,'Hareketler'!$F$5:$F$1004,$B34,'Hareketler'!$C$5:$C$1004,"Alış"))</f>
      </c>
      <c r="G34" s="24">
        <f>IF($B34="",0,SUMIFS('Hareketler'!$H$5:$H$1004,'Hareketler'!$F$5:$F$1004,$B34,'Hareketler'!$C$5:$C$1004,"Satış"))</f>
      </c>
      <c r="H34" s="25">
        <f>IF($B34="","",$E34+$F34-$G34)</f>
      </c>
      <c r="I34" s="24">
        <f>IF('Ürün Kartlar'!I34="",0,'Ürün Kartlar'!I34)</f>
      </c>
      <c r="J34" s="16">
        <f>IF($B34="","",IF($H34&lt;=0,"STOK YOK",IF($H34&lt;=$I34,"KRİTİK","Yeterli")))</f>
      </c>
    </row>
    <row r="35" spans="2:10" x14ac:dyDescent="0.25">
      <c r="B35" s="16">
        <f>IF('Ürün Kartlar'!B35="","",'Ürün Kartlar'!B35)</f>
      </c>
      <c r="C35" s="16">
        <f>IF('Ürün Kartlar'!C35="","",'Ürün Kartlar'!C35)</f>
      </c>
      <c r="D35" s="16">
        <f>IF('Ürün Kartlar'!D35="","",'Ürün Kartlar'!D35)</f>
      </c>
      <c r="E35" s="24">
        <f>IF('Ürün Kartlar'!H35="",0,'Ürün Kartlar'!H35)</f>
      </c>
      <c r="F35" s="24">
        <f>IF($B35="",0,SUMIFS('Hareketler'!$H$5:$H$1004,'Hareketler'!$F$5:$F$1004,$B35,'Hareketler'!$C$5:$C$1004,"Alış"))</f>
      </c>
      <c r="G35" s="24">
        <f>IF($B35="",0,SUMIFS('Hareketler'!$H$5:$H$1004,'Hareketler'!$F$5:$F$1004,$B35,'Hareketler'!$C$5:$C$1004,"Satış"))</f>
      </c>
      <c r="H35" s="25">
        <f>IF($B35="","",$E35+$F35-$G35)</f>
      </c>
      <c r="I35" s="24">
        <f>IF('Ürün Kartlar'!I35="",0,'Ürün Kartlar'!I35)</f>
      </c>
      <c r="J35" s="16">
        <f>IF($B35="","",IF($H35&lt;=0,"STOK YOK",IF($H35&lt;=$I35,"KRİTİK","Yeterli")))</f>
      </c>
    </row>
    <row r="36" spans="2:10" x14ac:dyDescent="0.25">
      <c r="B36" s="16">
        <f>IF('Ürün Kartlar'!B36="","",'Ürün Kartlar'!B36)</f>
      </c>
      <c r="C36" s="16">
        <f>IF('Ürün Kartlar'!C36="","",'Ürün Kartlar'!C36)</f>
      </c>
      <c r="D36" s="16">
        <f>IF('Ürün Kartlar'!D36="","",'Ürün Kartlar'!D36)</f>
      </c>
      <c r="E36" s="24">
        <f>IF('Ürün Kartlar'!H36="",0,'Ürün Kartlar'!H36)</f>
      </c>
      <c r="F36" s="24">
        <f>IF($B36="",0,SUMIFS('Hareketler'!$H$5:$H$1004,'Hareketler'!$F$5:$F$1004,$B36,'Hareketler'!$C$5:$C$1004,"Alış"))</f>
      </c>
      <c r="G36" s="24">
        <f>IF($B36="",0,SUMIFS('Hareketler'!$H$5:$H$1004,'Hareketler'!$F$5:$F$1004,$B36,'Hareketler'!$C$5:$C$1004,"Satış"))</f>
      </c>
      <c r="H36" s="25">
        <f>IF($B36="","",$E36+$F36-$G36)</f>
      </c>
      <c r="I36" s="24">
        <f>IF('Ürün Kartlar'!I36="",0,'Ürün Kartlar'!I36)</f>
      </c>
      <c r="J36" s="16">
        <f>IF($B36="","",IF($H36&lt;=0,"STOK YOK",IF($H36&lt;=$I36,"KRİTİK","Yeterli")))</f>
      </c>
    </row>
    <row r="37" spans="2:10" x14ac:dyDescent="0.25">
      <c r="B37" s="16">
        <f>IF('Ürün Kartlar'!B37="","",'Ürün Kartlar'!B37)</f>
      </c>
      <c r="C37" s="16">
        <f>IF('Ürün Kartlar'!C37="","",'Ürün Kartlar'!C37)</f>
      </c>
      <c r="D37" s="16">
        <f>IF('Ürün Kartlar'!D37="","",'Ürün Kartlar'!D37)</f>
      </c>
      <c r="E37" s="24">
        <f>IF('Ürün Kartlar'!H37="",0,'Ürün Kartlar'!H37)</f>
      </c>
      <c r="F37" s="24">
        <f>IF($B37="",0,SUMIFS('Hareketler'!$H$5:$H$1004,'Hareketler'!$F$5:$F$1004,$B37,'Hareketler'!$C$5:$C$1004,"Alış"))</f>
      </c>
      <c r="G37" s="24">
        <f>IF($B37="",0,SUMIFS('Hareketler'!$H$5:$H$1004,'Hareketler'!$F$5:$F$1004,$B37,'Hareketler'!$C$5:$C$1004,"Satış"))</f>
      </c>
      <c r="H37" s="25">
        <f>IF($B37="","",$E37+$F37-$G37)</f>
      </c>
      <c r="I37" s="24">
        <f>IF('Ürün Kartlar'!I37="",0,'Ürün Kartlar'!I37)</f>
      </c>
      <c r="J37" s="16">
        <f>IF($B37="","",IF($H37&lt;=0,"STOK YOK",IF($H37&lt;=$I37,"KRİTİK","Yeterli")))</f>
      </c>
    </row>
    <row r="38" spans="2:10" x14ac:dyDescent="0.25">
      <c r="B38" s="16">
        <f>IF('Ürün Kartlar'!B38="","",'Ürün Kartlar'!B38)</f>
      </c>
      <c r="C38" s="16">
        <f>IF('Ürün Kartlar'!C38="","",'Ürün Kartlar'!C38)</f>
      </c>
      <c r="D38" s="16">
        <f>IF('Ürün Kartlar'!D38="","",'Ürün Kartlar'!D38)</f>
      </c>
      <c r="E38" s="24">
        <f>IF('Ürün Kartlar'!H38="",0,'Ürün Kartlar'!H38)</f>
      </c>
      <c r="F38" s="24">
        <f>IF($B38="",0,SUMIFS('Hareketler'!$H$5:$H$1004,'Hareketler'!$F$5:$F$1004,$B38,'Hareketler'!$C$5:$C$1004,"Alış"))</f>
      </c>
      <c r="G38" s="24">
        <f>IF($B38="",0,SUMIFS('Hareketler'!$H$5:$H$1004,'Hareketler'!$F$5:$F$1004,$B38,'Hareketler'!$C$5:$C$1004,"Satış"))</f>
      </c>
      <c r="H38" s="25">
        <f>IF($B38="","",$E38+$F38-$G38)</f>
      </c>
      <c r="I38" s="24">
        <f>IF('Ürün Kartlar'!I38="",0,'Ürün Kartlar'!I38)</f>
      </c>
      <c r="J38" s="16">
        <f>IF($B38="","",IF($H38&lt;=0,"STOK YOK",IF($H38&lt;=$I38,"KRİTİK","Yeterli")))</f>
      </c>
    </row>
    <row r="39" spans="2:10" x14ac:dyDescent="0.25">
      <c r="B39" s="16">
        <f>IF('Ürün Kartlar'!B39="","",'Ürün Kartlar'!B39)</f>
      </c>
      <c r="C39" s="16">
        <f>IF('Ürün Kartlar'!C39="","",'Ürün Kartlar'!C39)</f>
      </c>
      <c r="D39" s="16">
        <f>IF('Ürün Kartlar'!D39="","",'Ürün Kartlar'!D39)</f>
      </c>
      <c r="E39" s="24">
        <f>IF('Ürün Kartlar'!H39="",0,'Ürün Kartlar'!H39)</f>
      </c>
      <c r="F39" s="24">
        <f>IF($B39="",0,SUMIFS('Hareketler'!$H$5:$H$1004,'Hareketler'!$F$5:$F$1004,$B39,'Hareketler'!$C$5:$C$1004,"Alış"))</f>
      </c>
      <c r="G39" s="24">
        <f>IF($B39="",0,SUMIFS('Hareketler'!$H$5:$H$1004,'Hareketler'!$F$5:$F$1004,$B39,'Hareketler'!$C$5:$C$1004,"Satış"))</f>
      </c>
      <c r="H39" s="25">
        <f>IF($B39="","",$E39+$F39-$G39)</f>
      </c>
      <c r="I39" s="24">
        <f>IF('Ürün Kartlar'!I39="",0,'Ürün Kartlar'!I39)</f>
      </c>
      <c r="J39" s="16">
        <f>IF($B39="","",IF($H39&lt;=0,"STOK YOK",IF($H39&lt;=$I39,"KRİTİK","Yeterli")))</f>
      </c>
    </row>
    <row r="40" spans="2:10" x14ac:dyDescent="0.25">
      <c r="B40" s="16">
        <f>IF('Ürün Kartlar'!B40="","",'Ürün Kartlar'!B40)</f>
      </c>
      <c r="C40" s="16">
        <f>IF('Ürün Kartlar'!C40="","",'Ürün Kartlar'!C40)</f>
      </c>
      <c r="D40" s="16">
        <f>IF('Ürün Kartlar'!D40="","",'Ürün Kartlar'!D40)</f>
      </c>
      <c r="E40" s="24">
        <f>IF('Ürün Kartlar'!H40="",0,'Ürün Kartlar'!H40)</f>
      </c>
      <c r="F40" s="24">
        <f>IF($B40="",0,SUMIFS('Hareketler'!$H$5:$H$1004,'Hareketler'!$F$5:$F$1004,$B40,'Hareketler'!$C$5:$C$1004,"Alış"))</f>
      </c>
      <c r="G40" s="24">
        <f>IF($B40="",0,SUMIFS('Hareketler'!$H$5:$H$1004,'Hareketler'!$F$5:$F$1004,$B40,'Hareketler'!$C$5:$C$1004,"Satış"))</f>
      </c>
      <c r="H40" s="25">
        <f>IF($B40="","",$E40+$F40-$G40)</f>
      </c>
      <c r="I40" s="24">
        <f>IF('Ürün Kartlar'!I40="",0,'Ürün Kartlar'!I40)</f>
      </c>
      <c r="J40" s="16">
        <f>IF($B40="","",IF($H40&lt;=0,"STOK YOK",IF($H40&lt;=$I40,"KRİTİK","Yeterli")))</f>
      </c>
    </row>
    <row r="41" spans="2:10" x14ac:dyDescent="0.25">
      <c r="B41" s="16">
        <f>IF('Ürün Kartlar'!B41="","",'Ürün Kartlar'!B41)</f>
      </c>
      <c r="C41" s="16">
        <f>IF('Ürün Kartlar'!C41="","",'Ürün Kartlar'!C41)</f>
      </c>
      <c r="D41" s="16">
        <f>IF('Ürün Kartlar'!D41="","",'Ürün Kartlar'!D41)</f>
      </c>
      <c r="E41" s="24">
        <f>IF('Ürün Kartlar'!H41="",0,'Ürün Kartlar'!H41)</f>
      </c>
      <c r="F41" s="24">
        <f>IF($B41="",0,SUMIFS('Hareketler'!$H$5:$H$1004,'Hareketler'!$F$5:$F$1004,$B41,'Hareketler'!$C$5:$C$1004,"Alış"))</f>
      </c>
      <c r="G41" s="24">
        <f>IF($B41="",0,SUMIFS('Hareketler'!$H$5:$H$1004,'Hareketler'!$F$5:$F$1004,$B41,'Hareketler'!$C$5:$C$1004,"Satış"))</f>
      </c>
      <c r="H41" s="25">
        <f>IF($B41="","",$E41+$F41-$G41)</f>
      </c>
      <c r="I41" s="24">
        <f>IF('Ürün Kartlar'!I41="",0,'Ürün Kartlar'!I41)</f>
      </c>
      <c r="J41" s="16">
        <f>IF($B41="","",IF($H41&lt;=0,"STOK YOK",IF($H41&lt;=$I41,"KRİTİK","Yeterli")))</f>
      </c>
    </row>
    <row r="42" spans="2:10" x14ac:dyDescent="0.25">
      <c r="B42" s="16">
        <f>IF('Ürün Kartlar'!B42="","",'Ürün Kartlar'!B42)</f>
      </c>
      <c r="C42" s="16">
        <f>IF('Ürün Kartlar'!C42="","",'Ürün Kartlar'!C42)</f>
      </c>
      <c r="D42" s="16">
        <f>IF('Ürün Kartlar'!D42="","",'Ürün Kartlar'!D42)</f>
      </c>
      <c r="E42" s="24">
        <f>IF('Ürün Kartlar'!H42="",0,'Ürün Kartlar'!H42)</f>
      </c>
      <c r="F42" s="24">
        <f>IF($B42="",0,SUMIFS('Hareketler'!$H$5:$H$1004,'Hareketler'!$F$5:$F$1004,$B42,'Hareketler'!$C$5:$C$1004,"Alış"))</f>
      </c>
      <c r="G42" s="24">
        <f>IF($B42="",0,SUMIFS('Hareketler'!$H$5:$H$1004,'Hareketler'!$F$5:$F$1004,$B42,'Hareketler'!$C$5:$C$1004,"Satış"))</f>
      </c>
      <c r="H42" s="25">
        <f>IF($B42="","",$E42+$F42-$G42)</f>
      </c>
      <c r="I42" s="24">
        <f>IF('Ürün Kartlar'!I42="",0,'Ürün Kartlar'!I42)</f>
      </c>
      <c r="J42" s="16">
        <f>IF($B42="","",IF($H42&lt;=0,"STOK YOK",IF($H42&lt;=$I42,"KRİTİK","Yeterli")))</f>
      </c>
    </row>
    <row r="43" spans="2:10" x14ac:dyDescent="0.25">
      <c r="B43" s="16">
        <f>IF('Ürün Kartlar'!B43="","",'Ürün Kartlar'!B43)</f>
      </c>
      <c r="C43" s="16">
        <f>IF('Ürün Kartlar'!C43="","",'Ürün Kartlar'!C43)</f>
      </c>
      <c r="D43" s="16">
        <f>IF('Ürün Kartlar'!D43="","",'Ürün Kartlar'!D43)</f>
      </c>
      <c r="E43" s="24">
        <f>IF('Ürün Kartlar'!H43="",0,'Ürün Kartlar'!H43)</f>
      </c>
      <c r="F43" s="24">
        <f>IF($B43="",0,SUMIFS('Hareketler'!$H$5:$H$1004,'Hareketler'!$F$5:$F$1004,$B43,'Hareketler'!$C$5:$C$1004,"Alış"))</f>
      </c>
      <c r="G43" s="24">
        <f>IF($B43="",0,SUMIFS('Hareketler'!$H$5:$H$1004,'Hareketler'!$F$5:$F$1004,$B43,'Hareketler'!$C$5:$C$1004,"Satış"))</f>
      </c>
      <c r="H43" s="25">
        <f>IF($B43="","",$E43+$F43-$G43)</f>
      </c>
      <c r="I43" s="24">
        <f>IF('Ürün Kartlar'!I43="",0,'Ürün Kartlar'!I43)</f>
      </c>
      <c r="J43" s="16">
        <f>IF($B43="","",IF($H43&lt;=0,"STOK YOK",IF($H43&lt;=$I43,"KRİTİK","Yeterli")))</f>
      </c>
    </row>
    <row r="44" spans="2:10" x14ac:dyDescent="0.25">
      <c r="B44" s="16">
        <f>IF('Ürün Kartlar'!B44="","",'Ürün Kartlar'!B44)</f>
      </c>
      <c r="C44" s="16">
        <f>IF('Ürün Kartlar'!C44="","",'Ürün Kartlar'!C44)</f>
      </c>
      <c r="D44" s="16">
        <f>IF('Ürün Kartlar'!D44="","",'Ürün Kartlar'!D44)</f>
      </c>
      <c r="E44" s="24">
        <f>IF('Ürün Kartlar'!H44="",0,'Ürün Kartlar'!H44)</f>
      </c>
      <c r="F44" s="24">
        <f>IF($B44="",0,SUMIFS('Hareketler'!$H$5:$H$1004,'Hareketler'!$F$5:$F$1004,$B44,'Hareketler'!$C$5:$C$1004,"Alış"))</f>
      </c>
      <c r="G44" s="24">
        <f>IF($B44="",0,SUMIFS('Hareketler'!$H$5:$H$1004,'Hareketler'!$F$5:$F$1004,$B44,'Hareketler'!$C$5:$C$1004,"Satış"))</f>
      </c>
      <c r="H44" s="25">
        <f>IF($B44="","",$E44+$F44-$G44)</f>
      </c>
      <c r="I44" s="24">
        <f>IF('Ürün Kartlar'!I44="",0,'Ürün Kartlar'!I44)</f>
      </c>
      <c r="J44" s="16">
        <f>IF($B44="","",IF($H44&lt;=0,"STOK YOK",IF($H44&lt;=$I44,"KRİTİK","Yeterli")))</f>
      </c>
    </row>
    <row r="45" spans="2:10" x14ac:dyDescent="0.25">
      <c r="B45" s="16">
        <f>IF('Ürün Kartlar'!B45="","",'Ürün Kartlar'!B45)</f>
      </c>
      <c r="C45" s="16">
        <f>IF('Ürün Kartlar'!C45="","",'Ürün Kartlar'!C45)</f>
      </c>
      <c r="D45" s="16">
        <f>IF('Ürün Kartlar'!D45="","",'Ürün Kartlar'!D45)</f>
      </c>
      <c r="E45" s="24">
        <f>IF('Ürün Kartlar'!H45="",0,'Ürün Kartlar'!H45)</f>
      </c>
      <c r="F45" s="24">
        <f>IF($B45="",0,SUMIFS('Hareketler'!$H$5:$H$1004,'Hareketler'!$F$5:$F$1004,$B45,'Hareketler'!$C$5:$C$1004,"Alış"))</f>
      </c>
      <c r="G45" s="24">
        <f>IF($B45="",0,SUMIFS('Hareketler'!$H$5:$H$1004,'Hareketler'!$F$5:$F$1004,$B45,'Hareketler'!$C$5:$C$1004,"Satış"))</f>
      </c>
      <c r="H45" s="25">
        <f>IF($B45="","",$E45+$F45-$G45)</f>
      </c>
      <c r="I45" s="24">
        <f>IF('Ürün Kartlar'!I45="",0,'Ürün Kartlar'!I45)</f>
      </c>
      <c r="J45" s="16">
        <f>IF($B45="","",IF($H45&lt;=0,"STOK YOK",IF($H45&lt;=$I45,"KRİTİK","Yeterli")))</f>
      </c>
    </row>
    <row r="46" spans="2:10" x14ac:dyDescent="0.25">
      <c r="B46" s="16">
        <f>IF('Ürün Kartlar'!B46="","",'Ürün Kartlar'!B46)</f>
      </c>
      <c r="C46" s="16">
        <f>IF('Ürün Kartlar'!C46="","",'Ürün Kartlar'!C46)</f>
      </c>
      <c r="D46" s="16">
        <f>IF('Ürün Kartlar'!D46="","",'Ürün Kartlar'!D46)</f>
      </c>
      <c r="E46" s="24">
        <f>IF('Ürün Kartlar'!H46="",0,'Ürün Kartlar'!H46)</f>
      </c>
      <c r="F46" s="24">
        <f>IF($B46="",0,SUMIFS('Hareketler'!$H$5:$H$1004,'Hareketler'!$F$5:$F$1004,$B46,'Hareketler'!$C$5:$C$1004,"Alış"))</f>
      </c>
      <c r="G46" s="24">
        <f>IF($B46="",0,SUMIFS('Hareketler'!$H$5:$H$1004,'Hareketler'!$F$5:$F$1004,$B46,'Hareketler'!$C$5:$C$1004,"Satış"))</f>
      </c>
      <c r="H46" s="25">
        <f>IF($B46="","",$E46+$F46-$G46)</f>
      </c>
      <c r="I46" s="24">
        <f>IF('Ürün Kartlar'!I46="",0,'Ürün Kartlar'!I46)</f>
      </c>
      <c r="J46" s="16">
        <f>IF($B46="","",IF($H46&lt;=0,"STOK YOK",IF($H46&lt;=$I46,"KRİTİK","Yeterli")))</f>
      </c>
    </row>
    <row r="47" spans="2:10" x14ac:dyDescent="0.25">
      <c r="B47" s="16">
        <f>IF('Ürün Kartlar'!B47="","",'Ürün Kartlar'!B47)</f>
      </c>
      <c r="C47" s="16">
        <f>IF('Ürün Kartlar'!C47="","",'Ürün Kartlar'!C47)</f>
      </c>
      <c r="D47" s="16">
        <f>IF('Ürün Kartlar'!D47="","",'Ürün Kartlar'!D47)</f>
      </c>
      <c r="E47" s="24">
        <f>IF('Ürün Kartlar'!H47="",0,'Ürün Kartlar'!H47)</f>
      </c>
      <c r="F47" s="24">
        <f>IF($B47="",0,SUMIFS('Hareketler'!$H$5:$H$1004,'Hareketler'!$F$5:$F$1004,$B47,'Hareketler'!$C$5:$C$1004,"Alış"))</f>
      </c>
      <c r="G47" s="24">
        <f>IF($B47="",0,SUMIFS('Hareketler'!$H$5:$H$1004,'Hareketler'!$F$5:$F$1004,$B47,'Hareketler'!$C$5:$C$1004,"Satış"))</f>
      </c>
      <c r="H47" s="25">
        <f>IF($B47="","",$E47+$F47-$G47)</f>
      </c>
      <c r="I47" s="24">
        <f>IF('Ürün Kartlar'!I47="",0,'Ürün Kartlar'!I47)</f>
      </c>
      <c r="J47" s="16">
        <f>IF($B47="","",IF($H47&lt;=0,"STOK YOK",IF($H47&lt;=$I47,"KRİTİK","Yeterli")))</f>
      </c>
    </row>
    <row r="48" spans="2:10" x14ac:dyDescent="0.25">
      <c r="B48" s="16">
        <f>IF('Ürün Kartlar'!B48="","",'Ürün Kartlar'!B48)</f>
      </c>
      <c r="C48" s="16">
        <f>IF('Ürün Kartlar'!C48="","",'Ürün Kartlar'!C48)</f>
      </c>
      <c r="D48" s="16">
        <f>IF('Ürün Kartlar'!D48="","",'Ürün Kartlar'!D48)</f>
      </c>
      <c r="E48" s="24">
        <f>IF('Ürün Kartlar'!H48="",0,'Ürün Kartlar'!H48)</f>
      </c>
      <c r="F48" s="24">
        <f>IF($B48="",0,SUMIFS('Hareketler'!$H$5:$H$1004,'Hareketler'!$F$5:$F$1004,$B48,'Hareketler'!$C$5:$C$1004,"Alış"))</f>
      </c>
      <c r="G48" s="24">
        <f>IF($B48="",0,SUMIFS('Hareketler'!$H$5:$H$1004,'Hareketler'!$F$5:$F$1004,$B48,'Hareketler'!$C$5:$C$1004,"Satış"))</f>
      </c>
      <c r="H48" s="25">
        <f>IF($B48="","",$E48+$F48-$G48)</f>
      </c>
      <c r="I48" s="24">
        <f>IF('Ürün Kartlar'!I48="",0,'Ürün Kartlar'!I48)</f>
      </c>
      <c r="J48" s="16">
        <f>IF($B48="","",IF($H48&lt;=0,"STOK YOK",IF($H48&lt;=$I48,"KRİTİK","Yeterli")))</f>
      </c>
    </row>
    <row r="49" spans="2:10" x14ac:dyDescent="0.25">
      <c r="B49" s="16">
        <f>IF('Ürün Kartlar'!B49="","",'Ürün Kartlar'!B49)</f>
      </c>
      <c r="C49" s="16">
        <f>IF('Ürün Kartlar'!C49="","",'Ürün Kartlar'!C49)</f>
      </c>
      <c r="D49" s="16">
        <f>IF('Ürün Kartlar'!D49="","",'Ürün Kartlar'!D49)</f>
      </c>
      <c r="E49" s="24">
        <f>IF('Ürün Kartlar'!H49="",0,'Ürün Kartlar'!H49)</f>
      </c>
      <c r="F49" s="24">
        <f>IF($B49="",0,SUMIFS('Hareketler'!$H$5:$H$1004,'Hareketler'!$F$5:$F$1004,$B49,'Hareketler'!$C$5:$C$1004,"Alış"))</f>
      </c>
      <c r="G49" s="24">
        <f>IF($B49="",0,SUMIFS('Hareketler'!$H$5:$H$1004,'Hareketler'!$F$5:$F$1004,$B49,'Hareketler'!$C$5:$C$1004,"Satış"))</f>
      </c>
      <c r="H49" s="25">
        <f>IF($B49="","",$E49+$F49-$G49)</f>
      </c>
      <c r="I49" s="24">
        <f>IF('Ürün Kartlar'!I49="",0,'Ürün Kartlar'!I49)</f>
      </c>
      <c r="J49" s="16">
        <f>IF($B49="","",IF($H49&lt;=0,"STOK YOK",IF($H49&lt;=$I49,"KRİTİK","Yeterli")))</f>
      </c>
    </row>
    <row r="50" spans="2:10" x14ac:dyDescent="0.25">
      <c r="B50" s="16">
        <f>IF('Ürün Kartlar'!B50="","",'Ürün Kartlar'!B50)</f>
      </c>
      <c r="C50" s="16">
        <f>IF('Ürün Kartlar'!C50="","",'Ürün Kartlar'!C50)</f>
      </c>
      <c r="D50" s="16">
        <f>IF('Ürün Kartlar'!D50="","",'Ürün Kartlar'!D50)</f>
      </c>
      <c r="E50" s="24">
        <f>IF('Ürün Kartlar'!H50="",0,'Ürün Kartlar'!H50)</f>
      </c>
      <c r="F50" s="24">
        <f>IF($B50="",0,SUMIFS('Hareketler'!$H$5:$H$1004,'Hareketler'!$F$5:$F$1004,$B50,'Hareketler'!$C$5:$C$1004,"Alış"))</f>
      </c>
      <c r="G50" s="24">
        <f>IF($B50="",0,SUMIFS('Hareketler'!$H$5:$H$1004,'Hareketler'!$F$5:$F$1004,$B50,'Hareketler'!$C$5:$C$1004,"Satış"))</f>
      </c>
      <c r="H50" s="25">
        <f>IF($B50="","",$E50+$F50-$G50)</f>
      </c>
      <c r="I50" s="24">
        <f>IF('Ürün Kartlar'!I50="",0,'Ürün Kartlar'!I50)</f>
      </c>
      <c r="J50" s="16">
        <f>IF($B50="","",IF($H50&lt;=0,"STOK YOK",IF($H50&lt;=$I50,"KRİTİK","Yeterli")))</f>
      </c>
    </row>
    <row r="51" spans="2:10" x14ac:dyDescent="0.25">
      <c r="B51" s="16">
        <f>IF('Ürün Kartlar'!B51="","",'Ürün Kartlar'!B51)</f>
      </c>
      <c r="C51" s="16">
        <f>IF('Ürün Kartlar'!C51="","",'Ürün Kartlar'!C51)</f>
      </c>
      <c r="D51" s="16">
        <f>IF('Ürün Kartlar'!D51="","",'Ürün Kartlar'!D51)</f>
      </c>
      <c r="E51" s="24">
        <f>IF('Ürün Kartlar'!H51="",0,'Ürün Kartlar'!H51)</f>
      </c>
      <c r="F51" s="24">
        <f>IF($B51="",0,SUMIFS('Hareketler'!$H$5:$H$1004,'Hareketler'!$F$5:$F$1004,$B51,'Hareketler'!$C$5:$C$1004,"Alış"))</f>
      </c>
      <c r="G51" s="24">
        <f>IF($B51="",0,SUMIFS('Hareketler'!$H$5:$H$1004,'Hareketler'!$F$5:$F$1004,$B51,'Hareketler'!$C$5:$C$1004,"Satış"))</f>
      </c>
      <c r="H51" s="25">
        <f>IF($B51="","",$E51+$F51-$G51)</f>
      </c>
      <c r="I51" s="24">
        <f>IF('Ürün Kartlar'!I51="",0,'Ürün Kartlar'!I51)</f>
      </c>
      <c r="J51" s="16">
        <f>IF($B51="","",IF($H51&lt;=0,"STOK YOK",IF($H51&lt;=$I51,"KRİTİK","Yeterli")))</f>
      </c>
    </row>
    <row r="52" spans="2:10" x14ac:dyDescent="0.25">
      <c r="B52" s="16">
        <f>IF('Ürün Kartlar'!B52="","",'Ürün Kartlar'!B52)</f>
      </c>
      <c r="C52" s="16">
        <f>IF('Ürün Kartlar'!C52="","",'Ürün Kartlar'!C52)</f>
      </c>
      <c r="D52" s="16">
        <f>IF('Ürün Kartlar'!D52="","",'Ürün Kartlar'!D52)</f>
      </c>
      <c r="E52" s="24">
        <f>IF('Ürün Kartlar'!H52="",0,'Ürün Kartlar'!H52)</f>
      </c>
      <c r="F52" s="24">
        <f>IF($B52="",0,SUMIFS('Hareketler'!$H$5:$H$1004,'Hareketler'!$F$5:$F$1004,$B52,'Hareketler'!$C$5:$C$1004,"Alış"))</f>
      </c>
      <c r="G52" s="24">
        <f>IF($B52="",0,SUMIFS('Hareketler'!$H$5:$H$1004,'Hareketler'!$F$5:$F$1004,$B52,'Hareketler'!$C$5:$C$1004,"Satış"))</f>
      </c>
      <c r="H52" s="25">
        <f>IF($B52="","",$E52+$F52-$G52)</f>
      </c>
      <c r="I52" s="24">
        <f>IF('Ürün Kartlar'!I52="",0,'Ürün Kartlar'!I52)</f>
      </c>
      <c r="J52" s="16">
        <f>IF($B52="","",IF($H52&lt;=0,"STOK YOK",IF($H52&lt;=$I52,"KRİTİK","Yeterli")))</f>
      </c>
    </row>
    <row r="53" spans="2:10" x14ac:dyDescent="0.25">
      <c r="B53" s="16">
        <f>IF('Ürün Kartlar'!B53="","",'Ürün Kartlar'!B53)</f>
      </c>
      <c r="C53" s="16">
        <f>IF('Ürün Kartlar'!C53="","",'Ürün Kartlar'!C53)</f>
      </c>
      <c r="D53" s="16">
        <f>IF('Ürün Kartlar'!D53="","",'Ürün Kartlar'!D53)</f>
      </c>
      <c r="E53" s="24">
        <f>IF('Ürün Kartlar'!H53="",0,'Ürün Kartlar'!H53)</f>
      </c>
      <c r="F53" s="24">
        <f>IF($B53="",0,SUMIFS('Hareketler'!$H$5:$H$1004,'Hareketler'!$F$5:$F$1004,$B53,'Hareketler'!$C$5:$C$1004,"Alış"))</f>
      </c>
      <c r="G53" s="24">
        <f>IF($B53="",0,SUMIFS('Hareketler'!$H$5:$H$1004,'Hareketler'!$F$5:$F$1004,$B53,'Hareketler'!$C$5:$C$1004,"Satış"))</f>
      </c>
      <c r="H53" s="25">
        <f>IF($B53="","",$E53+$F53-$G53)</f>
      </c>
      <c r="I53" s="24">
        <f>IF('Ürün Kartlar'!I53="",0,'Ürün Kartlar'!I53)</f>
      </c>
      <c r="J53" s="16">
        <f>IF($B53="","",IF($H53&lt;=0,"STOK YOK",IF($H53&lt;=$I53,"KRİTİK","Yeterli")))</f>
      </c>
    </row>
    <row r="54" spans="2:10" x14ac:dyDescent="0.25">
      <c r="B54" s="16">
        <f>IF('Ürün Kartlar'!B54="","",'Ürün Kartlar'!B54)</f>
      </c>
      <c r="C54" s="16">
        <f>IF('Ürün Kartlar'!C54="","",'Ürün Kartlar'!C54)</f>
      </c>
      <c r="D54" s="16">
        <f>IF('Ürün Kartlar'!D54="","",'Ürün Kartlar'!D54)</f>
      </c>
      <c r="E54" s="24">
        <f>IF('Ürün Kartlar'!H54="",0,'Ürün Kartlar'!H54)</f>
      </c>
      <c r="F54" s="24">
        <f>IF($B54="",0,SUMIFS('Hareketler'!$H$5:$H$1004,'Hareketler'!$F$5:$F$1004,$B54,'Hareketler'!$C$5:$C$1004,"Alış"))</f>
      </c>
      <c r="G54" s="24">
        <f>IF($B54="",0,SUMIFS('Hareketler'!$H$5:$H$1004,'Hareketler'!$F$5:$F$1004,$B54,'Hareketler'!$C$5:$C$1004,"Satış"))</f>
      </c>
      <c r="H54" s="25">
        <f>IF($B54="","",$E54+$F54-$G54)</f>
      </c>
      <c r="I54" s="24">
        <f>IF('Ürün Kartlar'!I54="",0,'Ürün Kartlar'!I54)</f>
      </c>
      <c r="J54" s="16">
        <f>IF($B54="","",IF($H54&lt;=0,"STOK YOK",IF($H54&lt;=$I54,"KRİTİK","Yeterli")))</f>
      </c>
    </row>
    <row r="55" spans="2:10" x14ac:dyDescent="0.25">
      <c r="B55" s="16">
        <f>IF('Ürün Kartlar'!B55="","",'Ürün Kartlar'!B55)</f>
      </c>
      <c r="C55" s="16">
        <f>IF('Ürün Kartlar'!C55="","",'Ürün Kartlar'!C55)</f>
      </c>
      <c r="D55" s="16">
        <f>IF('Ürün Kartlar'!D55="","",'Ürün Kartlar'!D55)</f>
      </c>
      <c r="E55" s="24">
        <f>IF('Ürün Kartlar'!H55="",0,'Ürün Kartlar'!H55)</f>
      </c>
      <c r="F55" s="24">
        <f>IF($B55="",0,SUMIFS('Hareketler'!$H$5:$H$1004,'Hareketler'!$F$5:$F$1004,$B55,'Hareketler'!$C$5:$C$1004,"Alış"))</f>
      </c>
      <c r="G55" s="24">
        <f>IF($B55="",0,SUMIFS('Hareketler'!$H$5:$H$1004,'Hareketler'!$F$5:$F$1004,$B55,'Hareketler'!$C$5:$C$1004,"Satış"))</f>
      </c>
      <c r="H55" s="25">
        <f>IF($B55="","",$E55+$F55-$G55)</f>
      </c>
      <c r="I55" s="24">
        <f>IF('Ürün Kartlar'!I55="",0,'Ürün Kartlar'!I55)</f>
      </c>
      <c r="J55" s="16">
        <f>IF($B55="","",IF($H55&lt;=0,"STOK YOK",IF($H55&lt;=$I55,"KRİTİK","Yeterli")))</f>
      </c>
    </row>
    <row r="56" spans="2:10" x14ac:dyDescent="0.25">
      <c r="B56" s="16">
        <f>IF('Ürün Kartlar'!B56="","",'Ürün Kartlar'!B56)</f>
      </c>
      <c r="C56" s="16">
        <f>IF('Ürün Kartlar'!C56="","",'Ürün Kartlar'!C56)</f>
      </c>
      <c r="D56" s="16">
        <f>IF('Ürün Kartlar'!D56="","",'Ürün Kartlar'!D56)</f>
      </c>
      <c r="E56" s="24">
        <f>IF('Ürün Kartlar'!H56="",0,'Ürün Kartlar'!H56)</f>
      </c>
      <c r="F56" s="24">
        <f>IF($B56="",0,SUMIFS('Hareketler'!$H$5:$H$1004,'Hareketler'!$F$5:$F$1004,$B56,'Hareketler'!$C$5:$C$1004,"Alış"))</f>
      </c>
      <c r="G56" s="24">
        <f>IF($B56="",0,SUMIFS('Hareketler'!$H$5:$H$1004,'Hareketler'!$F$5:$F$1004,$B56,'Hareketler'!$C$5:$C$1004,"Satış"))</f>
      </c>
      <c r="H56" s="25">
        <f>IF($B56="","",$E56+$F56-$G56)</f>
      </c>
      <c r="I56" s="24">
        <f>IF('Ürün Kartlar'!I56="",0,'Ürün Kartlar'!I56)</f>
      </c>
      <c r="J56" s="16">
        <f>IF($B56="","",IF($H56&lt;=0,"STOK YOK",IF($H56&lt;=$I56,"KRİTİK","Yeterli")))</f>
      </c>
    </row>
    <row r="57" spans="2:10" x14ac:dyDescent="0.25">
      <c r="B57" s="16">
        <f>IF('Ürün Kartlar'!B57="","",'Ürün Kartlar'!B57)</f>
      </c>
      <c r="C57" s="16">
        <f>IF('Ürün Kartlar'!C57="","",'Ürün Kartlar'!C57)</f>
      </c>
      <c r="D57" s="16">
        <f>IF('Ürün Kartlar'!D57="","",'Ürün Kartlar'!D57)</f>
      </c>
      <c r="E57" s="24">
        <f>IF('Ürün Kartlar'!H57="",0,'Ürün Kartlar'!H57)</f>
      </c>
      <c r="F57" s="24">
        <f>IF($B57="",0,SUMIFS('Hareketler'!$H$5:$H$1004,'Hareketler'!$F$5:$F$1004,$B57,'Hareketler'!$C$5:$C$1004,"Alış"))</f>
      </c>
      <c r="G57" s="24">
        <f>IF($B57="",0,SUMIFS('Hareketler'!$H$5:$H$1004,'Hareketler'!$F$5:$F$1004,$B57,'Hareketler'!$C$5:$C$1004,"Satış"))</f>
      </c>
      <c r="H57" s="25">
        <f>IF($B57="","",$E57+$F57-$G57)</f>
      </c>
      <c r="I57" s="24">
        <f>IF('Ürün Kartlar'!I57="",0,'Ürün Kartlar'!I57)</f>
      </c>
      <c r="J57" s="16">
        <f>IF($B57="","",IF($H57&lt;=0,"STOK YOK",IF($H57&lt;=$I57,"KRİTİK","Yeterli")))</f>
      </c>
    </row>
    <row r="58" spans="2:10" x14ac:dyDescent="0.25">
      <c r="B58" s="16">
        <f>IF('Ürün Kartlar'!B58="","",'Ürün Kartlar'!B58)</f>
      </c>
      <c r="C58" s="16">
        <f>IF('Ürün Kartlar'!C58="","",'Ürün Kartlar'!C58)</f>
      </c>
      <c r="D58" s="16">
        <f>IF('Ürün Kartlar'!D58="","",'Ürün Kartlar'!D58)</f>
      </c>
      <c r="E58" s="24">
        <f>IF('Ürün Kartlar'!H58="",0,'Ürün Kartlar'!H58)</f>
      </c>
      <c r="F58" s="24">
        <f>IF($B58="",0,SUMIFS('Hareketler'!$H$5:$H$1004,'Hareketler'!$F$5:$F$1004,$B58,'Hareketler'!$C$5:$C$1004,"Alış"))</f>
      </c>
      <c r="G58" s="24">
        <f>IF($B58="",0,SUMIFS('Hareketler'!$H$5:$H$1004,'Hareketler'!$F$5:$F$1004,$B58,'Hareketler'!$C$5:$C$1004,"Satış"))</f>
      </c>
      <c r="H58" s="25">
        <f>IF($B58="","",$E58+$F58-$G58)</f>
      </c>
      <c r="I58" s="24">
        <f>IF('Ürün Kartlar'!I58="",0,'Ürün Kartlar'!I58)</f>
      </c>
      <c r="J58" s="16">
        <f>IF($B58="","",IF($H58&lt;=0,"STOK YOK",IF($H58&lt;=$I58,"KRİTİK","Yeterli")))</f>
      </c>
    </row>
    <row r="59" spans="2:10" x14ac:dyDescent="0.25">
      <c r="B59" s="16">
        <f>IF('Ürün Kartlar'!B59="","",'Ürün Kartlar'!B59)</f>
      </c>
      <c r="C59" s="16">
        <f>IF('Ürün Kartlar'!C59="","",'Ürün Kartlar'!C59)</f>
      </c>
      <c r="D59" s="16">
        <f>IF('Ürün Kartlar'!D59="","",'Ürün Kartlar'!D59)</f>
      </c>
      <c r="E59" s="24">
        <f>IF('Ürün Kartlar'!H59="",0,'Ürün Kartlar'!H59)</f>
      </c>
      <c r="F59" s="24">
        <f>IF($B59="",0,SUMIFS('Hareketler'!$H$5:$H$1004,'Hareketler'!$F$5:$F$1004,$B59,'Hareketler'!$C$5:$C$1004,"Alış"))</f>
      </c>
      <c r="G59" s="24">
        <f>IF($B59="",0,SUMIFS('Hareketler'!$H$5:$H$1004,'Hareketler'!$F$5:$F$1004,$B59,'Hareketler'!$C$5:$C$1004,"Satış"))</f>
      </c>
      <c r="H59" s="25">
        <f>IF($B59="","",$E59+$F59-$G59)</f>
      </c>
      <c r="I59" s="24">
        <f>IF('Ürün Kartlar'!I59="",0,'Ürün Kartlar'!I59)</f>
      </c>
      <c r="J59" s="16">
        <f>IF($B59="","",IF($H59&lt;=0,"STOK YOK",IF($H59&lt;=$I59,"KRİTİK","Yeterli")))</f>
      </c>
    </row>
    <row r="60" spans="2:10" x14ac:dyDescent="0.25">
      <c r="B60" s="16">
        <f>IF('Ürün Kartlar'!B60="","",'Ürün Kartlar'!B60)</f>
      </c>
      <c r="C60" s="16">
        <f>IF('Ürün Kartlar'!C60="","",'Ürün Kartlar'!C60)</f>
      </c>
      <c r="D60" s="16">
        <f>IF('Ürün Kartlar'!D60="","",'Ürün Kartlar'!D60)</f>
      </c>
      <c r="E60" s="24">
        <f>IF('Ürün Kartlar'!H60="",0,'Ürün Kartlar'!H60)</f>
      </c>
      <c r="F60" s="24">
        <f>IF($B60="",0,SUMIFS('Hareketler'!$H$5:$H$1004,'Hareketler'!$F$5:$F$1004,$B60,'Hareketler'!$C$5:$C$1004,"Alış"))</f>
      </c>
      <c r="G60" s="24">
        <f>IF($B60="",0,SUMIFS('Hareketler'!$H$5:$H$1004,'Hareketler'!$F$5:$F$1004,$B60,'Hareketler'!$C$5:$C$1004,"Satış"))</f>
      </c>
      <c r="H60" s="25">
        <f>IF($B60="","",$E60+$F60-$G60)</f>
      </c>
      <c r="I60" s="24">
        <f>IF('Ürün Kartlar'!I60="",0,'Ürün Kartlar'!I60)</f>
      </c>
      <c r="J60" s="16">
        <f>IF($B60="","",IF($H60&lt;=0,"STOK YOK",IF($H60&lt;=$I60,"KRİTİK","Yeterli")))</f>
      </c>
    </row>
    <row r="61" spans="2:10" x14ac:dyDescent="0.25">
      <c r="B61" s="16">
        <f>IF('Ürün Kartlar'!B61="","",'Ürün Kartlar'!B61)</f>
      </c>
      <c r="C61" s="16">
        <f>IF('Ürün Kartlar'!C61="","",'Ürün Kartlar'!C61)</f>
      </c>
      <c r="D61" s="16">
        <f>IF('Ürün Kartlar'!D61="","",'Ürün Kartlar'!D61)</f>
      </c>
      <c r="E61" s="24">
        <f>IF('Ürün Kartlar'!H61="",0,'Ürün Kartlar'!H61)</f>
      </c>
      <c r="F61" s="24">
        <f>IF($B61="",0,SUMIFS('Hareketler'!$H$5:$H$1004,'Hareketler'!$F$5:$F$1004,$B61,'Hareketler'!$C$5:$C$1004,"Alış"))</f>
      </c>
      <c r="G61" s="24">
        <f>IF($B61="",0,SUMIFS('Hareketler'!$H$5:$H$1004,'Hareketler'!$F$5:$F$1004,$B61,'Hareketler'!$C$5:$C$1004,"Satış"))</f>
      </c>
      <c r="H61" s="25">
        <f>IF($B61="","",$E61+$F61-$G61)</f>
      </c>
      <c r="I61" s="24">
        <f>IF('Ürün Kartlar'!I61="",0,'Ürün Kartlar'!I61)</f>
      </c>
      <c r="J61" s="16">
        <f>IF($B61="","",IF($H61&lt;=0,"STOK YOK",IF($H61&lt;=$I61,"KRİTİK","Yeterli")))</f>
      </c>
    </row>
    <row r="62" spans="2:10" x14ac:dyDescent="0.25">
      <c r="B62" s="16">
        <f>IF('Ürün Kartlar'!B62="","",'Ürün Kartlar'!B62)</f>
      </c>
      <c r="C62" s="16">
        <f>IF('Ürün Kartlar'!C62="","",'Ürün Kartlar'!C62)</f>
      </c>
      <c r="D62" s="16">
        <f>IF('Ürün Kartlar'!D62="","",'Ürün Kartlar'!D62)</f>
      </c>
      <c r="E62" s="24">
        <f>IF('Ürün Kartlar'!H62="",0,'Ürün Kartlar'!H62)</f>
      </c>
      <c r="F62" s="24">
        <f>IF($B62="",0,SUMIFS('Hareketler'!$H$5:$H$1004,'Hareketler'!$F$5:$F$1004,$B62,'Hareketler'!$C$5:$C$1004,"Alış"))</f>
      </c>
      <c r="G62" s="24">
        <f>IF($B62="",0,SUMIFS('Hareketler'!$H$5:$H$1004,'Hareketler'!$F$5:$F$1004,$B62,'Hareketler'!$C$5:$C$1004,"Satış"))</f>
      </c>
      <c r="H62" s="25">
        <f>IF($B62="","",$E62+$F62-$G62)</f>
      </c>
      <c r="I62" s="24">
        <f>IF('Ürün Kartlar'!I62="",0,'Ürün Kartlar'!I62)</f>
      </c>
      <c r="J62" s="16">
        <f>IF($B62="","",IF($H62&lt;=0,"STOK YOK",IF($H62&lt;=$I62,"KRİTİK","Yeterli")))</f>
      </c>
    </row>
    <row r="63" spans="2:10" x14ac:dyDescent="0.25">
      <c r="B63" s="16">
        <f>IF('Ürün Kartlar'!B63="","",'Ürün Kartlar'!B63)</f>
      </c>
      <c r="C63" s="16">
        <f>IF('Ürün Kartlar'!C63="","",'Ürün Kartlar'!C63)</f>
      </c>
      <c r="D63" s="16">
        <f>IF('Ürün Kartlar'!D63="","",'Ürün Kartlar'!D63)</f>
      </c>
      <c r="E63" s="24">
        <f>IF('Ürün Kartlar'!H63="",0,'Ürün Kartlar'!H63)</f>
      </c>
      <c r="F63" s="24">
        <f>IF($B63="",0,SUMIFS('Hareketler'!$H$5:$H$1004,'Hareketler'!$F$5:$F$1004,$B63,'Hareketler'!$C$5:$C$1004,"Alış"))</f>
      </c>
      <c r="G63" s="24">
        <f>IF($B63="",0,SUMIFS('Hareketler'!$H$5:$H$1004,'Hareketler'!$F$5:$F$1004,$B63,'Hareketler'!$C$5:$C$1004,"Satış"))</f>
      </c>
      <c r="H63" s="25">
        <f>IF($B63="","",$E63+$F63-$G63)</f>
      </c>
      <c r="I63" s="24">
        <f>IF('Ürün Kartlar'!I63="",0,'Ürün Kartlar'!I63)</f>
      </c>
      <c r="J63" s="16">
        <f>IF($B63="","",IF($H63&lt;=0,"STOK YOK",IF($H63&lt;=$I63,"KRİTİK","Yeterli")))</f>
      </c>
    </row>
    <row r="64" spans="2:10" x14ac:dyDescent="0.25">
      <c r="B64" s="16">
        <f>IF('Ürün Kartlar'!B64="","",'Ürün Kartlar'!B64)</f>
      </c>
      <c r="C64" s="16">
        <f>IF('Ürün Kartlar'!C64="","",'Ürün Kartlar'!C64)</f>
      </c>
      <c r="D64" s="16">
        <f>IF('Ürün Kartlar'!D64="","",'Ürün Kartlar'!D64)</f>
      </c>
      <c r="E64" s="24">
        <f>IF('Ürün Kartlar'!H64="",0,'Ürün Kartlar'!H64)</f>
      </c>
      <c r="F64" s="24">
        <f>IF($B64="",0,SUMIFS('Hareketler'!$H$5:$H$1004,'Hareketler'!$F$5:$F$1004,$B64,'Hareketler'!$C$5:$C$1004,"Alış"))</f>
      </c>
      <c r="G64" s="24">
        <f>IF($B64="",0,SUMIFS('Hareketler'!$H$5:$H$1004,'Hareketler'!$F$5:$F$1004,$B64,'Hareketler'!$C$5:$C$1004,"Satış"))</f>
      </c>
      <c r="H64" s="25">
        <f>IF($B64="","",$E64+$F64-$G64)</f>
      </c>
      <c r="I64" s="24">
        <f>IF('Ürün Kartlar'!I64="",0,'Ürün Kartlar'!I64)</f>
      </c>
      <c r="J64" s="16">
        <f>IF($B64="","",IF($H64&lt;=0,"STOK YOK",IF($H64&lt;=$I64,"KRİTİK","Yeterli")))</f>
      </c>
    </row>
    <row r="65" spans="2:10" x14ac:dyDescent="0.25">
      <c r="B65" s="16">
        <f>IF('Ürün Kartlar'!B65="","",'Ürün Kartlar'!B65)</f>
      </c>
      <c r="C65" s="16">
        <f>IF('Ürün Kartlar'!C65="","",'Ürün Kartlar'!C65)</f>
      </c>
      <c r="D65" s="16">
        <f>IF('Ürün Kartlar'!D65="","",'Ürün Kartlar'!D65)</f>
      </c>
      <c r="E65" s="24">
        <f>IF('Ürün Kartlar'!H65="",0,'Ürün Kartlar'!H65)</f>
      </c>
      <c r="F65" s="24">
        <f>IF($B65="",0,SUMIFS('Hareketler'!$H$5:$H$1004,'Hareketler'!$F$5:$F$1004,$B65,'Hareketler'!$C$5:$C$1004,"Alış"))</f>
      </c>
      <c r="G65" s="24">
        <f>IF($B65="",0,SUMIFS('Hareketler'!$H$5:$H$1004,'Hareketler'!$F$5:$F$1004,$B65,'Hareketler'!$C$5:$C$1004,"Satış"))</f>
      </c>
      <c r="H65" s="25">
        <f>IF($B65="","",$E65+$F65-$G65)</f>
      </c>
      <c r="I65" s="24">
        <f>IF('Ürün Kartlar'!I65="",0,'Ürün Kartlar'!I65)</f>
      </c>
      <c r="J65" s="16">
        <f>IF($B65="","",IF($H65&lt;=0,"STOK YOK",IF($H65&lt;=$I65,"KRİTİK","Yeterli")))</f>
      </c>
    </row>
    <row r="66" spans="2:10" x14ac:dyDescent="0.25">
      <c r="B66" s="16">
        <f>IF('Ürün Kartlar'!B66="","",'Ürün Kartlar'!B66)</f>
      </c>
      <c r="C66" s="16">
        <f>IF('Ürün Kartlar'!C66="","",'Ürün Kartlar'!C66)</f>
      </c>
      <c r="D66" s="16">
        <f>IF('Ürün Kartlar'!D66="","",'Ürün Kartlar'!D66)</f>
      </c>
      <c r="E66" s="24">
        <f>IF('Ürün Kartlar'!H66="",0,'Ürün Kartlar'!H66)</f>
      </c>
      <c r="F66" s="24">
        <f>IF($B66="",0,SUMIFS('Hareketler'!$H$5:$H$1004,'Hareketler'!$F$5:$F$1004,$B66,'Hareketler'!$C$5:$C$1004,"Alış"))</f>
      </c>
      <c r="G66" s="24">
        <f>IF($B66="",0,SUMIFS('Hareketler'!$H$5:$H$1004,'Hareketler'!$F$5:$F$1004,$B66,'Hareketler'!$C$5:$C$1004,"Satış"))</f>
      </c>
      <c r="H66" s="25">
        <f>IF($B66="","",$E66+$F66-$G66)</f>
      </c>
      <c r="I66" s="24">
        <f>IF('Ürün Kartlar'!I66="",0,'Ürün Kartlar'!I66)</f>
      </c>
      <c r="J66" s="16">
        <f>IF($B66="","",IF($H66&lt;=0,"STOK YOK",IF($H66&lt;=$I66,"KRİTİK","Yeterli")))</f>
      </c>
    </row>
    <row r="67" spans="2:10" x14ac:dyDescent="0.25">
      <c r="B67" s="16">
        <f>IF('Ürün Kartlar'!B67="","",'Ürün Kartlar'!B67)</f>
      </c>
      <c r="C67" s="16">
        <f>IF('Ürün Kartlar'!C67="","",'Ürün Kartlar'!C67)</f>
      </c>
      <c r="D67" s="16">
        <f>IF('Ürün Kartlar'!D67="","",'Ürün Kartlar'!D67)</f>
      </c>
      <c r="E67" s="24">
        <f>IF('Ürün Kartlar'!H67="",0,'Ürün Kartlar'!H67)</f>
      </c>
      <c r="F67" s="24">
        <f>IF($B67="",0,SUMIFS('Hareketler'!$H$5:$H$1004,'Hareketler'!$F$5:$F$1004,$B67,'Hareketler'!$C$5:$C$1004,"Alış"))</f>
      </c>
      <c r="G67" s="24">
        <f>IF($B67="",0,SUMIFS('Hareketler'!$H$5:$H$1004,'Hareketler'!$F$5:$F$1004,$B67,'Hareketler'!$C$5:$C$1004,"Satış"))</f>
      </c>
      <c r="H67" s="25">
        <f>IF($B67="","",$E67+$F67-$G67)</f>
      </c>
      <c r="I67" s="24">
        <f>IF('Ürün Kartlar'!I67="",0,'Ürün Kartlar'!I67)</f>
      </c>
      <c r="J67" s="16">
        <f>IF($B67="","",IF($H67&lt;=0,"STOK YOK",IF($H67&lt;=$I67,"KRİTİK","Yeterli")))</f>
      </c>
    </row>
    <row r="68" spans="2:10" x14ac:dyDescent="0.25">
      <c r="B68" s="16">
        <f>IF('Ürün Kartlar'!B68="","",'Ürün Kartlar'!B68)</f>
      </c>
      <c r="C68" s="16">
        <f>IF('Ürün Kartlar'!C68="","",'Ürün Kartlar'!C68)</f>
      </c>
      <c r="D68" s="16">
        <f>IF('Ürün Kartlar'!D68="","",'Ürün Kartlar'!D68)</f>
      </c>
      <c r="E68" s="24">
        <f>IF('Ürün Kartlar'!H68="",0,'Ürün Kartlar'!H68)</f>
      </c>
      <c r="F68" s="24">
        <f>IF($B68="",0,SUMIFS('Hareketler'!$H$5:$H$1004,'Hareketler'!$F$5:$F$1004,$B68,'Hareketler'!$C$5:$C$1004,"Alış"))</f>
      </c>
      <c r="G68" s="24">
        <f>IF($B68="",0,SUMIFS('Hareketler'!$H$5:$H$1004,'Hareketler'!$F$5:$F$1004,$B68,'Hareketler'!$C$5:$C$1004,"Satış"))</f>
      </c>
      <c r="H68" s="25">
        <f>IF($B68="","",$E68+$F68-$G68)</f>
      </c>
      <c r="I68" s="24">
        <f>IF('Ürün Kartlar'!I68="",0,'Ürün Kartlar'!I68)</f>
      </c>
      <c r="J68" s="16">
        <f>IF($B68="","",IF($H68&lt;=0,"STOK YOK",IF($H68&lt;=$I68,"KRİTİK","Yeterli")))</f>
      </c>
    </row>
    <row r="69" spans="2:10" x14ac:dyDescent="0.25">
      <c r="B69" s="16">
        <f>IF('Ürün Kartlar'!B69="","",'Ürün Kartlar'!B69)</f>
      </c>
      <c r="C69" s="16">
        <f>IF('Ürün Kartlar'!C69="","",'Ürün Kartlar'!C69)</f>
      </c>
      <c r="D69" s="16">
        <f>IF('Ürün Kartlar'!D69="","",'Ürün Kartlar'!D69)</f>
      </c>
      <c r="E69" s="24">
        <f>IF('Ürün Kartlar'!H69="",0,'Ürün Kartlar'!H69)</f>
      </c>
      <c r="F69" s="24">
        <f>IF($B69="",0,SUMIFS('Hareketler'!$H$5:$H$1004,'Hareketler'!$F$5:$F$1004,$B69,'Hareketler'!$C$5:$C$1004,"Alış"))</f>
      </c>
      <c r="G69" s="24">
        <f>IF($B69="",0,SUMIFS('Hareketler'!$H$5:$H$1004,'Hareketler'!$F$5:$F$1004,$B69,'Hareketler'!$C$5:$C$1004,"Satış"))</f>
      </c>
      <c r="H69" s="25">
        <f>IF($B69="","",$E69+$F69-$G69)</f>
      </c>
      <c r="I69" s="24">
        <f>IF('Ürün Kartlar'!I69="",0,'Ürün Kartlar'!I69)</f>
      </c>
      <c r="J69" s="16">
        <f>IF($B69="","",IF($H69&lt;=0,"STOK YOK",IF($H69&lt;=$I69,"KRİTİK","Yeterli")))</f>
      </c>
    </row>
    <row r="70" spans="2:10" x14ac:dyDescent="0.25">
      <c r="B70" s="16">
        <f>IF('Ürün Kartlar'!B70="","",'Ürün Kartlar'!B70)</f>
      </c>
      <c r="C70" s="16">
        <f>IF('Ürün Kartlar'!C70="","",'Ürün Kartlar'!C70)</f>
      </c>
      <c r="D70" s="16">
        <f>IF('Ürün Kartlar'!D70="","",'Ürün Kartlar'!D70)</f>
      </c>
      <c r="E70" s="24">
        <f>IF('Ürün Kartlar'!H70="",0,'Ürün Kartlar'!H70)</f>
      </c>
      <c r="F70" s="24">
        <f>IF($B70="",0,SUMIFS('Hareketler'!$H$5:$H$1004,'Hareketler'!$F$5:$F$1004,$B70,'Hareketler'!$C$5:$C$1004,"Alış"))</f>
      </c>
      <c r="G70" s="24">
        <f>IF($B70="",0,SUMIFS('Hareketler'!$H$5:$H$1004,'Hareketler'!$F$5:$F$1004,$B70,'Hareketler'!$C$5:$C$1004,"Satış"))</f>
      </c>
      <c r="H70" s="25">
        <f>IF($B70="","",$E70+$F70-$G70)</f>
      </c>
      <c r="I70" s="24">
        <f>IF('Ürün Kartlar'!I70="",0,'Ürün Kartlar'!I70)</f>
      </c>
      <c r="J70" s="16">
        <f>IF($B70="","",IF($H70&lt;=0,"STOK YOK",IF($H70&lt;=$I70,"KRİTİK","Yeterli")))</f>
      </c>
    </row>
    <row r="71" spans="2:10" x14ac:dyDescent="0.25">
      <c r="B71" s="16">
        <f>IF('Ürün Kartlar'!B71="","",'Ürün Kartlar'!B71)</f>
      </c>
      <c r="C71" s="16">
        <f>IF('Ürün Kartlar'!C71="","",'Ürün Kartlar'!C71)</f>
      </c>
      <c r="D71" s="16">
        <f>IF('Ürün Kartlar'!D71="","",'Ürün Kartlar'!D71)</f>
      </c>
      <c r="E71" s="24">
        <f>IF('Ürün Kartlar'!H71="",0,'Ürün Kartlar'!H71)</f>
      </c>
      <c r="F71" s="24">
        <f>IF($B71="",0,SUMIFS('Hareketler'!$H$5:$H$1004,'Hareketler'!$F$5:$F$1004,$B71,'Hareketler'!$C$5:$C$1004,"Alış"))</f>
      </c>
      <c r="G71" s="24">
        <f>IF($B71="",0,SUMIFS('Hareketler'!$H$5:$H$1004,'Hareketler'!$F$5:$F$1004,$B71,'Hareketler'!$C$5:$C$1004,"Satış"))</f>
      </c>
      <c r="H71" s="25">
        <f>IF($B71="","",$E71+$F71-$G71)</f>
      </c>
      <c r="I71" s="24">
        <f>IF('Ürün Kartlar'!I71="",0,'Ürün Kartlar'!I71)</f>
      </c>
      <c r="J71" s="16">
        <f>IF($B71="","",IF($H71&lt;=0,"STOK YOK",IF($H71&lt;=$I71,"KRİTİK","Yeterli")))</f>
      </c>
    </row>
    <row r="72" spans="2:10" x14ac:dyDescent="0.25">
      <c r="B72" s="16">
        <f>IF('Ürün Kartlar'!B72="","",'Ürün Kartlar'!B72)</f>
      </c>
      <c r="C72" s="16">
        <f>IF('Ürün Kartlar'!C72="","",'Ürün Kartlar'!C72)</f>
      </c>
      <c r="D72" s="16">
        <f>IF('Ürün Kartlar'!D72="","",'Ürün Kartlar'!D72)</f>
      </c>
      <c r="E72" s="24">
        <f>IF('Ürün Kartlar'!H72="",0,'Ürün Kartlar'!H72)</f>
      </c>
      <c r="F72" s="24">
        <f>IF($B72="",0,SUMIFS('Hareketler'!$H$5:$H$1004,'Hareketler'!$F$5:$F$1004,$B72,'Hareketler'!$C$5:$C$1004,"Alış"))</f>
      </c>
      <c r="G72" s="24">
        <f>IF($B72="",0,SUMIFS('Hareketler'!$H$5:$H$1004,'Hareketler'!$F$5:$F$1004,$B72,'Hareketler'!$C$5:$C$1004,"Satış"))</f>
      </c>
      <c r="H72" s="25">
        <f>IF($B72="","",$E72+$F72-$G72)</f>
      </c>
      <c r="I72" s="24">
        <f>IF('Ürün Kartlar'!I72="",0,'Ürün Kartlar'!I72)</f>
      </c>
      <c r="J72" s="16">
        <f>IF($B72="","",IF($H72&lt;=0,"STOK YOK",IF($H72&lt;=$I72,"KRİTİK","Yeterli")))</f>
      </c>
    </row>
    <row r="73" spans="2:10" x14ac:dyDescent="0.25">
      <c r="B73" s="16">
        <f>IF('Ürün Kartlar'!B73="","",'Ürün Kartlar'!B73)</f>
      </c>
      <c r="C73" s="16">
        <f>IF('Ürün Kartlar'!C73="","",'Ürün Kartlar'!C73)</f>
      </c>
      <c r="D73" s="16">
        <f>IF('Ürün Kartlar'!D73="","",'Ürün Kartlar'!D73)</f>
      </c>
      <c r="E73" s="24">
        <f>IF('Ürün Kartlar'!H73="",0,'Ürün Kartlar'!H73)</f>
      </c>
      <c r="F73" s="24">
        <f>IF($B73="",0,SUMIFS('Hareketler'!$H$5:$H$1004,'Hareketler'!$F$5:$F$1004,$B73,'Hareketler'!$C$5:$C$1004,"Alış"))</f>
      </c>
      <c r="G73" s="24">
        <f>IF($B73="",0,SUMIFS('Hareketler'!$H$5:$H$1004,'Hareketler'!$F$5:$F$1004,$B73,'Hareketler'!$C$5:$C$1004,"Satış"))</f>
      </c>
      <c r="H73" s="25">
        <f>IF($B73="","",$E73+$F73-$G73)</f>
      </c>
      <c r="I73" s="24">
        <f>IF('Ürün Kartlar'!I73="",0,'Ürün Kartlar'!I73)</f>
      </c>
      <c r="J73" s="16">
        <f>IF($B73="","",IF($H73&lt;=0,"STOK YOK",IF($H73&lt;=$I73,"KRİTİK","Yeterli")))</f>
      </c>
    </row>
    <row r="74" spans="2:10" x14ac:dyDescent="0.25">
      <c r="B74" s="16">
        <f>IF('Ürün Kartlar'!B74="","",'Ürün Kartlar'!B74)</f>
      </c>
      <c r="C74" s="16">
        <f>IF('Ürün Kartlar'!C74="","",'Ürün Kartlar'!C74)</f>
      </c>
      <c r="D74" s="16">
        <f>IF('Ürün Kartlar'!D74="","",'Ürün Kartlar'!D74)</f>
      </c>
      <c r="E74" s="24">
        <f>IF('Ürün Kartlar'!H74="",0,'Ürün Kartlar'!H74)</f>
      </c>
      <c r="F74" s="24">
        <f>IF($B74="",0,SUMIFS('Hareketler'!$H$5:$H$1004,'Hareketler'!$F$5:$F$1004,$B74,'Hareketler'!$C$5:$C$1004,"Alış"))</f>
      </c>
      <c r="G74" s="24">
        <f>IF($B74="",0,SUMIFS('Hareketler'!$H$5:$H$1004,'Hareketler'!$F$5:$F$1004,$B74,'Hareketler'!$C$5:$C$1004,"Satış"))</f>
      </c>
      <c r="H74" s="25">
        <f>IF($B74="","",$E74+$F74-$G74)</f>
      </c>
      <c r="I74" s="24">
        <f>IF('Ürün Kartlar'!I74="",0,'Ürün Kartlar'!I74)</f>
      </c>
      <c r="J74" s="16">
        <f>IF($B74="","",IF($H74&lt;=0,"STOK YOK",IF($H74&lt;=$I74,"KRİTİK","Yeterli")))</f>
      </c>
    </row>
    <row r="75" spans="2:10" x14ac:dyDescent="0.25">
      <c r="B75" s="16">
        <f>IF('Ürün Kartlar'!B75="","",'Ürün Kartlar'!B75)</f>
      </c>
      <c r="C75" s="16">
        <f>IF('Ürün Kartlar'!C75="","",'Ürün Kartlar'!C75)</f>
      </c>
      <c r="D75" s="16">
        <f>IF('Ürün Kartlar'!D75="","",'Ürün Kartlar'!D75)</f>
      </c>
      <c r="E75" s="24">
        <f>IF('Ürün Kartlar'!H75="",0,'Ürün Kartlar'!H75)</f>
      </c>
      <c r="F75" s="24">
        <f>IF($B75="",0,SUMIFS('Hareketler'!$H$5:$H$1004,'Hareketler'!$F$5:$F$1004,$B75,'Hareketler'!$C$5:$C$1004,"Alış"))</f>
      </c>
      <c r="G75" s="24">
        <f>IF($B75="",0,SUMIFS('Hareketler'!$H$5:$H$1004,'Hareketler'!$F$5:$F$1004,$B75,'Hareketler'!$C$5:$C$1004,"Satış"))</f>
      </c>
      <c r="H75" s="25">
        <f>IF($B75="","",$E75+$F75-$G75)</f>
      </c>
      <c r="I75" s="24">
        <f>IF('Ürün Kartlar'!I75="",0,'Ürün Kartlar'!I75)</f>
      </c>
      <c r="J75" s="16">
        <f>IF($B75="","",IF($H75&lt;=0,"STOK YOK",IF($H75&lt;=$I75,"KRİTİK","Yeterli")))</f>
      </c>
    </row>
    <row r="76" spans="2:10" x14ac:dyDescent="0.25">
      <c r="B76" s="16">
        <f>IF('Ürün Kartlar'!B76="","",'Ürün Kartlar'!B76)</f>
      </c>
      <c r="C76" s="16">
        <f>IF('Ürün Kartlar'!C76="","",'Ürün Kartlar'!C76)</f>
      </c>
      <c r="D76" s="16">
        <f>IF('Ürün Kartlar'!D76="","",'Ürün Kartlar'!D76)</f>
      </c>
      <c r="E76" s="24">
        <f>IF('Ürün Kartlar'!H76="",0,'Ürün Kartlar'!H76)</f>
      </c>
      <c r="F76" s="24">
        <f>IF($B76="",0,SUMIFS('Hareketler'!$H$5:$H$1004,'Hareketler'!$F$5:$F$1004,$B76,'Hareketler'!$C$5:$C$1004,"Alış"))</f>
      </c>
      <c r="G76" s="24">
        <f>IF($B76="",0,SUMIFS('Hareketler'!$H$5:$H$1004,'Hareketler'!$F$5:$F$1004,$B76,'Hareketler'!$C$5:$C$1004,"Satış"))</f>
      </c>
      <c r="H76" s="25">
        <f>IF($B76="","",$E76+$F76-$G76)</f>
      </c>
      <c r="I76" s="24">
        <f>IF('Ürün Kartlar'!I76="",0,'Ürün Kartlar'!I76)</f>
      </c>
      <c r="J76" s="16">
        <f>IF($B76="","",IF($H76&lt;=0,"STOK YOK",IF($H76&lt;=$I76,"KRİTİK","Yeterli")))</f>
      </c>
    </row>
    <row r="77" spans="2:10" x14ac:dyDescent="0.25">
      <c r="B77" s="16">
        <f>IF('Ürün Kartlar'!B77="","",'Ürün Kartlar'!B77)</f>
      </c>
      <c r="C77" s="16">
        <f>IF('Ürün Kartlar'!C77="","",'Ürün Kartlar'!C77)</f>
      </c>
      <c r="D77" s="16">
        <f>IF('Ürün Kartlar'!D77="","",'Ürün Kartlar'!D77)</f>
      </c>
      <c r="E77" s="24">
        <f>IF('Ürün Kartlar'!H77="",0,'Ürün Kartlar'!H77)</f>
      </c>
      <c r="F77" s="24">
        <f>IF($B77="",0,SUMIFS('Hareketler'!$H$5:$H$1004,'Hareketler'!$F$5:$F$1004,$B77,'Hareketler'!$C$5:$C$1004,"Alış"))</f>
      </c>
      <c r="G77" s="24">
        <f>IF($B77="",0,SUMIFS('Hareketler'!$H$5:$H$1004,'Hareketler'!$F$5:$F$1004,$B77,'Hareketler'!$C$5:$C$1004,"Satış"))</f>
      </c>
      <c r="H77" s="25">
        <f>IF($B77="","",$E77+$F77-$G77)</f>
      </c>
      <c r="I77" s="24">
        <f>IF('Ürün Kartlar'!I77="",0,'Ürün Kartlar'!I77)</f>
      </c>
      <c r="J77" s="16">
        <f>IF($B77="","",IF($H77&lt;=0,"STOK YOK",IF($H77&lt;=$I77,"KRİTİK","Yeterli")))</f>
      </c>
    </row>
    <row r="78" spans="2:10" x14ac:dyDescent="0.25">
      <c r="B78" s="16">
        <f>IF('Ürün Kartlar'!B78="","",'Ürün Kartlar'!B78)</f>
      </c>
      <c r="C78" s="16">
        <f>IF('Ürün Kartlar'!C78="","",'Ürün Kartlar'!C78)</f>
      </c>
      <c r="D78" s="16">
        <f>IF('Ürün Kartlar'!D78="","",'Ürün Kartlar'!D78)</f>
      </c>
      <c r="E78" s="24">
        <f>IF('Ürün Kartlar'!H78="",0,'Ürün Kartlar'!H78)</f>
      </c>
      <c r="F78" s="24">
        <f>IF($B78="",0,SUMIFS('Hareketler'!$H$5:$H$1004,'Hareketler'!$F$5:$F$1004,$B78,'Hareketler'!$C$5:$C$1004,"Alış"))</f>
      </c>
      <c r="G78" s="24">
        <f>IF($B78="",0,SUMIFS('Hareketler'!$H$5:$H$1004,'Hareketler'!$F$5:$F$1004,$B78,'Hareketler'!$C$5:$C$1004,"Satış"))</f>
      </c>
      <c r="H78" s="25">
        <f>IF($B78="","",$E78+$F78-$G78)</f>
      </c>
      <c r="I78" s="24">
        <f>IF('Ürün Kartlar'!I78="",0,'Ürün Kartlar'!I78)</f>
      </c>
      <c r="J78" s="16">
        <f>IF($B78="","",IF($H78&lt;=0,"STOK YOK",IF($H78&lt;=$I78,"KRİTİK","Yeterli")))</f>
      </c>
    </row>
    <row r="79" spans="2:10" x14ac:dyDescent="0.25">
      <c r="B79" s="16">
        <f>IF('Ürün Kartlar'!B79="","",'Ürün Kartlar'!B79)</f>
      </c>
      <c r="C79" s="16">
        <f>IF('Ürün Kartlar'!C79="","",'Ürün Kartlar'!C79)</f>
      </c>
      <c r="D79" s="16">
        <f>IF('Ürün Kartlar'!D79="","",'Ürün Kartlar'!D79)</f>
      </c>
      <c r="E79" s="24">
        <f>IF('Ürün Kartlar'!H79="",0,'Ürün Kartlar'!H79)</f>
      </c>
      <c r="F79" s="24">
        <f>IF($B79="",0,SUMIFS('Hareketler'!$H$5:$H$1004,'Hareketler'!$F$5:$F$1004,$B79,'Hareketler'!$C$5:$C$1004,"Alış"))</f>
      </c>
      <c r="G79" s="24">
        <f>IF($B79="",0,SUMIFS('Hareketler'!$H$5:$H$1004,'Hareketler'!$F$5:$F$1004,$B79,'Hareketler'!$C$5:$C$1004,"Satış"))</f>
      </c>
      <c r="H79" s="25">
        <f>IF($B79="","",$E79+$F79-$G79)</f>
      </c>
      <c r="I79" s="24">
        <f>IF('Ürün Kartlar'!I79="",0,'Ürün Kartlar'!I79)</f>
      </c>
      <c r="J79" s="16">
        <f>IF($B79="","",IF($H79&lt;=0,"STOK YOK",IF($H79&lt;=$I79,"KRİTİK","Yeterli")))</f>
      </c>
    </row>
    <row r="80" spans="2:10" x14ac:dyDescent="0.25">
      <c r="B80" s="16">
        <f>IF('Ürün Kartlar'!B80="","",'Ürün Kartlar'!B80)</f>
      </c>
      <c r="C80" s="16">
        <f>IF('Ürün Kartlar'!C80="","",'Ürün Kartlar'!C80)</f>
      </c>
      <c r="D80" s="16">
        <f>IF('Ürün Kartlar'!D80="","",'Ürün Kartlar'!D80)</f>
      </c>
      <c r="E80" s="24">
        <f>IF('Ürün Kartlar'!H80="",0,'Ürün Kartlar'!H80)</f>
      </c>
      <c r="F80" s="24">
        <f>IF($B80="",0,SUMIFS('Hareketler'!$H$5:$H$1004,'Hareketler'!$F$5:$F$1004,$B80,'Hareketler'!$C$5:$C$1004,"Alış"))</f>
      </c>
      <c r="G80" s="24">
        <f>IF($B80="",0,SUMIFS('Hareketler'!$H$5:$H$1004,'Hareketler'!$F$5:$F$1004,$B80,'Hareketler'!$C$5:$C$1004,"Satış"))</f>
      </c>
      <c r="H80" s="25">
        <f>IF($B80="","",$E80+$F80-$G80)</f>
      </c>
      <c r="I80" s="24">
        <f>IF('Ürün Kartlar'!I80="",0,'Ürün Kartlar'!I80)</f>
      </c>
      <c r="J80" s="16">
        <f>IF($B80="","",IF($H80&lt;=0,"STOK YOK",IF($H80&lt;=$I80,"KRİTİK","Yeterli")))</f>
      </c>
    </row>
    <row r="81" spans="2:10" x14ac:dyDescent="0.25">
      <c r="B81" s="16">
        <f>IF('Ürün Kartlar'!B81="","",'Ürün Kartlar'!B81)</f>
      </c>
      <c r="C81" s="16">
        <f>IF('Ürün Kartlar'!C81="","",'Ürün Kartlar'!C81)</f>
      </c>
      <c r="D81" s="16">
        <f>IF('Ürün Kartlar'!D81="","",'Ürün Kartlar'!D81)</f>
      </c>
      <c r="E81" s="24">
        <f>IF('Ürün Kartlar'!H81="",0,'Ürün Kartlar'!H81)</f>
      </c>
      <c r="F81" s="24">
        <f>IF($B81="",0,SUMIFS('Hareketler'!$H$5:$H$1004,'Hareketler'!$F$5:$F$1004,$B81,'Hareketler'!$C$5:$C$1004,"Alış"))</f>
      </c>
      <c r="G81" s="24">
        <f>IF($B81="",0,SUMIFS('Hareketler'!$H$5:$H$1004,'Hareketler'!$F$5:$F$1004,$B81,'Hareketler'!$C$5:$C$1004,"Satış"))</f>
      </c>
      <c r="H81" s="25">
        <f>IF($B81="","",$E81+$F81-$G81)</f>
      </c>
      <c r="I81" s="24">
        <f>IF('Ürün Kartlar'!I81="",0,'Ürün Kartlar'!I81)</f>
      </c>
      <c r="J81" s="16">
        <f>IF($B81="","",IF($H81&lt;=0,"STOK YOK",IF($H81&lt;=$I81,"KRİTİK","Yeterli")))</f>
      </c>
    </row>
    <row r="82" spans="2:10" x14ac:dyDescent="0.25">
      <c r="B82" s="16">
        <f>IF('Ürün Kartlar'!B82="","",'Ürün Kartlar'!B82)</f>
      </c>
      <c r="C82" s="16">
        <f>IF('Ürün Kartlar'!C82="","",'Ürün Kartlar'!C82)</f>
      </c>
      <c r="D82" s="16">
        <f>IF('Ürün Kartlar'!D82="","",'Ürün Kartlar'!D82)</f>
      </c>
      <c r="E82" s="24">
        <f>IF('Ürün Kartlar'!H82="",0,'Ürün Kartlar'!H82)</f>
      </c>
      <c r="F82" s="24">
        <f>IF($B82="",0,SUMIFS('Hareketler'!$H$5:$H$1004,'Hareketler'!$F$5:$F$1004,$B82,'Hareketler'!$C$5:$C$1004,"Alış"))</f>
      </c>
      <c r="G82" s="24">
        <f>IF($B82="",0,SUMIFS('Hareketler'!$H$5:$H$1004,'Hareketler'!$F$5:$F$1004,$B82,'Hareketler'!$C$5:$C$1004,"Satış"))</f>
      </c>
      <c r="H82" s="25">
        <f>IF($B82="","",$E82+$F82-$G82)</f>
      </c>
      <c r="I82" s="24">
        <f>IF('Ürün Kartlar'!I82="",0,'Ürün Kartlar'!I82)</f>
      </c>
      <c r="J82" s="16">
        <f>IF($B82="","",IF($H82&lt;=0,"STOK YOK",IF($H82&lt;=$I82,"KRİTİK","Yeterli")))</f>
      </c>
    </row>
    <row r="83" spans="2:10" x14ac:dyDescent="0.25">
      <c r="B83" s="16">
        <f>IF('Ürün Kartlar'!B83="","",'Ürün Kartlar'!B83)</f>
      </c>
      <c r="C83" s="16">
        <f>IF('Ürün Kartlar'!C83="","",'Ürün Kartlar'!C83)</f>
      </c>
      <c r="D83" s="16">
        <f>IF('Ürün Kartlar'!D83="","",'Ürün Kartlar'!D83)</f>
      </c>
      <c r="E83" s="24">
        <f>IF('Ürün Kartlar'!H83="",0,'Ürün Kartlar'!H83)</f>
      </c>
      <c r="F83" s="24">
        <f>IF($B83="",0,SUMIFS('Hareketler'!$H$5:$H$1004,'Hareketler'!$F$5:$F$1004,$B83,'Hareketler'!$C$5:$C$1004,"Alış"))</f>
      </c>
      <c r="G83" s="24">
        <f>IF($B83="",0,SUMIFS('Hareketler'!$H$5:$H$1004,'Hareketler'!$F$5:$F$1004,$B83,'Hareketler'!$C$5:$C$1004,"Satış"))</f>
      </c>
      <c r="H83" s="25">
        <f>IF($B83="","",$E83+$F83-$G83)</f>
      </c>
      <c r="I83" s="24">
        <f>IF('Ürün Kartlar'!I83="",0,'Ürün Kartlar'!I83)</f>
      </c>
      <c r="J83" s="16">
        <f>IF($B83="","",IF($H83&lt;=0,"STOK YOK",IF($H83&lt;=$I83,"KRİTİK","Yeterli")))</f>
      </c>
    </row>
    <row r="84" spans="2:10" x14ac:dyDescent="0.25">
      <c r="B84" s="16">
        <f>IF('Ürün Kartlar'!B84="","",'Ürün Kartlar'!B84)</f>
      </c>
      <c r="C84" s="16">
        <f>IF('Ürün Kartlar'!C84="","",'Ürün Kartlar'!C84)</f>
      </c>
      <c r="D84" s="16">
        <f>IF('Ürün Kartlar'!D84="","",'Ürün Kartlar'!D84)</f>
      </c>
      <c r="E84" s="24">
        <f>IF('Ürün Kartlar'!H84="",0,'Ürün Kartlar'!H84)</f>
      </c>
      <c r="F84" s="24">
        <f>IF($B84="",0,SUMIFS('Hareketler'!$H$5:$H$1004,'Hareketler'!$F$5:$F$1004,$B84,'Hareketler'!$C$5:$C$1004,"Alış"))</f>
      </c>
      <c r="G84" s="24">
        <f>IF($B84="",0,SUMIFS('Hareketler'!$H$5:$H$1004,'Hareketler'!$F$5:$F$1004,$B84,'Hareketler'!$C$5:$C$1004,"Satış"))</f>
      </c>
      <c r="H84" s="25">
        <f>IF($B84="","",$E84+$F84-$G84)</f>
      </c>
      <c r="I84" s="24">
        <f>IF('Ürün Kartlar'!I84="",0,'Ürün Kartlar'!I84)</f>
      </c>
      <c r="J84" s="16">
        <f>IF($B84="","",IF($H84&lt;=0,"STOK YOK",IF($H84&lt;=$I84,"KRİTİK","Yeterli")))</f>
      </c>
    </row>
    <row r="85" spans="2:10" x14ac:dyDescent="0.25">
      <c r="B85" s="16">
        <f>IF('Ürün Kartlar'!B85="","",'Ürün Kartlar'!B85)</f>
      </c>
      <c r="C85" s="16">
        <f>IF('Ürün Kartlar'!C85="","",'Ürün Kartlar'!C85)</f>
      </c>
      <c r="D85" s="16">
        <f>IF('Ürün Kartlar'!D85="","",'Ürün Kartlar'!D85)</f>
      </c>
      <c r="E85" s="24">
        <f>IF('Ürün Kartlar'!H85="",0,'Ürün Kartlar'!H85)</f>
      </c>
      <c r="F85" s="24">
        <f>IF($B85="",0,SUMIFS('Hareketler'!$H$5:$H$1004,'Hareketler'!$F$5:$F$1004,$B85,'Hareketler'!$C$5:$C$1004,"Alış"))</f>
      </c>
      <c r="G85" s="24">
        <f>IF($B85="",0,SUMIFS('Hareketler'!$H$5:$H$1004,'Hareketler'!$F$5:$F$1004,$B85,'Hareketler'!$C$5:$C$1004,"Satış"))</f>
      </c>
      <c r="H85" s="25">
        <f>IF($B85="","",$E85+$F85-$G85)</f>
      </c>
      <c r="I85" s="24">
        <f>IF('Ürün Kartlar'!I85="",0,'Ürün Kartlar'!I85)</f>
      </c>
      <c r="J85" s="16">
        <f>IF($B85="","",IF($H85&lt;=0,"STOK YOK",IF($H85&lt;=$I85,"KRİTİK","Yeterli")))</f>
      </c>
    </row>
    <row r="86" spans="2:10" x14ac:dyDescent="0.25">
      <c r="B86" s="16">
        <f>IF('Ürün Kartlar'!B86="","",'Ürün Kartlar'!B86)</f>
      </c>
      <c r="C86" s="16">
        <f>IF('Ürün Kartlar'!C86="","",'Ürün Kartlar'!C86)</f>
      </c>
      <c r="D86" s="16">
        <f>IF('Ürün Kartlar'!D86="","",'Ürün Kartlar'!D86)</f>
      </c>
      <c r="E86" s="24">
        <f>IF('Ürün Kartlar'!H86="",0,'Ürün Kartlar'!H86)</f>
      </c>
      <c r="F86" s="24">
        <f>IF($B86="",0,SUMIFS('Hareketler'!$H$5:$H$1004,'Hareketler'!$F$5:$F$1004,$B86,'Hareketler'!$C$5:$C$1004,"Alış"))</f>
      </c>
      <c r="G86" s="24">
        <f>IF($B86="",0,SUMIFS('Hareketler'!$H$5:$H$1004,'Hareketler'!$F$5:$F$1004,$B86,'Hareketler'!$C$5:$C$1004,"Satış"))</f>
      </c>
      <c r="H86" s="25">
        <f>IF($B86="","",$E86+$F86-$G86)</f>
      </c>
      <c r="I86" s="24">
        <f>IF('Ürün Kartlar'!I86="",0,'Ürün Kartlar'!I86)</f>
      </c>
      <c r="J86" s="16">
        <f>IF($B86="","",IF($H86&lt;=0,"STOK YOK",IF($H86&lt;=$I86,"KRİTİK","Yeterli")))</f>
      </c>
    </row>
    <row r="87" spans="2:10" x14ac:dyDescent="0.25">
      <c r="B87" s="16">
        <f>IF('Ürün Kartlar'!B87="","",'Ürün Kartlar'!B87)</f>
      </c>
      <c r="C87" s="16">
        <f>IF('Ürün Kartlar'!C87="","",'Ürün Kartlar'!C87)</f>
      </c>
      <c r="D87" s="16">
        <f>IF('Ürün Kartlar'!D87="","",'Ürün Kartlar'!D87)</f>
      </c>
      <c r="E87" s="24">
        <f>IF('Ürün Kartlar'!H87="",0,'Ürün Kartlar'!H87)</f>
      </c>
      <c r="F87" s="24">
        <f>IF($B87="",0,SUMIFS('Hareketler'!$H$5:$H$1004,'Hareketler'!$F$5:$F$1004,$B87,'Hareketler'!$C$5:$C$1004,"Alış"))</f>
      </c>
      <c r="G87" s="24">
        <f>IF($B87="",0,SUMIFS('Hareketler'!$H$5:$H$1004,'Hareketler'!$F$5:$F$1004,$B87,'Hareketler'!$C$5:$C$1004,"Satış"))</f>
      </c>
      <c r="H87" s="25">
        <f>IF($B87="","",$E87+$F87-$G87)</f>
      </c>
      <c r="I87" s="24">
        <f>IF('Ürün Kartlar'!I87="",0,'Ürün Kartlar'!I87)</f>
      </c>
      <c r="J87" s="16">
        <f>IF($B87="","",IF($H87&lt;=0,"STOK YOK",IF($H87&lt;=$I87,"KRİTİK","Yeterli")))</f>
      </c>
    </row>
    <row r="88" spans="2:10" x14ac:dyDescent="0.25">
      <c r="B88" s="16">
        <f>IF('Ürün Kartlar'!B88="","",'Ürün Kartlar'!B88)</f>
      </c>
      <c r="C88" s="16">
        <f>IF('Ürün Kartlar'!C88="","",'Ürün Kartlar'!C88)</f>
      </c>
      <c r="D88" s="16">
        <f>IF('Ürün Kartlar'!D88="","",'Ürün Kartlar'!D88)</f>
      </c>
      <c r="E88" s="24">
        <f>IF('Ürün Kartlar'!H88="",0,'Ürün Kartlar'!H88)</f>
      </c>
      <c r="F88" s="24">
        <f>IF($B88="",0,SUMIFS('Hareketler'!$H$5:$H$1004,'Hareketler'!$F$5:$F$1004,$B88,'Hareketler'!$C$5:$C$1004,"Alış"))</f>
      </c>
      <c r="G88" s="24">
        <f>IF($B88="",0,SUMIFS('Hareketler'!$H$5:$H$1004,'Hareketler'!$F$5:$F$1004,$B88,'Hareketler'!$C$5:$C$1004,"Satış"))</f>
      </c>
      <c r="H88" s="25">
        <f>IF($B88="","",$E88+$F88-$G88)</f>
      </c>
      <c r="I88" s="24">
        <f>IF('Ürün Kartlar'!I88="",0,'Ürün Kartlar'!I88)</f>
      </c>
      <c r="J88" s="16">
        <f>IF($B88="","",IF($H88&lt;=0,"STOK YOK",IF($H88&lt;=$I88,"KRİTİK","Yeterli")))</f>
      </c>
    </row>
    <row r="89" spans="2:10" x14ac:dyDescent="0.25">
      <c r="B89" s="16">
        <f>IF('Ürün Kartlar'!B89="","",'Ürün Kartlar'!B89)</f>
      </c>
      <c r="C89" s="16">
        <f>IF('Ürün Kartlar'!C89="","",'Ürün Kartlar'!C89)</f>
      </c>
      <c r="D89" s="16">
        <f>IF('Ürün Kartlar'!D89="","",'Ürün Kartlar'!D89)</f>
      </c>
      <c r="E89" s="24">
        <f>IF('Ürün Kartlar'!H89="",0,'Ürün Kartlar'!H89)</f>
      </c>
      <c r="F89" s="24">
        <f>IF($B89="",0,SUMIFS('Hareketler'!$H$5:$H$1004,'Hareketler'!$F$5:$F$1004,$B89,'Hareketler'!$C$5:$C$1004,"Alış"))</f>
      </c>
      <c r="G89" s="24">
        <f>IF($B89="",0,SUMIFS('Hareketler'!$H$5:$H$1004,'Hareketler'!$F$5:$F$1004,$B89,'Hareketler'!$C$5:$C$1004,"Satış"))</f>
      </c>
      <c r="H89" s="25">
        <f>IF($B89="","",$E89+$F89-$G89)</f>
      </c>
      <c r="I89" s="24">
        <f>IF('Ürün Kartlar'!I89="",0,'Ürün Kartlar'!I89)</f>
      </c>
      <c r="J89" s="16">
        <f>IF($B89="","",IF($H89&lt;=0,"STOK YOK",IF($H89&lt;=$I89,"KRİTİK","Yeterli")))</f>
      </c>
    </row>
    <row r="90" spans="2:10" x14ac:dyDescent="0.25">
      <c r="B90" s="16">
        <f>IF('Ürün Kartlar'!B90="","",'Ürün Kartlar'!B90)</f>
      </c>
      <c r="C90" s="16">
        <f>IF('Ürün Kartlar'!C90="","",'Ürün Kartlar'!C90)</f>
      </c>
      <c r="D90" s="16">
        <f>IF('Ürün Kartlar'!D90="","",'Ürün Kartlar'!D90)</f>
      </c>
      <c r="E90" s="24">
        <f>IF('Ürün Kartlar'!H90="",0,'Ürün Kartlar'!H90)</f>
      </c>
      <c r="F90" s="24">
        <f>IF($B90="",0,SUMIFS('Hareketler'!$H$5:$H$1004,'Hareketler'!$F$5:$F$1004,$B90,'Hareketler'!$C$5:$C$1004,"Alış"))</f>
      </c>
      <c r="G90" s="24">
        <f>IF($B90="",0,SUMIFS('Hareketler'!$H$5:$H$1004,'Hareketler'!$F$5:$F$1004,$B90,'Hareketler'!$C$5:$C$1004,"Satış"))</f>
      </c>
      <c r="H90" s="25">
        <f>IF($B90="","",$E90+$F90-$G90)</f>
      </c>
      <c r="I90" s="24">
        <f>IF('Ürün Kartlar'!I90="",0,'Ürün Kartlar'!I90)</f>
      </c>
      <c r="J90" s="16">
        <f>IF($B90="","",IF($H90&lt;=0,"STOK YOK",IF($H90&lt;=$I90,"KRİTİK","Yeterli")))</f>
      </c>
    </row>
    <row r="91" spans="2:10" x14ac:dyDescent="0.25">
      <c r="B91" s="16">
        <f>IF('Ürün Kartlar'!B91="","",'Ürün Kartlar'!B91)</f>
      </c>
      <c r="C91" s="16">
        <f>IF('Ürün Kartlar'!C91="","",'Ürün Kartlar'!C91)</f>
      </c>
      <c r="D91" s="16">
        <f>IF('Ürün Kartlar'!D91="","",'Ürün Kartlar'!D91)</f>
      </c>
      <c r="E91" s="24">
        <f>IF('Ürün Kartlar'!H91="",0,'Ürün Kartlar'!H91)</f>
      </c>
      <c r="F91" s="24">
        <f>IF($B91="",0,SUMIFS('Hareketler'!$H$5:$H$1004,'Hareketler'!$F$5:$F$1004,$B91,'Hareketler'!$C$5:$C$1004,"Alış"))</f>
      </c>
      <c r="G91" s="24">
        <f>IF($B91="",0,SUMIFS('Hareketler'!$H$5:$H$1004,'Hareketler'!$F$5:$F$1004,$B91,'Hareketler'!$C$5:$C$1004,"Satış"))</f>
      </c>
      <c r="H91" s="25">
        <f>IF($B91="","",$E91+$F91-$G91)</f>
      </c>
      <c r="I91" s="24">
        <f>IF('Ürün Kartlar'!I91="",0,'Ürün Kartlar'!I91)</f>
      </c>
      <c r="J91" s="16">
        <f>IF($B91="","",IF($H91&lt;=0,"STOK YOK",IF($H91&lt;=$I91,"KRİTİK","Yeterli")))</f>
      </c>
    </row>
    <row r="92" spans="2:10" x14ac:dyDescent="0.25">
      <c r="B92" s="16">
        <f>IF('Ürün Kartlar'!B92="","",'Ürün Kartlar'!B92)</f>
      </c>
      <c r="C92" s="16">
        <f>IF('Ürün Kartlar'!C92="","",'Ürün Kartlar'!C92)</f>
      </c>
      <c r="D92" s="16">
        <f>IF('Ürün Kartlar'!D92="","",'Ürün Kartlar'!D92)</f>
      </c>
      <c r="E92" s="24">
        <f>IF('Ürün Kartlar'!H92="",0,'Ürün Kartlar'!H92)</f>
      </c>
      <c r="F92" s="24">
        <f>IF($B92="",0,SUMIFS('Hareketler'!$H$5:$H$1004,'Hareketler'!$F$5:$F$1004,$B92,'Hareketler'!$C$5:$C$1004,"Alış"))</f>
      </c>
      <c r="G92" s="24">
        <f>IF($B92="",0,SUMIFS('Hareketler'!$H$5:$H$1004,'Hareketler'!$F$5:$F$1004,$B92,'Hareketler'!$C$5:$C$1004,"Satış"))</f>
      </c>
      <c r="H92" s="25">
        <f>IF($B92="","",$E92+$F92-$G92)</f>
      </c>
      <c r="I92" s="24">
        <f>IF('Ürün Kartlar'!I92="",0,'Ürün Kartlar'!I92)</f>
      </c>
      <c r="J92" s="16">
        <f>IF($B92="","",IF($H92&lt;=0,"STOK YOK",IF($H92&lt;=$I92,"KRİTİK","Yeterli")))</f>
      </c>
    </row>
    <row r="93" spans="2:10" x14ac:dyDescent="0.25">
      <c r="B93" s="16">
        <f>IF('Ürün Kartlar'!B93="","",'Ürün Kartlar'!B93)</f>
      </c>
      <c r="C93" s="16">
        <f>IF('Ürün Kartlar'!C93="","",'Ürün Kartlar'!C93)</f>
      </c>
      <c r="D93" s="16">
        <f>IF('Ürün Kartlar'!D93="","",'Ürün Kartlar'!D93)</f>
      </c>
      <c r="E93" s="24">
        <f>IF('Ürün Kartlar'!H93="",0,'Ürün Kartlar'!H93)</f>
      </c>
      <c r="F93" s="24">
        <f>IF($B93="",0,SUMIFS('Hareketler'!$H$5:$H$1004,'Hareketler'!$F$5:$F$1004,$B93,'Hareketler'!$C$5:$C$1004,"Alış"))</f>
      </c>
      <c r="G93" s="24">
        <f>IF($B93="",0,SUMIFS('Hareketler'!$H$5:$H$1004,'Hareketler'!$F$5:$F$1004,$B93,'Hareketler'!$C$5:$C$1004,"Satış"))</f>
      </c>
      <c r="H93" s="25">
        <f>IF($B93="","",$E93+$F93-$G93)</f>
      </c>
      <c r="I93" s="24">
        <f>IF('Ürün Kartlar'!I93="",0,'Ürün Kartlar'!I93)</f>
      </c>
      <c r="J93" s="16">
        <f>IF($B93="","",IF($H93&lt;=0,"STOK YOK",IF($H93&lt;=$I93,"KRİTİK","Yeterli")))</f>
      </c>
    </row>
    <row r="94" spans="2:10" x14ac:dyDescent="0.25">
      <c r="B94" s="16">
        <f>IF('Ürün Kartlar'!B94="","",'Ürün Kartlar'!B94)</f>
      </c>
      <c r="C94" s="16">
        <f>IF('Ürün Kartlar'!C94="","",'Ürün Kartlar'!C94)</f>
      </c>
      <c r="D94" s="16">
        <f>IF('Ürün Kartlar'!D94="","",'Ürün Kartlar'!D94)</f>
      </c>
      <c r="E94" s="24">
        <f>IF('Ürün Kartlar'!H94="",0,'Ürün Kartlar'!H94)</f>
      </c>
      <c r="F94" s="24">
        <f>IF($B94="",0,SUMIFS('Hareketler'!$H$5:$H$1004,'Hareketler'!$F$5:$F$1004,$B94,'Hareketler'!$C$5:$C$1004,"Alış"))</f>
      </c>
      <c r="G94" s="24">
        <f>IF($B94="",0,SUMIFS('Hareketler'!$H$5:$H$1004,'Hareketler'!$F$5:$F$1004,$B94,'Hareketler'!$C$5:$C$1004,"Satış"))</f>
      </c>
      <c r="H94" s="25">
        <f>IF($B94="","",$E94+$F94-$G94)</f>
      </c>
      <c r="I94" s="24">
        <f>IF('Ürün Kartlar'!I94="",0,'Ürün Kartlar'!I94)</f>
      </c>
      <c r="J94" s="16">
        <f>IF($B94="","",IF($H94&lt;=0,"STOK YOK",IF($H94&lt;=$I94,"KRİTİK","Yeterli")))</f>
      </c>
    </row>
    <row r="95" spans="2:10" x14ac:dyDescent="0.25">
      <c r="B95" s="16">
        <f>IF('Ürün Kartlar'!B95="","",'Ürün Kartlar'!B95)</f>
      </c>
      <c r="C95" s="16">
        <f>IF('Ürün Kartlar'!C95="","",'Ürün Kartlar'!C95)</f>
      </c>
      <c r="D95" s="16">
        <f>IF('Ürün Kartlar'!D95="","",'Ürün Kartlar'!D95)</f>
      </c>
      <c r="E95" s="24">
        <f>IF('Ürün Kartlar'!H95="",0,'Ürün Kartlar'!H95)</f>
      </c>
      <c r="F95" s="24">
        <f>IF($B95="",0,SUMIFS('Hareketler'!$H$5:$H$1004,'Hareketler'!$F$5:$F$1004,$B95,'Hareketler'!$C$5:$C$1004,"Alış"))</f>
      </c>
      <c r="G95" s="24">
        <f>IF($B95="",0,SUMIFS('Hareketler'!$H$5:$H$1004,'Hareketler'!$F$5:$F$1004,$B95,'Hareketler'!$C$5:$C$1004,"Satış"))</f>
      </c>
      <c r="H95" s="25">
        <f>IF($B95="","",$E95+$F95-$G95)</f>
      </c>
      <c r="I95" s="24">
        <f>IF('Ürün Kartlar'!I95="",0,'Ürün Kartlar'!I95)</f>
      </c>
      <c r="J95" s="16">
        <f>IF($B95="","",IF($H95&lt;=0,"STOK YOK",IF($H95&lt;=$I95,"KRİTİK","Yeterli")))</f>
      </c>
    </row>
    <row r="96" spans="2:10" x14ac:dyDescent="0.25">
      <c r="B96" s="16">
        <f>IF('Ürün Kartlar'!B96="","",'Ürün Kartlar'!B96)</f>
      </c>
      <c r="C96" s="16">
        <f>IF('Ürün Kartlar'!C96="","",'Ürün Kartlar'!C96)</f>
      </c>
      <c r="D96" s="16">
        <f>IF('Ürün Kartlar'!D96="","",'Ürün Kartlar'!D96)</f>
      </c>
      <c r="E96" s="24">
        <f>IF('Ürün Kartlar'!H96="",0,'Ürün Kartlar'!H96)</f>
      </c>
      <c r="F96" s="24">
        <f>IF($B96="",0,SUMIFS('Hareketler'!$H$5:$H$1004,'Hareketler'!$F$5:$F$1004,$B96,'Hareketler'!$C$5:$C$1004,"Alış"))</f>
      </c>
      <c r="G96" s="24">
        <f>IF($B96="",0,SUMIFS('Hareketler'!$H$5:$H$1004,'Hareketler'!$F$5:$F$1004,$B96,'Hareketler'!$C$5:$C$1004,"Satış"))</f>
      </c>
      <c r="H96" s="25">
        <f>IF($B96="","",$E96+$F96-$G96)</f>
      </c>
      <c r="I96" s="24">
        <f>IF('Ürün Kartlar'!I96="",0,'Ürün Kartlar'!I96)</f>
      </c>
      <c r="J96" s="16">
        <f>IF($B96="","",IF($H96&lt;=0,"STOK YOK",IF($H96&lt;=$I96,"KRİTİK","Yeterli")))</f>
      </c>
    </row>
    <row r="97" spans="2:10" x14ac:dyDescent="0.25">
      <c r="B97" s="16">
        <f>IF('Ürün Kartlar'!B97="","",'Ürün Kartlar'!B97)</f>
      </c>
      <c r="C97" s="16">
        <f>IF('Ürün Kartlar'!C97="","",'Ürün Kartlar'!C97)</f>
      </c>
      <c r="D97" s="16">
        <f>IF('Ürün Kartlar'!D97="","",'Ürün Kartlar'!D97)</f>
      </c>
      <c r="E97" s="24">
        <f>IF('Ürün Kartlar'!H97="",0,'Ürün Kartlar'!H97)</f>
      </c>
      <c r="F97" s="24">
        <f>IF($B97="",0,SUMIFS('Hareketler'!$H$5:$H$1004,'Hareketler'!$F$5:$F$1004,$B97,'Hareketler'!$C$5:$C$1004,"Alış"))</f>
      </c>
      <c r="G97" s="24">
        <f>IF($B97="",0,SUMIFS('Hareketler'!$H$5:$H$1004,'Hareketler'!$F$5:$F$1004,$B97,'Hareketler'!$C$5:$C$1004,"Satış"))</f>
      </c>
      <c r="H97" s="25">
        <f>IF($B97="","",$E97+$F97-$G97)</f>
      </c>
      <c r="I97" s="24">
        <f>IF('Ürün Kartlar'!I97="",0,'Ürün Kartlar'!I97)</f>
      </c>
      <c r="J97" s="16">
        <f>IF($B97="","",IF($H97&lt;=0,"STOK YOK",IF($H97&lt;=$I97,"KRİTİK","Yeterli")))</f>
      </c>
    </row>
    <row r="98" spans="2:10" x14ac:dyDescent="0.25">
      <c r="B98" s="16">
        <f>IF('Ürün Kartlar'!B98="","",'Ürün Kartlar'!B98)</f>
      </c>
      <c r="C98" s="16">
        <f>IF('Ürün Kartlar'!C98="","",'Ürün Kartlar'!C98)</f>
      </c>
      <c r="D98" s="16">
        <f>IF('Ürün Kartlar'!D98="","",'Ürün Kartlar'!D98)</f>
      </c>
      <c r="E98" s="24">
        <f>IF('Ürün Kartlar'!H98="",0,'Ürün Kartlar'!H98)</f>
      </c>
      <c r="F98" s="24">
        <f>IF($B98="",0,SUMIFS('Hareketler'!$H$5:$H$1004,'Hareketler'!$F$5:$F$1004,$B98,'Hareketler'!$C$5:$C$1004,"Alış"))</f>
      </c>
      <c r="G98" s="24">
        <f>IF($B98="",0,SUMIFS('Hareketler'!$H$5:$H$1004,'Hareketler'!$F$5:$F$1004,$B98,'Hareketler'!$C$5:$C$1004,"Satış"))</f>
      </c>
      <c r="H98" s="25">
        <f>IF($B98="","",$E98+$F98-$G98)</f>
      </c>
      <c r="I98" s="24">
        <f>IF('Ürün Kartlar'!I98="",0,'Ürün Kartlar'!I98)</f>
      </c>
      <c r="J98" s="16">
        <f>IF($B98="","",IF($H98&lt;=0,"STOK YOK",IF($H98&lt;=$I98,"KRİTİK","Yeterli")))</f>
      </c>
    </row>
    <row r="99" spans="2:10" x14ac:dyDescent="0.25">
      <c r="B99" s="16">
        <f>IF('Ürün Kartlar'!B99="","",'Ürün Kartlar'!B99)</f>
      </c>
      <c r="C99" s="16">
        <f>IF('Ürün Kartlar'!C99="","",'Ürün Kartlar'!C99)</f>
      </c>
      <c r="D99" s="16">
        <f>IF('Ürün Kartlar'!D99="","",'Ürün Kartlar'!D99)</f>
      </c>
      <c r="E99" s="24">
        <f>IF('Ürün Kartlar'!H99="",0,'Ürün Kartlar'!H99)</f>
      </c>
      <c r="F99" s="24">
        <f>IF($B99="",0,SUMIFS('Hareketler'!$H$5:$H$1004,'Hareketler'!$F$5:$F$1004,$B99,'Hareketler'!$C$5:$C$1004,"Alış"))</f>
      </c>
      <c r="G99" s="24">
        <f>IF($B99="",0,SUMIFS('Hareketler'!$H$5:$H$1004,'Hareketler'!$F$5:$F$1004,$B99,'Hareketler'!$C$5:$C$1004,"Satış"))</f>
      </c>
      <c r="H99" s="25">
        <f>IF($B99="","",$E99+$F99-$G99)</f>
      </c>
      <c r="I99" s="24">
        <f>IF('Ürün Kartlar'!I99="",0,'Ürün Kartlar'!I99)</f>
      </c>
      <c r="J99" s="16">
        <f>IF($B99="","",IF($H99&lt;=0,"STOK YOK",IF($H99&lt;=$I99,"KRİTİK","Yeterli")))</f>
      </c>
    </row>
    <row r="100" spans="2:10" x14ac:dyDescent="0.25">
      <c r="B100" s="16">
        <f>IF('Ürün Kartlar'!B100="","",'Ürün Kartlar'!B100)</f>
      </c>
      <c r="C100" s="16">
        <f>IF('Ürün Kartlar'!C100="","",'Ürün Kartlar'!C100)</f>
      </c>
      <c r="D100" s="16">
        <f>IF('Ürün Kartlar'!D100="","",'Ürün Kartlar'!D100)</f>
      </c>
      <c r="E100" s="24">
        <f>IF('Ürün Kartlar'!H100="",0,'Ürün Kartlar'!H100)</f>
      </c>
      <c r="F100" s="24">
        <f>IF($B100="",0,SUMIFS('Hareketler'!$H$5:$H$1004,'Hareketler'!$F$5:$F$1004,$B100,'Hareketler'!$C$5:$C$1004,"Alış"))</f>
      </c>
      <c r="G100" s="24">
        <f>IF($B100="",0,SUMIFS('Hareketler'!$H$5:$H$1004,'Hareketler'!$F$5:$F$1004,$B100,'Hareketler'!$C$5:$C$1004,"Satış"))</f>
      </c>
      <c r="H100" s="25">
        <f>IF($B100="","",$E100+$F100-$G100)</f>
      </c>
      <c r="I100" s="24">
        <f>IF('Ürün Kartlar'!I100="",0,'Ürün Kartlar'!I100)</f>
      </c>
      <c r="J100" s="16">
        <f>IF($B100="","",IF($H100&lt;=0,"STOK YOK",IF($H100&lt;=$I100,"KRİTİK","Yeterli")))</f>
      </c>
    </row>
    <row r="101" spans="2:10" x14ac:dyDescent="0.25">
      <c r="B101" s="16">
        <f>IF('Ürün Kartlar'!B101="","",'Ürün Kartlar'!B101)</f>
      </c>
      <c r="C101" s="16">
        <f>IF('Ürün Kartlar'!C101="","",'Ürün Kartlar'!C101)</f>
      </c>
      <c r="D101" s="16">
        <f>IF('Ürün Kartlar'!D101="","",'Ürün Kartlar'!D101)</f>
      </c>
      <c r="E101" s="24">
        <f>IF('Ürün Kartlar'!H101="",0,'Ürün Kartlar'!H101)</f>
      </c>
      <c r="F101" s="24">
        <f>IF($B101="",0,SUMIFS('Hareketler'!$H$5:$H$1004,'Hareketler'!$F$5:$F$1004,$B101,'Hareketler'!$C$5:$C$1004,"Alış"))</f>
      </c>
      <c r="G101" s="24">
        <f>IF($B101="",0,SUMIFS('Hareketler'!$H$5:$H$1004,'Hareketler'!$F$5:$F$1004,$B101,'Hareketler'!$C$5:$C$1004,"Satış"))</f>
      </c>
      <c r="H101" s="25">
        <f>IF($B101="","",$E101+$F101-$G101)</f>
      </c>
      <c r="I101" s="24">
        <f>IF('Ürün Kartlar'!I101="",0,'Ürün Kartlar'!I101)</f>
      </c>
      <c r="J101" s="16">
        <f>IF($B101="","",IF($H101&lt;=0,"STOK YOK",IF($H101&lt;=$I101,"KRİTİK","Yeterli")))</f>
      </c>
    </row>
    <row r="102" spans="2:10" x14ac:dyDescent="0.25">
      <c r="B102" s="16">
        <f>IF('Ürün Kartlar'!B102="","",'Ürün Kartlar'!B102)</f>
      </c>
      <c r="C102" s="16">
        <f>IF('Ürün Kartlar'!C102="","",'Ürün Kartlar'!C102)</f>
      </c>
      <c r="D102" s="16">
        <f>IF('Ürün Kartlar'!D102="","",'Ürün Kartlar'!D102)</f>
      </c>
      <c r="E102" s="24">
        <f>IF('Ürün Kartlar'!H102="",0,'Ürün Kartlar'!H102)</f>
      </c>
      <c r="F102" s="24">
        <f>IF($B102="",0,SUMIFS('Hareketler'!$H$5:$H$1004,'Hareketler'!$F$5:$F$1004,$B102,'Hareketler'!$C$5:$C$1004,"Alış"))</f>
      </c>
      <c r="G102" s="24">
        <f>IF($B102="",0,SUMIFS('Hareketler'!$H$5:$H$1004,'Hareketler'!$F$5:$F$1004,$B102,'Hareketler'!$C$5:$C$1004,"Satış"))</f>
      </c>
      <c r="H102" s="25">
        <f>IF($B102="","",$E102+$F102-$G102)</f>
      </c>
      <c r="I102" s="24">
        <f>IF('Ürün Kartlar'!I102="",0,'Ürün Kartlar'!I102)</f>
      </c>
      <c r="J102" s="16">
        <f>IF($B102="","",IF($H102&lt;=0,"STOK YOK",IF($H102&lt;=$I102,"KRİTİK","Yeterli")))</f>
      </c>
    </row>
    <row r="103" spans="2:10" x14ac:dyDescent="0.25">
      <c r="B103" s="16">
        <f>IF('Ürün Kartlar'!B103="","",'Ürün Kartlar'!B103)</f>
      </c>
      <c r="C103" s="16">
        <f>IF('Ürün Kartlar'!C103="","",'Ürün Kartlar'!C103)</f>
      </c>
      <c r="D103" s="16">
        <f>IF('Ürün Kartlar'!D103="","",'Ürün Kartlar'!D103)</f>
      </c>
      <c r="E103" s="24">
        <f>IF('Ürün Kartlar'!H103="",0,'Ürün Kartlar'!H103)</f>
      </c>
      <c r="F103" s="24">
        <f>IF($B103="",0,SUMIFS('Hareketler'!$H$5:$H$1004,'Hareketler'!$F$5:$F$1004,$B103,'Hareketler'!$C$5:$C$1004,"Alış"))</f>
      </c>
      <c r="G103" s="24">
        <f>IF($B103="",0,SUMIFS('Hareketler'!$H$5:$H$1004,'Hareketler'!$F$5:$F$1004,$B103,'Hareketler'!$C$5:$C$1004,"Satış"))</f>
      </c>
      <c r="H103" s="25">
        <f>IF($B103="","",$E103+$F103-$G103)</f>
      </c>
      <c r="I103" s="24">
        <f>IF('Ürün Kartlar'!I103="",0,'Ürün Kartlar'!I103)</f>
      </c>
      <c r="J103" s="16">
        <f>IF($B103="","",IF($H103&lt;=0,"STOK YOK",IF($H103&lt;=$I103,"KRİTİK","Yeterli")))</f>
      </c>
    </row>
    <row r="104" spans="2:10" x14ac:dyDescent="0.25">
      <c r="B104" s="16">
        <f>IF('Ürün Kartlar'!B104="","",'Ürün Kartlar'!B104)</f>
      </c>
      <c r="C104" s="16">
        <f>IF('Ürün Kartlar'!C104="","",'Ürün Kartlar'!C104)</f>
      </c>
      <c r="D104" s="16">
        <f>IF('Ürün Kartlar'!D104="","",'Ürün Kartlar'!D104)</f>
      </c>
      <c r="E104" s="24">
        <f>IF('Ürün Kartlar'!H104="",0,'Ürün Kartlar'!H104)</f>
      </c>
      <c r="F104" s="24">
        <f>IF($B104="",0,SUMIFS('Hareketler'!$H$5:$H$1004,'Hareketler'!$F$5:$F$1004,$B104,'Hareketler'!$C$5:$C$1004,"Alış"))</f>
      </c>
      <c r="G104" s="24">
        <f>IF($B104="",0,SUMIFS('Hareketler'!$H$5:$H$1004,'Hareketler'!$F$5:$F$1004,$B104,'Hareketler'!$C$5:$C$1004,"Satış"))</f>
      </c>
      <c r="H104" s="25">
        <f>IF($B104="","",$E104+$F104-$G104)</f>
      </c>
      <c r="I104" s="24">
        <f>IF('Ürün Kartlar'!I104="",0,'Ürün Kartlar'!I104)</f>
      </c>
      <c r="J104" s="16">
        <f>IF($B104="","",IF($H104&lt;=0,"STOK YOK",IF($H104&lt;=$I104,"KRİTİK","Yeterli")))</f>
      </c>
    </row>
    <row r="105" spans="2:10" x14ac:dyDescent="0.25">
      <c r="B105" s="16">
        <f>IF('Ürün Kartlar'!B105="","",'Ürün Kartlar'!B105)</f>
      </c>
      <c r="C105" s="16">
        <f>IF('Ürün Kartlar'!C105="","",'Ürün Kartlar'!C105)</f>
      </c>
      <c r="D105" s="16">
        <f>IF('Ürün Kartlar'!D105="","",'Ürün Kartlar'!D105)</f>
      </c>
      <c r="E105" s="24">
        <f>IF('Ürün Kartlar'!H105="",0,'Ürün Kartlar'!H105)</f>
      </c>
      <c r="F105" s="24">
        <f>IF($B105="",0,SUMIFS('Hareketler'!$H$5:$H$1004,'Hareketler'!$F$5:$F$1004,$B105,'Hareketler'!$C$5:$C$1004,"Alış"))</f>
      </c>
      <c r="G105" s="24">
        <f>IF($B105="",0,SUMIFS('Hareketler'!$H$5:$H$1004,'Hareketler'!$F$5:$F$1004,$B105,'Hareketler'!$C$5:$C$1004,"Satış"))</f>
      </c>
      <c r="H105" s="25">
        <f>IF($B105="","",$E105+$F105-$G105)</f>
      </c>
      <c r="I105" s="24">
        <f>IF('Ürün Kartlar'!I105="",0,'Ürün Kartlar'!I105)</f>
      </c>
      <c r="J105" s="16">
        <f>IF($B105="","",IF($H105&lt;=0,"STOK YOK",IF($H105&lt;=$I105,"KRİTİK","Yeterli")))</f>
      </c>
    </row>
    <row r="106" spans="2:10" x14ac:dyDescent="0.25">
      <c r="B106" s="16">
        <f>IF('Ürün Kartlar'!B106="","",'Ürün Kartlar'!B106)</f>
      </c>
      <c r="C106" s="16">
        <f>IF('Ürün Kartlar'!C106="","",'Ürün Kartlar'!C106)</f>
      </c>
      <c r="D106" s="16">
        <f>IF('Ürün Kartlar'!D106="","",'Ürün Kartlar'!D106)</f>
      </c>
      <c r="E106" s="24">
        <f>IF('Ürün Kartlar'!H106="",0,'Ürün Kartlar'!H106)</f>
      </c>
      <c r="F106" s="24">
        <f>IF($B106="",0,SUMIFS('Hareketler'!$H$5:$H$1004,'Hareketler'!$F$5:$F$1004,$B106,'Hareketler'!$C$5:$C$1004,"Alış"))</f>
      </c>
      <c r="G106" s="24">
        <f>IF($B106="",0,SUMIFS('Hareketler'!$H$5:$H$1004,'Hareketler'!$F$5:$F$1004,$B106,'Hareketler'!$C$5:$C$1004,"Satış"))</f>
      </c>
      <c r="H106" s="25">
        <f>IF($B106="","",$E106+$F106-$G106)</f>
      </c>
      <c r="I106" s="24">
        <f>IF('Ürün Kartlar'!I106="",0,'Ürün Kartlar'!I106)</f>
      </c>
      <c r="J106" s="16">
        <f>IF($B106="","",IF($H106&lt;=0,"STOK YOK",IF($H106&lt;=$I106,"KRİTİK","Yeterli")))</f>
      </c>
    </row>
    <row r="107" spans="2:10" x14ac:dyDescent="0.25">
      <c r="B107" s="16">
        <f>IF('Ürün Kartlar'!B107="","",'Ürün Kartlar'!B107)</f>
      </c>
      <c r="C107" s="16">
        <f>IF('Ürün Kartlar'!C107="","",'Ürün Kartlar'!C107)</f>
      </c>
      <c r="D107" s="16">
        <f>IF('Ürün Kartlar'!D107="","",'Ürün Kartlar'!D107)</f>
      </c>
      <c r="E107" s="24">
        <f>IF('Ürün Kartlar'!H107="",0,'Ürün Kartlar'!H107)</f>
      </c>
      <c r="F107" s="24">
        <f>IF($B107="",0,SUMIFS('Hareketler'!$H$5:$H$1004,'Hareketler'!$F$5:$F$1004,$B107,'Hareketler'!$C$5:$C$1004,"Alış"))</f>
      </c>
      <c r="G107" s="24">
        <f>IF($B107="",0,SUMIFS('Hareketler'!$H$5:$H$1004,'Hareketler'!$F$5:$F$1004,$B107,'Hareketler'!$C$5:$C$1004,"Satış"))</f>
      </c>
      <c r="H107" s="25">
        <f>IF($B107="","",$E107+$F107-$G107)</f>
      </c>
      <c r="I107" s="24">
        <f>IF('Ürün Kartlar'!I107="",0,'Ürün Kartlar'!I107)</f>
      </c>
      <c r="J107" s="16">
        <f>IF($B107="","",IF($H107&lt;=0,"STOK YOK",IF($H107&lt;=$I107,"KRİTİK","Yeterli")))</f>
      </c>
    </row>
    <row r="108" spans="2:10" x14ac:dyDescent="0.25">
      <c r="B108" s="16">
        <f>IF('Ürün Kartlar'!B108="","",'Ürün Kartlar'!B108)</f>
      </c>
      <c r="C108" s="16">
        <f>IF('Ürün Kartlar'!C108="","",'Ürün Kartlar'!C108)</f>
      </c>
      <c r="D108" s="16">
        <f>IF('Ürün Kartlar'!D108="","",'Ürün Kartlar'!D108)</f>
      </c>
      <c r="E108" s="24">
        <f>IF('Ürün Kartlar'!H108="",0,'Ürün Kartlar'!H108)</f>
      </c>
      <c r="F108" s="24">
        <f>IF($B108="",0,SUMIFS('Hareketler'!$H$5:$H$1004,'Hareketler'!$F$5:$F$1004,$B108,'Hareketler'!$C$5:$C$1004,"Alış"))</f>
      </c>
      <c r="G108" s="24">
        <f>IF($B108="",0,SUMIFS('Hareketler'!$H$5:$H$1004,'Hareketler'!$F$5:$F$1004,$B108,'Hareketler'!$C$5:$C$1004,"Satış"))</f>
      </c>
      <c r="H108" s="25">
        <f>IF($B108="","",$E108+$F108-$G108)</f>
      </c>
      <c r="I108" s="24">
        <f>IF('Ürün Kartlar'!I108="",0,'Ürün Kartlar'!I108)</f>
      </c>
      <c r="J108" s="16">
        <f>IF($B108="","",IF($H108&lt;=0,"STOK YOK",IF($H108&lt;=$I108,"KRİTİK","Yeterli")))</f>
      </c>
    </row>
    <row r="109" spans="2:10" x14ac:dyDescent="0.25">
      <c r="B109" s="16">
        <f>IF('Ürün Kartlar'!B109="","",'Ürün Kartlar'!B109)</f>
      </c>
      <c r="C109" s="16">
        <f>IF('Ürün Kartlar'!C109="","",'Ürün Kartlar'!C109)</f>
      </c>
      <c r="D109" s="16">
        <f>IF('Ürün Kartlar'!D109="","",'Ürün Kartlar'!D109)</f>
      </c>
      <c r="E109" s="24">
        <f>IF('Ürün Kartlar'!H109="",0,'Ürün Kartlar'!H109)</f>
      </c>
      <c r="F109" s="24">
        <f>IF($B109="",0,SUMIFS('Hareketler'!$H$5:$H$1004,'Hareketler'!$F$5:$F$1004,$B109,'Hareketler'!$C$5:$C$1004,"Alış"))</f>
      </c>
      <c r="G109" s="24">
        <f>IF($B109="",0,SUMIFS('Hareketler'!$H$5:$H$1004,'Hareketler'!$F$5:$F$1004,$B109,'Hareketler'!$C$5:$C$1004,"Satış"))</f>
      </c>
      <c r="H109" s="25">
        <f>IF($B109="","",$E109+$F109-$G109)</f>
      </c>
      <c r="I109" s="24">
        <f>IF('Ürün Kartlar'!I109="",0,'Ürün Kartlar'!I109)</f>
      </c>
      <c r="J109" s="16">
        <f>IF($B109="","",IF($H109&lt;=0,"STOK YOK",IF($H109&lt;=$I109,"KRİTİK","Yeterli")))</f>
      </c>
    </row>
    <row r="110" spans="2:10" x14ac:dyDescent="0.25">
      <c r="B110" s="16">
        <f>IF('Ürün Kartlar'!B110="","",'Ürün Kartlar'!B110)</f>
      </c>
      <c r="C110" s="16">
        <f>IF('Ürün Kartlar'!C110="","",'Ürün Kartlar'!C110)</f>
      </c>
      <c r="D110" s="16">
        <f>IF('Ürün Kartlar'!D110="","",'Ürün Kartlar'!D110)</f>
      </c>
      <c r="E110" s="24">
        <f>IF('Ürün Kartlar'!H110="",0,'Ürün Kartlar'!H110)</f>
      </c>
      <c r="F110" s="24">
        <f>IF($B110="",0,SUMIFS('Hareketler'!$H$5:$H$1004,'Hareketler'!$F$5:$F$1004,$B110,'Hareketler'!$C$5:$C$1004,"Alış"))</f>
      </c>
      <c r="G110" s="24">
        <f>IF($B110="",0,SUMIFS('Hareketler'!$H$5:$H$1004,'Hareketler'!$F$5:$F$1004,$B110,'Hareketler'!$C$5:$C$1004,"Satış"))</f>
      </c>
      <c r="H110" s="25">
        <f>IF($B110="","",$E110+$F110-$G110)</f>
      </c>
      <c r="I110" s="24">
        <f>IF('Ürün Kartlar'!I110="",0,'Ürün Kartlar'!I110)</f>
      </c>
      <c r="J110" s="16">
        <f>IF($B110="","",IF($H110&lt;=0,"STOK YOK",IF($H110&lt;=$I110,"KRİTİK","Yeterli")))</f>
      </c>
    </row>
    <row r="111" spans="2:10" x14ac:dyDescent="0.25">
      <c r="B111" s="16">
        <f>IF('Ürün Kartlar'!B111="","",'Ürün Kartlar'!B111)</f>
      </c>
      <c r="C111" s="16">
        <f>IF('Ürün Kartlar'!C111="","",'Ürün Kartlar'!C111)</f>
      </c>
      <c r="D111" s="16">
        <f>IF('Ürün Kartlar'!D111="","",'Ürün Kartlar'!D111)</f>
      </c>
      <c r="E111" s="24">
        <f>IF('Ürün Kartlar'!H111="",0,'Ürün Kartlar'!H111)</f>
      </c>
      <c r="F111" s="24">
        <f>IF($B111="",0,SUMIFS('Hareketler'!$H$5:$H$1004,'Hareketler'!$F$5:$F$1004,$B111,'Hareketler'!$C$5:$C$1004,"Alış"))</f>
      </c>
      <c r="G111" s="24">
        <f>IF($B111="",0,SUMIFS('Hareketler'!$H$5:$H$1004,'Hareketler'!$F$5:$F$1004,$B111,'Hareketler'!$C$5:$C$1004,"Satış"))</f>
      </c>
      <c r="H111" s="25">
        <f>IF($B111="","",$E111+$F111-$G111)</f>
      </c>
      <c r="I111" s="24">
        <f>IF('Ürün Kartlar'!I111="",0,'Ürün Kartlar'!I111)</f>
      </c>
      <c r="J111" s="16">
        <f>IF($B111="","",IF($H111&lt;=0,"STOK YOK",IF($H111&lt;=$I111,"KRİTİK","Yeterli")))</f>
      </c>
    </row>
    <row r="112" spans="2:10" x14ac:dyDescent="0.25">
      <c r="B112" s="16">
        <f>IF('Ürün Kartlar'!B112="","",'Ürün Kartlar'!B112)</f>
      </c>
      <c r="C112" s="16">
        <f>IF('Ürün Kartlar'!C112="","",'Ürün Kartlar'!C112)</f>
      </c>
      <c r="D112" s="16">
        <f>IF('Ürün Kartlar'!D112="","",'Ürün Kartlar'!D112)</f>
      </c>
      <c r="E112" s="24">
        <f>IF('Ürün Kartlar'!H112="",0,'Ürün Kartlar'!H112)</f>
      </c>
      <c r="F112" s="24">
        <f>IF($B112="",0,SUMIFS('Hareketler'!$H$5:$H$1004,'Hareketler'!$F$5:$F$1004,$B112,'Hareketler'!$C$5:$C$1004,"Alış"))</f>
      </c>
      <c r="G112" s="24">
        <f>IF($B112="",0,SUMIFS('Hareketler'!$H$5:$H$1004,'Hareketler'!$F$5:$F$1004,$B112,'Hareketler'!$C$5:$C$1004,"Satış"))</f>
      </c>
      <c r="H112" s="25">
        <f>IF($B112="","",$E112+$F112-$G112)</f>
      </c>
      <c r="I112" s="24">
        <f>IF('Ürün Kartlar'!I112="",0,'Ürün Kartlar'!I112)</f>
      </c>
      <c r="J112" s="16">
        <f>IF($B112="","",IF($H112&lt;=0,"STOK YOK",IF($H112&lt;=$I112,"KRİTİK","Yeterli")))</f>
      </c>
    </row>
    <row r="113" spans="2:10" x14ac:dyDescent="0.25">
      <c r="B113" s="16">
        <f>IF('Ürün Kartlar'!B113="","",'Ürün Kartlar'!B113)</f>
      </c>
      <c r="C113" s="16">
        <f>IF('Ürün Kartlar'!C113="","",'Ürün Kartlar'!C113)</f>
      </c>
      <c r="D113" s="16">
        <f>IF('Ürün Kartlar'!D113="","",'Ürün Kartlar'!D113)</f>
      </c>
      <c r="E113" s="24">
        <f>IF('Ürün Kartlar'!H113="",0,'Ürün Kartlar'!H113)</f>
      </c>
      <c r="F113" s="24">
        <f>IF($B113="",0,SUMIFS('Hareketler'!$H$5:$H$1004,'Hareketler'!$F$5:$F$1004,$B113,'Hareketler'!$C$5:$C$1004,"Alış"))</f>
      </c>
      <c r="G113" s="24">
        <f>IF($B113="",0,SUMIFS('Hareketler'!$H$5:$H$1004,'Hareketler'!$F$5:$F$1004,$B113,'Hareketler'!$C$5:$C$1004,"Satış"))</f>
      </c>
      <c r="H113" s="25">
        <f>IF($B113="","",$E113+$F113-$G113)</f>
      </c>
      <c r="I113" s="24">
        <f>IF('Ürün Kartlar'!I113="",0,'Ürün Kartlar'!I113)</f>
      </c>
      <c r="J113" s="16">
        <f>IF($B113="","",IF($H113&lt;=0,"STOK YOK",IF($H113&lt;=$I113,"KRİTİK","Yeterli")))</f>
      </c>
    </row>
    <row r="114" spans="2:10" x14ac:dyDescent="0.25">
      <c r="B114" s="16">
        <f>IF('Ürün Kartlar'!B114="","",'Ürün Kartlar'!B114)</f>
      </c>
      <c r="C114" s="16">
        <f>IF('Ürün Kartlar'!C114="","",'Ürün Kartlar'!C114)</f>
      </c>
      <c r="D114" s="16">
        <f>IF('Ürün Kartlar'!D114="","",'Ürün Kartlar'!D114)</f>
      </c>
      <c r="E114" s="24">
        <f>IF('Ürün Kartlar'!H114="",0,'Ürün Kartlar'!H114)</f>
      </c>
      <c r="F114" s="24">
        <f>IF($B114="",0,SUMIFS('Hareketler'!$H$5:$H$1004,'Hareketler'!$F$5:$F$1004,$B114,'Hareketler'!$C$5:$C$1004,"Alış"))</f>
      </c>
      <c r="G114" s="24">
        <f>IF($B114="",0,SUMIFS('Hareketler'!$H$5:$H$1004,'Hareketler'!$F$5:$F$1004,$B114,'Hareketler'!$C$5:$C$1004,"Satış"))</f>
      </c>
      <c r="H114" s="25">
        <f>IF($B114="","",$E114+$F114-$G114)</f>
      </c>
      <c r="I114" s="24">
        <f>IF('Ürün Kartlar'!I114="",0,'Ürün Kartlar'!I114)</f>
      </c>
      <c r="J114" s="16">
        <f>IF($B114="","",IF($H114&lt;=0,"STOK YOK",IF($H114&lt;=$I114,"KRİTİK","Yeterli")))</f>
      </c>
    </row>
    <row r="115" spans="2:10" x14ac:dyDescent="0.25">
      <c r="B115" s="16">
        <f>IF('Ürün Kartlar'!B115="","",'Ürün Kartlar'!B115)</f>
      </c>
      <c r="C115" s="16">
        <f>IF('Ürün Kartlar'!C115="","",'Ürün Kartlar'!C115)</f>
      </c>
      <c r="D115" s="16">
        <f>IF('Ürün Kartlar'!D115="","",'Ürün Kartlar'!D115)</f>
      </c>
      <c r="E115" s="24">
        <f>IF('Ürün Kartlar'!H115="",0,'Ürün Kartlar'!H115)</f>
      </c>
      <c r="F115" s="24">
        <f>IF($B115="",0,SUMIFS('Hareketler'!$H$5:$H$1004,'Hareketler'!$F$5:$F$1004,$B115,'Hareketler'!$C$5:$C$1004,"Alış"))</f>
      </c>
      <c r="G115" s="24">
        <f>IF($B115="",0,SUMIFS('Hareketler'!$H$5:$H$1004,'Hareketler'!$F$5:$F$1004,$B115,'Hareketler'!$C$5:$C$1004,"Satış"))</f>
      </c>
      <c r="H115" s="25">
        <f>IF($B115="","",$E115+$F115-$G115)</f>
      </c>
      <c r="I115" s="24">
        <f>IF('Ürün Kartlar'!I115="",0,'Ürün Kartlar'!I115)</f>
      </c>
      <c r="J115" s="16">
        <f>IF($B115="","",IF($H115&lt;=0,"STOK YOK",IF($H115&lt;=$I115,"KRİTİK","Yeterli")))</f>
      </c>
    </row>
    <row r="116" spans="2:10" x14ac:dyDescent="0.25">
      <c r="B116" s="16">
        <f>IF('Ürün Kartlar'!B116="","",'Ürün Kartlar'!B116)</f>
      </c>
      <c r="C116" s="16">
        <f>IF('Ürün Kartlar'!C116="","",'Ürün Kartlar'!C116)</f>
      </c>
      <c r="D116" s="16">
        <f>IF('Ürün Kartlar'!D116="","",'Ürün Kartlar'!D116)</f>
      </c>
      <c r="E116" s="24">
        <f>IF('Ürün Kartlar'!H116="",0,'Ürün Kartlar'!H116)</f>
      </c>
      <c r="F116" s="24">
        <f>IF($B116="",0,SUMIFS('Hareketler'!$H$5:$H$1004,'Hareketler'!$F$5:$F$1004,$B116,'Hareketler'!$C$5:$C$1004,"Alış"))</f>
      </c>
      <c r="G116" s="24">
        <f>IF($B116="",0,SUMIFS('Hareketler'!$H$5:$H$1004,'Hareketler'!$F$5:$F$1004,$B116,'Hareketler'!$C$5:$C$1004,"Satış"))</f>
      </c>
      <c r="H116" s="25">
        <f>IF($B116="","",$E116+$F116-$G116)</f>
      </c>
      <c r="I116" s="24">
        <f>IF('Ürün Kartlar'!I116="",0,'Ürün Kartlar'!I116)</f>
      </c>
      <c r="J116" s="16">
        <f>IF($B116="","",IF($H116&lt;=0,"STOK YOK",IF($H116&lt;=$I116,"KRİTİK","Yeterli")))</f>
      </c>
    </row>
    <row r="117" spans="2:10" x14ac:dyDescent="0.25">
      <c r="B117" s="16">
        <f>IF('Ürün Kartlar'!B117="","",'Ürün Kartlar'!B117)</f>
      </c>
      <c r="C117" s="16">
        <f>IF('Ürün Kartlar'!C117="","",'Ürün Kartlar'!C117)</f>
      </c>
      <c r="D117" s="16">
        <f>IF('Ürün Kartlar'!D117="","",'Ürün Kartlar'!D117)</f>
      </c>
      <c r="E117" s="24">
        <f>IF('Ürün Kartlar'!H117="",0,'Ürün Kartlar'!H117)</f>
      </c>
      <c r="F117" s="24">
        <f>IF($B117="",0,SUMIFS('Hareketler'!$H$5:$H$1004,'Hareketler'!$F$5:$F$1004,$B117,'Hareketler'!$C$5:$C$1004,"Alış"))</f>
      </c>
      <c r="G117" s="24">
        <f>IF($B117="",0,SUMIFS('Hareketler'!$H$5:$H$1004,'Hareketler'!$F$5:$F$1004,$B117,'Hareketler'!$C$5:$C$1004,"Satış"))</f>
      </c>
      <c r="H117" s="25">
        <f>IF($B117="","",$E117+$F117-$G117)</f>
      </c>
      <c r="I117" s="24">
        <f>IF('Ürün Kartlar'!I117="",0,'Ürün Kartlar'!I117)</f>
      </c>
      <c r="J117" s="16">
        <f>IF($B117="","",IF($H117&lt;=0,"STOK YOK",IF($H117&lt;=$I117,"KRİTİK","Yeterli")))</f>
      </c>
    </row>
    <row r="118" spans="2:10" x14ac:dyDescent="0.25">
      <c r="B118" s="16">
        <f>IF('Ürün Kartlar'!B118="","",'Ürün Kartlar'!B118)</f>
      </c>
      <c r="C118" s="16">
        <f>IF('Ürün Kartlar'!C118="","",'Ürün Kartlar'!C118)</f>
      </c>
      <c r="D118" s="16">
        <f>IF('Ürün Kartlar'!D118="","",'Ürün Kartlar'!D118)</f>
      </c>
      <c r="E118" s="24">
        <f>IF('Ürün Kartlar'!H118="",0,'Ürün Kartlar'!H118)</f>
      </c>
      <c r="F118" s="24">
        <f>IF($B118="",0,SUMIFS('Hareketler'!$H$5:$H$1004,'Hareketler'!$F$5:$F$1004,$B118,'Hareketler'!$C$5:$C$1004,"Alış"))</f>
      </c>
      <c r="G118" s="24">
        <f>IF($B118="",0,SUMIFS('Hareketler'!$H$5:$H$1004,'Hareketler'!$F$5:$F$1004,$B118,'Hareketler'!$C$5:$C$1004,"Satış"))</f>
      </c>
      <c r="H118" s="25">
        <f>IF($B118="","",$E118+$F118-$G118)</f>
      </c>
      <c r="I118" s="24">
        <f>IF('Ürün Kartlar'!I118="",0,'Ürün Kartlar'!I118)</f>
      </c>
      <c r="J118" s="16">
        <f>IF($B118="","",IF($H118&lt;=0,"STOK YOK",IF($H118&lt;=$I118,"KRİTİK","Yeterli")))</f>
      </c>
    </row>
    <row r="119" spans="2:10" x14ac:dyDescent="0.25">
      <c r="B119" s="16">
        <f>IF('Ürün Kartlar'!B119="","",'Ürün Kartlar'!B119)</f>
      </c>
      <c r="C119" s="16">
        <f>IF('Ürün Kartlar'!C119="","",'Ürün Kartlar'!C119)</f>
      </c>
      <c r="D119" s="16">
        <f>IF('Ürün Kartlar'!D119="","",'Ürün Kartlar'!D119)</f>
      </c>
      <c r="E119" s="24">
        <f>IF('Ürün Kartlar'!H119="",0,'Ürün Kartlar'!H119)</f>
      </c>
      <c r="F119" s="24">
        <f>IF($B119="",0,SUMIFS('Hareketler'!$H$5:$H$1004,'Hareketler'!$F$5:$F$1004,$B119,'Hareketler'!$C$5:$C$1004,"Alış"))</f>
      </c>
      <c r="G119" s="24">
        <f>IF($B119="",0,SUMIFS('Hareketler'!$H$5:$H$1004,'Hareketler'!$F$5:$F$1004,$B119,'Hareketler'!$C$5:$C$1004,"Satış"))</f>
      </c>
      <c r="H119" s="25">
        <f>IF($B119="","",$E119+$F119-$G119)</f>
      </c>
      <c r="I119" s="24">
        <f>IF('Ürün Kartlar'!I119="",0,'Ürün Kartlar'!I119)</f>
      </c>
      <c r="J119" s="16">
        <f>IF($B119="","",IF($H119&lt;=0,"STOK YOK",IF($H119&lt;=$I119,"KRİTİK","Yeterli")))</f>
      </c>
    </row>
    <row r="120" spans="2:10" x14ac:dyDescent="0.25">
      <c r="B120" s="16">
        <f>IF('Ürün Kartlar'!B120="","",'Ürün Kartlar'!B120)</f>
      </c>
      <c r="C120" s="16">
        <f>IF('Ürün Kartlar'!C120="","",'Ürün Kartlar'!C120)</f>
      </c>
      <c r="D120" s="16">
        <f>IF('Ürün Kartlar'!D120="","",'Ürün Kartlar'!D120)</f>
      </c>
      <c r="E120" s="24">
        <f>IF('Ürün Kartlar'!H120="",0,'Ürün Kartlar'!H120)</f>
      </c>
      <c r="F120" s="24">
        <f>IF($B120="",0,SUMIFS('Hareketler'!$H$5:$H$1004,'Hareketler'!$F$5:$F$1004,$B120,'Hareketler'!$C$5:$C$1004,"Alış"))</f>
      </c>
      <c r="G120" s="24">
        <f>IF($B120="",0,SUMIFS('Hareketler'!$H$5:$H$1004,'Hareketler'!$F$5:$F$1004,$B120,'Hareketler'!$C$5:$C$1004,"Satış"))</f>
      </c>
      <c r="H120" s="25">
        <f>IF($B120="","",$E120+$F120-$G120)</f>
      </c>
      <c r="I120" s="24">
        <f>IF('Ürün Kartlar'!I120="",0,'Ürün Kartlar'!I120)</f>
      </c>
      <c r="J120" s="16">
        <f>IF($B120="","",IF($H120&lt;=0,"STOK YOK",IF($H120&lt;=$I120,"KRİTİK","Yeterli")))</f>
      </c>
    </row>
    <row r="121" spans="2:10" x14ac:dyDescent="0.25">
      <c r="B121" s="16">
        <f>IF('Ürün Kartlar'!B121="","",'Ürün Kartlar'!B121)</f>
      </c>
      <c r="C121" s="16">
        <f>IF('Ürün Kartlar'!C121="","",'Ürün Kartlar'!C121)</f>
      </c>
      <c r="D121" s="16">
        <f>IF('Ürün Kartlar'!D121="","",'Ürün Kartlar'!D121)</f>
      </c>
      <c r="E121" s="24">
        <f>IF('Ürün Kartlar'!H121="",0,'Ürün Kartlar'!H121)</f>
      </c>
      <c r="F121" s="24">
        <f>IF($B121="",0,SUMIFS('Hareketler'!$H$5:$H$1004,'Hareketler'!$F$5:$F$1004,$B121,'Hareketler'!$C$5:$C$1004,"Alış"))</f>
      </c>
      <c r="G121" s="24">
        <f>IF($B121="",0,SUMIFS('Hareketler'!$H$5:$H$1004,'Hareketler'!$F$5:$F$1004,$B121,'Hareketler'!$C$5:$C$1004,"Satış"))</f>
      </c>
      <c r="H121" s="25">
        <f>IF($B121="","",$E121+$F121-$G121)</f>
      </c>
      <c r="I121" s="24">
        <f>IF('Ürün Kartlar'!I121="",0,'Ürün Kartlar'!I121)</f>
      </c>
      <c r="J121" s="16">
        <f>IF($B121="","",IF($H121&lt;=0,"STOK YOK",IF($H121&lt;=$I121,"KRİTİK","Yeterli")))</f>
      </c>
    </row>
    <row r="122" spans="2:10" x14ac:dyDescent="0.25">
      <c r="B122" s="16">
        <f>IF('Ürün Kartlar'!B122="","",'Ürün Kartlar'!B122)</f>
      </c>
      <c r="C122" s="16">
        <f>IF('Ürün Kartlar'!C122="","",'Ürün Kartlar'!C122)</f>
      </c>
      <c r="D122" s="16">
        <f>IF('Ürün Kartlar'!D122="","",'Ürün Kartlar'!D122)</f>
      </c>
      <c r="E122" s="24">
        <f>IF('Ürün Kartlar'!H122="",0,'Ürün Kartlar'!H122)</f>
      </c>
      <c r="F122" s="24">
        <f>IF($B122="",0,SUMIFS('Hareketler'!$H$5:$H$1004,'Hareketler'!$F$5:$F$1004,$B122,'Hareketler'!$C$5:$C$1004,"Alış"))</f>
      </c>
      <c r="G122" s="24">
        <f>IF($B122="",0,SUMIFS('Hareketler'!$H$5:$H$1004,'Hareketler'!$F$5:$F$1004,$B122,'Hareketler'!$C$5:$C$1004,"Satış"))</f>
      </c>
      <c r="H122" s="25">
        <f>IF($B122="","",$E122+$F122-$G122)</f>
      </c>
      <c r="I122" s="24">
        <f>IF('Ürün Kartlar'!I122="",0,'Ürün Kartlar'!I122)</f>
      </c>
      <c r="J122" s="16">
        <f>IF($B122="","",IF($H122&lt;=0,"STOK YOK",IF($H122&lt;=$I122,"KRİTİK","Yeterli")))</f>
      </c>
    </row>
    <row r="123" spans="2:10" x14ac:dyDescent="0.25">
      <c r="B123" s="16">
        <f>IF('Ürün Kartlar'!B123="","",'Ürün Kartlar'!B123)</f>
      </c>
      <c r="C123" s="16">
        <f>IF('Ürün Kartlar'!C123="","",'Ürün Kartlar'!C123)</f>
      </c>
      <c r="D123" s="16">
        <f>IF('Ürün Kartlar'!D123="","",'Ürün Kartlar'!D123)</f>
      </c>
      <c r="E123" s="24">
        <f>IF('Ürün Kartlar'!H123="",0,'Ürün Kartlar'!H123)</f>
      </c>
      <c r="F123" s="24">
        <f>IF($B123="",0,SUMIFS('Hareketler'!$H$5:$H$1004,'Hareketler'!$F$5:$F$1004,$B123,'Hareketler'!$C$5:$C$1004,"Alış"))</f>
      </c>
      <c r="G123" s="24">
        <f>IF($B123="",0,SUMIFS('Hareketler'!$H$5:$H$1004,'Hareketler'!$F$5:$F$1004,$B123,'Hareketler'!$C$5:$C$1004,"Satış"))</f>
      </c>
      <c r="H123" s="25">
        <f>IF($B123="","",$E123+$F123-$G123)</f>
      </c>
      <c r="I123" s="24">
        <f>IF('Ürün Kartlar'!I123="",0,'Ürün Kartlar'!I123)</f>
      </c>
      <c r="J123" s="16">
        <f>IF($B123="","",IF($H123&lt;=0,"STOK YOK",IF($H123&lt;=$I123,"KRİTİK","Yeterli")))</f>
      </c>
    </row>
    <row r="124" spans="2:10" x14ac:dyDescent="0.25">
      <c r="B124" s="16">
        <f>IF('Ürün Kartlar'!B124="","",'Ürün Kartlar'!B124)</f>
      </c>
      <c r="C124" s="16">
        <f>IF('Ürün Kartlar'!C124="","",'Ürün Kartlar'!C124)</f>
      </c>
      <c r="D124" s="16">
        <f>IF('Ürün Kartlar'!D124="","",'Ürün Kartlar'!D124)</f>
      </c>
      <c r="E124" s="24">
        <f>IF('Ürün Kartlar'!H124="",0,'Ürün Kartlar'!H124)</f>
      </c>
      <c r="F124" s="24">
        <f>IF($B124="",0,SUMIFS('Hareketler'!$H$5:$H$1004,'Hareketler'!$F$5:$F$1004,$B124,'Hareketler'!$C$5:$C$1004,"Alış"))</f>
      </c>
      <c r="G124" s="24">
        <f>IF($B124="",0,SUMIFS('Hareketler'!$H$5:$H$1004,'Hareketler'!$F$5:$F$1004,$B124,'Hareketler'!$C$5:$C$1004,"Satış"))</f>
      </c>
      <c r="H124" s="25">
        <f>IF($B124="","",$E124+$F124-$G124)</f>
      </c>
      <c r="I124" s="24">
        <f>IF('Ürün Kartlar'!I124="",0,'Ürün Kartlar'!I124)</f>
      </c>
      <c r="J124" s="16">
        <f>IF($B124="","",IF($H124&lt;=0,"STOK YOK",IF($H124&lt;=$I124,"KRİTİK","Yeterli")))</f>
      </c>
    </row>
    <row r="125" spans="2:10" x14ac:dyDescent="0.25">
      <c r="B125" s="16">
        <f>IF('Ürün Kartlar'!B125="","",'Ürün Kartlar'!B125)</f>
      </c>
      <c r="C125" s="16">
        <f>IF('Ürün Kartlar'!C125="","",'Ürün Kartlar'!C125)</f>
      </c>
      <c r="D125" s="16">
        <f>IF('Ürün Kartlar'!D125="","",'Ürün Kartlar'!D125)</f>
      </c>
      <c r="E125" s="24">
        <f>IF('Ürün Kartlar'!H125="",0,'Ürün Kartlar'!H125)</f>
      </c>
      <c r="F125" s="24">
        <f>IF($B125="",0,SUMIFS('Hareketler'!$H$5:$H$1004,'Hareketler'!$F$5:$F$1004,$B125,'Hareketler'!$C$5:$C$1004,"Alış"))</f>
      </c>
      <c r="G125" s="24">
        <f>IF($B125="",0,SUMIFS('Hareketler'!$H$5:$H$1004,'Hareketler'!$F$5:$F$1004,$B125,'Hareketler'!$C$5:$C$1004,"Satış"))</f>
      </c>
      <c r="H125" s="25">
        <f>IF($B125="","",$E125+$F125-$G125)</f>
      </c>
      <c r="I125" s="24">
        <f>IF('Ürün Kartlar'!I125="",0,'Ürün Kartlar'!I125)</f>
      </c>
      <c r="J125" s="16">
        <f>IF($B125="","",IF($H125&lt;=0,"STOK YOK",IF($H125&lt;=$I125,"KRİTİK","Yeterli")))</f>
      </c>
    </row>
    <row r="126" spans="2:10" x14ac:dyDescent="0.25">
      <c r="B126" s="16">
        <f>IF('Ürün Kartlar'!B126="","",'Ürün Kartlar'!B126)</f>
      </c>
      <c r="C126" s="16">
        <f>IF('Ürün Kartlar'!C126="","",'Ürün Kartlar'!C126)</f>
      </c>
      <c r="D126" s="16">
        <f>IF('Ürün Kartlar'!D126="","",'Ürün Kartlar'!D126)</f>
      </c>
      <c r="E126" s="24">
        <f>IF('Ürün Kartlar'!H126="",0,'Ürün Kartlar'!H126)</f>
      </c>
      <c r="F126" s="24">
        <f>IF($B126="",0,SUMIFS('Hareketler'!$H$5:$H$1004,'Hareketler'!$F$5:$F$1004,$B126,'Hareketler'!$C$5:$C$1004,"Alış"))</f>
      </c>
      <c r="G126" s="24">
        <f>IF($B126="",0,SUMIFS('Hareketler'!$H$5:$H$1004,'Hareketler'!$F$5:$F$1004,$B126,'Hareketler'!$C$5:$C$1004,"Satış"))</f>
      </c>
      <c r="H126" s="25">
        <f>IF($B126="","",$E126+$F126-$G126)</f>
      </c>
      <c r="I126" s="24">
        <f>IF('Ürün Kartlar'!I126="",0,'Ürün Kartlar'!I126)</f>
      </c>
      <c r="J126" s="16">
        <f>IF($B126="","",IF($H126&lt;=0,"STOK YOK",IF($H126&lt;=$I126,"KRİTİK","Yeterli")))</f>
      </c>
    </row>
    <row r="127" spans="2:10" x14ac:dyDescent="0.25">
      <c r="B127" s="16">
        <f>IF('Ürün Kartlar'!B127="","",'Ürün Kartlar'!B127)</f>
      </c>
      <c r="C127" s="16">
        <f>IF('Ürün Kartlar'!C127="","",'Ürün Kartlar'!C127)</f>
      </c>
      <c r="D127" s="16">
        <f>IF('Ürün Kartlar'!D127="","",'Ürün Kartlar'!D127)</f>
      </c>
      <c r="E127" s="24">
        <f>IF('Ürün Kartlar'!H127="",0,'Ürün Kartlar'!H127)</f>
      </c>
      <c r="F127" s="24">
        <f>IF($B127="",0,SUMIFS('Hareketler'!$H$5:$H$1004,'Hareketler'!$F$5:$F$1004,$B127,'Hareketler'!$C$5:$C$1004,"Alış"))</f>
      </c>
      <c r="G127" s="24">
        <f>IF($B127="",0,SUMIFS('Hareketler'!$H$5:$H$1004,'Hareketler'!$F$5:$F$1004,$B127,'Hareketler'!$C$5:$C$1004,"Satış"))</f>
      </c>
      <c r="H127" s="25">
        <f>IF($B127="","",$E127+$F127-$G127)</f>
      </c>
      <c r="I127" s="24">
        <f>IF('Ürün Kartlar'!I127="",0,'Ürün Kartlar'!I127)</f>
      </c>
      <c r="J127" s="16">
        <f>IF($B127="","",IF($H127&lt;=0,"STOK YOK",IF($H127&lt;=$I127,"KRİTİK","Yeterli")))</f>
      </c>
    </row>
    <row r="128" spans="2:10" x14ac:dyDescent="0.25">
      <c r="B128" s="16">
        <f>IF('Ürün Kartlar'!B128="","",'Ürün Kartlar'!B128)</f>
      </c>
      <c r="C128" s="16">
        <f>IF('Ürün Kartlar'!C128="","",'Ürün Kartlar'!C128)</f>
      </c>
      <c r="D128" s="16">
        <f>IF('Ürün Kartlar'!D128="","",'Ürün Kartlar'!D128)</f>
      </c>
      <c r="E128" s="24">
        <f>IF('Ürün Kartlar'!H128="",0,'Ürün Kartlar'!H128)</f>
      </c>
      <c r="F128" s="24">
        <f>IF($B128="",0,SUMIFS('Hareketler'!$H$5:$H$1004,'Hareketler'!$F$5:$F$1004,$B128,'Hareketler'!$C$5:$C$1004,"Alış"))</f>
      </c>
      <c r="G128" s="24">
        <f>IF($B128="",0,SUMIFS('Hareketler'!$H$5:$H$1004,'Hareketler'!$F$5:$F$1004,$B128,'Hareketler'!$C$5:$C$1004,"Satış"))</f>
      </c>
      <c r="H128" s="25">
        <f>IF($B128="","",$E128+$F128-$G128)</f>
      </c>
      <c r="I128" s="24">
        <f>IF('Ürün Kartlar'!I128="",0,'Ürün Kartlar'!I128)</f>
      </c>
      <c r="J128" s="16">
        <f>IF($B128="","",IF($H128&lt;=0,"STOK YOK",IF($H128&lt;=$I128,"KRİTİK","Yeterli")))</f>
      </c>
    </row>
    <row r="129" spans="2:10" x14ac:dyDescent="0.25">
      <c r="B129" s="16">
        <f>IF('Ürün Kartlar'!B129="","",'Ürün Kartlar'!B129)</f>
      </c>
      <c r="C129" s="16">
        <f>IF('Ürün Kartlar'!C129="","",'Ürün Kartlar'!C129)</f>
      </c>
      <c r="D129" s="16">
        <f>IF('Ürün Kartlar'!D129="","",'Ürün Kartlar'!D129)</f>
      </c>
      <c r="E129" s="24">
        <f>IF('Ürün Kartlar'!H129="",0,'Ürün Kartlar'!H129)</f>
      </c>
      <c r="F129" s="24">
        <f>IF($B129="",0,SUMIFS('Hareketler'!$H$5:$H$1004,'Hareketler'!$F$5:$F$1004,$B129,'Hareketler'!$C$5:$C$1004,"Alış"))</f>
      </c>
      <c r="G129" s="24">
        <f>IF($B129="",0,SUMIFS('Hareketler'!$H$5:$H$1004,'Hareketler'!$F$5:$F$1004,$B129,'Hareketler'!$C$5:$C$1004,"Satış"))</f>
      </c>
      <c r="H129" s="25">
        <f>IF($B129="","",$E129+$F129-$G129)</f>
      </c>
      <c r="I129" s="24">
        <f>IF('Ürün Kartlar'!I129="",0,'Ürün Kartlar'!I129)</f>
      </c>
      <c r="J129" s="16">
        <f>IF($B129="","",IF($H129&lt;=0,"STOK YOK",IF($H129&lt;=$I129,"KRİTİK","Yeterli")))</f>
      </c>
    </row>
    <row r="130" spans="2:10" x14ac:dyDescent="0.25">
      <c r="B130" s="16">
        <f>IF('Ürün Kartlar'!B130="","",'Ürün Kartlar'!B130)</f>
      </c>
      <c r="C130" s="16">
        <f>IF('Ürün Kartlar'!C130="","",'Ürün Kartlar'!C130)</f>
      </c>
      <c r="D130" s="16">
        <f>IF('Ürün Kartlar'!D130="","",'Ürün Kartlar'!D130)</f>
      </c>
      <c r="E130" s="24">
        <f>IF('Ürün Kartlar'!H130="",0,'Ürün Kartlar'!H130)</f>
      </c>
      <c r="F130" s="24">
        <f>IF($B130="",0,SUMIFS('Hareketler'!$H$5:$H$1004,'Hareketler'!$F$5:$F$1004,$B130,'Hareketler'!$C$5:$C$1004,"Alış"))</f>
      </c>
      <c r="G130" s="24">
        <f>IF($B130="",0,SUMIFS('Hareketler'!$H$5:$H$1004,'Hareketler'!$F$5:$F$1004,$B130,'Hareketler'!$C$5:$C$1004,"Satış"))</f>
      </c>
      <c r="H130" s="25">
        <f>IF($B130="","",$E130+$F130-$G130)</f>
      </c>
      <c r="I130" s="24">
        <f>IF('Ürün Kartlar'!I130="",0,'Ürün Kartlar'!I130)</f>
      </c>
      <c r="J130" s="16">
        <f>IF($B130="","",IF($H130&lt;=0,"STOK YOK",IF($H130&lt;=$I130,"KRİTİK","Yeterli")))</f>
      </c>
    </row>
    <row r="131" spans="2:10" x14ac:dyDescent="0.25">
      <c r="B131" s="16">
        <f>IF('Ürün Kartlar'!B131="","",'Ürün Kartlar'!B131)</f>
      </c>
      <c r="C131" s="16">
        <f>IF('Ürün Kartlar'!C131="","",'Ürün Kartlar'!C131)</f>
      </c>
      <c r="D131" s="16">
        <f>IF('Ürün Kartlar'!D131="","",'Ürün Kartlar'!D131)</f>
      </c>
      <c r="E131" s="24">
        <f>IF('Ürün Kartlar'!H131="",0,'Ürün Kartlar'!H131)</f>
      </c>
      <c r="F131" s="24">
        <f>IF($B131="",0,SUMIFS('Hareketler'!$H$5:$H$1004,'Hareketler'!$F$5:$F$1004,$B131,'Hareketler'!$C$5:$C$1004,"Alış"))</f>
      </c>
      <c r="G131" s="24">
        <f>IF($B131="",0,SUMIFS('Hareketler'!$H$5:$H$1004,'Hareketler'!$F$5:$F$1004,$B131,'Hareketler'!$C$5:$C$1004,"Satış"))</f>
      </c>
      <c r="H131" s="25">
        <f>IF($B131="","",$E131+$F131-$G131)</f>
      </c>
      <c r="I131" s="24">
        <f>IF('Ürün Kartlar'!I131="",0,'Ürün Kartlar'!I131)</f>
      </c>
      <c r="J131" s="16">
        <f>IF($B131="","",IF($H131&lt;=0,"STOK YOK",IF($H131&lt;=$I131,"KRİTİK","Yeterli")))</f>
      </c>
    </row>
    <row r="132" spans="2:10" x14ac:dyDescent="0.25">
      <c r="B132" s="16">
        <f>IF('Ürün Kartlar'!B132="","",'Ürün Kartlar'!B132)</f>
      </c>
      <c r="C132" s="16">
        <f>IF('Ürün Kartlar'!C132="","",'Ürün Kartlar'!C132)</f>
      </c>
      <c r="D132" s="16">
        <f>IF('Ürün Kartlar'!D132="","",'Ürün Kartlar'!D132)</f>
      </c>
      <c r="E132" s="24">
        <f>IF('Ürün Kartlar'!H132="",0,'Ürün Kartlar'!H132)</f>
      </c>
      <c r="F132" s="24">
        <f>IF($B132="",0,SUMIFS('Hareketler'!$H$5:$H$1004,'Hareketler'!$F$5:$F$1004,$B132,'Hareketler'!$C$5:$C$1004,"Alış"))</f>
      </c>
      <c r="G132" s="24">
        <f>IF($B132="",0,SUMIFS('Hareketler'!$H$5:$H$1004,'Hareketler'!$F$5:$F$1004,$B132,'Hareketler'!$C$5:$C$1004,"Satış"))</f>
      </c>
      <c r="H132" s="25">
        <f>IF($B132="","",$E132+$F132-$G132)</f>
      </c>
      <c r="I132" s="24">
        <f>IF('Ürün Kartlar'!I132="",0,'Ürün Kartlar'!I132)</f>
      </c>
      <c r="J132" s="16">
        <f>IF($B132="","",IF($H132&lt;=0,"STOK YOK",IF($H132&lt;=$I132,"KRİTİK","Yeterli")))</f>
      </c>
    </row>
    <row r="133" spans="2:10" x14ac:dyDescent="0.25">
      <c r="B133" s="16">
        <f>IF('Ürün Kartlar'!B133="","",'Ürün Kartlar'!B133)</f>
      </c>
      <c r="C133" s="16">
        <f>IF('Ürün Kartlar'!C133="","",'Ürün Kartlar'!C133)</f>
      </c>
      <c r="D133" s="16">
        <f>IF('Ürün Kartlar'!D133="","",'Ürün Kartlar'!D133)</f>
      </c>
      <c r="E133" s="24">
        <f>IF('Ürün Kartlar'!H133="",0,'Ürün Kartlar'!H133)</f>
      </c>
      <c r="F133" s="24">
        <f>IF($B133="",0,SUMIFS('Hareketler'!$H$5:$H$1004,'Hareketler'!$F$5:$F$1004,$B133,'Hareketler'!$C$5:$C$1004,"Alış"))</f>
      </c>
      <c r="G133" s="24">
        <f>IF($B133="",0,SUMIFS('Hareketler'!$H$5:$H$1004,'Hareketler'!$F$5:$F$1004,$B133,'Hareketler'!$C$5:$C$1004,"Satış"))</f>
      </c>
      <c r="H133" s="25">
        <f>IF($B133="","",$E133+$F133-$G133)</f>
      </c>
      <c r="I133" s="24">
        <f>IF('Ürün Kartlar'!I133="",0,'Ürün Kartlar'!I133)</f>
      </c>
      <c r="J133" s="16">
        <f>IF($B133="","",IF($H133&lt;=0,"STOK YOK",IF($H133&lt;=$I133,"KRİTİK","Yeterli")))</f>
      </c>
    </row>
    <row r="134" spans="2:10" x14ac:dyDescent="0.25">
      <c r="B134" s="16">
        <f>IF('Ürün Kartlar'!B134="","",'Ürün Kartlar'!B134)</f>
      </c>
      <c r="C134" s="16">
        <f>IF('Ürün Kartlar'!C134="","",'Ürün Kartlar'!C134)</f>
      </c>
      <c r="D134" s="16">
        <f>IF('Ürün Kartlar'!D134="","",'Ürün Kartlar'!D134)</f>
      </c>
      <c r="E134" s="24">
        <f>IF('Ürün Kartlar'!H134="",0,'Ürün Kartlar'!H134)</f>
      </c>
      <c r="F134" s="24">
        <f>IF($B134="",0,SUMIFS('Hareketler'!$H$5:$H$1004,'Hareketler'!$F$5:$F$1004,$B134,'Hareketler'!$C$5:$C$1004,"Alış"))</f>
      </c>
      <c r="G134" s="24">
        <f>IF($B134="",0,SUMIFS('Hareketler'!$H$5:$H$1004,'Hareketler'!$F$5:$F$1004,$B134,'Hareketler'!$C$5:$C$1004,"Satış"))</f>
      </c>
      <c r="H134" s="25">
        <f>IF($B134="","",$E134+$F134-$G134)</f>
      </c>
      <c r="I134" s="24">
        <f>IF('Ürün Kartlar'!I134="",0,'Ürün Kartlar'!I134)</f>
      </c>
      <c r="J134" s="16">
        <f>IF($B134="","",IF($H134&lt;=0,"STOK YOK",IF($H134&lt;=$I134,"KRİTİK","Yeterli")))</f>
      </c>
    </row>
    <row r="135" spans="2:10" x14ac:dyDescent="0.25">
      <c r="B135" s="16">
        <f>IF('Ürün Kartlar'!B135="","",'Ürün Kartlar'!B135)</f>
      </c>
      <c r="C135" s="16">
        <f>IF('Ürün Kartlar'!C135="","",'Ürün Kartlar'!C135)</f>
      </c>
      <c r="D135" s="16">
        <f>IF('Ürün Kartlar'!D135="","",'Ürün Kartlar'!D135)</f>
      </c>
      <c r="E135" s="24">
        <f>IF('Ürün Kartlar'!H135="",0,'Ürün Kartlar'!H135)</f>
      </c>
      <c r="F135" s="24">
        <f>IF($B135="",0,SUMIFS('Hareketler'!$H$5:$H$1004,'Hareketler'!$F$5:$F$1004,$B135,'Hareketler'!$C$5:$C$1004,"Alış"))</f>
      </c>
      <c r="G135" s="24">
        <f>IF($B135="",0,SUMIFS('Hareketler'!$H$5:$H$1004,'Hareketler'!$F$5:$F$1004,$B135,'Hareketler'!$C$5:$C$1004,"Satış"))</f>
      </c>
      <c r="H135" s="25">
        <f>IF($B135="","",$E135+$F135-$G135)</f>
      </c>
      <c r="I135" s="24">
        <f>IF('Ürün Kartlar'!I135="",0,'Ürün Kartlar'!I135)</f>
      </c>
      <c r="J135" s="16">
        <f>IF($B135="","",IF($H135&lt;=0,"STOK YOK",IF($H135&lt;=$I135,"KRİTİK","Yeterli")))</f>
      </c>
    </row>
    <row r="136" spans="2:10" x14ac:dyDescent="0.25">
      <c r="B136" s="16">
        <f>IF('Ürün Kartlar'!B136="","",'Ürün Kartlar'!B136)</f>
      </c>
      <c r="C136" s="16">
        <f>IF('Ürün Kartlar'!C136="","",'Ürün Kartlar'!C136)</f>
      </c>
      <c r="D136" s="16">
        <f>IF('Ürün Kartlar'!D136="","",'Ürün Kartlar'!D136)</f>
      </c>
      <c r="E136" s="24">
        <f>IF('Ürün Kartlar'!H136="",0,'Ürün Kartlar'!H136)</f>
      </c>
      <c r="F136" s="24">
        <f>IF($B136="",0,SUMIFS('Hareketler'!$H$5:$H$1004,'Hareketler'!$F$5:$F$1004,$B136,'Hareketler'!$C$5:$C$1004,"Alış"))</f>
      </c>
      <c r="G136" s="24">
        <f>IF($B136="",0,SUMIFS('Hareketler'!$H$5:$H$1004,'Hareketler'!$F$5:$F$1004,$B136,'Hareketler'!$C$5:$C$1004,"Satış"))</f>
      </c>
      <c r="H136" s="25">
        <f>IF($B136="","",$E136+$F136-$G136)</f>
      </c>
      <c r="I136" s="24">
        <f>IF('Ürün Kartlar'!I136="",0,'Ürün Kartlar'!I136)</f>
      </c>
      <c r="J136" s="16">
        <f>IF($B136="","",IF($H136&lt;=0,"STOK YOK",IF($H136&lt;=$I136,"KRİTİK","Yeterli")))</f>
      </c>
    </row>
    <row r="137" spans="2:10" x14ac:dyDescent="0.25">
      <c r="B137" s="16">
        <f>IF('Ürün Kartlar'!B137="","",'Ürün Kartlar'!B137)</f>
      </c>
      <c r="C137" s="16">
        <f>IF('Ürün Kartlar'!C137="","",'Ürün Kartlar'!C137)</f>
      </c>
      <c r="D137" s="16">
        <f>IF('Ürün Kartlar'!D137="","",'Ürün Kartlar'!D137)</f>
      </c>
      <c r="E137" s="24">
        <f>IF('Ürün Kartlar'!H137="",0,'Ürün Kartlar'!H137)</f>
      </c>
      <c r="F137" s="24">
        <f>IF($B137="",0,SUMIFS('Hareketler'!$H$5:$H$1004,'Hareketler'!$F$5:$F$1004,$B137,'Hareketler'!$C$5:$C$1004,"Alış"))</f>
      </c>
      <c r="G137" s="24">
        <f>IF($B137="",0,SUMIFS('Hareketler'!$H$5:$H$1004,'Hareketler'!$F$5:$F$1004,$B137,'Hareketler'!$C$5:$C$1004,"Satış"))</f>
      </c>
      <c r="H137" s="25">
        <f>IF($B137="","",$E137+$F137-$G137)</f>
      </c>
      <c r="I137" s="24">
        <f>IF('Ürün Kartlar'!I137="",0,'Ürün Kartlar'!I137)</f>
      </c>
      <c r="J137" s="16">
        <f>IF($B137="","",IF($H137&lt;=0,"STOK YOK",IF($H137&lt;=$I137,"KRİTİK","Yeterli")))</f>
      </c>
    </row>
    <row r="138" spans="2:10" x14ac:dyDescent="0.25">
      <c r="B138" s="16">
        <f>IF('Ürün Kartlar'!B138="","",'Ürün Kartlar'!B138)</f>
      </c>
      <c r="C138" s="16">
        <f>IF('Ürün Kartlar'!C138="","",'Ürün Kartlar'!C138)</f>
      </c>
      <c r="D138" s="16">
        <f>IF('Ürün Kartlar'!D138="","",'Ürün Kartlar'!D138)</f>
      </c>
      <c r="E138" s="24">
        <f>IF('Ürün Kartlar'!H138="",0,'Ürün Kartlar'!H138)</f>
      </c>
      <c r="F138" s="24">
        <f>IF($B138="",0,SUMIFS('Hareketler'!$H$5:$H$1004,'Hareketler'!$F$5:$F$1004,$B138,'Hareketler'!$C$5:$C$1004,"Alış"))</f>
      </c>
      <c r="G138" s="24">
        <f>IF($B138="",0,SUMIFS('Hareketler'!$H$5:$H$1004,'Hareketler'!$F$5:$F$1004,$B138,'Hareketler'!$C$5:$C$1004,"Satış"))</f>
      </c>
      <c r="H138" s="25">
        <f>IF($B138="","",$E138+$F138-$G138)</f>
      </c>
      <c r="I138" s="24">
        <f>IF('Ürün Kartlar'!I138="",0,'Ürün Kartlar'!I138)</f>
      </c>
      <c r="J138" s="16">
        <f>IF($B138="","",IF($H138&lt;=0,"STOK YOK",IF($H138&lt;=$I138,"KRİTİK","Yeterli")))</f>
      </c>
    </row>
    <row r="139" spans="2:10" x14ac:dyDescent="0.25">
      <c r="B139" s="16">
        <f>IF('Ürün Kartlar'!B139="","",'Ürün Kartlar'!B139)</f>
      </c>
      <c r="C139" s="16">
        <f>IF('Ürün Kartlar'!C139="","",'Ürün Kartlar'!C139)</f>
      </c>
      <c r="D139" s="16">
        <f>IF('Ürün Kartlar'!D139="","",'Ürün Kartlar'!D139)</f>
      </c>
      <c r="E139" s="24">
        <f>IF('Ürün Kartlar'!H139="",0,'Ürün Kartlar'!H139)</f>
      </c>
      <c r="F139" s="24">
        <f>IF($B139="",0,SUMIFS('Hareketler'!$H$5:$H$1004,'Hareketler'!$F$5:$F$1004,$B139,'Hareketler'!$C$5:$C$1004,"Alış"))</f>
      </c>
      <c r="G139" s="24">
        <f>IF($B139="",0,SUMIFS('Hareketler'!$H$5:$H$1004,'Hareketler'!$F$5:$F$1004,$B139,'Hareketler'!$C$5:$C$1004,"Satış"))</f>
      </c>
      <c r="H139" s="25">
        <f>IF($B139="","",$E139+$F139-$G139)</f>
      </c>
      <c r="I139" s="24">
        <f>IF('Ürün Kartlar'!I139="",0,'Ürün Kartlar'!I139)</f>
      </c>
      <c r="J139" s="16">
        <f>IF($B139="","",IF($H139&lt;=0,"STOK YOK",IF($H139&lt;=$I139,"KRİTİK","Yeterli")))</f>
      </c>
    </row>
    <row r="140" spans="2:10" x14ac:dyDescent="0.25">
      <c r="B140" s="16">
        <f>IF('Ürün Kartlar'!B140="","",'Ürün Kartlar'!B140)</f>
      </c>
      <c r="C140" s="16">
        <f>IF('Ürün Kartlar'!C140="","",'Ürün Kartlar'!C140)</f>
      </c>
      <c r="D140" s="16">
        <f>IF('Ürün Kartlar'!D140="","",'Ürün Kartlar'!D140)</f>
      </c>
      <c r="E140" s="24">
        <f>IF('Ürün Kartlar'!H140="",0,'Ürün Kartlar'!H140)</f>
      </c>
      <c r="F140" s="24">
        <f>IF($B140="",0,SUMIFS('Hareketler'!$H$5:$H$1004,'Hareketler'!$F$5:$F$1004,$B140,'Hareketler'!$C$5:$C$1004,"Alış"))</f>
      </c>
      <c r="G140" s="24">
        <f>IF($B140="",0,SUMIFS('Hareketler'!$H$5:$H$1004,'Hareketler'!$F$5:$F$1004,$B140,'Hareketler'!$C$5:$C$1004,"Satış"))</f>
      </c>
      <c r="H140" s="25">
        <f>IF($B140="","",$E140+$F140-$G140)</f>
      </c>
      <c r="I140" s="24">
        <f>IF('Ürün Kartlar'!I140="",0,'Ürün Kartlar'!I140)</f>
      </c>
      <c r="J140" s="16">
        <f>IF($B140="","",IF($H140&lt;=0,"STOK YOK",IF($H140&lt;=$I140,"KRİTİK","Yeterli")))</f>
      </c>
    </row>
    <row r="141" spans="2:10" x14ac:dyDescent="0.25">
      <c r="B141" s="16">
        <f>IF('Ürün Kartlar'!B141="","",'Ürün Kartlar'!B141)</f>
      </c>
      <c r="C141" s="16">
        <f>IF('Ürün Kartlar'!C141="","",'Ürün Kartlar'!C141)</f>
      </c>
      <c r="D141" s="16">
        <f>IF('Ürün Kartlar'!D141="","",'Ürün Kartlar'!D141)</f>
      </c>
      <c r="E141" s="24">
        <f>IF('Ürün Kartlar'!H141="",0,'Ürün Kartlar'!H141)</f>
      </c>
      <c r="F141" s="24">
        <f>IF($B141="",0,SUMIFS('Hareketler'!$H$5:$H$1004,'Hareketler'!$F$5:$F$1004,$B141,'Hareketler'!$C$5:$C$1004,"Alış"))</f>
      </c>
      <c r="G141" s="24">
        <f>IF($B141="",0,SUMIFS('Hareketler'!$H$5:$H$1004,'Hareketler'!$F$5:$F$1004,$B141,'Hareketler'!$C$5:$C$1004,"Satış"))</f>
      </c>
      <c r="H141" s="25">
        <f>IF($B141="","",$E141+$F141-$G141)</f>
      </c>
      <c r="I141" s="24">
        <f>IF('Ürün Kartlar'!I141="",0,'Ürün Kartlar'!I141)</f>
      </c>
      <c r="J141" s="16">
        <f>IF($B141="","",IF($H141&lt;=0,"STOK YOK",IF($H141&lt;=$I141,"KRİTİK","Yeterli")))</f>
      </c>
    </row>
    <row r="142" spans="2:10" x14ac:dyDescent="0.25">
      <c r="B142" s="16">
        <f>IF('Ürün Kartlar'!B142="","",'Ürün Kartlar'!B142)</f>
      </c>
      <c r="C142" s="16">
        <f>IF('Ürün Kartlar'!C142="","",'Ürün Kartlar'!C142)</f>
      </c>
      <c r="D142" s="16">
        <f>IF('Ürün Kartlar'!D142="","",'Ürün Kartlar'!D142)</f>
      </c>
      <c r="E142" s="24">
        <f>IF('Ürün Kartlar'!H142="",0,'Ürün Kartlar'!H142)</f>
      </c>
      <c r="F142" s="24">
        <f>IF($B142="",0,SUMIFS('Hareketler'!$H$5:$H$1004,'Hareketler'!$F$5:$F$1004,$B142,'Hareketler'!$C$5:$C$1004,"Alış"))</f>
      </c>
      <c r="G142" s="24">
        <f>IF($B142="",0,SUMIFS('Hareketler'!$H$5:$H$1004,'Hareketler'!$F$5:$F$1004,$B142,'Hareketler'!$C$5:$C$1004,"Satış"))</f>
      </c>
      <c r="H142" s="25">
        <f>IF($B142="","",$E142+$F142-$G142)</f>
      </c>
      <c r="I142" s="24">
        <f>IF('Ürün Kartlar'!I142="",0,'Ürün Kartlar'!I142)</f>
      </c>
      <c r="J142" s="16">
        <f>IF($B142="","",IF($H142&lt;=0,"STOK YOK",IF($H142&lt;=$I142,"KRİTİK","Yeterli")))</f>
      </c>
    </row>
    <row r="143" spans="2:10" x14ac:dyDescent="0.25">
      <c r="B143" s="16">
        <f>IF('Ürün Kartlar'!B143="","",'Ürün Kartlar'!B143)</f>
      </c>
      <c r="C143" s="16">
        <f>IF('Ürün Kartlar'!C143="","",'Ürün Kartlar'!C143)</f>
      </c>
      <c r="D143" s="16">
        <f>IF('Ürün Kartlar'!D143="","",'Ürün Kartlar'!D143)</f>
      </c>
      <c r="E143" s="24">
        <f>IF('Ürün Kartlar'!H143="",0,'Ürün Kartlar'!H143)</f>
      </c>
      <c r="F143" s="24">
        <f>IF($B143="",0,SUMIFS('Hareketler'!$H$5:$H$1004,'Hareketler'!$F$5:$F$1004,$B143,'Hareketler'!$C$5:$C$1004,"Alış"))</f>
      </c>
      <c r="G143" s="24">
        <f>IF($B143="",0,SUMIFS('Hareketler'!$H$5:$H$1004,'Hareketler'!$F$5:$F$1004,$B143,'Hareketler'!$C$5:$C$1004,"Satış"))</f>
      </c>
      <c r="H143" s="25">
        <f>IF($B143="","",$E143+$F143-$G143)</f>
      </c>
      <c r="I143" s="24">
        <f>IF('Ürün Kartlar'!I143="",0,'Ürün Kartlar'!I143)</f>
      </c>
      <c r="J143" s="16">
        <f>IF($B143="","",IF($H143&lt;=0,"STOK YOK",IF($H143&lt;=$I143,"KRİTİK","Yeterli")))</f>
      </c>
    </row>
    <row r="144" spans="2:10" x14ac:dyDescent="0.25">
      <c r="B144" s="16">
        <f>IF('Ürün Kartlar'!B144="","",'Ürün Kartlar'!B144)</f>
      </c>
      <c r="C144" s="16">
        <f>IF('Ürün Kartlar'!C144="","",'Ürün Kartlar'!C144)</f>
      </c>
      <c r="D144" s="16">
        <f>IF('Ürün Kartlar'!D144="","",'Ürün Kartlar'!D144)</f>
      </c>
      <c r="E144" s="24">
        <f>IF('Ürün Kartlar'!H144="",0,'Ürün Kartlar'!H144)</f>
      </c>
      <c r="F144" s="24">
        <f>IF($B144="",0,SUMIFS('Hareketler'!$H$5:$H$1004,'Hareketler'!$F$5:$F$1004,$B144,'Hareketler'!$C$5:$C$1004,"Alış"))</f>
      </c>
      <c r="G144" s="24">
        <f>IF($B144="",0,SUMIFS('Hareketler'!$H$5:$H$1004,'Hareketler'!$F$5:$F$1004,$B144,'Hareketler'!$C$5:$C$1004,"Satış"))</f>
      </c>
      <c r="H144" s="25">
        <f>IF($B144="","",$E144+$F144-$G144)</f>
      </c>
      <c r="I144" s="24">
        <f>IF('Ürün Kartlar'!I144="",0,'Ürün Kartlar'!I144)</f>
      </c>
      <c r="J144" s="16">
        <f>IF($B144="","",IF($H144&lt;=0,"STOK YOK",IF($H144&lt;=$I144,"KRİTİK","Yeterli")))</f>
      </c>
    </row>
    <row r="145" spans="2:10" x14ac:dyDescent="0.25">
      <c r="B145" s="16">
        <f>IF('Ürün Kartlar'!B145="","",'Ürün Kartlar'!B145)</f>
      </c>
      <c r="C145" s="16">
        <f>IF('Ürün Kartlar'!C145="","",'Ürün Kartlar'!C145)</f>
      </c>
      <c r="D145" s="16">
        <f>IF('Ürün Kartlar'!D145="","",'Ürün Kartlar'!D145)</f>
      </c>
      <c r="E145" s="24">
        <f>IF('Ürün Kartlar'!H145="",0,'Ürün Kartlar'!H145)</f>
      </c>
      <c r="F145" s="24">
        <f>IF($B145="",0,SUMIFS('Hareketler'!$H$5:$H$1004,'Hareketler'!$F$5:$F$1004,$B145,'Hareketler'!$C$5:$C$1004,"Alış"))</f>
      </c>
      <c r="G145" s="24">
        <f>IF($B145="",0,SUMIFS('Hareketler'!$H$5:$H$1004,'Hareketler'!$F$5:$F$1004,$B145,'Hareketler'!$C$5:$C$1004,"Satış"))</f>
      </c>
      <c r="H145" s="25">
        <f>IF($B145="","",$E145+$F145-$G145)</f>
      </c>
      <c r="I145" s="24">
        <f>IF('Ürün Kartlar'!I145="",0,'Ürün Kartlar'!I145)</f>
      </c>
      <c r="J145" s="16">
        <f>IF($B145="","",IF($H145&lt;=0,"STOK YOK",IF($H145&lt;=$I145,"KRİTİK","Yeterli")))</f>
      </c>
    </row>
    <row r="146" spans="2:10" x14ac:dyDescent="0.25">
      <c r="B146" s="16">
        <f>IF('Ürün Kartlar'!B146="","",'Ürün Kartlar'!B146)</f>
      </c>
      <c r="C146" s="16">
        <f>IF('Ürün Kartlar'!C146="","",'Ürün Kartlar'!C146)</f>
      </c>
      <c r="D146" s="16">
        <f>IF('Ürün Kartlar'!D146="","",'Ürün Kartlar'!D146)</f>
      </c>
      <c r="E146" s="24">
        <f>IF('Ürün Kartlar'!H146="",0,'Ürün Kartlar'!H146)</f>
      </c>
      <c r="F146" s="24">
        <f>IF($B146="",0,SUMIFS('Hareketler'!$H$5:$H$1004,'Hareketler'!$F$5:$F$1004,$B146,'Hareketler'!$C$5:$C$1004,"Alış"))</f>
      </c>
      <c r="G146" s="24">
        <f>IF($B146="",0,SUMIFS('Hareketler'!$H$5:$H$1004,'Hareketler'!$F$5:$F$1004,$B146,'Hareketler'!$C$5:$C$1004,"Satış"))</f>
      </c>
      <c r="H146" s="25">
        <f>IF($B146="","",$E146+$F146-$G146)</f>
      </c>
      <c r="I146" s="24">
        <f>IF('Ürün Kartlar'!I146="",0,'Ürün Kartlar'!I146)</f>
      </c>
      <c r="J146" s="16">
        <f>IF($B146="","",IF($H146&lt;=0,"STOK YOK",IF($H146&lt;=$I146,"KRİTİK","Yeterli")))</f>
      </c>
    </row>
    <row r="147" spans="2:10" x14ac:dyDescent="0.25">
      <c r="B147" s="16">
        <f>IF('Ürün Kartlar'!B147="","",'Ürün Kartlar'!B147)</f>
      </c>
      <c r="C147" s="16">
        <f>IF('Ürün Kartlar'!C147="","",'Ürün Kartlar'!C147)</f>
      </c>
      <c r="D147" s="16">
        <f>IF('Ürün Kartlar'!D147="","",'Ürün Kartlar'!D147)</f>
      </c>
      <c r="E147" s="24">
        <f>IF('Ürün Kartlar'!H147="",0,'Ürün Kartlar'!H147)</f>
      </c>
      <c r="F147" s="24">
        <f>IF($B147="",0,SUMIFS('Hareketler'!$H$5:$H$1004,'Hareketler'!$F$5:$F$1004,$B147,'Hareketler'!$C$5:$C$1004,"Alış"))</f>
      </c>
      <c r="G147" s="24">
        <f>IF($B147="",0,SUMIFS('Hareketler'!$H$5:$H$1004,'Hareketler'!$F$5:$F$1004,$B147,'Hareketler'!$C$5:$C$1004,"Satış"))</f>
      </c>
      <c r="H147" s="25">
        <f>IF($B147="","",$E147+$F147-$G147)</f>
      </c>
      <c r="I147" s="24">
        <f>IF('Ürün Kartlar'!I147="",0,'Ürün Kartlar'!I147)</f>
      </c>
      <c r="J147" s="16">
        <f>IF($B147="","",IF($H147&lt;=0,"STOK YOK",IF($H147&lt;=$I147,"KRİTİK","Yeterli")))</f>
      </c>
    </row>
    <row r="148" spans="2:10" x14ac:dyDescent="0.25">
      <c r="B148" s="16">
        <f>IF('Ürün Kartlar'!B148="","",'Ürün Kartlar'!B148)</f>
      </c>
      <c r="C148" s="16">
        <f>IF('Ürün Kartlar'!C148="","",'Ürün Kartlar'!C148)</f>
      </c>
      <c r="D148" s="16">
        <f>IF('Ürün Kartlar'!D148="","",'Ürün Kartlar'!D148)</f>
      </c>
      <c r="E148" s="24">
        <f>IF('Ürün Kartlar'!H148="",0,'Ürün Kartlar'!H148)</f>
      </c>
      <c r="F148" s="24">
        <f>IF($B148="",0,SUMIFS('Hareketler'!$H$5:$H$1004,'Hareketler'!$F$5:$F$1004,$B148,'Hareketler'!$C$5:$C$1004,"Alış"))</f>
      </c>
      <c r="G148" s="24">
        <f>IF($B148="",0,SUMIFS('Hareketler'!$H$5:$H$1004,'Hareketler'!$F$5:$F$1004,$B148,'Hareketler'!$C$5:$C$1004,"Satış"))</f>
      </c>
      <c r="H148" s="25">
        <f>IF($B148="","",$E148+$F148-$G148)</f>
      </c>
      <c r="I148" s="24">
        <f>IF('Ürün Kartlar'!I148="",0,'Ürün Kartlar'!I148)</f>
      </c>
      <c r="J148" s="16">
        <f>IF($B148="","",IF($H148&lt;=0,"STOK YOK",IF($H148&lt;=$I148,"KRİTİK","Yeterli")))</f>
      </c>
    </row>
    <row r="149" spans="2:10" x14ac:dyDescent="0.25">
      <c r="B149" s="16">
        <f>IF('Ürün Kartlar'!B149="","",'Ürün Kartlar'!B149)</f>
      </c>
      <c r="C149" s="16">
        <f>IF('Ürün Kartlar'!C149="","",'Ürün Kartlar'!C149)</f>
      </c>
      <c r="D149" s="16">
        <f>IF('Ürün Kartlar'!D149="","",'Ürün Kartlar'!D149)</f>
      </c>
      <c r="E149" s="24">
        <f>IF('Ürün Kartlar'!H149="",0,'Ürün Kartlar'!H149)</f>
      </c>
      <c r="F149" s="24">
        <f>IF($B149="",0,SUMIFS('Hareketler'!$H$5:$H$1004,'Hareketler'!$F$5:$F$1004,$B149,'Hareketler'!$C$5:$C$1004,"Alış"))</f>
      </c>
      <c r="G149" s="24">
        <f>IF($B149="",0,SUMIFS('Hareketler'!$H$5:$H$1004,'Hareketler'!$F$5:$F$1004,$B149,'Hareketler'!$C$5:$C$1004,"Satış"))</f>
      </c>
      <c r="H149" s="25">
        <f>IF($B149="","",$E149+$F149-$G149)</f>
      </c>
      <c r="I149" s="24">
        <f>IF('Ürün Kartlar'!I149="",0,'Ürün Kartlar'!I149)</f>
      </c>
      <c r="J149" s="16">
        <f>IF($B149="","",IF($H149&lt;=0,"STOK YOK",IF($H149&lt;=$I149,"KRİTİK","Yeterli")))</f>
      </c>
    </row>
    <row r="150" spans="2:10" x14ac:dyDescent="0.25">
      <c r="B150" s="16">
        <f>IF('Ürün Kartlar'!B150="","",'Ürün Kartlar'!B150)</f>
      </c>
      <c r="C150" s="16">
        <f>IF('Ürün Kartlar'!C150="","",'Ürün Kartlar'!C150)</f>
      </c>
      <c r="D150" s="16">
        <f>IF('Ürün Kartlar'!D150="","",'Ürün Kartlar'!D150)</f>
      </c>
      <c r="E150" s="24">
        <f>IF('Ürün Kartlar'!H150="",0,'Ürün Kartlar'!H150)</f>
      </c>
      <c r="F150" s="24">
        <f>IF($B150="",0,SUMIFS('Hareketler'!$H$5:$H$1004,'Hareketler'!$F$5:$F$1004,$B150,'Hareketler'!$C$5:$C$1004,"Alış"))</f>
      </c>
      <c r="G150" s="24">
        <f>IF($B150="",0,SUMIFS('Hareketler'!$H$5:$H$1004,'Hareketler'!$F$5:$F$1004,$B150,'Hareketler'!$C$5:$C$1004,"Satış"))</f>
      </c>
      <c r="H150" s="25">
        <f>IF($B150="","",$E150+$F150-$G150)</f>
      </c>
      <c r="I150" s="24">
        <f>IF('Ürün Kartlar'!I150="",0,'Ürün Kartlar'!I150)</f>
      </c>
      <c r="J150" s="16">
        <f>IF($B150="","",IF($H150&lt;=0,"STOK YOK",IF($H150&lt;=$I150,"KRİTİK","Yeterli")))</f>
      </c>
    </row>
    <row r="151" spans="2:10" x14ac:dyDescent="0.25">
      <c r="B151" s="16">
        <f>IF('Ürün Kartlar'!B151="","",'Ürün Kartlar'!B151)</f>
      </c>
      <c r="C151" s="16">
        <f>IF('Ürün Kartlar'!C151="","",'Ürün Kartlar'!C151)</f>
      </c>
      <c r="D151" s="16">
        <f>IF('Ürün Kartlar'!D151="","",'Ürün Kartlar'!D151)</f>
      </c>
      <c r="E151" s="24">
        <f>IF('Ürün Kartlar'!H151="",0,'Ürün Kartlar'!H151)</f>
      </c>
      <c r="F151" s="24">
        <f>IF($B151="",0,SUMIFS('Hareketler'!$H$5:$H$1004,'Hareketler'!$F$5:$F$1004,$B151,'Hareketler'!$C$5:$C$1004,"Alış"))</f>
      </c>
      <c r="G151" s="24">
        <f>IF($B151="",0,SUMIFS('Hareketler'!$H$5:$H$1004,'Hareketler'!$F$5:$F$1004,$B151,'Hareketler'!$C$5:$C$1004,"Satış"))</f>
      </c>
      <c r="H151" s="25">
        <f>IF($B151="","",$E151+$F151-$G151)</f>
      </c>
      <c r="I151" s="24">
        <f>IF('Ürün Kartlar'!I151="",0,'Ürün Kartlar'!I151)</f>
      </c>
      <c r="J151" s="16">
        <f>IF($B151="","",IF($H151&lt;=0,"STOK YOK",IF($H151&lt;=$I151,"KRİTİK","Yeterli")))</f>
      </c>
    </row>
    <row r="152" spans="2:10" x14ac:dyDescent="0.25">
      <c r="B152" s="16">
        <f>IF('Ürün Kartlar'!B152="","",'Ürün Kartlar'!B152)</f>
      </c>
      <c r="C152" s="16">
        <f>IF('Ürün Kartlar'!C152="","",'Ürün Kartlar'!C152)</f>
      </c>
      <c r="D152" s="16">
        <f>IF('Ürün Kartlar'!D152="","",'Ürün Kartlar'!D152)</f>
      </c>
      <c r="E152" s="24">
        <f>IF('Ürün Kartlar'!H152="",0,'Ürün Kartlar'!H152)</f>
      </c>
      <c r="F152" s="24">
        <f>IF($B152="",0,SUMIFS('Hareketler'!$H$5:$H$1004,'Hareketler'!$F$5:$F$1004,$B152,'Hareketler'!$C$5:$C$1004,"Alış"))</f>
      </c>
      <c r="G152" s="24">
        <f>IF($B152="",0,SUMIFS('Hareketler'!$H$5:$H$1004,'Hareketler'!$F$5:$F$1004,$B152,'Hareketler'!$C$5:$C$1004,"Satış"))</f>
      </c>
      <c r="H152" s="25">
        <f>IF($B152="","",$E152+$F152-$G152)</f>
      </c>
      <c r="I152" s="24">
        <f>IF('Ürün Kartlar'!I152="",0,'Ürün Kartlar'!I152)</f>
      </c>
      <c r="J152" s="16">
        <f>IF($B152="","",IF($H152&lt;=0,"STOK YOK",IF($H152&lt;=$I152,"KRİTİK","Yeterli")))</f>
      </c>
    </row>
    <row r="153" spans="2:10" x14ac:dyDescent="0.25">
      <c r="B153" s="16">
        <f>IF('Ürün Kartlar'!B153="","",'Ürün Kartlar'!B153)</f>
      </c>
      <c r="C153" s="16">
        <f>IF('Ürün Kartlar'!C153="","",'Ürün Kartlar'!C153)</f>
      </c>
      <c r="D153" s="16">
        <f>IF('Ürün Kartlar'!D153="","",'Ürün Kartlar'!D153)</f>
      </c>
      <c r="E153" s="24">
        <f>IF('Ürün Kartlar'!H153="",0,'Ürün Kartlar'!H153)</f>
      </c>
      <c r="F153" s="24">
        <f>IF($B153="",0,SUMIFS('Hareketler'!$H$5:$H$1004,'Hareketler'!$F$5:$F$1004,$B153,'Hareketler'!$C$5:$C$1004,"Alış"))</f>
      </c>
      <c r="G153" s="24">
        <f>IF($B153="",0,SUMIFS('Hareketler'!$H$5:$H$1004,'Hareketler'!$F$5:$F$1004,$B153,'Hareketler'!$C$5:$C$1004,"Satış"))</f>
      </c>
      <c r="H153" s="25">
        <f>IF($B153="","",$E153+$F153-$G153)</f>
      </c>
      <c r="I153" s="24">
        <f>IF('Ürün Kartlar'!I153="",0,'Ürün Kartlar'!I153)</f>
      </c>
      <c r="J153" s="16">
        <f>IF($B153="","",IF($H153&lt;=0,"STOK YOK",IF($H153&lt;=$I153,"KRİTİK","Yeterli")))</f>
      </c>
    </row>
    <row r="154" spans="2:10" x14ac:dyDescent="0.25">
      <c r="B154" s="16">
        <f>IF('Ürün Kartlar'!B154="","",'Ürün Kartlar'!B154)</f>
      </c>
      <c r="C154" s="16">
        <f>IF('Ürün Kartlar'!C154="","",'Ürün Kartlar'!C154)</f>
      </c>
      <c r="D154" s="16">
        <f>IF('Ürün Kartlar'!D154="","",'Ürün Kartlar'!D154)</f>
      </c>
      <c r="E154" s="24">
        <f>IF('Ürün Kartlar'!H154="",0,'Ürün Kartlar'!H154)</f>
      </c>
      <c r="F154" s="24">
        <f>IF($B154="",0,SUMIFS('Hareketler'!$H$5:$H$1004,'Hareketler'!$F$5:$F$1004,$B154,'Hareketler'!$C$5:$C$1004,"Alış"))</f>
      </c>
      <c r="G154" s="24">
        <f>IF($B154="",0,SUMIFS('Hareketler'!$H$5:$H$1004,'Hareketler'!$F$5:$F$1004,$B154,'Hareketler'!$C$5:$C$1004,"Satış"))</f>
      </c>
      <c r="H154" s="25">
        <f>IF($B154="","",$E154+$F154-$G154)</f>
      </c>
      <c r="I154" s="24">
        <f>IF('Ürün Kartlar'!I154="",0,'Ürün Kartlar'!I154)</f>
      </c>
      <c r="J154" s="16">
        <f>IF($B154="","",IF($H154&lt;=0,"STOK YOK",IF($H154&lt;=$I154,"KRİTİK","Yeterli")))</f>
      </c>
    </row>
    <row r="155" spans="2:10" x14ac:dyDescent="0.25">
      <c r="B155" s="16">
        <f>IF('Ürün Kartlar'!B155="","",'Ürün Kartlar'!B155)</f>
      </c>
      <c r="C155" s="16">
        <f>IF('Ürün Kartlar'!C155="","",'Ürün Kartlar'!C155)</f>
      </c>
      <c r="D155" s="16">
        <f>IF('Ürün Kartlar'!D155="","",'Ürün Kartlar'!D155)</f>
      </c>
      <c r="E155" s="24">
        <f>IF('Ürün Kartlar'!H155="",0,'Ürün Kartlar'!H155)</f>
      </c>
      <c r="F155" s="24">
        <f>IF($B155="",0,SUMIFS('Hareketler'!$H$5:$H$1004,'Hareketler'!$F$5:$F$1004,$B155,'Hareketler'!$C$5:$C$1004,"Alış"))</f>
      </c>
      <c r="G155" s="24">
        <f>IF($B155="",0,SUMIFS('Hareketler'!$H$5:$H$1004,'Hareketler'!$F$5:$F$1004,$B155,'Hareketler'!$C$5:$C$1004,"Satış"))</f>
      </c>
      <c r="H155" s="25">
        <f>IF($B155="","",$E155+$F155-$G155)</f>
      </c>
      <c r="I155" s="24">
        <f>IF('Ürün Kartlar'!I155="",0,'Ürün Kartlar'!I155)</f>
      </c>
      <c r="J155" s="16">
        <f>IF($B155="","",IF($H155&lt;=0,"STOK YOK",IF($H155&lt;=$I155,"KRİTİK","Yeterli")))</f>
      </c>
    </row>
    <row r="156" spans="2:10" x14ac:dyDescent="0.25">
      <c r="B156" s="16">
        <f>IF('Ürün Kartlar'!B156="","",'Ürün Kartlar'!B156)</f>
      </c>
      <c r="C156" s="16">
        <f>IF('Ürün Kartlar'!C156="","",'Ürün Kartlar'!C156)</f>
      </c>
      <c r="D156" s="16">
        <f>IF('Ürün Kartlar'!D156="","",'Ürün Kartlar'!D156)</f>
      </c>
      <c r="E156" s="24">
        <f>IF('Ürün Kartlar'!H156="",0,'Ürün Kartlar'!H156)</f>
      </c>
      <c r="F156" s="24">
        <f>IF($B156="",0,SUMIFS('Hareketler'!$H$5:$H$1004,'Hareketler'!$F$5:$F$1004,$B156,'Hareketler'!$C$5:$C$1004,"Alış"))</f>
      </c>
      <c r="G156" s="24">
        <f>IF($B156="",0,SUMIFS('Hareketler'!$H$5:$H$1004,'Hareketler'!$F$5:$F$1004,$B156,'Hareketler'!$C$5:$C$1004,"Satış"))</f>
      </c>
      <c r="H156" s="25">
        <f>IF($B156="","",$E156+$F156-$G156)</f>
      </c>
      <c r="I156" s="24">
        <f>IF('Ürün Kartlar'!I156="",0,'Ürün Kartlar'!I156)</f>
      </c>
      <c r="J156" s="16">
        <f>IF($B156="","",IF($H156&lt;=0,"STOK YOK",IF($H156&lt;=$I156,"KRİTİK","Yeterli")))</f>
      </c>
    </row>
    <row r="157" spans="2:10" x14ac:dyDescent="0.25">
      <c r="B157" s="16">
        <f>IF('Ürün Kartlar'!B157="","",'Ürün Kartlar'!B157)</f>
      </c>
      <c r="C157" s="16">
        <f>IF('Ürün Kartlar'!C157="","",'Ürün Kartlar'!C157)</f>
      </c>
      <c r="D157" s="16">
        <f>IF('Ürün Kartlar'!D157="","",'Ürün Kartlar'!D157)</f>
      </c>
      <c r="E157" s="24">
        <f>IF('Ürün Kartlar'!H157="",0,'Ürün Kartlar'!H157)</f>
      </c>
      <c r="F157" s="24">
        <f>IF($B157="",0,SUMIFS('Hareketler'!$H$5:$H$1004,'Hareketler'!$F$5:$F$1004,$B157,'Hareketler'!$C$5:$C$1004,"Alış"))</f>
      </c>
      <c r="G157" s="24">
        <f>IF($B157="",0,SUMIFS('Hareketler'!$H$5:$H$1004,'Hareketler'!$F$5:$F$1004,$B157,'Hareketler'!$C$5:$C$1004,"Satış"))</f>
      </c>
      <c r="H157" s="25">
        <f>IF($B157="","",$E157+$F157-$G157)</f>
      </c>
      <c r="I157" s="24">
        <f>IF('Ürün Kartlar'!I157="",0,'Ürün Kartlar'!I157)</f>
      </c>
      <c r="J157" s="16">
        <f>IF($B157="","",IF($H157&lt;=0,"STOK YOK",IF($H157&lt;=$I157,"KRİTİK","Yeterli")))</f>
      </c>
    </row>
    <row r="158" spans="2:10" x14ac:dyDescent="0.25">
      <c r="B158" s="16">
        <f>IF('Ürün Kartlar'!B158="","",'Ürün Kartlar'!B158)</f>
      </c>
      <c r="C158" s="16">
        <f>IF('Ürün Kartlar'!C158="","",'Ürün Kartlar'!C158)</f>
      </c>
      <c r="D158" s="16">
        <f>IF('Ürün Kartlar'!D158="","",'Ürün Kartlar'!D158)</f>
      </c>
      <c r="E158" s="24">
        <f>IF('Ürün Kartlar'!H158="",0,'Ürün Kartlar'!H158)</f>
      </c>
      <c r="F158" s="24">
        <f>IF($B158="",0,SUMIFS('Hareketler'!$H$5:$H$1004,'Hareketler'!$F$5:$F$1004,$B158,'Hareketler'!$C$5:$C$1004,"Alış"))</f>
      </c>
      <c r="G158" s="24">
        <f>IF($B158="",0,SUMIFS('Hareketler'!$H$5:$H$1004,'Hareketler'!$F$5:$F$1004,$B158,'Hareketler'!$C$5:$C$1004,"Satış"))</f>
      </c>
      <c r="H158" s="25">
        <f>IF($B158="","",$E158+$F158-$G158)</f>
      </c>
      <c r="I158" s="24">
        <f>IF('Ürün Kartlar'!I158="",0,'Ürün Kartlar'!I158)</f>
      </c>
      <c r="J158" s="16">
        <f>IF($B158="","",IF($H158&lt;=0,"STOK YOK",IF($H158&lt;=$I158,"KRİTİK","Yeterli")))</f>
      </c>
    </row>
    <row r="159" spans="2:10" x14ac:dyDescent="0.25">
      <c r="B159" s="16">
        <f>IF('Ürün Kartlar'!B159="","",'Ürün Kartlar'!B159)</f>
      </c>
      <c r="C159" s="16">
        <f>IF('Ürün Kartlar'!C159="","",'Ürün Kartlar'!C159)</f>
      </c>
      <c r="D159" s="16">
        <f>IF('Ürün Kartlar'!D159="","",'Ürün Kartlar'!D159)</f>
      </c>
      <c r="E159" s="24">
        <f>IF('Ürün Kartlar'!H159="",0,'Ürün Kartlar'!H159)</f>
      </c>
      <c r="F159" s="24">
        <f>IF($B159="",0,SUMIFS('Hareketler'!$H$5:$H$1004,'Hareketler'!$F$5:$F$1004,$B159,'Hareketler'!$C$5:$C$1004,"Alış"))</f>
      </c>
      <c r="G159" s="24">
        <f>IF($B159="",0,SUMIFS('Hareketler'!$H$5:$H$1004,'Hareketler'!$F$5:$F$1004,$B159,'Hareketler'!$C$5:$C$1004,"Satış"))</f>
      </c>
      <c r="H159" s="25">
        <f>IF($B159="","",$E159+$F159-$G159)</f>
      </c>
      <c r="I159" s="24">
        <f>IF('Ürün Kartlar'!I159="",0,'Ürün Kartlar'!I159)</f>
      </c>
      <c r="J159" s="16">
        <f>IF($B159="","",IF($H159&lt;=0,"STOK YOK",IF($H159&lt;=$I159,"KRİTİK","Yeterli")))</f>
      </c>
    </row>
    <row r="160" spans="2:10" x14ac:dyDescent="0.25">
      <c r="B160" s="16">
        <f>IF('Ürün Kartlar'!B160="","",'Ürün Kartlar'!B160)</f>
      </c>
      <c r="C160" s="16">
        <f>IF('Ürün Kartlar'!C160="","",'Ürün Kartlar'!C160)</f>
      </c>
      <c r="D160" s="16">
        <f>IF('Ürün Kartlar'!D160="","",'Ürün Kartlar'!D160)</f>
      </c>
      <c r="E160" s="24">
        <f>IF('Ürün Kartlar'!H160="",0,'Ürün Kartlar'!H160)</f>
      </c>
      <c r="F160" s="24">
        <f>IF($B160="",0,SUMIFS('Hareketler'!$H$5:$H$1004,'Hareketler'!$F$5:$F$1004,$B160,'Hareketler'!$C$5:$C$1004,"Alış"))</f>
      </c>
      <c r="G160" s="24">
        <f>IF($B160="",0,SUMIFS('Hareketler'!$H$5:$H$1004,'Hareketler'!$F$5:$F$1004,$B160,'Hareketler'!$C$5:$C$1004,"Satış"))</f>
      </c>
      <c r="H160" s="25">
        <f>IF($B160="","",$E160+$F160-$G160)</f>
      </c>
      <c r="I160" s="24">
        <f>IF('Ürün Kartlar'!I160="",0,'Ürün Kartlar'!I160)</f>
      </c>
      <c r="J160" s="16">
        <f>IF($B160="","",IF($H160&lt;=0,"STOK YOK",IF($H160&lt;=$I160,"KRİTİK","Yeterli")))</f>
      </c>
    </row>
    <row r="161" spans="2:10" x14ac:dyDescent="0.25">
      <c r="B161" s="16">
        <f>IF('Ürün Kartlar'!B161="","",'Ürün Kartlar'!B161)</f>
      </c>
      <c r="C161" s="16">
        <f>IF('Ürün Kartlar'!C161="","",'Ürün Kartlar'!C161)</f>
      </c>
      <c r="D161" s="16">
        <f>IF('Ürün Kartlar'!D161="","",'Ürün Kartlar'!D161)</f>
      </c>
      <c r="E161" s="24">
        <f>IF('Ürün Kartlar'!H161="",0,'Ürün Kartlar'!H161)</f>
      </c>
      <c r="F161" s="24">
        <f>IF($B161="",0,SUMIFS('Hareketler'!$H$5:$H$1004,'Hareketler'!$F$5:$F$1004,$B161,'Hareketler'!$C$5:$C$1004,"Alış"))</f>
      </c>
      <c r="G161" s="24">
        <f>IF($B161="",0,SUMIFS('Hareketler'!$H$5:$H$1004,'Hareketler'!$F$5:$F$1004,$B161,'Hareketler'!$C$5:$C$1004,"Satış"))</f>
      </c>
      <c r="H161" s="25">
        <f>IF($B161="","",$E161+$F161-$G161)</f>
      </c>
      <c r="I161" s="24">
        <f>IF('Ürün Kartlar'!I161="",0,'Ürün Kartlar'!I161)</f>
      </c>
      <c r="J161" s="16">
        <f>IF($B161="","",IF($H161&lt;=0,"STOK YOK",IF($H161&lt;=$I161,"KRİTİK","Yeterli")))</f>
      </c>
    </row>
    <row r="162" spans="2:10" x14ac:dyDescent="0.25">
      <c r="B162" s="16">
        <f>IF('Ürün Kartlar'!B162="","",'Ürün Kartlar'!B162)</f>
      </c>
      <c r="C162" s="16">
        <f>IF('Ürün Kartlar'!C162="","",'Ürün Kartlar'!C162)</f>
      </c>
      <c r="D162" s="16">
        <f>IF('Ürün Kartlar'!D162="","",'Ürün Kartlar'!D162)</f>
      </c>
      <c r="E162" s="24">
        <f>IF('Ürün Kartlar'!H162="",0,'Ürün Kartlar'!H162)</f>
      </c>
      <c r="F162" s="24">
        <f>IF($B162="",0,SUMIFS('Hareketler'!$H$5:$H$1004,'Hareketler'!$F$5:$F$1004,$B162,'Hareketler'!$C$5:$C$1004,"Alış"))</f>
      </c>
      <c r="G162" s="24">
        <f>IF($B162="",0,SUMIFS('Hareketler'!$H$5:$H$1004,'Hareketler'!$F$5:$F$1004,$B162,'Hareketler'!$C$5:$C$1004,"Satış"))</f>
      </c>
      <c r="H162" s="25">
        <f>IF($B162="","",$E162+$F162-$G162)</f>
      </c>
      <c r="I162" s="24">
        <f>IF('Ürün Kartlar'!I162="",0,'Ürün Kartlar'!I162)</f>
      </c>
      <c r="J162" s="16">
        <f>IF($B162="","",IF($H162&lt;=0,"STOK YOK",IF($H162&lt;=$I162,"KRİTİK","Yeterli")))</f>
      </c>
    </row>
    <row r="163" spans="2:10" x14ac:dyDescent="0.25">
      <c r="B163" s="16">
        <f>IF('Ürün Kartlar'!B163="","",'Ürün Kartlar'!B163)</f>
      </c>
      <c r="C163" s="16">
        <f>IF('Ürün Kartlar'!C163="","",'Ürün Kartlar'!C163)</f>
      </c>
      <c r="D163" s="16">
        <f>IF('Ürün Kartlar'!D163="","",'Ürün Kartlar'!D163)</f>
      </c>
      <c r="E163" s="24">
        <f>IF('Ürün Kartlar'!H163="",0,'Ürün Kartlar'!H163)</f>
      </c>
      <c r="F163" s="24">
        <f>IF($B163="",0,SUMIFS('Hareketler'!$H$5:$H$1004,'Hareketler'!$F$5:$F$1004,$B163,'Hareketler'!$C$5:$C$1004,"Alış"))</f>
      </c>
      <c r="G163" s="24">
        <f>IF($B163="",0,SUMIFS('Hareketler'!$H$5:$H$1004,'Hareketler'!$F$5:$F$1004,$B163,'Hareketler'!$C$5:$C$1004,"Satış"))</f>
      </c>
      <c r="H163" s="25">
        <f>IF($B163="","",$E163+$F163-$G163)</f>
      </c>
      <c r="I163" s="24">
        <f>IF('Ürün Kartlar'!I163="",0,'Ürün Kartlar'!I163)</f>
      </c>
      <c r="J163" s="16">
        <f>IF($B163="","",IF($H163&lt;=0,"STOK YOK",IF($H163&lt;=$I163,"KRİTİK","Yeterli")))</f>
      </c>
    </row>
    <row r="164" spans="2:10" x14ac:dyDescent="0.25">
      <c r="B164" s="16">
        <f>IF('Ürün Kartlar'!B164="","",'Ürün Kartlar'!B164)</f>
      </c>
      <c r="C164" s="16">
        <f>IF('Ürün Kartlar'!C164="","",'Ürün Kartlar'!C164)</f>
      </c>
      <c r="D164" s="16">
        <f>IF('Ürün Kartlar'!D164="","",'Ürün Kartlar'!D164)</f>
      </c>
      <c r="E164" s="24">
        <f>IF('Ürün Kartlar'!H164="",0,'Ürün Kartlar'!H164)</f>
      </c>
      <c r="F164" s="24">
        <f>IF($B164="",0,SUMIFS('Hareketler'!$H$5:$H$1004,'Hareketler'!$F$5:$F$1004,$B164,'Hareketler'!$C$5:$C$1004,"Alış"))</f>
      </c>
      <c r="G164" s="24">
        <f>IF($B164="",0,SUMIFS('Hareketler'!$H$5:$H$1004,'Hareketler'!$F$5:$F$1004,$B164,'Hareketler'!$C$5:$C$1004,"Satış"))</f>
      </c>
      <c r="H164" s="25">
        <f>IF($B164="","",$E164+$F164-$G164)</f>
      </c>
      <c r="I164" s="24">
        <f>IF('Ürün Kartlar'!I164="",0,'Ürün Kartlar'!I164)</f>
      </c>
      <c r="J164" s="16">
        <f>IF($B164="","",IF($H164&lt;=0,"STOK YOK",IF($H164&lt;=$I164,"KRİTİK","Yeterli")))</f>
      </c>
    </row>
    <row r="165" spans="2:10" x14ac:dyDescent="0.25">
      <c r="B165" s="16">
        <f>IF('Ürün Kartlar'!B165="","",'Ürün Kartlar'!B165)</f>
      </c>
      <c r="C165" s="16">
        <f>IF('Ürün Kartlar'!C165="","",'Ürün Kartlar'!C165)</f>
      </c>
      <c r="D165" s="16">
        <f>IF('Ürün Kartlar'!D165="","",'Ürün Kartlar'!D165)</f>
      </c>
      <c r="E165" s="24">
        <f>IF('Ürün Kartlar'!H165="",0,'Ürün Kartlar'!H165)</f>
      </c>
      <c r="F165" s="24">
        <f>IF($B165="",0,SUMIFS('Hareketler'!$H$5:$H$1004,'Hareketler'!$F$5:$F$1004,$B165,'Hareketler'!$C$5:$C$1004,"Alış"))</f>
      </c>
      <c r="G165" s="24">
        <f>IF($B165="",0,SUMIFS('Hareketler'!$H$5:$H$1004,'Hareketler'!$F$5:$F$1004,$B165,'Hareketler'!$C$5:$C$1004,"Satış"))</f>
      </c>
      <c r="H165" s="25">
        <f>IF($B165="","",$E165+$F165-$G165)</f>
      </c>
      <c r="I165" s="24">
        <f>IF('Ürün Kartlar'!I165="",0,'Ürün Kartlar'!I165)</f>
      </c>
      <c r="J165" s="16">
        <f>IF($B165="","",IF($H165&lt;=0,"STOK YOK",IF($H165&lt;=$I165,"KRİTİK","Yeterli")))</f>
      </c>
    </row>
    <row r="166" spans="2:10" x14ac:dyDescent="0.25">
      <c r="B166" s="16">
        <f>IF('Ürün Kartlar'!B166="","",'Ürün Kartlar'!B166)</f>
      </c>
      <c r="C166" s="16">
        <f>IF('Ürün Kartlar'!C166="","",'Ürün Kartlar'!C166)</f>
      </c>
      <c r="D166" s="16">
        <f>IF('Ürün Kartlar'!D166="","",'Ürün Kartlar'!D166)</f>
      </c>
      <c r="E166" s="24">
        <f>IF('Ürün Kartlar'!H166="",0,'Ürün Kartlar'!H166)</f>
      </c>
      <c r="F166" s="24">
        <f>IF($B166="",0,SUMIFS('Hareketler'!$H$5:$H$1004,'Hareketler'!$F$5:$F$1004,$B166,'Hareketler'!$C$5:$C$1004,"Alış"))</f>
      </c>
      <c r="G166" s="24">
        <f>IF($B166="",0,SUMIFS('Hareketler'!$H$5:$H$1004,'Hareketler'!$F$5:$F$1004,$B166,'Hareketler'!$C$5:$C$1004,"Satış"))</f>
      </c>
      <c r="H166" s="25">
        <f>IF($B166="","",$E166+$F166-$G166)</f>
      </c>
      <c r="I166" s="24">
        <f>IF('Ürün Kartlar'!I166="",0,'Ürün Kartlar'!I166)</f>
      </c>
      <c r="J166" s="16">
        <f>IF($B166="","",IF($H166&lt;=0,"STOK YOK",IF($H166&lt;=$I166,"KRİTİK","Yeterli")))</f>
      </c>
    </row>
    <row r="167" spans="2:10" x14ac:dyDescent="0.25">
      <c r="B167" s="16">
        <f>IF('Ürün Kartlar'!B167="","",'Ürün Kartlar'!B167)</f>
      </c>
      <c r="C167" s="16">
        <f>IF('Ürün Kartlar'!C167="","",'Ürün Kartlar'!C167)</f>
      </c>
      <c r="D167" s="16">
        <f>IF('Ürün Kartlar'!D167="","",'Ürün Kartlar'!D167)</f>
      </c>
      <c r="E167" s="24">
        <f>IF('Ürün Kartlar'!H167="",0,'Ürün Kartlar'!H167)</f>
      </c>
      <c r="F167" s="24">
        <f>IF($B167="",0,SUMIFS('Hareketler'!$H$5:$H$1004,'Hareketler'!$F$5:$F$1004,$B167,'Hareketler'!$C$5:$C$1004,"Alış"))</f>
      </c>
      <c r="G167" s="24">
        <f>IF($B167="",0,SUMIFS('Hareketler'!$H$5:$H$1004,'Hareketler'!$F$5:$F$1004,$B167,'Hareketler'!$C$5:$C$1004,"Satış"))</f>
      </c>
      <c r="H167" s="25">
        <f>IF($B167="","",$E167+$F167-$G167)</f>
      </c>
      <c r="I167" s="24">
        <f>IF('Ürün Kartlar'!I167="",0,'Ürün Kartlar'!I167)</f>
      </c>
      <c r="J167" s="16">
        <f>IF($B167="","",IF($H167&lt;=0,"STOK YOK",IF($H167&lt;=$I167,"KRİTİK","Yeterli")))</f>
      </c>
    </row>
    <row r="168" spans="2:10" x14ac:dyDescent="0.25">
      <c r="B168" s="16">
        <f>IF('Ürün Kartlar'!B168="","",'Ürün Kartlar'!B168)</f>
      </c>
      <c r="C168" s="16">
        <f>IF('Ürün Kartlar'!C168="","",'Ürün Kartlar'!C168)</f>
      </c>
      <c r="D168" s="16">
        <f>IF('Ürün Kartlar'!D168="","",'Ürün Kartlar'!D168)</f>
      </c>
      <c r="E168" s="24">
        <f>IF('Ürün Kartlar'!H168="",0,'Ürün Kartlar'!H168)</f>
      </c>
      <c r="F168" s="24">
        <f>IF($B168="",0,SUMIFS('Hareketler'!$H$5:$H$1004,'Hareketler'!$F$5:$F$1004,$B168,'Hareketler'!$C$5:$C$1004,"Alış"))</f>
      </c>
      <c r="G168" s="24">
        <f>IF($B168="",0,SUMIFS('Hareketler'!$H$5:$H$1004,'Hareketler'!$F$5:$F$1004,$B168,'Hareketler'!$C$5:$C$1004,"Satış"))</f>
      </c>
      <c r="H168" s="25">
        <f>IF($B168="","",$E168+$F168-$G168)</f>
      </c>
      <c r="I168" s="24">
        <f>IF('Ürün Kartlar'!I168="",0,'Ürün Kartlar'!I168)</f>
      </c>
      <c r="J168" s="16">
        <f>IF($B168="","",IF($H168&lt;=0,"STOK YOK",IF($H168&lt;=$I168,"KRİTİK","Yeterli")))</f>
      </c>
    </row>
    <row r="169" spans="2:10" x14ac:dyDescent="0.25">
      <c r="B169" s="16">
        <f>IF('Ürün Kartlar'!B169="","",'Ürün Kartlar'!B169)</f>
      </c>
      <c r="C169" s="16">
        <f>IF('Ürün Kartlar'!C169="","",'Ürün Kartlar'!C169)</f>
      </c>
      <c r="D169" s="16">
        <f>IF('Ürün Kartlar'!D169="","",'Ürün Kartlar'!D169)</f>
      </c>
      <c r="E169" s="24">
        <f>IF('Ürün Kartlar'!H169="",0,'Ürün Kartlar'!H169)</f>
      </c>
      <c r="F169" s="24">
        <f>IF($B169="",0,SUMIFS('Hareketler'!$H$5:$H$1004,'Hareketler'!$F$5:$F$1004,$B169,'Hareketler'!$C$5:$C$1004,"Alış"))</f>
      </c>
      <c r="G169" s="24">
        <f>IF($B169="",0,SUMIFS('Hareketler'!$H$5:$H$1004,'Hareketler'!$F$5:$F$1004,$B169,'Hareketler'!$C$5:$C$1004,"Satış"))</f>
      </c>
      <c r="H169" s="25">
        <f>IF($B169="","",$E169+$F169-$G169)</f>
      </c>
      <c r="I169" s="24">
        <f>IF('Ürün Kartlar'!I169="",0,'Ürün Kartlar'!I169)</f>
      </c>
      <c r="J169" s="16">
        <f>IF($B169="","",IF($H169&lt;=0,"STOK YOK",IF($H169&lt;=$I169,"KRİTİK","Yeterli")))</f>
      </c>
    </row>
    <row r="170" spans="2:10" x14ac:dyDescent="0.25">
      <c r="B170" s="16">
        <f>IF('Ürün Kartlar'!B170="","",'Ürün Kartlar'!B170)</f>
      </c>
      <c r="C170" s="16">
        <f>IF('Ürün Kartlar'!C170="","",'Ürün Kartlar'!C170)</f>
      </c>
      <c r="D170" s="16">
        <f>IF('Ürün Kartlar'!D170="","",'Ürün Kartlar'!D170)</f>
      </c>
      <c r="E170" s="24">
        <f>IF('Ürün Kartlar'!H170="",0,'Ürün Kartlar'!H170)</f>
      </c>
      <c r="F170" s="24">
        <f>IF($B170="",0,SUMIFS('Hareketler'!$H$5:$H$1004,'Hareketler'!$F$5:$F$1004,$B170,'Hareketler'!$C$5:$C$1004,"Alış"))</f>
      </c>
      <c r="G170" s="24">
        <f>IF($B170="",0,SUMIFS('Hareketler'!$H$5:$H$1004,'Hareketler'!$F$5:$F$1004,$B170,'Hareketler'!$C$5:$C$1004,"Satış"))</f>
      </c>
      <c r="H170" s="25">
        <f>IF($B170="","",$E170+$F170-$G170)</f>
      </c>
      <c r="I170" s="24">
        <f>IF('Ürün Kartlar'!I170="",0,'Ürün Kartlar'!I170)</f>
      </c>
      <c r="J170" s="16">
        <f>IF($B170="","",IF($H170&lt;=0,"STOK YOK",IF($H170&lt;=$I170,"KRİTİK","Yeterli")))</f>
      </c>
    </row>
    <row r="171" spans="2:10" x14ac:dyDescent="0.25">
      <c r="B171" s="16">
        <f>IF('Ürün Kartlar'!B171="","",'Ürün Kartlar'!B171)</f>
      </c>
      <c r="C171" s="16">
        <f>IF('Ürün Kartlar'!C171="","",'Ürün Kartlar'!C171)</f>
      </c>
      <c r="D171" s="16">
        <f>IF('Ürün Kartlar'!D171="","",'Ürün Kartlar'!D171)</f>
      </c>
      <c r="E171" s="24">
        <f>IF('Ürün Kartlar'!H171="",0,'Ürün Kartlar'!H171)</f>
      </c>
      <c r="F171" s="24">
        <f>IF($B171="",0,SUMIFS('Hareketler'!$H$5:$H$1004,'Hareketler'!$F$5:$F$1004,$B171,'Hareketler'!$C$5:$C$1004,"Alış"))</f>
      </c>
      <c r="G171" s="24">
        <f>IF($B171="",0,SUMIFS('Hareketler'!$H$5:$H$1004,'Hareketler'!$F$5:$F$1004,$B171,'Hareketler'!$C$5:$C$1004,"Satış"))</f>
      </c>
      <c r="H171" s="25">
        <f>IF($B171="","",$E171+$F171-$G171)</f>
      </c>
      <c r="I171" s="24">
        <f>IF('Ürün Kartlar'!I171="",0,'Ürün Kartlar'!I171)</f>
      </c>
      <c r="J171" s="16">
        <f>IF($B171="","",IF($H171&lt;=0,"STOK YOK",IF($H171&lt;=$I171,"KRİTİK","Yeterli")))</f>
      </c>
    </row>
    <row r="172" spans="2:10" x14ac:dyDescent="0.25">
      <c r="B172" s="16">
        <f>IF('Ürün Kartlar'!B172="","",'Ürün Kartlar'!B172)</f>
      </c>
      <c r="C172" s="16">
        <f>IF('Ürün Kartlar'!C172="","",'Ürün Kartlar'!C172)</f>
      </c>
      <c r="D172" s="16">
        <f>IF('Ürün Kartlar'!D172="","",'Ürün Kartlar'!D172)</f>
      </c>
      <c r="E172" s="24">
        <f>IF('Ürün Kartlar'!H172="",0,'Ürün Kartlar'!H172)</f>
      </c>
      <c r="F172" s="24">
        <f>IF($B172="",0,SUMIFS('Hareketler'!$H$5:$H$1004,'Hareketler'!$F$5:$F$1004,$B172,'Hareketler'!$C$5:$C$1004,"Alış"))</f>
      </c>
      <c r="G172" s="24">
        <f>IF($B172="",0,SUMIFS('Hareketler'!$H$5:$H$1004,'Hareketler'!$F$5:$F$1004,$B172,'Hareketler'!$C$5:$C$1004,"Satış"))</f>
      </c>
      <c r="H172" s="25">
        <f>IF($B172="","",$E172+$F172-$G172)</f>
      </c>
      <c r="I172" s="24">
        <f>IF('Ürün Kartlar'!I172="",0,'Ürün Kartlar'!I172)</f>
      </c>
      <c r="J172" s="16">
        <f>IF($B172="","",IF($H172&lt;=0,"STOK YOK",IF($H172&lt;=$I172,"KRİTİK","Yeterli")))</f>
      </c>
    </row>
    <row r="173" spans="2:10" x14ac:dyDescent="0.25">
      <c r="B173" s="16">
        <f>IF('Ürün Kartlar'!B173="","",'Ürün Kartlar'!B173)</f>
      </c>
      <c r="C173" s="16">
        <f>IF('Ürün Kartlar'!C173="","",'Ürün Kartlar'!C173)</f>
      </c>
      <c r="D173" s="16">
        <f>IF('Ürün Kartlar'!D173="","",'Ürün Kartlar'!D173)</f>
      </c>
      <c r="E173" s="24">
        <f>IF('Ürün Kartlar'!H173="",0,'Ürün Kartlar'!H173)</f>
      </c>
      <c r="F173" s="24">
        <f>IF($B173="",0,SUMIFS('Hareketler'!$H$5:$H$1004,'Hareketler'!$F$5:$F$1004,$B173,'Hareketler'!$C$5:$C$1004,"Alış"))</f>
      </c>
      <c r="G173" s="24">
        <f>IF($B173="",0,SUMIFS('Hareketler'!$H$5:$H$1004,'Hareketler'!$F$5:$F$1004,$B173,'Hareketler'!$C$5:$C$1004,"Satış"))</f>
      </c>
      <c r="H173" s="25">
        <f>IF($B173="","",$E173+$F173-$G173)</f>
      </c>
      <c r="I173" s="24">
        <f>IF('Ürün Kartlar'!I173="",0,'Ürün Kartlar'!I173)</f>
      </c>
      <c r="J173" s="16">
        <f>IF($B173="","",IF($H173&lt;=0,"STOK YOK",IF($H173&lt;=$I173,"KRİTİK","Yeterli")))</f>
      </c>
    </row>
    <row r="174" spans="2:10" x14ac:dyDescent="0.25">
      <c r="B174" s="16">
        <f>IF('Ürün Kartlar'!B174="","",'Ürün Kartlar'!B174)</f>
      </c>
      <c r="C174" s="16">
        <f>IF('Ürün Kartlar'!C174="","",'Ürün Kartlar'!C174)</f>
      </c>
      <c r="D174" s="16">
        <f>IF('Ürün Kartlar'!D174="","",'Ürün Kartlar'!D174)</f>
      </c>
      <c r="E174" s="24">
        <f>IF('Ürün Kartlar'!H174="",0,'Ürün Kartlar'!H174)</f>
      </c>
      <c r="F174" s="24">
        <f>IF($B174="",0,SUMIFS('Hareketler'!$H$5:$H$1004,'Hareketler'!$F$5:$F$1004,$B174,'Hareketler'!$C$5:$C$1004,"Alış"))</f>
      </c>
      <c r="G174" s="24">
        <f>IF($B174="",0,SUMIFS('Hareketler'!$H$5:$H$1004,'Hareketler'!$F$5:$F$1004,$B174,'Hareketler'!$C$5:$C$1004,"Satış"))</f>
      </c>
      <c r="H174" s="25">
        <f>IF($B174="","",$E174+$F174-$G174)</f>
      </c>
      <c r="I174" s="24">
        <f>IF('Ürün Kartlar'!I174="",0,'Ürün Kartlar'!I174)</f>
      </c>
      <c r="J174" s="16">
        <f>IF($B174="","",IF($H174&lt;=0,"STOK YOK",IF($H174&lt;=$I174,"KRİTİK","Yeterli")))</f>
      </c>
    </row>
    <row r="175" spans="2:10" x14ac:dyDescent="0.25">
      <c r="B175" s="16">
        <f>IF('Ürün Kartlar'!B175="","",'Ürün Kartlar'!B175)</f>
      </c>
      <c r="C175" s="16">
        <f>IF('Ürün Kartlar'!C175="","",'Ürün Kartlar'!C175)</f>
      </c>
      <c r="D175" s="16">
        <f>IF('Ürün Kartlar'!D175="","",'Ürün Kartlar'!D175)</f>
      </c>
      <c r="E175" s="24">
        <f>IF('Ürün Kartlar'!H175="",0,'Ürün Kartlar'!H175)</f>
      </c>
      <c r="F175" s="24">
        <f>IF($B175="",0,SUMIFS('Hareketler'!$H$5:$H$1004,'Hareketler'!$F$5:$F$1004,$B175,'Hareketler'!$C$5:$C$1004,"Alış"))</f>
      </c>
      <c r="G175" s="24">
        <f>IF($B175="",0,SUMIFS('Hareketler'!$H$5:$H$1004,'Hareketler'!$F$5:$F$1004,$B175,'Hareketler'!$C$5:$C$1004,"Satış"))</f>
      </c>
      <c r="H175" s="25">
        <f>IF($B175="","",$E175+$F175-$G175)</f>
      </c>
      <c r="I175" s="24">
        <f>IF('Ürün Kartlar'!I175="",0,'Ürün Kartlar'!I175)</f>
      </c>
      <c r="J175" s="16">
        <f>IF($B175="","",IF($H175&lt;=0,"STOK YOK",IF($H175&lt;=$I175,"KRİTİK","Yeterli")))</f>
      </c>
    </row>
    <row r="176" spans="2:10" x14ac:dyDescent="0.25">
      <c r="B176" s="16">
        <f>IF('Ürün Kartlar'!B176="","",'Ürün Kartlar'!B176)</f>
      </c>
      <c r="C176" s="16">
        <f>IF('Ürün Kartlar'!C176="","",'Ürün Kartlar'!C176)</f>
      </c>
      <c r="D176" s="16">
        <f>IF('Ürün Kartlar'!D176="","",'Ürün Kartlar'!D176)</f>
      </c>
      <c r="E176" s="24">
        <f>IF('Ürün Kartlar'!H176="",0,'Ürün Kartlar'!H176)</f>
      </c>
      <c r="F176" s="24">
        <f>IF($B176="",0,SUMIFS('Hareketler'!$H$5:$H$1004,'Hareketler'!$F$5:$F$1004,$B176,'Hareketler'!$C$5:$C$1004,"Alış"))</f>
      </c>
      <c r="G176" s="24">
        <f>IF($B176="",0,SUMIFS('Hareketler'!$H$5:$H$1004,'Hareketler'!$F$5:$F$1004,$B176,'Hareketler'!$C$5:$C$1004,"Satış"))</f>
      </c>
      <c r="H176" s="25">
        <f>IF($B176="","",$E176+$F176-$G176)</f>
      </c>
      <c r="I176" s="24">
        <f>IF('Ürün Kartlar'!I176="",0,'Ürün Kartlar'!I176)</f>
      </c>
      <c r="J176" s="16">
        <f>IF($B176="","",IF($H176&lt;=0,"STOK YOK",IF($H176&lt;=$I176,"KRİTİK","Yeterli")))</f>
      </c>
    </row>
    <row r="177" spans="2:10" x14ac:dyDescent="0.25">
      <c r="B177" s="16">
        <f>IF('Ürün Kartlar'!B177="","",'Ürün Kartlar'!B177)</f>
      </c>
      <c r="C177" s="16">
        <f>IF('Ürün Kartlar'!C177="","",'Ürün Kartlar'!C177)</f>
      </c>
      <c r="D177" s="16">
        <f>IF('Ürün Kartlar'!D177="","",'Ürün Kartlar'!D177)</f>
      </c>
      <c r="E177" s="24">
        <f>IF('Ürün Kartlar'!H177="",0,'Ürün Kartlar'!H177)</f>
      </c>
      <c r="F177" s="24">
        <f>IF($B177="",0,SUMIFS('Hareketler'!$H$5:$H$1004,'Hareketler'!$F$5:$F$1004,$B177,'Hareketler'!$C$5:$C$1004,"Alış"))</f>
      </c>
      <c r="G177" s="24">
        <f>IF($B177="",0,SUMIFS('Hareketler'!$H$5:$H$1004,'Hareketler'!$F$5:$F$1004,$B177,'Hareketler'!$C$5:$C$1004,"Satış"))</f>
      </c>
      <c r="H177" s="25">
        <f>IF($B177="","",$E177+$F177-$G177)</f>
      </c>
      <c r="I177" s="24">
        <f>IF('Ürün Kartlar'!I177="",0,'Ürün Kartlar'!I177)</f>
      </c>
      <c r="J177" s="16">
        <f>IF($B177="","",IF($H177&lt;=0,"STOK YOK",IF($H177&lt;=$I177,"KRİTİK","Yeterli")))</f>
      </c>
    </row>
    <row r="178" spans="2:10" x14ac:dyDescent="0.25">
      <c r="B178" s="16">
        <f>IF('Ürün Kartlar'!B178="","",'Ürün Kartlar'!B178)</f>
      </c>
      <c r="C178" s="16">
        <f>IF('Ürün Kartlar'!C178="","",'Ürün Kartlar'!C178)</f>
      </c>
      <c r="D178" s="16">
        <f>IF('Ürün Kartlar'!D178="","",'Ürün Kartlar'!D178)</f>
      </c>
      <c r="E178" s="24">
        <f>IF('Ürün Kartlar'!H178="",0,'Ürün Kartlar'!H178)</f>
      </c>
      <c r="F178" s="24">
        <f>IF($B178="",0,SUMIFS('Hareketler'!$H$5:$H$1004,'Hareketler'!$F$5:$F$1004,$B178,'Hareketler'!$C$5:$C$1004,"Alış"))</f>
      </c>
      <c r="G178" s="24">
        <f>IF($B178="",0,SUMIFS('Hareketler'!$H$5:$H$1004,'Hareketler'!$F$5:$F$1004,$B178,'Hareketler'!$C$5:$C$1004,"Satış"))</f>
      </c>
      <c r="H178" s="25">
        <f>IF($B178="","",$E178+$F178-$G178)</f>
      </c>
      <c r="I178" s="24">
        <f>IF('Ürün Kartlar'!I178="",0,'Ürün Kartlar'!I178)</f>
      </c>
      <c r="J178" s="16">
        <f>IF($B178="","",IF($H178&lt;=0,"STOK YOK",IF($H178&lt;=$I178,"KRİTİK","Yeterli")))</f>
      </c>
    </row>
    <row r="179" spans="2:10" x14ac:dyDescent="0.25">
      <c r="B179" s="16">
        <f>IF('Ürün Kartlar'!B179="","",'Ürün Kartlar'!B179)</f>
      </c>
      <c r="C179" s="16">
        <f>IF('Ürün Kartlar'!C179="","",'Ürün Kartlar'!C179)</f>
      </c>
      <c r="D179" s="16">
        <f>IF('Ürün Kartlar'!D179="","",'Ürün Kartlar'!D179)</f>
      </c>
      <c r="E179" s="24">
        <f>IF('Ürün Kartlar'!H179="",0,'Ürün Kartlar'!H179)</f>
      </c>
      <c r="F179" s="24">
        <f>IF($B179="",0,SUMIFS('Hareketler'!$H$5:$H$1004,'Hareketler'!$F$5:$F$1004,$B179,'Hareketler'!$C$5:$C$1004,"Alış"))</f>
      </c>
      <c r="G179" s="24">
        <f>IF($B179="",0,SUMIFS('Hareketler'!$H$5:$H$1004,'Hareketler'!$F$5:$F$1004,$B179,'Hareketler'!$C$5:$C$1004,"Satış"))</f>
      </c>
      <c r="H179" s="25">
        <f>IF($B179="","",$E179+$F179-$G179)</f>
      </c>
      <c r="I179" s="24">
        <f>IF('Ürün Kartlar'!I179="",0,'Ürün Kartlar'!I179)</f>
      </c>
      <c r="J179" s="16">
        <f>IF($B179="","",IF($H179&lt;=0,"STOK YOK",IF($H179&lt;=$I179,"KRİTİK","Yeterli")))</f>
      </c>
    </row>
    <row r="180" spans="2:10" x14ac:dyDescent="0.25">
      <c r="B180" s="16">
        <f>IF('Ürün Kartlar'!B180="","",'Ürün Kartlar'!B180)</f>
      </c>
      <c r="C180" s="16">
        <f>IF('Ürün Kartlar'!C180="","",'Ürün Kartlar'!C180)</f>
      </c>
      <c r="D180" s="16">
        <f>IF('Ürün Kartlar'!D180="","",'Ürün Kartlar'!D180)</f>
      </c>
      <c r="E180" s="24">
        <f>IF('Ürün Kartlar'!H180="",0,'Ürün Kartlar'!H180)</f>
      </c>
      <c r="F180" s="24">
        <f>IF($B180="",0,SUMIFS('Hareketler'!$H$5:$H$1004,'Hareketler'!$F$5:$F$1004,$B180,'Hareketler'!$C$5:$C$1004,"Alış"))</f>
      </c>
      <c r="G180" s="24">
        <f>IF($B180="",0,SUMIFS('Hareketler'!$H$5:$H$1004,'Hareketler'!$F$5:$F$1004,$B180,'Hareketler'!$C$5:$C$1004,"Satış"))</f>
      </c>
      <c r="H180" s="25">
        <f>IF($B180="","",$E180+$F180-$G180)</f>
      </c>
      <c r="I180" s="24">
        <f>IF('Ürün Kartlar'!I180="",0,'Ürün Kartlar'!I180)</f>
      </c>
      <c r="J180" s="16">
        <f>IF($B180="","",IF($H180&lt;=0,"STOK YOK",IF($H180&lt;=$I180,"KRİTİK","Yeterli")))</f>
      </c>
    </row>
    <row r="181" spans="2:10" x14ac:dyDescent="0.25">
      <c r="B181" s="16">
        <f>IF('Ürün Kartlar'!B181="","",'Ürün Kartlar'!B181)</f>
      </c>
      <c r="C181" s="16">
        <f>IF('Ürün Kartlar'!C181="","",'Ürün Kartlar'!C181)</f>
      </c>
      <c r="D181" s="16">
        <f>IF('Ürün Kartlar'!D181="","",'Ürün Kartlar'!D181)</f>
      </c>
      <c r="E181" s="24">
        <f>IF('Ürün Kartlar'!H181="",0,'Ürün Kartlar'!H181)</f>
      </c>
      <c r="F181" s="24">
        <f>IF($B181="",0,SUMIFS('Hareketler'!$H$5:$H$1004,'Hareketler'!$F$5:$F$1004,$B181,'Hareketler'!$C$5:$C$1004,"Alış"))</f>
      </c>
      <c r="G181" s="24">
        <f>IF($B181="",0,SUMIFS('Hareketler'!$H$5:$H$1004,'Hareketler'!$F$5:$F$1004,$B181,'Hareketler'!$C$5:$C$1004,"Satış"))</f>
      </c>
      <c r="H181" s="25">
        <f>IF($B181="","",$E181+$F181-$G181)</f>
      </c>
      <c r="I181" s="24">
        <f>IF('Ürün Kartlar'!I181="",0,'Ürün Kartlar'!I181)</f>
      </c>
      <c r="J181" s="16">
        <f>IF($B181="","",IF($H181&lt;=0,"STOK YOK",IF($H181&lt;=$I181,"KRİTİK","Yeterli")))</f>
      </c>
    </row>
    <row r="182" spans="2:10" x14ac:dyDescent="0.25">
      <c r="B182" s="16">
        <f>IF('Ürün Kartlar'!B182="","",'Ürün Kartlar'!B182)</f>
      </c>
      <c r="C182" s="16">
        <f>IF('Ürün Kartlar'!C182="","",'Ürün Kartlar'!C182)</f>
      </c>
      <c r="D182" s="16">
        <f>IF('Ürün Kartlar'!D182="","",'Ürün Kartlar'!D182)</f>
      </c>
      <c r="E182" s="24">
        <f>IF('Ürün Kartlar'!H182="",0,'Ürün Kartlar'!H182)</f>
      </c>
      <c r="F182" s="24">
        <f>IF($B182="",0,SUMIFS('Hareketler'!$H$5:$H$1004,'Hareketler'!$F$5:$F$1004,$B182,'Hareketler'!$C$5:$C$1004,"Alış"))</f>
      </c>
      <c r="G182" s="24">
        <f>IF($B182="",0,SUMIFS('Hareketler'!$H$5:$H$1004,'Hareketler'!$F$5:$F$1004,$B182,'Hareketler'!$C$5:$C$1004,"Satış"))</f>
      </c>
      <c r="H182" s="25">
        <f>IF($B182="","",$E182+$F182-$G182)</f>
      </c>
      <c r="I182" s="24">
        <f>IF('Ürün Kartlar'!I182="",0,'Ürün Kartlar'!I182)</f>
      </c>
      <c r="J182" s="16">
        <f>IF($B182="","",IF($H182&lt;=0,"STOK YOK",IF($H182&lt;=$I182,"KRİTİK","Yeterli")))</f>
      </c>
    </row>
    <row r="183" spans="2:10" x14ac:dyDescent="0.25">
      <c r="B183" s="16">
        <f>IF('Ürün Kartlar'!B183="","",'Ürün Kartlar'!B183)</f>
      </c>
      <c r="C183" s="16">
        <f>IF('Ürün Kartlar'!C183="","",'Ürün Kartlar'!C183)</f>
      </c>
      <c r="D183" s="16">
        <f>IF('Ürün Kartlar'!D183="","",'Ürün Kartlar'!D183)</f>
      </c>
      <c r="E183" s="24">
        <f>IF('Ürün Kartlar'!H183="",0,'Ürün Kartlar'!H183)</f>
      </c>
      <c r="F183" s="24">
        <f>IF($B183="",0,SUMIFS('Hareketler'!$H$5:$H$1004,'Hareketler'!$F$5:$F$1004,$B183,'Hareketler'!$C$5:$C$1004,"Alış"))</f>
      </c>
      <c r="G183" s="24">
        <f>IF($B183="",0,SUMIFS('Hareketler'!$H$5:$H$1004,'Hareketler'!$F$5:$F$1004,$B183,'Hareketler'!$C$5:$C$1004,"Satış"))</f>
      </c>
      <c r="H183" s="25">
        <f>IF($B183="","",$E183+$F183-$G183)</f>
      </c>
      <c r="I183" s="24">
        <f>IF('Ürün Kartlar'!I183="",0,'Ürün Kartlar'!I183)</f>
      </c>
      <c r="J183" s="16">
        <f>IF($B183="","",IF($H183&lt;=0,"STOK YOK",IF($H183&lt;=$I183,"KRİTİK","Yeterli")))</f>
      </c>
    </row>
    <row r="184" spans="2:10" x14ac:dyDescent="0.25">
      <c r="B184" s="16">
        <f>IF('Ürün Kartlar'!B184="","",'Ürün Kartlar'!B184)</f>
      </c>
      <c r="C184" s="16">
        <f>IF('Ürün Kartlar'!C184="","",'Ürün Kartlar'!C184)</f>
      </c>
      <c r="D184" s="16">
        <f>IF('Ürün Kartlar'!D184="","",'Ürün Kartlar'!D184)</f>
      </c>
      <c r="E184" s="24">
        <f>IF('Ürün Kartlar'!H184="",0,'Ürün Kartlar'!H184)</f>
      </c>
      <c r="F184" s="24">
        <f>IF($B184="",0,SUMIFS('Hareketler'!$H$5:$H$1004,'Hareketler'!$F$5:$F$1004,$B184,'Hareketler'!$C$5:$C$1004,"Alış"))</f>
      </c>
      <c r="G184" s="24">
        <f>IF($B184="",0,SUMIFS('Hareketler'!$H$5:$H$1004,'Hareketler'!$F$5:$F$1004,$B184,'Hareketler'!$C$5:$C$1004,"Satış"))</f>
      </c>
      <c r="H184" s="25">
        <f>IF($B184="","",$E184+$F184-$G184)</f>
      </c>
      <c r="I184" s="24">
        <f>IF('Ürün Kartlar'!I184="",0,'Ürün Kartlar'!I184)</f>
      </c>
      <c r="J184" s="16">
        <f>IF($B184="","",IF($H184&lt;=0,"STOK YOK",IF($H184&lt;=$I184,"KRİTİK","Yeterli")))</f>
      </c>
    </row>
    <row r="185" spans="2:10" x14ac:dyDescent="0.25">
      <c r="B185" s="16">
        <f>IF('Ürün Kartlar'!B185="","",'Ürün Kartlar'!B185)</f>
      </c>
      <c r="C185" s="16">
        <f>IF('Ürün Kartlar'!C185="","",'Ürün Kartlar'!C185)</f>
      </c>
      <c r="D185" s="16">
        <f>IF('Ürün Kartlar'!D185="","",'Ürün Kartlar'!D185)</f>
      </c>
      <c r="E185" s="24">
        <f>IF('Ürün Kartlar'!H185="",0,'Ürün Kartlar'!H185)</f>
      </c>
      <c r="F185" s="24">
        <f>IF($B185="",0,SUMIFS('Hareketler'!$H$5:$H$1004,'Hareketler'!$F$5:$F$1004,$B185,'Hareketler'!$C$5:$C$1004,"Alış"))</f>
      </c>
      <c r="G185" s="24">
        <f>IF($B185="",0,SUMIFS('Hareketler'!$H$5:$H$1004,'Hareketler'!$F$5:$F$1004,$B185,'Hareketler'!$C$5:$C$1004,"Satış"))</f>
      </c>
      <c r="H185" s="25">
        <f>IF($B185="","",$E185+$F185-$G185)</f>
      </c>
      <c r="I185" s="24">
        <f>IF('Ürün Kartlar'!I185="",0,'Ürün Kartlar'!I185)</f>
      </c>
      <c r="J185" s="16">
        <f>IF($B185="","",IF($H185&lt;=0,"STOK YOK",IF($H185&lt;=$I185,"KRİTİK","Yeterli")))</f>
      </c>
    </row>
    <row r="186" spans="2:10" x14ac:dyDescent="0.25">
      <c r="B186" s="16">
        <f>IF('Ürün Kartlar'!B186="","",'Ürün Kartlar'!B186)</f>
      </c>
      <c r="C186" s="16">
        <f>IF('Ürün Kartlar'!C186="","",'Ürün Kartlar'!C186)</f>
      </c>
      <c r="D186" s="16">
        <f>IF('Ürün Kartlar'!D186="","",'Ürün Kartlar'!D186)</f>
      </c>
      <c r="E186" s="24">
        <f>IF('Ürün Kartlar'!H186="",0,'Ürün Kartlar'!H186)</f>
      </c>
      <c r="F186" s="24">
        <f>IF($B186="",0,SUMIFS('Hareketler'!$H$5:$H$1004,'Hareketler'!$F$5:$F$1004,$B186,'Hareketler'!$C$5:$C$1004,"Alış"))</f>
      </c>
      <c r="G186" s="24">
        <f>IF($B186="",0,SUMIFS('Hareketler'!$H$5:$H$1004,'Hareketler'!$F$5:$F$1004,$B186,'Hareketler'!$C$5:$C$1004,"Satış"))</f>
      </c>
      <c r="H186" s="25">
        <f>IF($B186="","",$E186+$F186-$G186)</f>
      </c>
      <c r="I186" s="24">
        <f>IF('Ürün Kartlar'!I186="",0,'Ürün Kartlar'!I186)</f>
      </c>
      <c r="J186" s="16">
        <f>IF($B186="","",IF($H186&lt;=0,"STOK YOK",IF($H186&lt;=$I186,"KRİTİK","Yeterli")))</f>
      </c>
    </row>
    <row r="187" spans="2:10" x14ac:dyDescent="0.25">
      <c r="B187" s="16">
        <f>IF('Ürün Kartlar'!B187="","",'Ürün Kartlar'!B187)</f>
      </c>
      <c r="C187" s="16">
        <f>IF('Ürün Kartlar'!C187="","",'Ürün Kartlar'!C187)</f>
      </c>
      <c r="D187" s="16">
        <f>IF('Ürün Kartlar'!D187="","",'Ürün Kartlar'!D187)</f>
      </c>
      <c r="E187" s="24">
        <f>IF('Ürün Kartlar'!H187="",0,'Ürün Kartlar'!H187)</f>
      </c>
      <c r="F187" s="24">
        <f>IF($B187="",0,SUMIFS('Hareketler'!$H$5:$H$1004,'Hareketler'!$F$5:$F$1004,$B187,'Hareketler'!$C$5:$C$1004,"Alış"))</f>
      </c>
      <c r="G187" s="24">
        <f>IF($B187="",0,SUMIFS('Hareketler'!$H$5:$H$1004,'Hareketler'!$F$5:$F$1004,$B187,'Hareketler'!$C$5:$C$1004,"Satış"))</f>
      </c>
      <c r="H187" s="25">
        <f>IF($B187="","",$E187+$F187-$G187)</f>
      </c>
      <c r="I187" s="24">
        <f>IF('Ürün Kartlar'!I187="",0,'Ürün Kartlar'!I187)</f>
      </c>
      <c r="J187" s="16">
        <f>IF($B187="","",IF($H187&lt;=0,"STOK YOK",IF($H187&lt;=$I187,"KRİTİK","Yeterli")))</f>
      </c>
    </row>
    <row r="188" spans="2:10" x14ac:dyDescent="0.25">
      <c r="B188" s="16">
        <f>IF('Ürün Kartlar'!B188="","",'Ürün Kartlar'!B188)</f>
      </c>
      <c r="C188" s="16">
        <f>IF('Ürün Kartlar'!C188="","",'Ürün Kartlar'!C188)</f>
      </c>
      <c r="D188" s="16">
        <f>IF('Ürün Kartlar'!D188="","",'Ürün Kartlar'!D188)</f>
      </c>
      <c r="E188" s="24">
        <f>IF('Ürün Kartlar'!H188="",0,'Ürün Kartlar'!H188)</f>
      </c>
      <c r="F188" s="24">
        <f>IF($B188="",0,SUMIFS('Hareketler'!$H$5:$H$1004,'Hareketler'!$F$5:$F$1004,$B188,'Hareketler'!$C$5:$C$1004,"Alış"))</f>
      </c>
      <c r="G188" s="24">
        <f>IF($B188="",0,SUMIFS('Hareketler'!$H$5:$H$1004,'Hareketler'!$F$5:$F$1004,$B188,'Hareketler'!$C$5:$C$1004,"Satış"))</f>
      </c>
      <c r="H188" s="25">
        <f>IF($B188="","",$E188+$F188-$G188)</f>
      </c>
      <c r="I188" s="24">
        <f>IF('Ürün Kartlar'!I188="",0,'Ürün Kartlar'!I188)</f>
      </c>
      <c r="J188" s="16">
        <f>IF($B188="","",IF($H188&lt;=0,"STOK YOK",IF($H188&lt;=$I188,"KRİTİK","Yeterli")))</f>
      </c>
    </row>
    <row r="189" spans="2:10" x14ac:dyDescent="0.25">
      <c r="B189" s="16">
        <f>IF('Ürün Kartlar'!B189="","",'Ürün Kartlar'!B189)</f>
      </c>
      <c r="C189" s="16">
        <f>IF('Ürün Kartlar'!C189="","",'Ürün Kartlar'!C189)</f>
      </c>
      <c r="D189" s="16">
        <f>IF('Ürün Kartlar'!D189="","",'Ürün Kartlar'!D189)</f>
      </c>
      <c r="E189" s="24">
        <f>IF('Ürün Kartlar'!H189="",0,'Ürün Kartlar'!H189)</f>
      </c>
      <c r="F189" s="24">
        <f>IF($B189="",0,SUMIFS('Hareketler'!$H$5:$H$1004,'Hareketler'!$F$5:$F$1004,$B189,'Hareketler'!$C$5:$C$1004,"Alış"))</f>
      </c>
      <c r="G189" s="24">
        <f>IF($B189="",0,SUMIFS('Hareketler'!$H$5:$H$1004,'Hareketler'!$F$5:$F$1004,$B189,'Hareketler'!$C$5:$C$1004,"Satış"))</f>
      </c>
      <c r="H189" s="25">
        <f>IF($B189="","",$E189+$F189-$G189)</f>
      </c>
      <c r="I189" s="24">
        <f>IF('Ürün Kartlar'!I189="",0,'Ürün Kartlar'!I189)</f>
      </c>
      <c r="J189" s="16">
        <f>IF($B189="","",IF($H189&lt;=0,"STOK YOK",IF($H189&lt;=$I189,"KRİTİK","Yeterli")))</f>
      </c>
    </row>
    <row r="190" spans="2:10" x14ac:dyDescent="0.25">
      <c r="B190" s="16">
        <f>IF('Ürün Kartlar'!B190="","",'Ürün Kartlar'!B190)</f>
      </c>
      <c r="C190" s="16">
        <f>IF('Ürün Kartlar'!C190="","",'Ürün Kartlar'!C190)</f>
      </c>
      <c r="D190" s="16">
        <f>IF('Ürün Kartlar'!D190="","",'Ürün Kartlar'!D190)</f>
      </c>
      <c r="E190" s="24">
        <f>IF('Ürün Kartlar'!H190="",0,'Ürün Kartlar'!H190)</f>
      </c>
      <c r="F190" s="24">
        <f>IF($B190="",0,SUMIFS('Hareketler'!$H$5:$H$1004,'Hareketler'!$F$5:$F$1004,$B190,'Hareketler'!$C$5:$C$1004,"Alış"))</f>
      </c>
      <c r="G190" s="24">
        <f>IF($B190="",0,SUMIFS('Hareketler'!$H$5:$H$1004,'Hareketler'!$F$5:$F$1004,$B190,'Hareketler'!$C$5:$C$1004,"Satış"))</f>
      </c>
      <c r="H190" s="25">
        <f>IF($B190="","",$E190+$F190-$G190)</f>
      </c>
      <c r="I190" s="24">
        <f>IF('Ürün Kartlar'!I190="",0,'Ürün Kartlar'!I190)</f>
      </c>
      <c r="J190" s="16">
        <f>IF($B190="","",IF($H190&lt;=0,"STOK YOK",IF($H190&lt;=$I190,"KRİTİK","Yeterli")))</f>
      </c>
    </row>
    <row r="191" spans="2:10" x14ac:dyDescent="0.25">
      <c r="B191" s="16">
        <f>IF('Ürün Kartlar'!B191="","",'Ürün Kartlar'!B191)</f>
      </c>
      <c r="C191" s="16">
        <f>IF('Ürün Kartlar'!C191="","",'Ürün Kartlar'!C191)</f>
      </c>
      <c r="D191" s="16">
        <f>IF('Ürün Kartlar'!D191="","",'Ürün Kartlar'!D191)</f>
      </c>
      <c r="E191" s="24">
        <f>IF('Ürün Kartlar'!H191="",0,'Ürün Kartlar'!H191)</f>
      </c>
      <c r="F191" s="24">
        <f>IF($B191="",0,SUMIFS('Hareketler'!$H$5:$H$1004,'Hareketler'!$F$5:$F$1004,$B191,'Hareketler'!$C$5:$C$1004,"Alış"))</f>
      </c>
      <c r="G191" s="24">
        <f>IF($B191="",0,SUMIFS('Hareketler'!$H$5:$H$1004,'Hareketler'!$F$5:$F$1004,$B191,'Hareketler'!$C$5:$C$1004,"Satış"))</f>
      </c>
      <c r="H191" s="25">
        <f>IF($B191="","",$E191+$F191-$G191)</f>
      </c>
      <c r="I191" s="24">
        <f>IF('Ürün Kartlar'!I191="",0,'Ürün Kartlar'!I191)</f>
      </c>
      <c r="J191" s="16">
        <f>IF($B191="","",IF($H191&lt;=0,"STOK YOK",IF($H191&lt;=$I191,"KRİTİK","Yeterli")))</f>
      </c>
    </row>
    <row r="192" spans="2:10" x14ac:dyDescent="0.25">
      <c r="B192" s="16">
        <f>IF('Ürün Kartlar'!B192="","",'Ürün Kartlar'!B192)</f>
      </c>
      <c r="C192" s="16">
        <f>IF('Ürün Kartlar'!C192="","",'Ürün Kartlar'!C192)</f>
      </c>
      <c r="D192" s="16">
        <f>IF('Ürün Kartlar'!D192="","",'Ürün Kartlar'!D192)</f>
      </c>
      <c r="E192" s="24">
        <f>IF('Ürün Kartlar'!H192="",0,'Ürün Kartlar'!H192)</f>
      </c>
      <c r="F192" s="24">
        <f>IF($B192="",0,SUMIFS('Hareketler'!$H$5:$H$1004,'Hareketler'!$F$5:$F$1004,$B192,'Hareketler'!$C$5:$C$1004,"Alış"))</f>
      </c>
      <c r="G192" s="24">
        <f>IF($B192="",0,SUMIFS('Hareketler'!$H$5:$H$1004,'Hareketler'!$F$5:$F$1004,$B192,'Hareketler'!$C$5:$C$1004,"Satış"))</f>
      </c>
      <c r="H192" s="25">
        <f>IF($B192="","",$E192+$F192-$G192)</f>
      </c>
      <c r="I192" s="24">
        <f>IF('Ürün Kartlar'!I192="",0,'Ürün Kartlar'!I192)</f>
      </c>
      <c r="J192" s="16">
        <f>IF($B192="","",IF($H192&lt;=0,"STOK YOK",IF($H192&lt;=$I192,"KRİTİK","Yeterli")))</f>
      </c>
    </row>
    <row r="193" spans="2:10" x14ac:dyDescent="0.25">
      <c r="B193" s="16">
        <f>IF('Ürün Kartlar'!B193="","",'Ürün Kartlar'!B193)</f>
      </c>
      <c r="C193" s="16">
        <f>IF('Ürün Kartlar'!C193="","",'Ürün Kartlar'!C193)</f>
      </c>
      <c r="D193" s="16">
        <f>IF('Ürün Kartlar'!D193="","",'Ürün Kartlar'!D193)</f>
      </c>
      <c r="E193" s="24">
        <f>IF('Ürün Kartlar'!H193="",0,'Ürün Kartlar'!H193)</f>
      </c>
      <c r="F193" s="24">
        <f>IF($B193="",0,SUMIFS('Hareketler'!$H$5:$H$1004,'Hareketler'!$F$5:$F$1004,$B193,'Hareketler'!$C$5:$C$1004,"Alış"))</f>
      </c>
      <c r="G193" s="24">
        <f>IF($B193="",0,SUMIFS('Hareketler'!$H$5:$H$1004,'Hareketler'!$F$5:$F$1004,$B193,'Hareketler'!$C$5:$C$1004,"Satış"))</f>
      </c>
      <c r="H193" s="25">
        <f>IF($B193="","",$E193+$F193-$G193)</f>
      </c>
      <c r="I193" s="24">
        <f>IF('Ürün Kartlar'!I193="",0,'Ürün Kartlar'!I193)</f>
      </c>
      <c r="J193" s="16">
        <f>IF($B193="","",IF($H193&lt;=0,"STOK YOK",IF($H193&lt;=$I193,"KRİTİK","Yeterli")))</f>
      </c>
    </row>
    <row r="194" spans="2:10" x14ac:dyDescent="0.25">
      <c r="B194" s="16">
        <f>IF('Ürün Kartlar'!B194="","",'Ürün Kartlar'!B194)</f>
      </c>
      <c r="C194" s="16">
        <f>IF('Ürün Kartlar'!C194="","",'Ürün Kartlar'!C194)</f>
      </c>
      <c r="D194" s="16">
        <f>IF('Ürün Kartlar'!D194="","",'Ürün Kartlar'!D194)</f>
      </c>
      <c r="E194" s="24">
        <f>IF('Ürün Kartlar'!H194="",0,'Ürün Kartlar'!H194)</f>
      </c>
      <c r="F194" s="24">
        <f>IF($B194="",0,SUMIFS('Hareketler'!$H$5:$H$1004,'Hareketler'!$F$5:$F$1004,$B194,'Hareketler'!$C$5:$C$1004,"Alış"))</f>
      </c>
      <c r="G194" s="24">
        <f>IF($B194="",0,SUMIFS('Hareketler'!$H$5:$H$1004,'Hareketler'!$F$5:$F$1004,$B194,'Hareketler'!$C$5:$C$1004,"Satış"))</f>
      </c>
      <c r="H194" s="25">
        <f>IF($B194="","",$E194+$F194-$G194)</f>
      </c>
      <c r="I194" s="24">
        <f>IF('Ürün Kartlar'!I194="",0,'Ürün Kartlar'!I194)</f>
      </c>
      <c r="J194" s="16">
        <f>IF($B194="","",IF($H194&lt;=0,"STOK YOK",IF($H194&lt;=$I194,"KRİTİK","Yeterli")))</f>
      </c>
    </row>
    <row r="195" spans="2:10" x14ac:dyDescent="0.25">
      <c r="B195" s="16">
        <f>IF('Ürün Kartlar'!B195="","",'Ürün Kartlar'!B195)</f>
      </c>
      <c r="C195" s="16">
        <f>IF('Ürün Kartlar'!C195="","",'Ürün Kartlar'!C195)</f>
      </c>
      <c r="D195" s="16">
        <f>IF('Ürün Kartlar'!D195="","",'Ürün Kartlar'!D195)</f>
      </c>
      <c r="E195" s="24">
        <f>IF('Ürün Kartlar'!H195="",0,'Ürün Kartlar'!H195)</f>
      </c>
      <c r="F195" s="24">
        <f>IF($B195="",0,SUMIFS('Hareketler'!$H$5:$H$1004,'Hareketler'!$F$5:$F$1004,$B195,'Hareketler'!$C$5:$C$1004,"Alış"))</f>
      </c>
      <c r="G195" s="24">
        <f>IF($B195="",0,SUMIFS('Hareketler'!$H$5:$H$1004,'Hareketler'!$F$5:$F$1004,$B195,'Hareketler'!$C$5:$C$1004,"Satış"))</f>
      </c>
      <c r="H195" s="25">
        <f>IF($B195="","",$E195+$F195-$G195)</f>
      </c>
      <c r="I195" s="24">
        <f>IF('Ürün Kartlar'!I195="",0,'Ürün Kartlar'!I195)</f>
      </c>
      <c r="J195" s="16">
        <f>IF($B195="","",IF($H195&lt;=0,"STOK YOK",IF($H195&lt;=$I195,"KRİTİK","Yeterli")))</f>
      </c>
    </row>
    <row r="196" spans="2:10" x14ac:dyDescent="0.25">
      <c r="B196" s="16">
        <f>IF('Ürün Kartlar'!B196="","",'Ürün Kartlar'!B196)</f>
      </c>
      <c r="C196" s="16">
        <f>IF('Ürün Kartlar'!C196="","",'Ürün Kartlar'!C196)</f>
      </c>
      <c r="D196" s="16">
        <f>IF('Ürün Kartlar'!D196="","",'Ürün Kartlar'!D196)</f>
      </c>
      <c r="E196" s="24">
        <f>IF('Ürün Kartlar'!H196="",0,'Ürün Kartlar'!H196)</f>
      </c>
      <c r="F196" s="24">
        <f>IF($B196="",0,SUMIFS('Hareketler'!$H$5:$H$1004,'Hareketler'!$F$5:$F$1004,$B196,'Hareketler'!$C$5:$C$1004,"Alış"))</f>
      </c>
      <c r="G196" s="24">
        <f>IF($B196="",0,SUMIFS('Hareketler'!$H$5:$H$1004,'Hareketler'!$F$5:$F$1004,$B196,'Hareketler'!$C$5:$C$1004,"Satış"))</f>
      </c>
      <c r="H196" s="25">
        <f>IF($B196="","",$E196+$F196-$G196)</f>
      </c>
      <c r="I196" s="24">
        <f>IF('Ürün Kartlar'!I196="",0,'Ürün Kartlar'!I196)</f>
      </c>
      <c r="J196" s="16">
        <f>IF($B196="","",IF($H196&lt;=0,"STOK YOK",IF($H196&lt;=$I196,"KRİTİK","Yeterli")))</f>
      </c>
    </row>
    <row r="197" spans="2:10" x14ac:dyDescent="0.25">
      <c r="B197" s="16">
        <f>IF('Ürün Kartlar'!B197="","",'Ürün Kartlar'!B197)</f>
      </c>
      <c r="C197" s="16">
        <f>IF('Ürün Kartlar'!C197="","",'Ürün Kartlar'!C197)</f>
      </c>
      <c r="D197" s="16">
        <f>IF('Ürün Kartlar'!D197="","",'Ürün Kartlar'!D197)</f>
      </c>
      <c r="E197" s="24">
        <f>IF('Ürün Kartlar'!H197="",0,'Ürün Kartlar'!H197)</f>
      </c>
      <c r="F197" s="24">
        <f>IF($B197="",0,SUMIFS('Hareketler'!$H$5:$H$1004,'Hareketler'!$F$5:$F$1004,$B197,'Hareketler'!$C$5:$C$1004,"Alış"))</f>
      </c>
      <c r="G197" s="24">
        <f>IF($B197="",0,SUMIFS('Hareketler'!$H$5:$H$1004,'Hareketler'!$F$5:$F$1004,$B197,'Hareketler'!$C$5:$C$1004,"Satış"))</f>
      </c>
      <c r="H197" s="25">
        <f>IF($B197="","",$E197+$F197-$G197)</f>
      </c>
      <c r="I197" s="24">
        <f>IF('Ürün Kartlar'!I197="",0,'Ürün Kartlar'!I197)</f>
      </c>
      <c r="J197" s="16">
        <f>IF($B197="","",IF($H197&lt;=0,"STOK YOK",IF($H197&lt;=$I197,"KRİTİK","Yeterli")))</f>
      </c>
    </row>
    <row r="198" spans="2:10" x14ac:dyDescent="0.25">
      <c r="B198" s="16">
        <f>IF('Ürün Kartlar'!B198="","",'Ürün Kartlar'!B198)</f>
      </c>
      <c r="C198" s="16">
        <f>IF('Ürün Kartlar'!C198="","",'Ürün Kartlar'!C198)</f>
      </c>
      <c r="D198" s="16">
        <f>IF('Ürün Kartlar'!D198="","",'Ürün Kartlar'!D198)</f>
      </c>
      <c r="E198" s="24">
        <f>IF('Ürün Kartlar'!H198="",0,'Ürün Kartlar'!H198)</f>
      </c>
      <c r="F198" s="24">
        <f>IF($B198="",0,SUMIFS('Hareketler'!$H$5:$H$1004,'Hareketler'!$F$5:$F$1004,$B198,'Hareketler'!$C$5:$C$1004,"Alış"))</f>
      </c>
      <c r="G198" s="24">
        <f>IF($B198="",0,SUMIFS('Hareketler'!$H$5:$H$1004,'Hareketler'!$F$5:$F$1004,$B198,'Hareketler'!$C$5:$C$1004,"Satış"))</f>
      </c>
      <c r="H198" s="25">
        <f>IF($B198="","",$E198+$F198-$G198)</f>
      </c>
      <c r="I198" s="24">
        <f>IF('Ürün Kartlar'!I198="",0,'Ürün Kartlar'!I198)</f>
      </c>
      <c r="J198" s="16">
        <f>IF($B198="","",IF($H198&lt;=0,"STOK YOK",IF($H198&lt;=$I198,"KRİTİK","Yeterli")))</f>
      </c>
    </row>
    <row r="199" spans="2:10" x14ac:dyDescent="0.25">
      <c r="B199" s="16">
        <f>IF('Ürün Kartlar'!B199="","",'Ürün Kartlar'!B199)</f>
      </c>
      <c r="C199" s="16">
        <f>IF('Ürün Kartlar'!C199="","",'Ürün Kartlar'!C199)</f>
      </c>
      <c r="D199" s="16">
        <f>IF('Ürün Kartlar'!D199="","",'Ürün Kartlar'!D199)</f>
      </c>
      <c r="E199" s="24">
        <f>IF('Ürün Kartlar'!H199="",0,'Ürün Kartlar'!H199)</f>
      </c>
      <c r="F199" s="24">
        <f>IF($B199="",0,SUMIFS('Hareketler'!$H$5:$H$1004,'Hareketler'!$F$5:$F$1004,$B199,'Hareketler'!$C$5:$C$1004,"Alış"))</f>
      </c>
      <c r="G199" s="24">
        <f>IF($B199="",0,SUMIFS('Hareketler'!$H$5:$H$1004,'Hareketler'!$F$5:$F$1004,$B199,'Hareketler'!$C$5:$C$1004,"Satış"))</f>
      </c>
      <c r="H199" s="25">
        <f>IF($B199="","",$E199+$F199-$G199)</f>
      </c>
      <c r="I199" s="24">
        <f>IF('Ürün Kartlar'!I199="",0,'Ürün Kartlar'!I199)</f>
      </c>
      <c r="J199" s="16">
        <f>IF($B199="","",IF($H199&lt;=0,"STOK YOK",IF($H199&lt;=$I199,"KRİTİK","Yeterli")))</f>
      </c>
    </row>
    <row r="200" spans="2:10" x14ac:dyDescent="0.25">
      <c r="B200" s="16">
        <f>IF('Ürün Kartlar'!B200="","",'Ürün Kartlar'!B200)</f>
      </c>
      <c r="C200" s="16">
        <f>IF('Ürün Kartlar'!C200="","",'Ürün Kartlar'!C200)</f>
      </c>
      <c r="D200" s="16">
        <f>IF('Ürün Kartlar'!D200="","",'Ürün Kartlar'!D200)</f>
      </c>
      <c r="E200" s="24">
        <f>IF('Ürün Kartlar'!H200="",0,'Ürün Kartlar'!H200)</f>
      </c>
      <c r="F200" s="24">
        <f>IF($B200="",0,SUMIFS('Hareketler'!$H$5:$H$1004,'Hareketler'!$F$5:$F$1004,$B200,'Hareketler'!$C$5:$C$1004,"Alış"))</f>
      </c>
      <c r="G200" s="24">
        <f>IF($B200="",0,SUMIFS('Hareketler'!$H$5:$H$1004,'Hareketler'!$F$5:$F$1004,$B200,'Hareketler'!$C$5:$C$1004,"Satış"))</f>
      </c>
      <c r="H200" s="25">
        <f>IF($B200="","",$E200+$F200-$G200)</f>
      </c>
      <c r="I200" s="24">
        <f>IF('Ürün Kartlar'!I200="",0,'Ürün Kartlar'!I200)</f>
      </c>
      <c r="J200" s="16">
        <f>IF($B200="","",IF($H200&lt;=0,"STOK YOK",IF($H200&lt;=$I200,"KRİTİK","Yeterli")))</f>
      </c>
    </row>
    <row r="201" spans="2:10" x14ac:dyDescent="0.25">
      <c r="B201" s="16">
        <f>IF('Ürün Kartlar'!B201="","",'Ürün Kartlar'!B201)</f>
      </c>
      <c r="C201" s="16">
        <f>IF('Ürün Kartlar'!C201="","",'Ürün Kartlar'!C201)</f>
      </c>
      <c r="D201" s="16">
        <f>IF('Ürün Kartlar'!D201="","",'Ürün Kartlar'!D201)</f>
      </c>
      <c r="E201" s="24">
        <f>IF('Ürün Kartlar'!H201="",0,'Ürün Kartlar'!H201)</f>
      </c>
      <c r="F201" s="24">
        <f>IF($B201="",0,SUMIFS('Hareketler'!$H$5:$H$1004,'Hareketler'!$F$5:$F$1004,$B201,'Hareketler'!$C$5:$C$1004,"Alış"))</f>
      </c>
      <c r="G201" s="24">
        <f>IF($B201="",0,SUMIFS('Hareketler'!$H$5:$H$1004,'Hareketler'!$F$5:$F$1004,$B201,'Hareketler'!$C$5:$C$1004,"Satış"))</f>
      </c>
      <c r="H201" s="25">
        <f>IF($B201="","",$E201+$F201-$G201)</f>
      </c>
      <c r="I201" s="24">
        <f>IF('Ürün Kartlar'!I201="",0,'Ürün Kartlar'!I201)</f>
      </c>
      <c r="J201" s="16">
        <f>IF($B201="","",IF($H201&lt;=0,"STOK YOK",IF($H201&lt;=$I201,"KRİTİK","Yeterli")))</f>
      </c>
    </row>
    <row r="202" spans="2:10" x14ac:dyDescent="0.25">
      <c r="B202" s="16">
        <f>IF('Ürün Kartlar'!B202="","",'Ürün Kartlar'!B202)</f>
      </c>
      <c r="C202" s="16">
        <f>IF('Ürün Kartlar'!C202="","",'Ürün Kartlar'!C202)</f>
      </c>
      <c r="D202" s="16">
        <f>IF('Ürün Kartlar'!D202="","",'Ürün Kartlar'!D202)</f>
      </c>
      <c r="E202" s="24">
        <f>IF('Ürün Kartlar'!H202="",0,'Ürün Kartlar'!H202)</f>
      </c>
      <c r="F202" s="24">
        <f>IF($B202="",0,SUMIFS('Hareketler'!$H$5:$H$1004,'Hareketler'!$F$5:$F$1004,$B202,'Hareketler'!$C$5:$C$1004,"Alış"))</f>
      </c>
      <c r="G202" s="24">
        <f>IF($B202="",0,SUMIFS('Hareketler'!$H$5:$H$1004,'Hareketler'!$F$5:$F$1004,$B202,'Hareketler'!$C$5:$C$1004,"Satış"))</f>
      </c>
      <c r="H202" s="25">
        <f>IF($B202="","",$E202+$F202-$G202)</f>
      </c>
      <c r="I202" s="24">
        <f>IF('Ürün Kartlar'!I202="",0,'Ürün Kartlar'!I202)</f>
      </c>
      <c r="J202" s="16">
        <f>IF($B202="","",IF($H202&lt;=0,"STOK YOK",IF($H202&lt;=$I202,"KRİTİK","Yeterli")))</f>
      </c>
    </row>
    <row r="203" spans="2:10" x14ac:dyDescent="0.25">
      <c r="B203" s="16">
        <f>IF('Ürün Kartlar'!B203="","",'Ürün Kartlar'!B203)</f>
      </c>
      <c r="C203" s="16">
        <f>IF('Ürün Kartlar'!C203="","",'Ürün Kartlar'!C203)</f>
      </c>
      <c r="D203" s="16">
        <f>IF('Ürün Kartlar'!D203="","",'Ürün Kartlar'!D203)</f>
      </c>
      <c r="E203" s="24">
        <f>IF('Ürün Kartlar'!H203="",0,'Ürün Kartlar'!H203)</f>
      </c>
      <c r="F203" s="24">
        <f>IF($B203="",0,SUMIFS('Hareketler'!$H$5:$H$1004,'Hareketler'!$F$5:$F$1004,$B203,'Hareketler'!$C$5:$C$1004,"Alış"))</f>
      </c>
      <c r="G203" s="24">
        <f>IF($B203="",0,SUMIFS('Hareketler'!$H$5:$H$1004,'Hareketler'!$F$5:$F$1004,$B203,'Hareketler'!$C$5:$C$1004,"Satış"))</f>
      </c>
      <c r="H203" s="25">
        <f>IF($B203="","",$E203+$F203-$G203)</f>
      </c>
      <c r="I203" s="24">
        <f>IF('Ürün Kartlar'!I203="",0,'Ürün Kartlar'!I203)</f>
      </c>
      <c r="J203" s="16">
        <f>IF($B203="","",IF($H203&lt;=0,"STOK YOK",IF($H203&lt;=$I203,"KRİTİK","Yeterli")))</f>
      </c>
    </row>
    <row r="204" spans="2:10" x14ac:dyDescent="0.25">
      <c r="B204" s="16">
        <f>IF('Ürün Kartlar'!B204="","",'Ürün Kartlar'!B204)</f>
      </c>
      <c r="C204" s="16">
        <f>IF('Ürün Kartlar'!C204="","",'Ürün Kartlar'!C204)</f>
      </c>
      <c r="D204" s="16">
        <f>IF('Ürün Kartlar'!D204="","",'Ürün Kartlar'!D204)</f>
      </c>
      <c r="E204" s="24">
        <f>IF('Ürün Kartlar'!H204="",0,'Ürün Kartlar'!H204)</f>
      </c>
      <c r="F204" s="24">
        <f>IF($B204="",0,SUMIFS('Hareketler'!$H$5:$H$1004,'Hareketler'!$F$5:$F$1004,$B204,'Hareketler'!$C$5:$C$1004,"Alış"))</f>
      </c>
      <c r="G204" s="24">
        <f>IF($B204="",0,SUMIFS('Hareketler'!$H$5:$H$1004,'Hareketler'!$F$5:$F$1004,$B204,'Hareketler'!$C$5:$C$1004,"Satış"))</f>
      </c>
      <c r="H204" s="25">
        <f>IF($B204="","",$E204+$F204-$G204)</f>
      </c>
      <c r="I204" s="24">
        <f>IF('Ürün Kartlar'!I204="",0,'Ürün Kartlar'!I204)</f>
      </c>
      <c r="J204" s="16">
        <f>IF($B204="","",IF($H204&lt;=0,"STOK YOK",IF($H204&lt;=$I204,"KRİTİK","Yeterli")))</f>
      </c>
    </row>
  </sheetData>
  <mergeCells count="2">
    <mergeCell ref="A1:J1"/>
    <mergeCell ref="A2:J2"/>
  </mergeCells>
  <conditionalFormatting sqref="J5:J204">
    <cfRule type="containsText" dxfId="0" priority="1">
      <formula>NOT(ISERROR(SEARCH("KRİTİK",J5)))</formula>
    </cfRule>
    <cfRule type="containsText" dxfId="1" priority="2">
      <formula>NOT(ISERROR(SEARCH("STOK YOK",J5)))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B82F6"/>
  </sheetPr>
  <dimension ref="A1:H204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3" customWidth="1"/>
    <col min="2" max="2" width="14" customWidth="1"/>
    <col min="3" max="3" width="34" customWidth="1"/>
    <col min="4" max="4" width="16" customWidth="1"/>
    <col min="5" max="8" width="18" customWidth="1"/>
  </cols>
  <sheetData>
    <row r="1" ht="34" customHeight="1" spans="1:8" x14ac:dyDescent="0.25">
      <c r="A1" s="1" t="s">
        <v>116</v>
      </c>
      <c r="B1" s="1"/>
      <c r="C1" s="1"/>
      <c r="D1" s="1"/>
      <c r="E1" s="1"/>
      <c r="F1" s="1"/>
      <c r="G1" s="1"/>
      <c r="H1" s="1"/>
    </row>
    <row r="2" ht="20" customHeight="1" spans="1:8" x14ac:dyDescent="0.25">
      <c r="A2" s="2" t="s">
        <v>117</v>
      </c>
      <c r="B2" s="2"/>
      <c r="C2" s="2"/>
      <c r="D2" s="2"/>
      <c r="E2" s="2"/>
      <c r="F2" s="2"/>
      <c r="G2" s="2"/>
      <c r="H2" s="2"/>
    </row>
    <row r="4" ht="30" customHeight="1" spans="1:8" x14ac:dyDescent="0.25">
      <c r="A4" s="9" t="s">
        <v>30</v>
      </c>
      <c r="B4" s="9" t="s">
        <v>54</v>
      </c>
      <c r="C4" s="9" t="s">
        <v>118</v>
      </c>
      <c r="D4" s="9" t="s">
        <v>56</v>
      </c>
      <c r="E4" s="9" t="s">
        <v>58</v>
      </c>
      <c r="F4" s="9" t="s">
        <v>119</v>
      </c>
      <c r="G4" s="9" t="s">
        <v>120</v>
      </c>
      <c r="H4" s="9" t="s">
        <v>121</v>
      </c>
    </row>
    <row r="5" spans="2:8" x14ac:dyDescent="0.25">
      <c r="B5" s="16">
        <f>IF('Cari Kartlar'!B5="","",'Cari Kartlar'!B5)</f>
      </c>
      <c r="C5" s="16">
        <f>IF('Cari Kartlar'!C5="","",'Cari Kartlar'!C5)</f>
      </c>
      <c r="D5" s="16">
        <f>IF('Cari Kartlar'!D5="","",'Cari Kartlar'!D5)</f>
      </c>
      <c r="E5" s="18">
        <f>IF('Cari Kartlar'!H5="",0,'Cari Kartlar'!H5)</f>
      </c>
      <c r="F5" s="18">
        <f>IF($B5="",0,SUMIFS('Hareketler'!$M$5:$M$1004,'Hareketler'!$D$5:$D$1004,$B5,'Hareketler'!$C$5:$C$1004,"Satış"))</f>
      </c>
      <c r="G5" s="18">
        <f>IF($B5="",0,SUMIFS('Hareketler'!$M$5:$M$1004,'Hareketler'!$D$5:$D$1004,$B5,'Hareketler'!$C$5:$C$1004,"Alış"))</f>
      </c>
      <c r="H5" s="26">
        <f>IF($B5="","",$E5+$F5-$G5)</f>
      </c>
    </row>
    <row r="6" spans="2:8" x14ac:dyDescent="0.25">
      <c r="B6" s="16">
        <f>IF('Cari Kartlar'!B6="","",'Cari Kartlar'!B6)</f>
      </c>
      <c r="C6" s="16">
        <f>IF('Cari Kartlar'!C6="","",'Cari Kartlar'!C6)</f>
      </c>
      <c r="D6" s="16">
        <f>IF('Cari Kartlar'!D6="","",'Cari Kartlar'!D6)</f>
      </c>
      <c r="E6" s="18">
        <f>IF('Cari Kartlar'!H6="",0,'Cari Kartlar'!H6)</f>
      </c>
      <c r="F6" s="18">
        <f>IF($B6="",0,SUMIFS('Hareketler'!$M$5:$M$1004,'Hareketler'!$D$5:$D$1004,$B6,'Hareketler'!$C$5:$C$1004,"Satış"))</f>
      </c>
      <c r="G6" s="18">
        <f>IF($B6="",0,SUMIFS('Hareketler'!$M$5:$M$1004,'Hareketler'!$D$5:$D$1004,$B6,'Hareketler'!$C$5:$C$1004,"Alış"))</f>
      </c>
      <c r="H6" s="26">
        <f>IF($B6="","",$E6+$F6-$G6)</f>
      </c>
    </row>
    <row r="7" spans="2:8" x14ac:dyDescent="0.25">
      <c r="B7" s="16">
        <f>IF('Cari Kartlar'!B7="","",'Cari Kartlar'!B7)</f>
      </c>
      <c r="C7" s="16">
        <f>IF('Cari Kartlar'!C7="","",'Cari Kartlar'!C7)</f>
      </c>
      <c r="D7" s="16">
        <f>IF('Cari Kartlar'!D7="","",'Cari Kartlar'!D7)</f>
      </c>
      <c r="E7" s="18">
        <f>IF('Cari Kartlar'!H7="",0,'Cari Kartlar'!H7)</f>
      </c>
      <c r="F7" s="18">
        <f>IF($B7="",0,SUMIFS('Hareketler'!$M$5:$M$1004,'Hareketler'!$D$5:$D$1004,$B7,'Hareketler'!$C$5:$C$1004,"Satış"))</f>
      </c>
      <c r="G7" s="18">
        <f>IF($B7="",0,SUMIFS('Hareketler'!$M$5:$M$1004,'Hareketler'!$D$5:$D$1004,$B7,'Hareketler'!$C$5:$C$1004,"Alış"))</f>
      </c>
      <c r="H7" s="26">
        <f>IF($B7="","",$E7+$F7-$G7)</f>
      </c>
    </row>
    <row r="8" spans="2:8" x14ac:dyDescent="0.25">
      <c r="B8" s="16">
        <f>IF('Cari Kartlar'!B8="","",'Cari Kartlar'!B8)</f>
      </c>
      <c r="C8" s="16">
        <f>IF('Cari Kartlar'!C8="","",'Cari Kartlar'!C8)</f>
      </c>
      <c r="D8" s="16">
        <f>IF('Cari Kartlar'!D8="","",'Cari Kartlar'!D8)</f>
      </c>
      <c r="E8" s="18">
        <f>IF('Cari Kartlar'!H8="",0,'Cari Kartlar'!H8)</f>
      </c>
      <c r="F8" s="18">
        <f>IF($B8="",0,SUMIFS('Hareketler'!$M$5:$M$1004,'Hareketler'!$D$5:$D$1004,$B8,'Hareketler'!$C$5:$C$1004,"Satış"))</f>
      </c>
      <c r="G8" s="18">
        <f>IF($B8="",0,SUMIFS('Hareketler'!$M$5:$M$1004,'Hareketler'!$D$5:$D$1004,$B8,'Hareketler'!$C$5:$C$1004,"Alış"))</f>
      </c>
      <c r="H8" s="26">
        <f>IF($B8="","",$E8+$F8-$G8)</f>
      </c>
    </row>
    <row r="9" spans="2:8" x14ac:dyDescent="0.25">
      <c r="B9" s="16">
        <f>IF('Cari Kartlar'!B9="","",'Cari Kartlar'!B9)</f>
      </c>
      <c r="C9" s="16">
        <f>IF('Cari Kartlar'!C9="","",'Cari Kartlar'!C9)</f>
      </c>
      <c r="D9" s="16">
        <f>IF('Cari Kartlar'!D9="","",'Cari Kartlar'!D9)</f>
      </c>
      <c r="E9" s="18">
        <f>IF('Cari Kartlar'!H9="",0,'Cari Kartlar'!H9)</f>
      </c>
      <c r="F9" s="18">
        <f>IF($B9="",0,SUMIFS('Hareketler'!$M$5:$M$1004,'Hareketler'!$D$5:$D$1004,$B9,'Hareketler'!$C$5:$C$1004,"Satış"))</f>
      </c>
      <c r="G9" s="18">
        <f>IF($B9="",0,SUMIFS('Hareketler'!$M$5:$M$1004,'Hareketler'!$D$5:$D$1004,$B9,'Hareketler'!$C$5:$C$1004,"Alış"))</f>
      </c>
      <c r="H9" s="26">
        <f>IF($B9="","",$E9+$F9-$G9)</f>
      </c>
    </row>
    <row r="10" spans="2:8" x14ac:dyDescent="0.25">
      <c r="B10" s="16">
        <f>IF('Cari Kartlar'!B10="","",'Cari Kartlar'!B10)</f>
      </c>
      <c r="C10" s="16">
        <f>IF('Cari Kartlar'!C10="","",'Cari Kartlar'!C10)</f>
      </c>
      <c r="D10" s="16">
        <f>IF('Cari Kartlar'!D10="","",'Cari Kartlar'!D10)</f>
      </c>
      <c r="E10" s="18">
        <f>IF('Cari Kartlar'!H10="",0,'Cari Kartlar'!H10)</f>
      </c>
      <c r="F10" s="18">
        <f>IF($B10="",0,SUMIFS('Hareketler'!$M$5:$M$1004,'Hareketler'!$D$5:$D$1004,$B10,'Hareketler'!$C$5:$C$1004,"Satış"))</f>
      </c>
      <c r="G10" s="18">
        <f>IF($B10="",0,SUMIFS('Hareketler'!$M$5:$M$1004,'Hareketler'!$D$5:$D$1004,$B10,'Hareketler'!$C$5:$C$1004,"Alış"))</f>
      </c>
      <c r="H10" s="26">
        <f>IF($B10="","",$E10+$F10-$G10)</f>
      </c>
    </row>
    <row r="11" spans="2:8" x14ac:dyDescent="0.25">
      <c r="B11" s="16">
        <f>IF('Cari Kartlar'!B11="","",'Cari Kartlar'!B11)</f>
      </c>
      <c r="C11" s="16">
        <f>IF('Cari Kartlar'!C11="","",'Cari Kartlar'!C11)</f>
      </c>
      <c r="D11" s="16">
        <f>IF('Cari Kartlar'!D11="","",'Cari Kartlar'!D11)</f>
      </c>
      <c r="E11" s="18">
        <f>IF('Cari Kartlar'!H11="",0,'Cari Kartlar'!H11)</f>
      </c>
      <c r="F11" s="18">
        <f>IF($B11="",0,SUMIFS('Hareketler'!$M$5:$M$1004,'Hareketler'!$D$5:$D$1004,$B11,'Hareketler'!$C$5:$C$1004,"Satış"))</f>
      </c>
      <c r="G11" s="18">
        <f>IF($B11="",0,SUMIFS('Hareketler'!$M$5:$M$1004,'Hareketler'!$D$5:$D$1004,$B11,'Hareketler'!$C$5:$C$1004,"Alış"))</f>
      </c>
      <c r="H11" s="26">
        <f>IF($B11="","",$E11+$F11-$G11)</f>
      </c>
    </row>
    <row r="12" spans="2:8" x14ac:dyDescent="0.25">
      <c r="B12" s="16">
        <f>IF('Cari Kartlar'!B12="","",'Cari Kartlar'!B12)</f>
      </c>
      <c r="C12" s="16">
        <f>IF('Cari Kartlar'!C12="","",'Cari Kartlar'!C12)</f>
      </c>
      <c r="D12" s="16">
        <f>IF('Cari Kartlar'!D12="","",'Cari Kartlar'!D12)</f>
      </c>
      <c r="E12" s="18">
        <f>IF('Cari Kartlar'!H12="",0,'Cari Kartlar'!H12)</f>
      </c>
      <c r="F12" s="18">
        <f>IF($B12="",0,SUMIFS('Hareketler'!$M$5:$M$1004,'Hareketler'!$D$5:$D$1004,$B12,'Hareketler'!$C$5:$C$1004,"Satış"))</f>
      </c>
      <c r="G12" s="18">
        <f>IF($B12="",0,SUMIFS('Hareketler'!$M$5:$M$1004,'Hareketler'!$D$5:$D$1004,$B12,'Hareketler'!$C$5:$C$1004,"Alış"))</f>
      </c>
      <c r="H12" s="26">
        <f>IF($B12="","",$E12+$F12-$G12)</f>
      </c>
    </row>
    <row r="13" spans="2:8" x14ac:dyDescent="0.25">
      <c r="B13" s="16">
        <f>IF('Cari Kartlar'!B13="","",'Cari Kartlar'!B13)</f>
      </c>
      <c r="C13" s="16">
        <f>IF('Cari Kartlar'!C13="","",'Cari Kartlar'!C13)</f>
      </c>
      <c r="D13" s="16">
        <f>IF('Cari Kartlar'!D13="","",'Cari Kartlar'!D13)</f>
      </c>
      <c r="E13" s="18">
        <f>IF('Cari Kartlar'!H13="",0,'Cari Kartlar'!H13)</f>
      </c>
      <c r="F13" s="18">
        <f>IF($B13="",0,SUMIFS('Hareketler'!$M$5:$M$1004,'Hareketler'!$D$5:$D$1004,$B13,'Hareketler'!$C$5:$C$1004,"Satış"))</f>
      </c>
      <c r="G13" s="18">
        <f>IF($B13="",0,SUMIFS('Hareketler'!$M$5:$M$1004,'Hareketler'!$D$5:$D$1004,$B13,'Hareketler'!$C$5:$C$1004,"Alış"))</f>
      </c>
      <c r="H13" s="26">
        <f>IF($B13="","",$E13+$F13-$G13)</f>
      </c>
    </row>
    <row r="14" spans="2:8" x14ac:dyDescent="0.25">
      <c r="B14" s="16">
        <f>IF('Cari Kartlar'!B14="","",'Cari Kartlar'!B14)</f>
      </c>
      <c r="C14" s="16">
        <f>IF('Cari Kartlar'!C14="","",'Cari Kartlar'!C14)</f>
      </c>
      <c r="D14" s="16">
        <f>IF('Cari Kartlar'!D14="","",'Cari Kartlar'!D14)</f>
      </c>
      <c r="E14" s="18">
        <f>IF('Cari Kartlar'!H14="",0,'Cari Kartlar'!H14)</f>
      </c>
      <c r="F14" s="18">
        <f>IF($B14="",0,SUMIFS('Hareketler'!$M$5:$M$1004,'Hareketler'!$D$5:$D$1004,$B14,'Hareketler'!$C$5:$C$1004,"Satış"))</f>
      </c>
      <c r="G14" s="18">
        <f>IF($B14="",0,SUMIFS('Hareketler'!$M$5:$M$1004,'Hareketler'!$D$5:$D$1004,$B14,'Hareketler'!$C$5:$C$1004,"Alış"))</f>
      </c>
      <c r="H14" s="26">
        <f>IF($B14="","",$E14+$F14-$G14)</f>
      </c>
    </row>
    <row r="15" spans="2:8" x14ac:dyDescent="0.25">
      <c r="B15" s="16">
        <f>IF('Cari Kartlar'!B15="","",'Cari Kartlar'!B15)</f>
      </c>
      <c r="C15" s="16">
        <f>IF('Cari Kartlar'!C15="","",'Cari Kartlar'!C15)</f>
      </c>
      <c r="D15" s="16">
        <f>IF('Cari Kartlar'!D15="","",'Cari Kartlar'!D15)</f>
      </c>
      <c r="E15" s="18">
        <f>IF('Cari Kartlar'!H15="",0,'Cari Kartlar'!H15)</f>
      </c>
      <c r="F15" s="18">
        <f>IF($B15="",0,SUMIFS('Hareketler'!$M$5:$M$1004,'Hareketler'!$D$5:$D$1004,$B15,'Hareketler'!$C$5:$C$1004,"Satış"))</f>
      </c>
      <c r="G15" s="18">
        <f>IF($B15="",0,SUMIFS('Hareketler'!$M$5:$M$1004,'Hareketler'!$D$5:$D$1004,$B15,'Hareketler'!$C$5:$C$1004,"Alış"))</f>
      </c>
      <c r="H15" s="26">
        <f>IF($B15="","",$E15+$F15-$G15)</f>
      </c>
    </row>
    <row r="16" spans="2:8" x14ac:dyDescent="0.25">
      <c r="B16" s="16">
        <f>IF('Cari Kartlar'!B16="","",'Cari Kartlar'!B16)</f>
      </c>
      <c r="C16" s="16">
        <f>IF('Cari Kartlar'!C16="","",'Cari Kartlar'!C16)</f>
      </c>
      <c r="D16" s="16">
        <f>IF('Cari Kartlar'!D16="","",'Cari Kartlar'!D16)</f>
      </c>
      <c r="E16" s="18">
        <f>IF('Cari Kartlar'!H16="",0,'Cari Kartlar'!H16)</f>
      </c>
      <c r="F16" s="18">
        <f>IF($B16="",0,SUMIFS('Hareketler'!$M$5:$M$1004,'Hareketler'!$D$5:$D$1004,$B16,'Hareketler'!$C$5:$C$1004,"Satış"))</f>
      </c>
      <c r="G16" s="18">
        <f>IF($B16="",0,SUMIFS('Hareketler'!$M$5:$M$1004,'Hareketler'!$D$5:$D$1004,$B16,'Hareketler'!$C$5:$C$1004,"Alış"))</f>
      </c>
      <c r="H16" s="26">
        <f>IF($B16="","",$E16+$F16-$G16)</f>
      </c>
    </row>
    <row r="17" spans="2:8" x14ac:dyDescent="0.25">
      <c r="B17" s="16">
        <f>IF('Cari Kartlar'!B17="","",'Cari Kartlar'!B17)</f>
      </c>
      <c r="C17" s="16">
        <f>IF('Cari Kartlar'!C17="","",'Cari Kartlar'!C17)</f>
      </c>
      <c r="D17" s="16">
        <f>IF('Cari Kartlar'!D17="","",'Cari Kartlar'!D17)</f>
      </c>
      <c r="E17" s="18">
        <f>IF('Cari Kartlar'!H17="",0,'Cari Kartlar'!H17)</f>
      </c>
      <c r="F17" s="18">
        <f>IF($B17="",0,SUMIFS('Hareketler'!$M$5:$M$1004,'Hareketler'!$D$5:$D$1004,$B17,'Hareketler'!$C$5:$C$1004,"Satış"))</f>
      </c>
      <c r="G17" s="18">
        <f>IF($B17="",0,SUMIFS('Hareketler'!$M$5:$M$1004,'Hareketler'!$D$5:$D$1004,$B17,'Hareketler'!$C$5:$C$1004,"Alış"))</f>
      </c>
      <c r="H17" s="26">
        <f>IF($B17="","",$E17+$F17-$G17)</f>
      </c>
    </row>
    <row r="18" spans="2:8" x14ac:dyDescent="0.25">
      <c r="B18" s="16">
        <f>IF('Cari Kartlar'!B18="","",'Cari Kartlar'!B18)</f>
      </c>
      <c r="C18" s="16">
        <f>IF('Cari Kartlar'!C18="","",'Cari Kartlar'!C18)</f>
      </c>
      <c r="D18" s="16">
        <f>IF('Cari Kartlar'!D18="","",'Cari Kartlar'!D18)</f>
      </c>
      <c r="E18" s="18">
        <f>IF('Cari Kartlar'!H18="",0,'Cari Kartlar'!H18)</f>
      </c>
      <c r="F18" s="18">
        <f>IF($B18="",0,SUMIFS('Hareketler'!$M$5:$M$1004,'Hareketler'!$D$5:$D$1004,$B18,'Hareketler'!$C$5:$C$1004,"Satış"))</f>
      </c>
      <c r="G18" s="18">
        <f>IF($B18="",0,SUMIFS('Hareketler'!$M$5:$M$1004,'Hareketler'!$D$5:$D$1004,$B18,'Hareketler'!$C$5:$C$1004,"Alış"))</f>
      </c>
      <c r="H18" s="26">
        <f>IF($B18="","",$E18+$F18-$G18)</f>
      </c>
    </row>
    <row r="19" spans="2:8" x14ac:dyDescent="0.25">
      <c r="B19" s="16">
        <f>IF('Cari Kartlar'!B19="","",'Cari Kartlar'!B19)</f>
      </c>
      <c r="C19" s="16">
        <f>IF('Cari Kartlar'!C19="","",'Cari Kartlar'!C19)</f>
      </c>
      <c r="D19" s="16">
        <f>IF('Cari Kartlar'!D19="","",'Cari Kartlar'!D19)</f>
      </c>
      <c r="E19" s="18">
        <f>IF('Cari Kartlar'!H19="",0,'Cari Kartlar'!H19)</f>
      </c>
      <c r="F19" s="18">
        <f>IF($B19="",0,SUMIFS('Hareketler'!$M$5:$M$1004,'Hareketler'!$D$5:$D$1004,$B19,'Hareketler'!$C$5:$C$1004,"Satış"))</f>
      </c>
      <c r="G19" s="18">
        <f>IF($B19="",0,SUMIFS('Hareketler'!$M$5:$M$1004,'Hareketler'!$D$5:$D$1004,$B19,'Hareketler'!$C$5:$C$1004,"Alış"))</f>
      </c>
      <c r="H19" s="26">
        <f>IF($B19="","",$E19+$F19-$G19)</f>
      </c>
    </row>
    <row r="20" spans="2:8" x14ac:dyDescent="0.25">
      <c r="B20" s="16">
        <f>IF('Cari Kartlar'!B20="","",'Cari Kartlar'!B20)</f>
      </c>
      <c r="C20" s="16">
        <f>IF('Cari Kartlar'!C20="","",'Cari Kartlar'!C20)</f>
      </c>
      <c r="D20" s="16">
        <f>IF('Cari Kartlar'!D20="","",'Cari Kartlar'!D20)</f>
      </c>
      <c r="E20" s="18">
        <f>IF('Cari Kartlar'!H20="",0,'Cari Kartlar'!H20)</f>
      </c>
      <c r="F20" s="18">
        <f>IF($B20="",0,SUMIFS('Hareketler'!$M$5:$M$1004,'Hareketler'!$D$5:$D$1004,$B20,'Hareketler'!$C$5:$C$1004,"Satış"))</f>
      </c>
      <c r="G20" s="18">
        <f>IF($B20="",0,SUMIFS('Hareketler'!$M$5:$M$1004,'Hareketler'!$D$5:$D$1004,$B20,'Hareketler'!$C$5:$C$1004,"Alış"))</f>
      </c>
      <c r="H20" s="26">
        <f>IF($B20="","",$E20+$F20-$G20)</f>
      </c>
    </row>
    <row r="21" spans="2:8" x14ac:dyDescent="0.25">
      <c r="B21" s="16">
        <f>IF('Cari Kartlar'!B21="","",'Cari Kartlar'!B21)</f>
      </c>
      <c r="C21" s="16">
        <f>IF('Cari Kartlar'!C21="","",'Cari Kartlar'!C21)</f>
      </c>
      <c r="D21" s="16">
        <f>IF('Cari Kartlar'!D21="","",'Cari Kartlar'!D21)</f>
      </c>
      <c r="E21" s="18">
        <f>IF('Cari Kartlar'!H21="",0,'Cari Kartlar'!H21)</f>
      </c>
      <c r="F21" s="18">
        <f>IF($B21="",0,SUMIFS('Hareketler'!$M$5:$M$1004,'Hareketler'!$D$5:$D$1004,$B21,'Hareketler'!$C$5:$C$1004,"Satış"))</f>
      </c>
      <c r="G21" s="18">
        <f>IF($B21="",0,SUMIFS('Hareketler'!$M$5:$M$1004,'Hareketler'!$D$5:$D$1004,$B21,'Hareketler'!$C$5:$C$1004,"Alış"))</f>
      </c>
      <c r="H21" s="26">
        <f>IF($B21="","",$E21+$F21-$G21)</f>
      </c>
    </row>
    <row r="22" spans="2:8" x14ac:dyDescent="0.25">
      <c r="B22" s="16">
        <f>IF('Cari Kartlar'!B22="","",'Cari Kartlar'!B22)</f>
      </c>
      <c r="C22" s="16">
        <f>IF('Cari Kartlar'!C22="","",'Cari Kartlar'!C22)</f>
      </c>
      <c r="D22" s="16">
        <f>IF('Cari Kartlar'!D22="","",'Cari Kartlar'!D22)</f>
      </c>
      <c r="E22" s="18">
        <f>IF('Cari Kartlar'!H22="",0,'Cari Kartlar'!H22)</f>
      </c>
      <c r="F22" s="18">
        <f>IF($B22="",0,SUMIFS('Hareketler'!$M$5:$M$1004,'Hareketler'!$D$5:$D$1004,$B22,'Hareketler'!$C$5:$C$1004,"Satış"))</f>
      </c>
      <c r="G22" s="18">
        <f>IF($B22="",0,SUMIFS('Hareketler'!$M$5:$M$1004,'Hareketler'!$D$5:$D$1004,$B22,'Hareketler'!$C$5:$C$1004,"Alış"))</f>
      </c>
      <c r="H22" s="26">
        <f>IF($B22="","",$E22+$F22-$G22)</f>
      </c>
    </row>
    <row r="23" spans="2:8" x14ac:dyDescent="0.25">
      <c r="B23" s="16">
        <f>IF('Cari Kartlar'!B23="","",'Cari Kartlar'!B23)</f>
      </c>
      <c r="C23" s="16">
        <f>IF('Cari Kartlar'!C23="","",'Cari Kartlar'!C23)</f>
      </c>
      <c r="D23" s="16">
        <f>IF('Cari Kartlar'!D23="","",'Cari Kartlar'!D23)</f>
      </c>
      <c r="E23" s="18">
        <f>IF('Cari Kartlar'!H23="",0,'Cari Kartlar'!H23)</f>
      </c>
      <c r="F23" s="18">
        <f>IF($B23="",0,SUMIFS('Hareketler'!$M$5:$M$1004,'Hareketler'!$D$5:$D$1004,$B23,'Hareketler'!$C$5:$C$1004,"Satış"))</f>
      </c>
      <c r="G23" s="18">
        <f>IF($B23="",0,SUMIFS('Hareketler'!$M$5:$M$1004,'Hareketler'!$D$5:$D$1004,$B23,'Hareketler'!$C$5:$C$1004,"Alış"))</f>
      </c>
      <c r="H23" s="26">
        <f>IF($B23="","",$E23+$F23-$G23)</f>
      </c>
    </row>
    <row r="24" spans="2:8" x14ac:dyDescent="0.25">
      <c r="B24" s="16">
        <f>IF('Cari Kartlar'!B24="","",'Cari Kartlar'!B24)</f>
      </c>
      <c r="C24" s="16">
        <f>IF('Cari Kartlar'!C24="","",'Cari Kartlar'!C24)</f>
      </c>
      <c r="D24" s="16">
        <f>IF('Cari Kartlar'!D24="","",'Cari Kartlar'!D24)</f>
      </c>
      <c r="E24" s="18">
        <f>IF('Cari Kartlar'!H24="",0,'Cari Kartlar'!H24)</f>
      </c>
      <c r="F24" s="18">
        <f>IF($B24="",0,SUMIFS('Hareketler'!$M$5:$M$1004,'Hareketler'!$D$5:$D$1004,$B24,'Hareketler'!$C$5:$C$1004,"Satış"))</f>
      </c>
      <c r="G24" s="18">
        <f>IF($B24="",0,SUMIFS('Hareketler'!$M$5:$M$1004,'Hareketler'!$D$5:$D$1004,$B24,'Hareketler'!$C$5:$C$1004,"Alış"))</f>
      </c>
      <c r="H24" s="26">
        <f>IF($B24="","",$E24+$F24-$G24)</f>
      </c>
    </row>
    <row r="25" spans="2:8" x14ac:dyDescent="0.25">
      <c r="B25" s="16">
        <f>IF('Cari Kartlar'!B25="","",'Cari Kartlar'!B25)</f>
      </c>
      <c r="C25" s="16">
        <f>IF('Cari Kartlar'!C25="","",'Cari Kartlar'!C25)</f>
      </c>
      <c r="D25" s="16">
        <f>IF('Cari Kartlar'!D25="","",'Cari Kartlar'!D25)</f>
      </c>
      <c r="E25" s="18">
        <f>IF('Cari Kartlar'!H25="",0,'Cari Kartlar'!H25)</f>
      </c>
      <c r="F25" s="18">
        <f>IF($B25="",0,SUMIFS('Hareketler'!$M$5:$M$1004,'Hareketler'!$D$5:$D$1004,$B25,'Hareketler'!$C$5:$C$1004,"Satış"))</f>
      </c>
      <c r="G25" s="18">
        <f>IF($B25="",0,SUMIFS('Hareketler'!$M$5:$M$1004,'Hareketler'!$D$5:$D$1004,$B25,'Hareketler'!$C$5:$C$1004,"Alış"))</f>
      </c>
      <c r="H25" s="26">
        <f>IF($B25="","",$E25+$F25-$G25)</f>
      </c>
    </row>
    <row r="26" spans="2:8" x14ac:dyDescent="0.25">
      <c r="B26" s="16">
        <f>IF('Cari Kartlar'!B26="","",'Cari Kartlar'!B26)</f>
      </c>
      <c r="C26" s="16">
        <f>IF('Cari Kartlar'!C26="","",'Cari Kartlar'!C26)</f>
      </c>
      <c r="D26" s="16">
        <f>IF('Cari Kartlar'!D26="","",'Cari Kartlar'!D26)</f>
      </c>
      <c r="E26" s="18">
        <f>IF('Cari Kartlar'!H26="",0,'Cari Kartlar'!H26)</f>
      </c>
      <c r="F26" s="18">
        <f>IF($B26="",0,SUMIFS('Hareketler'!$M$5:$M$1004,'Hareketler'!$D$5:$D$1004,$B26,'Hareketler'!$C$5:$C$1004,"Satış"))</f>
      </c>
      <c r="G26" s="18">
        <f>IF($B26="",0,SUMIFS('Hareketler'!$M$5:$M$1004,'Hareketler'!$D$5:$D$1004,$B26,'Hareketler'!$C$5:$C$1004,"Alış"))</f>
      </c>
      <c r="H26" s="26">
        <f>IF($B26="","",$E26+$F26-$G26)</f>
      </c>
    </row>
    <row r="27" spans="2:8" x14ac:dyDescent="0.25">
      <c r="B27" s="16">
        <f>IF('Cari Kartlar'!B27="","",'Cari Kartlar'!B27)</f>
      </c>
      <c r="C27" s="16">
        <f>IF('Cari Kartlar'!C27="","",'Cari Kartlar'!C27)</f>
      </c>
      <c r="D27" s="16">
        <f>IF('Cari Kartlar'!D27="","",'Cari Kartlar'!D27)</f>
      </c>
      <c r="E27" s="18">
        <f>IF('Cari Kartlar'!H27="",0,'Cari Kartlar'!H27)</f>
      </c>
      <c r="F27" s="18">
        <f>IF($B27="",0,SUMIFS('Hareketler'!$M$5:$M$1004,'Hareketler'!$D$5:$D$1004,$B27,'Hareketler'!$C$5:$C$1004,"Satış"))</f>
      </c>
      <c r="G27" s="18">
        <f>IF($B27="",0,SUMIFS('Hareketler'!$M$5:$M$1004,'Hareketler'!$D$5:$D$1004,$B27,'Hareketler'!$C$5:$C$1004,"Alış"))</f>
      </c>
      <c r="H27" s="26">
        <f>IF($B27="","",$E27+$F27-$G27)</f>
      </c>
    </row>
    <row r="28" spans="2:8" x14ac:dyDescent="0.25">
      <c r="B28" s="16">
        <f>IF('Cari Kartlar'!B28="","",'Cari Kartlar'!B28)</f>
      </c>
      <c r="C28" s="16">
        <f>IF('Cari Kartlar'!C28="","",'Cari Kartlar'!C28)</f>
      </c>
      <c r="D28" s="16">
        <f>IF('Cari Kartlar'!D28="","",'Cari Kartlar'!D28)</f>
      </c>
      <c r="E28" s="18">
        <f>IF('Cari Kartlar'!H28="",0,'Cari Kartlar'!H28)</f>
      </c>
      <c r="F28" s="18">
        <f>IF($B28="",0,SUMIFS('Hareketler'!$M$5:$M$1004,'Hareketler'!$D$5:$D$1004,$B28,'Hareketler'!$C$5:$C$1004,"Satış"))</f>
      </c>
      <c r="G28" s="18">
        <f>IF($B28="",0,SUMIFS('Hareketler'!$M$5:$M$1004,'Hareketler'!$D$5:$D$1004,$B28,'Hareketler'!$C$5:$C$1004,"Alış"))</f>
      </c>
      <c r="H28" s="26">
        <f>IF($B28="","",$E28+$F28-$G28)</f>
      </c>
    </row>
    <row r="29" spans="2:8" x14ac:dyDescent="0.25">
      <c r="B29" s="16">
        <f>IF('Cari Kartlar'!B29="","",'Cari Kartlar'!B29)</f>
      </c>
      <c r="C29" s="16">
        <f>IF('Cari Kartlar'!C29="","",'Cari Kartlar'!C29)</f>
      </c>
      <c r="D29" s="16">
        <f>IF('Cari Kartlar'!D29="","",'Cari Kartlar'!D29)</f>
      </c>
      <c r="E29" s="18">
        <f>IF('Cari Kartlar'!H29="",0,'Cari Kartlar'!H29)</f>
      </c>
      <c r="F29" s="18">
        <f>IF($B29="",0,SUMIFS('Hareketler'!$M$5:$M$1004,'Hareketler'!$D$5:$D$1004,$B29,'Hareketler'!$C$5:$C$1004,"Satış"))</f>
      </c>
      <c r="G29" s="18">
        <f>IF($B29="",0,SUMIFS('Hareketler'!$M$5:$M$1004,'Hareketler'!$D$5:$D$1004,$B29,'Hareketler'!$C$5:$C$1004,"Alış"))</f>
      </c>
      <c r="H29" s="26">
        <f>IF($B29="","",$E29+$F29-$G29)</f>
      </c>
    </row>
    <row r="30" spans="2:8" x14ac:dyDescent="0.25">
      <c r="B30" s="16">
        <f>IF('Cari Kartlar'!B30="","",'Cari Kartlar'!B30)</f>
      </c>
      <c r="C30" s="16">
        <f>IF('Cari Kartlar'!C30="","",'Cari Kartlar'!C30)</f>
      </c>
      <c r="D30" s="16">
        <f>IF('Cari Kartlar'!D30="","",'Cari Kartlar'!D30)</f>
      </c>
      <c r="E30" s="18">
        <f>IF('Cari Kartlar'!H30="",0,'Cari Kartlar'!H30)</f>
      </c>
      <c r="F30" s="18">
        <f>IF($B30="",0,SUMIFS('Hareketler'!$M$5:$M$1004,'Hareketler'!$D$5:$D$1004,$B30,'Hareketler'!$C$5:$C$1004,"Satış"))</f>
      </c>
      <c r="G30" s="18">
        <f>IF($B30="",0,SUMIFS('Hareketler'!$M$5:$M$1004,'Hareketler'!$D$5:$D$1004,$B30,'Hareketler'!$C$5:$C$1004,"Alış"))</f>
      </c>
      <c r="H30" s="26">
        <f>IF($B30="","",$E30+$F30-$G30)</f>
      </c>
    </row>
    <row r="31" spans="2:8" x14ac:dyDescent="0.25">
      <c r="B31" s="16">
        <f>IF('Cari Kartlar'!B31="","",'Cari Kartlar'!B31)</f>
      </c>
      <c r="C31" s="16">
        <f>IF('Cari Kartlar'!C31="","",'Cari Kartlar'!C31)</f>
      </c>
      <c r="D31" s="16">
        <f>IF('Cari Kartlar'!D31="","",'Cari Kartlar'!D31)</f>
      </c>
      <c r="E31" s="18">
        <f>IF('Cari Kartlar'!H31="",0,'Cari Kartlar'!H31)</f>
      </c>
      <c r="F31" s="18">
        <f>IF($B31="",0,SUMIFS('Hareketler'!$M$5:$M$1004,'Hareketler'!$D$5:$D$1004,$B31,'Hareketler'!$C$5:$C$1004,"Satış"))</f>
      </c>
      <c r="G31" s="18">
        <f>IF($B31="",0,SUMIFS('Hareketler'!$M$5:$M$1004,'Hareketler'!$D$5:$D$1004,$B31,'Hareketler'!$C$5:$C$1004,"Alış"))</f>
      </c>
      <c r="H31" s="26">
        <f>IF($B31="","",$E31+$F31-$G31)</f>
      </c>
    </row>
    <row r="32" spans="2:8" x14ac:dyDescent="0.25">
      <c r="B32" s="16">
        <f>IF('Cari Kartlar'!B32="","",'Cari Kartlar'!B32)</f>
      </c>
      <c r="C32" s="16">
        <f>IF('Cari Kartlar'!C32="","",'Cari Kartlar'!C32)</f>
      </c>
      <c r="D32" s="16">
        <f>IF('Cari Kartlar'!D32="","",'Cari Kartlar'!D32)</f>
      </c>
      <c r="E32" s="18">
        <f>IF('Cari Kartlar'!H32="",0,'Cari Kartlar'!H32)</f>
      </c>
      <c r="F32" s="18">
        <f>IF($B32="",0,SUMIFS('Hareketler'!$M$5:$M$1004,'Hareketler'!$D$5:$D$1004,$B32,'Hareketler'!$C$5:$C$1004,"Satış"))</f>
      </c>
      <c r="G32" s="18">
        <f>IF($B32="",0,SUMIFS('Hareketler'!$M$5:$M$1004,'Hareketler'!$D$5:$D$1004,$B32,'Hareketler'!$C$5:$C$1004,"Alış"))</f>
      </c>
      <c r="H32" s="26">
        <f>IF($B32="","",$E32+$F32-$G32)</f>
      </c>
    </row>
    <row r="33" spans="2:8" x14ac:dyDescent="0.25">
      <c r="B33" s="16">
        <f>IF('Cari Kartlar'!B33="","",'Cari Kartlar'!B33)</f>
      </c>
      <c r="C33" s="16">
        <f>IF('Cari Kartlar'!C33="","",'Cari Kartlar'!C33)</f>
      </c>
      <c r="D33" s="16">
        <f>IF('Cari Kartlar'!D33="","",'Cari Kartlar'!D33)</f>
      </c>
      <c r="E33" s="18">
        <f>IF('Cari Kartlar'!H33="",0,'Cari Kartlar'!H33)</f>
      </c>
      <c r="F33" s="18">
        <f>IF($B33="",0,SUMIFS('Hareketler'!$M$5:$M$1004,'Hareketler'!$D$5:$D$1004,$B33,'Hareketler'!$C$5:$C$1004,"Satış"))</f>
      </c>
      <c r="G33" s="18">
        <f>IF($B33="",0,SUMIFS('Hareketler'!$M$5:$M$1004,'Hareketler'!$D$5:$D$1004,$B33,'Hareketler'!$C$5:$C$1004,"Alış"))</f>
      </c>
      <c r="H33" s="26">
        <f>IF($B33="","",$E33+$F33-$G33)</f>
      </c>
    </row>
    <row r="34" spans="2:8" x14ac:dyDescent="0.25">
      <c r="B34" s="16">
        <f>IF('Cari Kartlar'!B34="","",'Cari Kartlar'!B34)</f>
      </c>
      <c r="C34" s="16">
        <f>IF('Cari Kartlar'!C34="","",'Cari Kartlar'!C34)</f>
      </c>
      <c r="D34" s="16">
        <f>IF('Cari Kartlar'!D34="","",'Cari Kartlar'!D34)</f>
      </c>
      <c r="E34" s="18">
        <f>IF('Cari Kartlar'!H34="",0,'Cari Kartlar'!H34)</f>
      </c>
      <c r="F34" s="18">
        <f>IF($B34="",0,SUMIFS('Hareketler'!$M$5:$M$1004,'Hareketler'!$D$5:$D$1004,$B34,'Hareketler'!$C$5:$C$1004,"Satış"))</f>
      </c>
      <c r="G34" s="18">
        <f>IF($B34="",0,SUMIFS('Hareketler'!$M$5:$M$1004,'Hareketler'!$D$5:$D$1004,$B34,'Hareketler'!$C$5:$C$1004,"Alış"))</f>
      </c>
      <c r="H34" s="26">
        <f>IF($B34="","",$E34+$F34-$G34)</f>
      </c>
    </row>
    <row r="35" spans="2:8" x14ac:dyDescent="0.25">
      <c r="B35" s="16">
        <f>IF('Cari Kartlar'!B35="","",'Cari Kartlar'!B35)</f>
      </c>
      <c r="C35" s="16">
        <f>IF('Cari Kartlar'!C35="","",'Cari Kartlar'!C35)</f>
      </c>
      <c r="D35" s="16">
        <f>IF('Cari Kartlar'!D35="","",'Cari Kartlar'!D35)</f>
      </c>
      <c r="E35" s="18">
        <f>IF('Cari Kartlar'!H35="",0,'Cari Kartlar'!H35)</f>
      </c>
      <c r="F35" s="18">
        <f>IF($B35="",0,SUMIFS('Hareketler'!$M$5:$M$1004,'Hareketler'!$D$5:$D$1004,$B35,'Hareketler'!$C$5:$C$1004,"Satış"))</f>
      </c>
      <c r="G35" s="18">
        <f>IF($B35="",0,SUMIFS('Hareketler'!$M$5:$M$1004,'Hareketler'!$D$5:$D$1004,$B35,'Hareketler'!$C$5:$C$1004,"Alış"))</f>
      </c>
      <c r="H35" s="26">
        <f>IF($B35="","",$E35+$F35-$G35)</f>
      </c>
    </row>
    <row r="36" spans="2:8" x14ac:dyDescent="0.25">
      <c r="B36" s="16">
        <f>IF('Cari Kartlar'!B36="","",'Cari Kartlar'!B36)</f>
      </c>
      <c r="C36" s="16">
        <f>IF('Cari Kartlar'!C36="","",'Cari Kartlar'!C36)</f>
      </c>
      <c r="D36" s="16">
        <f>IF('Cari Kartlar'!D36="","",'Cari Kartlar'!D36)</f>
      </c>
      <c r="E36" s="18">
        <f>IF('Cari Kartlar'!H36="",0,'Cari Kartlar'!H36)</f>
      </c>
      <c r="F36" s="18">
        <f>IF($B36="",0,SUMIFS('Hareketler'!$M$5:$M$1004,'Hareketler'!$D$5:$D$1004,$B36,'Hareketler'!$C$5:$C$1004,"Satış"))</f>
      </c>
      <c r="G36" s="18">
        <f>IF($B36="",0,SUMIFS('Hareketler'!$M$5:$M$1004,'Hareketler'!$D$5:$D$1004,$B36,'Hareketler'!$C$5:$C$1004,"Alış"))</f>
      </c>
      <c r="H36" s="26">
        <f>IF($B36="","",$E36+$F36-$G36)</f>
      </c>
    </row>
    <row r="37" spans="2:8" x14ac:dyDescent="0.25">
      <c r="B37" s="16">
        <f>IF('Cari Kartlar'!B37="","",'Cari Kartlar'!B37)</f>
      </c>
      <c r="C37" s="16">
        <f>IF('Cari Kartlar'!C37="","",'Cari Kartlar'!C37)</f>
      </c>
      <c r="D37" s="16">
        <f>IF('Cari Kartlar'!D37="","",'Cari Kartlar'!D37)</f>
      </c>
      <c r="E37" s="18">
        <f>IF('Cari Kartlar'!H37="",0,'Cari Kartlar'!H37)</f>
      </c>
      <c r="F37" s="18">
        <f>IF($B37="",0,SUMIFS('Hareketler'!$M$5:$M$1004,'Hareketler'!$D$5:$D$1004,$B37,'Hareketler'!$C$5:$C$1004,"Satış"))</f>
      </c>
      <c r="G37" s="18">
        <f>IF($B37="",0,SUMIFS('Hareketler'!$M$5:$M$1004,'Hareketler'!$D$5:$D$1004,$B37,'Hareketler'!$C$5:$C$1004,"Alış"))</f>
      </c>
      <c r="H37" s="26">
        <f>IF($B37="","",$E37+$F37-$G37)</f>
      </c>
    </row>
    <row r="38" spans="2:8" x14ac:dyDescent="0.25">
      <c r="B38" s="16">
        <f>IF('Cari Kartlar'!B38="","",'Cari Kartlar'!B38)</f>
      </c>
      <c r="C38" s="16">
        <f>IF('Cari Kartlar'!C38="","",'Cari Kartlar'!C38)</f>
      </c>
      <c r="D38" s="16">
        <f>IF('Cari Kartlar'!D38="","",'Cari Kartlar'!D38)</f>
      </c>
      <c r="E38" s="18">
        <f>IF('Cari Kartlar'!H38="",0,'Cari Kartlar'!H38)</f>
      </c>
      <c r="F38" s="18">
        <f>IF($B38="",0,SUMIFS('Hareketler'!$M$5:$M$1004,'Hareketler'!$D$5:$D$1004,$B38,'Hareketler'!$C$5:$C$1004,"Satış"))</f>
      </c>
      <c r="G38" s="18">
        <f>IF($B38="",0,SUMIFS('Hareketler'!$M$5:$M$1004,'Hareketler'!$D$5:$D$1004,$B38,'Hareketler'!$C$5:$C$1004,"Alış"))</f>
      </c>
      <c r="H38" s="26">
        <f>IF($B38="","",$E38+$F38-$G38)</f>
      </c>
    </row>
    <row r="39" spans="2:8" x14ac:dyDescent="0.25">
      <c r="B39" s="16">
        <f>IF('Cari Kartlar'!B39="","",'Cari Kartlar'!B39)</f>
      </c>
      <c r="C39" s="16">
        <f>IF('Cari Kartlar'!C39="","",'Cari Kartlar'!C39)</f>
      </c>
      <c r="D39" s="16">
        <f>IF('Cari Kartlar'!D39="","",'Cari Kartlar'!D39)</f>
      </c>
      <c r="E39" s="18">
        <f>IF('Cari Kartlar'!H39="",0,'Cari Kartlar'!H39)</f>
      </c>
      <c r="F39" s="18">
        <f>IF($B39="",0,SUMIFS('Hareketler'!$M$5:$M$1004,'Hareketler'!$D$5:$D$1004,$B39,'Hareketler'!$C$5:$C$1004,"Satış"))</f>
      </c>
      <c r="G39" s="18">
        <f>IF($B39="",0,SUMIFS('Hareketler'!$M$5:$M$1004,'Hareketler'!$D$5:$D$1004,$B39,'Hareketler'!$C$5:$C$1004,"Alış"))</f>
      </c>
      <c r="H39" s="26">
        <f>IF($B39="","",$E39+$F39-$G39)</f>
      </c>
    </row>
    <row r="40" spans="2:8" x14ac:dyDescent="0.25">
      <c r="B40" s="16">
        <f>IF('Cari Kartlar'!B40="","",'Cari Kartlar'!B40)</f>
      </c>
      <c r="C40" s="16">
        <f>IF('Cari Kartlar'!C40="","",'Cari Kartlar'!C40)</f>
      </c>
      <c r="D40" s="16">
        <f>IF('Cari Kartlar'!D40="","",'Cari Kartlar'!D40)</f>
      </c>
      <c r="E40" s="18">
        <f>IF('Cari Kartlar'!H40="",0,'Cari Kartlar'!H40)</f>
      </c>
      <c r="F40" s="18">
        <f>IF($B40="",0,SUMIFS('Hareketler'!$M$5:$M$1004,'Hareketler'!$D$5:$D$1004,$B40,'Hareketler'!$C$5:$C$1004,"Satış"))</f>
      </c>
      <c r="G40" s="18">
        <f>IF($B40="",0,SUMIFS('Hareketler'!$M$5:$M$1004,'Hareketler'!$D$5:$D$1004,$B40,'Hareketler'!$C$5:$C$1004,"Alış"))</f>
      </c>
      <c r="H40" s="26">
        <f>IF($B40="","",$E40+$F40-$G40)</f>
      </c>
    </row>
    <row r="41" spans="2:8" x14ac:dyDescent="0.25">
      <c r="B41" s="16">
        <f>IF('Cari Kartlar'!B41="","",'Cari Kartlar'!B41)</f>
      </c>
      <c r="C41" s="16">
        <f>IF('Cari Kartlar'!C41="","",'Cari Kartlar'!C41)</f>
      </c>
      <c r="D41" s="16">
        <f>IF('Cari Kartlar'!D41="","",'Cari Kartlar'!D41)</f>
      </c>
      <c r="E41" s="18">
        <f>IF('Cari Kartlar'!H41="",0,'Cari Kartlar'!H41)</f>
      </c>
      <c r="F41" s="18">
        <f>IF($B41="",0,SUMIFS('Hareketler'!$M$5:$M$1004,'Hareketler'!$D$5:$D$1004,$B41,'Hareketler'!$C$5:$C$1004,"Satış"))</f>
      </c>
      <c r="G41" s="18">
        <f>IF($B41="",0,SUMIFS('Hareketler'!$M$5:$M$1004,'Hareketler'!$D$5:$D$1004,$B41,'Hareketler'!$C$5:$C$1004,"Alış"))</f>
      </c>
      <c r="H41" s="26">
        <f>IF($B41="","",$E41+$F41-$G41)</f>
      </c>
    </row>
    <row r="42" spans="2:8" x14ac:dyDescent="0.25">
      <c r="B42" s="16">
        <f>IF('Cari Kartlar'!B42="","",'Cari Kartlar'!B42)</f>
      </c>
      <c r="C42" s="16">
        <f>IF('Cari Kartlar'!C42="","",'Cari Kartlar'!C42)</f>
      </c>
      <c r="D42" s="16">
        <f>IF('Cari Kartlar'!D42="","",'Cari Kartlar'!D42)</f>
      </c>
      <c r="E42" s="18">
        <f>IF('Cari Kartlar'!H42="",0,'Cari Kartlar'!H42)</f>
      </c>
      <c r="F42" s="18">
        <f>IF($B42="",0,SUMIFS('Hareketler'!$M$5:$M$1004,'Hareketler'!$D$5:$D$1004,$B42,'Hareketler'!$C$5:$C$1004,"Satış"))</f>
      </c>
      <c r="G42" s="18">
        <f>IF($B42="",0,SUMIFS('Hareketler'!$M$5:$M$1004,'Hareketler'!$D$5:$D$1004,$B42,'Hareketler'!$C$5:$C$1004,"Alış"))</f>
      </c>
      <c r="H42" s="26">
        <f>IF($B42="","",$E42+$F42-$G42)</f>
      </c>
    </row>
    <row r="43" spans="2:8" x14ac:dyDescent="0.25">
      <c r="B43" s="16">
        <f>IF('Cari Kartlar'!B43="","",'Cari Kartlar'!B43)</f>
      </c>
      <c r="C43" s="16">
        <f>IF('Cari Kartlar'!C43="","",'Cari Kartlar'!C43)</f>
      </c>
      <c r="D43" s="16">
        <f>IF('Cari Kartlar'!D43="","",'Cari Kartlar'!D43)</f>
      </c>
      <c r="E43" s="18">
        <f>IF('Cari Kartlar'!H43="",0,'Cari Kartlar'!H43)</f>
      </c>
      <c r="F43" s="18">
        <f>IF($B43="",0,SUMIFS('Hareketler'!$M$5:$M$1004,'Hareketler'!$D$5:$D$1004,$B43,'Hareketler'!$C$5:$C$1004,"Satış"))</f>
      </c>
      <c r="G43" s="18">
        <f>IF($B43="",0,SUMIFS('Hareketler'!$M$5:$M$1004,'Hareketler'!$D$5:$D$1004,$B43,'Hareketler'!$C$5:$C$1004,"Alış"))</f>
      </c>
      <c r="H43" s="26">
        <f>IF($B43="","",$E43+$F43-$G43)</f>
      </c>
    </row>
    <row r="44" spans="2:8" x14ac:dyDescent="0.25">
      <c r="B44" s="16">
        <f>IF('Cari Kartlar'!B44="","",'Cari Kartlar'!B44)</f>
      </c>
      <c r="C44" s="16">
        <f>IF('Cari Kartlar'!C44="","",'Cari Kartlar'!C44)</f>
      </c>
      <c r="D44" s="16">
        <f>IF('Cari Kartlar'!D44="","",'Cari Kartlar'!D44)</f>
      </c>
      <c r="E44" s="18">
        <f>IF('Cari Kartlar'!H44="",0,'Cari Kartlar'!H44)</f>
      </c>
      <c r="F44" s="18">
        <f>IF($B44="",0,SUMIFS('Hareketler'!$M$5:$M$1004,'Hareketler'!$D$5:$D$1004,$B44,'Hareketler'!$C$5:$C$1004,"Satış"))</f>
      </c>
      <c r="G44" s="18">
        <f>IF($B44="",0,SUMIFS('Hareketler'!$M$5:$M$1004,'Hareketler'!$D$5:$D$1004,$B44,'Hareketler'!$C$5:$C$1004,"Alış"))</f>
      </c>
      <c r="H44" s="26">
        <f>IF($B44="","",$E44+$F44-$G44)</f>
      </c>
    </row>
    <row r="45" spans="2:8" x14ac:dyDescent="0.25">
      <c r="B45" s="16">
        <f>IF('Cari Kartlar'!B45="","",'Cari Kartlar'!B45)</f>
      </c>
      <c r="C45" s="16">
        <f>IF('Cari Kartlar'!C45="","",'Cari Kartlar'!C45)</f>
      </c>
      <c r="D45" s="16">
        <f>IF('Cari Kartlar'!D45="","",'Cari Kartlar'!D45)</f>
      </c>
      <c r="E45" s="18">
        <f>IF('Cari Kartlar'!H45="",0,'Cari Kartlar'!H45)</f>
      </c>
      <c r="F45" s="18">
        <f>IF($B45="",0,SUMIFS('Hareketler'!$M$5:$M$1004,'Hareketler'!$D$5:$D$1004,$B45,'Hareketler'!$C$5:$C$1004,"Satış"))</f>
      </c>
      <c r="G45" s="18">
        <f>IF($B45="",0,SUMIFS('Hareketler'!$M$5:$M$1004,'Hareketler'!$D$5:$D$1004,$B45,'Hareketler'!$C$5:$C$1004,"Alış"))</f>
      </c>
      <c r="H45" s="26">
        <f>IF($B45="","",$E45+$F45-$G45)</f>
      </c>
    </row>
    <row r="46" spans="2:8" x14ac:dyDescent="0.25">
      <c r="B46" s="16">
        <f>IF('Cari Kartlar'!B46="","",'Cari Kartlar'!B46)</f>
      </c>
      <c r="C46" s="16">
        <f>IF('Cari Kartlar'!C46="","",'Cari Kartlar'!C46)</f>
      </c>
      <c r="D46" s="16">
        <f>IF('Cari Kartlar'!D46="","",'Cari Kartlar'!D46)</f>
      </c>
      <c r="E46" s="18">
        <f>IF('Cari Kartlar'!H46="",0,'Cari Kartlar'!H46)</f>
      </c>
      <c r="F46" s="18">
        <f>IF($B46="",0,SUMIFS('Hareketler'!$M$5:$M$1004,'Hareketler'!$D$5:$D$1004,$B46,'Hareketler'!$C$5:$C$1004,"Satış"))</f>
      </c>
      <c r="G46" s="18">
        <f>IF($B46="",0,SUMIFS('Hareketler'!$M$5:$M$1004,'Hareketler'!$D$5:$D$1004,$B46,'Hareketler'!$C$5:$C$1004,"Alış"))</f>
      </c>
      <c r="H46" s="26">
        <f>IF($B46="","",$E46+$F46-$G46)</f>
      </c>
    </row>
    <row r="47" spans="2:8" x14ac:dyDescent="0.25">
      <c r="B47" s="16">
        <f>IF('Cari Kartlar'!B47="","",'Cari Kartlar'!B47)</f>
      </c>
      <c r="C47" s="16">
        <f>IF('Cari Kartlar'!C47="","",'Cari Kartlar'!C47)</f>
      </c>
      <c r="D47" s="16">
        <f>IF('Cari Kartlar'!D47="","",'Cari Kartlar'!D47)</f>
      </c>
      <c r="E47" s="18">
        <f>IF('Cari Kartlar'!H47="",0,'Cari Kartlar'!H47)</f>
      </c>
      <c r="F47" s="18">
        <f>IF($B47="",0,SUMIFS('Hareketler'!$M$5:$M$1004,'Hareketler'!$D$5:$D$1004,$B47,'Hareketler'!$C$5:$C$1004,"Satış"))</f>
      </c>
      <c r="G47" s="18">
        <f>IF($B47="",0,SUMIFS('Hareketler'!$M$5:$M$1004,'Hareketler'!$D$5:$D$1004,$B47,'Hareketler'!$C$5:$C$1004,"Alış"))</f>
      </c>
      <c r="H47" s="26">
        <f>IF($B47="","",$E47+$F47-$G47)</f>
      </c>
    </row>
    <row r="48" spans="2:8" x14ac:dyDescent="0.25">
      <c r="B48" s="16">
        <f>IF('Cari Kartlar'!B48="","",'Cari Kartlar'!B48)</f>
      </c>
      <c r="C48" s="16">
        <f>IF('Cari Kartlar'!C48="","",'Cari Kartlar'!C48)</f>
      </c>
      <c r="D48" s="16">
        <f>IF('Cari Kartlar'!D48="","",'Cari Kartlar'!D48)</f>
      </c>
      <c r="E48" s="18">
        <f>IF('Cari Kartlar'!H48="",0,'Cari Kartlar'!H48)</f>
      </c>
      <c r="F48" s="18">
        <f>IF($B48="",0,SUMIFS('Hareketler'!$M$5:$M$1004,'Hareketler'!$D$5:$D$1004,$B48,'Hareketler'!$C$5:$C$1004,"Satış"))</f>
      </c>
      <c r="G48" s="18">
        <f>IF($B48="",0,SUMIFS('Hareketler'!$M$5:$M$1004,'Hareketler'!$D$5:$D$1004,$B48,'Hareketler'!$C$5:$C$1004,"Alış"))</f>
      </c>
      <c r="H48" s="26">
        <f>IF($B48="","",$E48+$F48-$G48)</f>
      </c>
    </row>
    <row r="49" spans="2:8" x14ac:dyDescent="0.25">
      <c r="B49" s="16">
        <f>IF('Cari Kartlar'!B49="","",'Cari Kartlar'!B49)</f>
      </c>
      <c r="C49" s="16">
        <f>IF('Cari Kartlar'!C49="","",'Cari Kartlar'!C49)</f>
      </c>
      <c r="D49" s="16">
        <f>IF('Cari Kartlar'!D49="","",'Cari Kartlar'!D49)</f>
      </c>
      <c r="E49" s="18">
        <f>IF('Cari Kartlar'!H49="",0,'Cari Kartlar'!H49)</f>
      </c>
      <c r="F49" s="18">
        <f>IF($B49="",0,SUMIFS('Hareketler'!$M$5:$M$1004,'Hareketler'!$D$5:$D$1004,$B49,'Hareketler'!$C$5:$C$1004,"Satış"))</f>
      </c>
      <c r="G49" s="18">
        <f>IF($B49="",0,SUMIFS('Hareketler'!$M$5:$M$1004,'Hareketler'!$D$5:$D$1004,$B49,'Hareketler'!$C$5:$C$1004,"Alış"))</f>
      </c>
      <c r="H49" s="26">
        <f>IF($B49="","",$E49+$F49-$G49)</f>
      </c>
    </row>
    <row r="50" spans="2:8" x14ac:dyDescent="0.25">
      <c r="B50" s="16">
        <f>IF('Cari Kartlar'!B50="","",'Cari Kartlar'!B50)</f>
      </c>
      <c r="C50" s="16">
        <f>IF('Cari Kartlar'!C50="","",'Cari Kartlar'!C50)</f>
      </c>
      <c r="D50" s="16">
        <f>IF('Cari Kartlar'!D50="","",'Cari Kartlar'!D50)</f>
      </c>
      <c r="E50" s="18">
        <f>IF('Cari Kartlar'!H50="",0,'Cari Kartlar'!H50)</f>
      </c>
      <c r="F50" s="18">
        <f>IF($B50="",0,SUMIFS('Hareketler'!$M$5:$M$1004,'Hareketler'!$D$5:$D$1004,$B50,'Hareketler'!$C$5:$C$1004,"Satış"))</f>
      </c>
      <c r="G50" s="18">
        <f>IF($B50="",0,SUMIFS('Hareketler'!$M$5:$M$1004,'Hareketler'!$D$5:$D$1004,$B50,'Hareketler'!$C$5:$C$1004,"Alış"))</f>
      </c>
      <c r="H50" s="26">
        <f>IF($B50="","",$E50+$F50-$G50)</f>
      </c>
    </row>
    <row r="51" spans="2:8" x14ac:dyDescent="0.25">
      <c r="B51" s="16">
        <f>IF('Cari Kartlar'!B51="","",'Cari Kartlar'!B51)</f>
      </c>
      <c r="C51" s="16">
        <f>IF('Cari Kartlar'!C51="","",'Cari Kartlar'!C51)</f>
      </c>
      <c r="D51" s="16">
        <f>IF('Cari Kartlar'!D51="","",'Cari Kartlar'!D51)</f>
      </c>
      <c r="E51" s="18">
        <f>IF('Cari Kartlar'!H51="",0,'Cari Kartlar'!H51)</f>
      </c>
      <c r="F51" s="18">
        <f>IF($B51="",0,SUMIFS('Hareketler'!$M$5:$M$1004,'Hareketler'!$D$5:$D$1004,$B51,'Hareketler'!$C$5:$C$1004,"Satış"))</f>
      </c>
      <c r="G51" s="18">
        <f>IF($B51="",0,SUMIFS('Hareketler'!$M$5:$M$1004,'Hareketler'!$D$5:$D$1004,$B51,'Hareketler'!$C$5:$C$1004,"Alış"))</f>
      </c>
      <c r="H51" s="26">
        <f>IF($B51="","",$E51+$F51-$G51)</f>
      </c>
    </row>
    <row r="52" spans="2:8" x14ac:dyDescent="0.25">
      <c r="B52" s="16">
        <f>IF('Cari Kartlar'!B52="","",'Cari Kartlar'!B52)</f>
      </c>
      <c r="C52" s="16">
        <f>IF('Cari Kartlar'!C52="","",'Cari Kartlar'!C52)</f>
      </c>
      <c r="D52" s="16">
        <f>IF('Cari Kartlar'!D52="","",'Cari Kartlar'!D52)</f>
      </c>
      <c r="E52" s="18">
        <f>IF('Cari Kartlar'!H52="",0,'Cari Kartlar'!H52)</f>
      </c>
      <c r="F52" s="18">
        <f>IF($B52="",0,SUMIFS('Hareketler'!$M$5:$M$1004,'Hareketler'!$D$5:$D$1004,$B52,'Hareketler'!$C$5:$C$1004,"Satış"))</f>
      </c>
      <c r="G52" s="18">
        <f>IF($B52="",0,SUMIFS('Hareketler'!$M$5:$M$1004,'Hareketler'!$D$5:$D$1004,$B52,'Hareketler'!$C$5:$C$1004,"Alış"))</f>
      </c>
      <c r="H52" s="26">
        <f>IF($B52="","",$E52+$F52-$G52)</f>
      </c>
    </row>
    <row r="53" spans="2:8" x14ac:dyDescent="0.25">
      <c r="B53" s="16">
        <f>IF('Cari Kartlar'!B53="","",'Cari Kartlar'!B53)</f>
      </c>
      <c r="C53" s="16">
        <f>IF('Cari Kartlar'!C53="","",'Cari Kartlar'!C53)</f>
      </c>
      <c r="D53" s="16">
        <f>IF('Cari Kartlar'!D53="","",'Cari Kartlar'!D53)</f>
      </c>
      <c r="E53" s="18">
        <f>IF('Cari Kartlar'!H53="",0,'Cari Kartlar'!H53)</f>
      </c>
      <c r="F53" s="18">
        <f>IF($B53="",0,SUMIFS('Hareketler'!$M$5:$M$1004,'Hareketler'!$D$5:$D$1004,$B53,'Hareketler'!$C$5:$C$1004,"Satış"))</f>
      </c>
      <c r="G53" s="18">
        <f>IF($B53="",0,SUMIFS('Hareketler'!$M$5:$M$1004,'Hareketler'!$D$5:$D$1004,$B53,'Hareketler'!$C$5:$C$1004,"Alış"))</f>
      </c>
      <c r="H53" s="26">
        <f>IF($B53="","",$E53+$F53-$G53)</f>
      </c>
    </row>
    <row r="54" spans="2:8" x14ac:dyDescent="0.25">
      <c r="B54" s="16">
        <f>IF('Cari Kartlar'!B54="","",'Cari Kartlar'!B54)</f>
      </c>
      <c r="C54" s="16">
        <f>IF('Cari Kartlar'!C54="","",'Cari Kartlar'!C54)</f>
      </c>
      <c r="D54" s="16">
        <f>IF('Cari Kartlar'!D54="","",'Cari Kartlar'!D54)</f>
      </c>
      <c r="E54" s="18">
        <f>IF('Cari Kartlar'!H54="",0,'Cari Kartlar'!H54)</f>
      </c>
      <c r="F54" s="18">
        <f>IF($B54="",0,SUMIFS('Hareketler'!$M$5:$M$1004,'Hareketler'!$D$5:$D$1004,$B54,'Hareketler'!$C$5:$C$1004,"Satış"))</f>
      </c>
      <c r="G54" s="18">
        <f>IF($B54="",0,SUMIFS('Hareketler'!$M$5:$M$1004,'Hareketler'!$D$5:$D$1004,$B54,'Hareketler'!$C$5:$C$1004,"Alış"))</f>
      </c>
      <c r="H54" s="26">
        <f>IF($B54="","",$E54+$F54-$G54)</f>
      </c>
    </row>
    <row r="55" spans="2:8" x14ac:dyDescent="0.25">
      <c r="B55" s="16">
        <f>IF('Cari Kartlar'!B55="","",'Cari Kartlar'!B55)</f>
      </c>
      <c r="C55" s="16">
        <f>IF('Cari Kartlar'!C55="","",'Cari Kartlar'!C55)</f>
      </c>
      <c r="D55" s="16">
        <f>IF('Cari Kartlar'!D55="","",'Cari Kartlar'!D55)</f>
      </c>
      <c r="E55" s="18">
        <f>IF('Cari Kartlar'!H55="",0,'Cari Kartlar'!H55)</f>
      </c>
      <c r="F55" s="18">
        <f>IF($B55="",0,SUMIFS('Hareketler'!$M$5:$M$1004,'Hareketler'!$D$5:$D$1004,$B55,'Hareketler'!$C$5:$C$1004,"Satış"))</f>
      </c>
      <c r="G55" s="18">
        <f>IF($B55="",0,SUMIFS('Hareketler'!$M$5:$M$1004,'Hareketler'!$D$5:$D$1004,$B55,'Hareketler'!$C$5:$C$1004,"Alış"))</f>
      </c>
      <c r="H55" s="26">
        <f>IF($B55="","",$E55+$F55-$G55)</f>
      </c>
    </row>
    <row r="56" spans="2:8" x14ac:dyDescent="0.25">
      <c r="B56" s="16">
        <f>IF('Cari Kartlar'!B56="","",'Cari Kartlar'!B56)</f>
      </c>
      <c r="C56" s="16">
        <f>IF('Cari Kartlar'!C56="","",'Cari Kartlar'!C56)</f>
      </c>
      <c r="D56" s="16">
        <f>IF('Cari Kartlar'!D56="","",'Cari Kartlar'!D56)</f>
      </c>
      <c r="E56" s="18">
        <f>IF('Cari Kartlar'!H56="",0,'Cari Kartlar'!H56)</f>
      </c>
      <c r="F56" s="18">
        <f>IF($B56="",0,SUMIFS('Hareketler'!$M$5:$M$1004,'Hareketler'!$D$5:$D$1004,$B56,'Hareketler'!$C$5:$C$1004,"Satış"))</f>
      </c>
      <c r="G56" s="18">
        <f>IF($B56="",0,SUMIFS('Hareketler'!$M$5:$M$1004,'Hareketler'!$D$5:$D$1004,$B56,'Hareketler'!$C$5:$C$1004,"Alış"))</f>
      </c>
      <c r="H56" s="26">
        <f>IF($B56="","",$E56+$F56-$G56)</f>
      </c>
    </row>
    <row r="57" spans="2:8" x14ac:dyDescent="0.25">
      <c r="B57" s="16">
        <f>IF('Cari Kartlar'!B57="","",'Cari Kartlar'!B57)</f>
      </c>
      <c r="C57" s="16">
        <f>IF('Cari Kartlar'!C57="","",'Cari Kartlar'!C57)</f>
      </c>
      <c r="D57" s="16">
        <f>IF('Cari Kartlar'!D57="","",'Cari Kartlar'!D57)</f>
      </c>
      <c r="E57" s="18">
        <f>IF('Cari Kartlar'!H57="",0,'Cari Kartlar'!H57)</f>
      </c>
      <c r="F57" s="18">
        <f>IF($B57="",0,SUMIFS('Hareketler'!$M$5:$M$1004,'Hareketler'!$D$5:$D$1004,$B57,'Hareketler'!$C$5:$C$1004,"Satış"))</f>
      </c>
      <c r="G57" s="18">
        <f>IF($B57="",0,SUMIFS('Hareketler'!$M$5:$M$1004,'Hareketler'!$D$5:$D$1004,$B57,'Hareketler'!$C$5:$C$1004,"Alış"))</f>
      </c>
      <c r="H57" s="26">
        <f>IF($B57="","",$E57+$F57-$G57)</f>
      </c>
    </row>
    <row r="58" spans="2:8" x14ac:dyDescent="0.25">
      <c r="B58" s="16">
        <f>IF('Cari Kartlar'!B58="","",'Cari Kartlar'!B58)</f>
      </c>
      <c r="C58" s="16">
        <f>IF('Cari Kartlar'!C58="","",'Cari Kartlar'!C58)</f>
      </c>
      <c r="D58" s="16">
        <f>IF('Cari Kartlar'!D58="","",'Cari Kartlar'!D58)</f>
      </c>
      <c r="E58" s="18">
        <f>IF('Cari Kartlar'!H58="",0,'Cari Kartlar'!H58)</f>
      </c>
      <c r="F58" s="18">
        <f>IF($B58="",0,SUMIFS('Hareketler'!$M$5:$M$1004,'Hareketler'!$D$5:$D$1004,$B58,'Hareketler'!$C$5:$C$1004,"Satış"))</f>
      </c>
      <c r="G58" s="18">
        <f>IF($B58="",0,SUMIFS('Hareketler'!$M$5:$M$1004,'Hareketler'!$D$5:$D$1004,$B58,'Hareketler'!$C$5:$C$1004,"Alış"))</f>
      </c>
      <c r="H58" s="26">
        <f>IF($B58="","",$E58+$F58-$G58)</f>
      </c>
    </row>
    <row r="59" spans="2:8" x14ac:dyDescent="0.25">
      <c r="B59" s="16">
        <f>IF('Cari Kartlar'!B59="","",'Cari Kartlar'!B59)</f>
      </c>
      <c r="C59" s="16">
        <f>IF('Cari Kartlar'!C59="","",'Cari Kartlar'!C59)</f>
      </c>
      <c r="D59" s="16">
        <f>IF('Cari Kartlar'!D59="","",'Cari Kartlar'!D59)</f>
      </c>
      <c r="E59" s="18">
        <f>IF('Cari Kartlar'!H59="",0,'Cari Kartlar'!H59)</f>
      </c>
      <c r="F59" s="18">
        <f>IF($B59="",0,SUMIFS('Hareketler'!$M$5:$M$1004,'Hareketler'!$D$5:$D$1004,$B59,'Hareketler'!$C$5:$C$1004,"Satış"))</f>
      </c>
      <c r="G59" s="18">
        <f>IF($B59="",0,SUMIFS('Hareketler'!$M$5:$M$1004,'Hareketler'!$D$5:$D$1004,$B59,'Hareketler'!$C$5:$C$1004,"Alış"))</f>
      </c>
      <c r="H59" s="26">
        <f>IF($B59="","",$E59+$F59-$G59)</f>
      </c>
    </row>
    <row r="60" spans="2:8" x14ac:dyDescent="0.25">
      <c r="B60" s="16">
        <f>IF('Cari Kartlar'!B60="","",'Cari Kartlar'!B60)</f>
      </c>
      <c r="C60" s="16">
        <f>IF('Cari Kartlar'!C60="","",'Cari Kartlar'!C60)</f>
      </c>
      <c r="D60" s="16">
        <f>IF('Cari Kartlar'!D60="","",'Cari Kartlar'!D60)</f>
      </c>
      <c r="E60" s="18">
        <f>IF('Cari Kartlar'!H60="",0,'Cari Kartlar'!H60)</f>
      </c>
      <c r="F60" s="18">
        <f>IF($B60="",0,SUMIFS('Hareketler'!$M$5:$M$1004,'Hareketler'!$D$5:$D$1004,$B60,'Hareketler'!$C$5:$C$1004,"Satış"))</f>
      </c>
      <c r="G60" s="18">
        <f>IF($B60="",0,SUMIFS('Hareketler'!$M$5:$M$1004,'Hareketler'!$D$5:$D$1004,$B60,'Hareketler'!$C$5:$C$1004,"Alış"))</f>
      </c>
      <c r="H60" s="26">
        <f>IF($B60="","",$E60+$F60-$G60)</f>
      </c>
    </row>
    <row r="61" spans="2:8" x14ac:dyDescent="0.25">
      <c r="B61" s="16">
        <f>IF('Cari Kartlar'!B61="","",'Cari Kartlar'!B61)</f>
      </c>
      <c r="C61" s="16">
        <f>IF('Cari Kartlar'!C61="","",'Cari Kartlar'!C61)</f>
      </c>
      <c r="D61" s="16">
        <f>IF('Cari Kartlar'!D61="","",'Cari Kartlar'!D61)</f>
      </c>
      <c r="E61" s="18">
        <f>IF('Cari Kartlar'!H61="",0,'Cari Kartlar'!H61)</f>
      </c>
      <c r="F61" s="18">
        <f>IF($B61="",0,SUMIFS('Hareketler'!$M$5:$M$1004,'Hareketler'!$D$5:$D$1004,$B61,'Hareketler'!$C$5:$C$1004,"Satış"))</f>
      </c>
      <c r="G61" s="18">
        <f>IF($B61="",0,SUMIFS('Hareketler'!$M$5:$M$1004,'Hareketler'!$D$5:$D$1004,$B61,'Hareketler'!$C$5:$C$1004,"Alış"))</f>
      </c>
      <c r="H61" s="26">
        <f>IF($B61="","",$E61+$F61-$G61)</f>
      </c>
    </row>
    <row r="62" spans="2:8" x14ac:dyDescent="0.25">
      <c r="B62" s="16">
        <f>IF('Cari Kartlar'!B62="","",'Cari Kartlar'!B62)</f>
      </c>
      <c r="C62" s="16">
        <f>IF('Cari Kartlar'!C62="","",'Cari Kartlar'!C62)</f>
      </c>
      <c r="D62" s="16">
        <f>IF('Cari Kartlar'!D62="","",'Cari Kartlar'!D62)</f>
      </c>
      <c r="E62" s="18">
        <f>IF('Cari Kartlar'!H62="",0,'Cari Kartlar'!H62)</f>
      </c>
      <c r="F62" s="18">
        <f>IF($B62="",0,SUMIFS('Hareketler'!$M$5:$M$1004,'Hareketler'!$D$5:$D$1004,$B62,'Hareketler'!$C$5:$C$1004,"Satış"))</f>
      </c>
      <c r="G62" s="18">
        <f>IF($B62="",0,SUMIFS('Hareketler'!$M$5:$M$1004,'Hareketler'!$D$5:$D$1004,$B62,'Hareketler'!$C$5:$C$1004,"Alış"))</f>
      </c>
      <c r="H62" s="26">
        <f>IF($B62="","",$E62+$F62-$G62)</f>
      </c>
    </row>
    <row r="63" spans="2:8" x14ac:dyDescent="0.25">
      <c r="B63" s="16">
        <f>IF('Cari Kartlar'!B63="","",'Cari Kartlar'!B63)</f>
      </c>
      <c r="C63" s="16">
        <f>IF('Cari Kartlar'!C63="","",'Cari Kartlar'!C63)</f>
      </c>
      <c r="D63" s="16">
        <f>IF('Cari Kartlar'!D63="","",'Cari Kartlar'!D63)</f>
      </c>
      <c r="E63" s="18">
        <f>IF('Cari Kartlar'!H63="",0,'Cari Kartlar'!H63)</f>
      </c>
      <c r="F63" s="18">
        <f>IF($B63="",0,SUMIFS('Hareketler'!$M$5:$M$1004,'Hareketler'!$D$5:$D$1004,$B63,'Hareketler'!$C$5:$C$1004,"Satış"))</f>
      </c>
      <c r="G63" s="18">
        <f>IF($B63="",0,SUMIFS('Hareketler'!$M$5:$M$1004,'Hareketler'!$D$5:$D$1004,$B63,'Hareketler'!$C$5:$C$1004,"Alış"))</f>
      </c>
      <c r="H63" s="26">
        <f>IF($B63="","",$E63+$F63-$G63)</f>
      </c>
    </row>
    <row r="64" spans="2:8" x14ac:dyDescent="0.25">
      <c r="B64" s="16">
        <f>IF('Cari Kartlar'!B64="","",'Cari Kartlar'!B64)</f>
      </c>
      <c r="C64" s="16">
        <f>IF('Cari Kartlar'!C64="","",'Cari Kartlar'!C64)</f>
      </c>
      <c r="D64" s="16">
        <f>IF('Cari Kartlar'!D64="","",'Cari Kartlar'!D64)</f>
      </c>
      <c r="E64" s="18">
        <f>IF('Cari Kartlar'!H64="",0,'Cari Kartlar'!H64)</f>
      </c>
      <c r="F64" s="18">
        <f>IF($B64="",0,SUMIFS('Hareketler'!$M$5:$M$1004,'Hareketler'!$D$5:$D$1004,$B64,'Hareketler'!$C$5:$C$1004,"Satış"))</f>
      </c>
      <c r="G64" s="18">
        <f>IF($B64="",0,SUMIFS('Hareketler'!$M$5:$M$1004,'Hareketler'!$D$5:$D$1004,$B64,'Hareketler'!$C$5:$C$1004,"Alış"))</f>
      </c>
      <c r="H64" s="26">
        <f>IF($B64="","",$E64+$F64-$G64)</f>
      </c>
    </row>
    <row r="65" spans="2:8" x14ac:dyDescent="0.25">
      <c r="B65" s="16">
        <f>IF('Cari Kartlar'!B65="","",'Cari Kartlar'!B65)</f>
      </c>
      <c r="C65" s="16">
        <f>IF('Cari Kartlar'!C65="","",'Cari Kartlar'!C65)</f>
      </c>
      <c r="D65" s="16">
        <f>IF('Cari Kartlar'!D65="","",'Cari Kartlar'!D65)</f>
      </c>
      <c r="E65" s="18">
        <f>IF('Cari Kartlar'!H65="",0,'Cari Kartlar'!H65)</f>
      </c>
      <c r="F65" s="18">
        <f>IF($B65="",0,SUMIFS('Hareketler'!$M$5:$M$1004,'Hareketler'!$D$5:$D$1004,$B65,'Hareketler'!$C$5:$C$1004,"Satış"))</f>
      </c>
      <c r="G65" s="18">
        <f>IF($B65="",0,SUMIFS('Hareketler'!$M$5:$M$1004,'Hareketler'!$D$5:$D$1004,$B65,'Hareketler'!$C$5:$C$1004,"Alış"))</f>
      </c>
      <c r="H65" s="26">
        <f>IF($B65="","",$E65+$F65-$G65)</f>
      </c>
    </row>
    <row r="66" spans="2:8" x14ac:dyDescent="0.25">
      <c r="B66" s="16">
        <f>IF('Cari Kartlar'!B66="","",'Cari Kartlar'!B66)</f>
      </c>
      <c r="C66" s="16">
        <f>IF('Cari Kartlar'!C66="","",'Cari Kartlar'!C66)</f>
      </c>
      <c r="D66" s="16">
        <f>IF('Cari Kartlar'!D66="","",'Cari Kartlar'!D66)</f>
      </c>
      <c r="E66" s="18">
        <f>IF('Cari Kartlar'!H66="",0,'Cari Kartlar'!H66)</f>
      </c>
      <c r="F66" s="18">
        <f>IF($B66="",0,SUMIFS('Hareketler'!$M$5:$M$1004,'Hareketler'!$D$5:$D$1004,$B66,'Hareketler'!$C$5:$C$1004,"Satış"))</f>
      </c>
      <c r="G66" s="18">
        <f>IF($B66="",0,SUMIFS('Hareketler'!$M$5:$M$1004,'Hareketler'!$D$5:$D$1004,$B66,'Hareketler'!$C$5:$C$1004,"Alış"))</f>
      </c>
      <c r="H66" s="26">
        <f>IF($B66="","",$E66+$F66-$G66)</f>
      </c>
    </row>
    <row r="67" spans="2:8" x14ac:dyDescent="0.25">
      <c r="B67" s="16">
        <f>IF('Cari Kartlar'!B67="","",'Cari Kartlar'!B67)</f>
      </c>
      <c r="C67" s="16">
        <f>IF('Cari Kartlar'!C67="","",'Cari Kartlar'!C67)</f>
      </c>
      <c r="D67" s="16">
        <f>IF('Cari Kartlar'!D67="","",'Cari Kartlar'!D67)</f>
      </c>
      <c r="E67" s="18">
        <f>IF('Cari Kartlar'!H67="",0,'Cari Kartlar'!H67)</f>
      </c>
      <c r="F67" s="18">
        <f>IF($B67="",0,SUMIFS('Hareketler'!$M$5:$M$1004,'Hareketler'!$D$5:$D$1004,$B67,'Hareketler'!$C$5:$C$1004,"Satış"))</f>
      </c>
      <c r="G67" s="18">
        <f>IF($B67="",0,SUMIFS('Hareketler'!$M$5:$M$1004,'Hareketler'!$D$5:$D$1004,$B67,'Hareketler'!$C$5:$C$1004,"Alış"))</f>
      </c>
      <c r="H67" s="26">
        <f>IF($B67="","",$E67+$F67-$G67)</f>
      </c>
    </row>
    <row r="68" spans="2:8" x14ac:dyDescent="0.25">
      <c r="B68" s="16">
        <f>IF('Cari Kartlar'!B68="","",'Cari Kartlar'!B68)</f>
      </c>
      <c r="C68" s="16">
        <f>IF('Cari Kartlar'!C68="","",'Cari Kartlar'!C68)</f>
      </c>
      <c r="D68" s="16">
        <f>IF('Cari Kartlar'!D68="","",'Cari Kartlar'!D68)</f>
      </c>
      <c r="E68" s="18">
        <f>IF('Cari Kartlar'!H68="",0,'Cari Kartlar'!H68)</f>
      </c>
      <c r="F68" s="18">
        <f>IF($B68="",0,SUMIFS('Hareketler'!$M$5:$M$1004,'Hareketler'!$D$5:$D$1004,$B68,'Hareketler'!$C$5:$C$1004,"Satış"))</f>
      </c>
      <c r="G68" s="18">
        <f>IF($B68="",0,SUMIFS('Hareketler'!$M$5:$M$1004,'Hareketler'!$D$5:$D$1004,$B68,'Hareketler'!$C$5:$C$1004,"Alış"))</f>
      </c>
      <c r="H68" s="26">
        <f>IF($B68="","",$E68+$F68-$G68)</f>
      </c>
    </row>
    <row r="69" spans="2:8" x14ac:dyDescent="0.25">
      <c r="B69" s="16">
        <f>IF('Cari Kartlar'!B69="","",'Cari Kartlar'!B69)</f>
      </c>
      <c r="C69" s="16">
        <f>IF('Cari Kartlar'!C69="","",'Cari Kartlar'!C69)</f>
      </c>
      <c r="D69" s="16">
        <f>IF('Cari Kartlar'!D69="","",'Cari Kartlar'!D69)</f>
      </c>
      <c r="E69" s="18">
        <f>IF('Cari Kartlar'!H69="",0,'Cari Kartlar'!H69)</f>
      </c>
      <c r="F69" s="18">
        <f>IF($B69="",0,SUMIFS('Hareketler'!$M$5:$M$1004,'Hareketler'!$D$5:$D$1004,$B69,'Hareketler'!$C$5:$C$1004,"Satış"))</f>
      </c>
      <c r="G69" s="18">
        <f>IF($B69="",0,SUMIFS('Hareketler'!$M$5:$M$1004,'Hareketler'!$D$5:$D$1004,$B69,'Hareketler'!$C$5:$C$1004,"Alış"))</f>
      </c>
      <c r="H69" s="26">
        <f>IF($B69="","",$E69+$F69-$G69)</f>
      </c>
    </row>
    <row r="70" spans="2:8" x14ac:dyDescent="0.25">
      <c r="B70" s="16">
        <f>IF('Cari Kartlar'!B70="","",'Cari Kartlar'!B70)</f>
      </c>
      <c r="C70" s="16">
        <f>IF('Cari Kartlar'!C70="","",'Cari Kartlar'!C70)</f>
      </c>
      <c r="D70" s="16">
        <f>IF('Cari Kartlar'!D70="","",'Cari Kartlar'!D70)</f>
      </c>
      <c r="E70" s="18">
        <f>IF('Cari Kartlar'!H70="",0,'Cari Kartlar'!H70)</f>
      </c>
      <c r="F70" s="18">
        <f>IF($B70="",0,SUMIFS('Hareketler'!$M$5:$M$1004,'Hareketler'!$D$5:$D$1004,$B70,'Hareketler'!$C$5:$C$1004,"Satış"))</f>
      </c>
      <c r="G70" s="18">
        <f>IF($B70="",0,SUMIFS('Hareketler'!$M$5:$M$1004,'Hareketler'!$D$5:$D$1004,$B70,'Hareketler'!$C$5:$C$1004,"Alış"))</f>
      </c>
      <c r="H70" s="26">
        <f>IF($B70="","",$E70+$F70-$G70)</f>
      </c>
    </row>
    <row r="71" spans="2:8" x14ac:dyDescent="0.25">
      <c r="B71" s="16">
        <f>IF('Cari Kartlar'!B71="","",'Cari Kartlar'!B71)</f>
      </c>
      <c r="C71" s="16">
        <f>IF('Cari Kartlar'!C71="","",'Cari Kartlar'!C71)</f>
      </c>
      <c r="D71" s="16">
        <f>IF('Cari Kartlar'!D71="","",'Cari Kartlar'!D71)</f>
      </c>
      <c r="E71" s="18">
        <f>IF('Cari Kartlar'!H71="",0,'Cari Kartlar'!H71)</f>
      </c>
      <c r="F71" s="18">
        <f>IF($B71="",0,SUMIFS('Hareketler'!$M$5:$M$1004,'Hareketler'!$D$5:$D$1004,$B71,'Hareketler'!$C$5:$C$1004,"Satış"))</f>
      </c>
      <c r="G71" s="18">
        <f>IF($B71="",0,SUMIFS('Hareketler'!$M$5:$M$1004,'Hareketler'!$D$5:$D$1004,$B71,'Hareketler'!$C$5:$C$1004,"Alış"))</f>
      </c>
      <c r="H71" s="26">
        <f>IF($B71="","",$E71+$F71-$G71)</f>
      </c>
    </row>
    <row r="72" spans="2:8" x14ac:dyDescent="0.25">
      <c r="B72" s="16">
        <f>IF('Cari Kartlar'!B72="","",'Cari Kartlar'!B72)</f>
      </c>
      <c r="C72" s="16">
        <f>IF('Cari Kartlar'!C72="","",'Cari Kartlar'!C72)</f>
      </c>
      <c r="D72" s="16">
        <f>IF('Cari Kartlar'!D72="","",'Cari Kartlar'!D72)</f>
      </c>
      <c r="E72" s="18">
        <f>IF('Cari Kartlar'!H72="",0,'Cari Kartlar'!H72)</f>
      </c>
      <c r="F72" s="18">
        <f>IF($B72="",0,SUMIFS('Hareketler'!$M$5:$M$1004,'Hareketler'!$D$5:$D$1004,$B72,'Hareketler'!$C$5:$C$1004,"Satış"))</f>
      </c>
      <c r="G72" s="18">
        <f>IF($B72="",0,SUMIFS('Hareketler'!$M$5:$M$1004,'Hareketler'!$D$5:$D$1004,$B72,'Hareketler'!$C$5:$C$1004,"Alış"))</f>
      </c>
      <c r="H72" s="26">
        <f>IF($B72="","",$E72+$F72-$G72)</f>
      </c>
    </row>
    <row r="73" spans="2:8" x14ac:dyDescent="0.25">
      <c r="B73" s="16">
        <f>IF('Cari Kartlar'!B73="","",'Cari Kartlar'!B73)</f>
      </c>
      <c r="C73" s="16">
        <f>IF('Cari Kartlar'!C73="","",'Cari Kartlar'!C73)</f>
      </c>
      <c r="D73" s="16">
        <f>IF('Cari Kartlar'!D73="","",'Cari Kartlar'!D73)</f>
      </c>
      <c r="E73" s="18">
        <f>IF('Cari Kartlar'!H73="",0,'Cari Kartlar'!H73)</f>
      </c>
      <c r="F73" s="18">
        <f>IF($B73="",0,SUMIFS('Hareketler'!$M$5:$M$1004,'Hareketler'!$D$5:$D$1004,$B73,'Hareketler'!$C$5:$C$1004,"Satış"))</f>
      </c>
      <c r="G73" s="18">
        <f>IF($B73="",0,SUMIFS('Hareketler'!$M$5:$M$1004,'Hareketler'!$D$5:$D$1004,$B73,'Hareketler'!$C$5:$C$1004,"Alış"))</f>
      </c>
      <c r="H73" s="26">
        <f>IF($B73="","",$E73+$F73-$G73)</f>
      </c>
    </row>
    <row r="74" spans="2:8" x14ac:dyDescent="0.25">
      <c r="B74" s="16">
        <f>IF('Cari Kartlar'!B74="","",'Cari Kartlar'!B74)</f>
      </c>
      <c r="C74" s="16">
        <f>IF('Cari Kartlar'!C74="","",'Cari Kartlar'!C74)</f>
      </c>
      <c r="D74" s="16">
        <f>IF('Cari Kartlar'!D74="","",'Cari Kartlar'!D74)</f>
      </c>
      <c r="E74" s="18">
        <f>IF('Cari Kartlar'!H74="",0,'Cari Kartlar'!H74)</f>
      </c>
      <c r="F74" s="18">
        <f>IF($B74="",0,SUMIFS('Hareketler'!$M$5:$M$1004,'Hareketler'!$D$5:$D$1004,$B74,'Hareketler'!$C$5:$C$1004,"Satış"))</f>
      </c>
      <c r="G74" s="18">
        <f>IF($B74="",0,SUMIFS('Hareketler'!$M$5:$M$1004,'Hareketler'!$D$5:$D$1004,$B74,'Hareketler'!$C$5:$C$1004,"Alış"))</f>
      </c>
      <c r="H74" s="26">
        <f>IF($B74="","",$E74+$F74-$G74)</f>
      </c>
    </row>
    <row r="75" spans="2:8" x14ac:dyDescent="0.25">
      <c r="B75" s="16">
        <f>IF('Cari Kartlar'!B75="","",'Cari Kartlar'!B75)</f>
      </c>
      <c r="C75" s="16">
        <f>IF('Cari Kartlar'!C75="","",'Cari Kartlar'!C75)</f>
      </c>
      <c r="D75" s="16">
        <f>IF('Cari Kartlar'!D75="","",'Cari Kartlar'!D75)</f>
      </c>
      <c r="E75" s="18">
        <f>IF('Cari Kartlar'!H75="",0,'Cari Kartlar'!H75)</f>
      </c>
      <c r="F75" s="18">
        <f>IF($B75="",0,SUMIFS('Hareketler'!$M$5:$M$1004,'Hareketler'!$D$5:$D$1004,$B75,'Hareketler'!$C$5:$C$1004,"Satış"))</f>
      </c>
      <c r="G75" s="18">
        <f>IF($B75="",0,SUMIFS('Hareketler'!$M$5:$M$1004,'Hareketler'!$D$5:$D$1004,$B75,'Hareketler'!$C$5:$C$1004,"Alış"))</f>
      </c>
      <c r="H75" s="26">
        <f>IF($B75="","",$E75+$F75-$G75)</f>
      </c>
    </row>
    <row r="76" spans="2:8" x14ac:dyDescent="0.25">
      <c r="B76" s="16">
        <f>IF('Cari Kartlar'!B76="","",'Cari Kartlar'!B76)</f>
      </c>
      <c r="C76" s="16">
        <f>IF('Cari Kartlar'!C76="","",'Cari Kartlar'!C76)</f>
      </c>
      <c r="D76" s="16">
        <f>IF('Cari Kartlar'!D76="","",'Cari Kartlar'!D76)</f>
      </c>
      <c r="E76" s="18">
        <f>IF('Cari Kartlar'!H76="",0,'Cari Kartlar'!H76)</f>
      </c>
      <c r="F76" s="18">
        <f>IF($B76="",0,SUMIFS('Hareketler'!$M$5:$M$1004,'Hareketler'!$D$5:$D$1004,$B76,'Hareketler'!$C$5:$C$1004,"Satış"))</f>
      </c>
      <c r="G76" s="18">
        <f>IF($B76="",0,SUMIFS('Hareketler'!$M$5:$M$1004,'Hareketler'!$D$5:$D$1004,$B76,'Hareketler'!$C$5:$C$1004,"Alış"))</f>
      </c>
      <c r="H76" s="26">
        <f>IF($B76="","",$E76+$F76-$G76)</f>
      </c>
    </row>
    <row r="77" spans="2:8" x14ac:dyDescent="0.25">
      <c r="B77" s="16">
        <f>IF('Cari Kartlar'!B77="","",'Cari Kartlar'!B77)</f>
      </c>
      <c r="C77" s="16">
        <f>IF('Cari Kartlar'!C77="","",'Cari Kartlar'!C77)</f>
      </c>
      <c r="D77" s="16">
        <f>IF('Cari Kartlar'!D77="","",'Cari Kartlar'!D77)</f>
      </c>
      <c r="E77" s="18">
        <f>IF('Cari Kartlar'!H77="",0,'Cari Kartlar'!H77)</f>
      </c>
      <c r="F77" s="18">
        <f>IF($B77="",0,SUMIFS('Hareketler'!$M$5:$M$1004,'Hareketler'!$D$5:$D$1004,$B77,'Hareketler'!$C$5:$C$1004,"Satış"))</f>
      </c>
      <c r="G77" s="18">
        <f>IF($B77="",0,SUMIFS('Hareketler'!$M$5:$M$1004,'Hareketler'!$D$5:$D$1004,$B77,'Hareketler'!$C$5:$C$1004,"Alış"))</f>
      </c>
      <c r="H77" s="26">
        <f>IF($B77="","",$E77+$F77-$G77)</f>
      </c>
    </row>
    <row r="78" spans="2:8" x14ac:dyDescent="0.25">
      <c r="B78" s="16">
        <f>IF('Cari Kartlar'!B78="","",'Cari Kartlar'!B78)</f>
      </c>
      <c r="C78" s="16">
        <f>IF('Cari Kartlar'!C78="","",'Cari Kartlar'!C78)</f>
      </c>
      <c r="D78" s="16">
        <f>IF('Cari Kartlar'!D78="","",'Cari Kartlar'!D78)</f>
      </c>
      <c r="E78" s="18">
        <f>IF('Cari Kartlar'!H78="",0,'Cari Kartlar'!H78)</f>
      </c>
      <c r="F78" s="18">
        <f>IF($B78="",0,SUMIFS('Hareketler'!$M$5:$M$1004,'Hareketler'!$D$5:$D$1004,$B78,'Hareketler'!$C$5:$C$1004,"Satış"))</f>
      </c>
      <c r="G78" s="18">
        <f>IF($B78="",0,SUMIFS('Hareketler'!$M$5:$M$1004,'Hareketler'!$D$5:$D$1004,$B78,'Hareketler'!$C$5:$C$1004,"Alış"))</f>
      </c>
      <c r="H78" s="26">
        <f>IF($B78="","",$E78+$F78-$G78)</f>
      </c>
    </row>
    <row r="79" spans="2:8" x14ac:dyDescent="0.25">
      <c r="B79" s="16">
        <f>IF('Cari Kartlar'!B79="","",'Cari Kartlar'!B79)</f>
      </c>
      <c r="C79" s="16">
        <f>IF('Cari Kartlar'!C79="","",'Cari Kartlar'!C79)</f>
      </c>
      <c r="D79" s="16">
        <f>IF('Cari Kartlar'!D79="","",'Cari Kartlar'!D79)</f>
      </c>
      <c r="E79" s="18">
        <f>IF('Cari Kartlar'!H79="",0,'Cari Kartlar'!H79)</f>
      </c>
      <c r="F79" s="18">
        <f>IF($B79="",0,SUMIFS('Hareketler'!$M$5:$M$1004,'Hareketler'!$D$5:$D$1004,$B79,'Hareketler'!$C$5:$C$1004,"Satış"))</f>
      </c>
      <c r="G79" s="18">
        <f>IF($B79="",0,SUMIFS('Hareketler'!$M$5:$M$1004,'Hareketler'!$D$5:$D$1004,$B79,'Hareketler'!$C$5:$C$1004,"Alış"))</f>
      </c>
      <c r="H79" s="26">
        <f>IF($B79="","",$E79+$F79-$G79)</f>
      </c>
    </row>
    <row r="80" spans="2:8" x14ac:dyDescent="0.25">
      <c r="B80" s="16">
        <f>IF('Cari Kartlar'!B80="","",'Cari Kartlar'!B80)</f>
      </c>
      <c r="C80" s="16">
        <f>IF('Cari Kartlar'!C80="","",'Cari Kartlar'!C80)</f>
      </c>
      <c r="D80" s="16">
        <f>IF('Cari Kartlar'!D80="","",'Cari Kartlar'!D80)</f>
      </c>
      <c r="E80" s="18">
        <f>IF('Cari Kartlar'!H80="",0,'Cari Kartlar'!H80)</f>
      </c>
      <c r="F80" s="18">
        <f>IF($B80="",0,SUMIFS('Hareketler'!$M$5:$M$1004,'Hareketler'!$D$5:$D$1004,$B80,'Hareketler'!$C$5:$C$1004,"Satış"))</f>
      </c>
      <c r="G80" s="18">
        <f>IF($B80="",0,SUMIFS('Hareketler'!$M$5:$M$1004,'Hareketler'!$D$5:$D$1004,$B80,'Hareketler'!$C$5:$C$1004,"Alış"))</f>
      </c>
      <c r="H80" s="26">
        <f>IF($B80="","",$E80+$F80-$G80)</f>
      </c>
    </row>
    <row r="81" spans="2:8" x14ac:dyDescent="0.25">
      <c r="B81" s="16">
        <f>IF('Cari Kartlar'!B81="","",'Cari Kartlar'!B81)</f>
      </c>
      <c r="C81" s="16">
        <f>IF('Cari Kartlar'!C81="","",'Cari Kartlar'!C81)</f>
      </c>
      <c r="D81" s="16">
        <f>IF('Cari Kartlar'!D81="","",'Cari Kartlar'!D81)</f>
      </c>
      <c r="E81" s="18">
        <f>IF('Cari Kartlar'!H81="",0,'Cari Kartlar'!H81)</f>
      </c>
      <c r="F81" s="18">
        <f>IF($B81="",0,SUMIFS('Hareketler'!$M$5:$M$1004,'Hareketler'!$D$5:$D$1004,$B81,'Hareketler'!$C$5:$C$1004,"Satış"))</f>
      </c>
      <c r="G81" s="18">
        <f>IF($B81="",0,SUMIFS('Hareketler'!$M$5:$M$1004,'Hareketler'!$D$5:$D$1004,$B81,'Hareketler'!$C$5:$C$1004,"Alış"))</f>
      </c>
      <c r="H81" s="26">
        <f>IF($B81="","",$E81+$F81-$G81)</f>
      </c>
    </row>
    <row r="82" spans="2:8" x14ac:dyDescent="0.25">
      <c r="B82" s="16">
        <f>IF('Cari Kartlar'!B82="","",'Cari Kartlar'!B82)</f>
      </c>
      <c r="C82" s="16">
        <f>IF('Cari Kartlar'!C82="","",'Cari Kartlar'!C82)</f>
      </c>
      <c r="D82" s="16">
        <f>IF('Cari Kartlar'!D82="","",'Cari Kartlar'!D82)</f>
      </c>
      <c r="E82" s="18">
        <f>IF('Cari Kartlar'!H82="",0,'Cari Kartlar'!H82)</f>
      </c>
      <c r="F82" s="18">
        <f>IF($B82="",0,SUMIFS('Hareketler'!$M$5:$M$1004,'Hareketler'!$D$5:$D$1004,$B82,'Hareketler'!$C$5:$C$1004,"Satış"))</f>
      </c>
      <c r="G82" s="18">
        <f>IF($B82="",0,SUMIFS('Hareketler'!$M$5:$M$1004,'Hareketler'!$D$5:$D$1004,$B82,'Hareketler'!$C$5:$C$1004,"Alış"))</f>
      </c>
      <c r="H82" s="26">
        <f>IF($B82="","",$E82+$F82-$G82)</f>
      </c>
    </row>
    <row r="83" spans="2:8" x14ac:dyDescent="0.25">
      <c r="B83" s="16">
        <f>IF('Cari Kartlar'!B83="","",'Cari Kartlar'!B83)</f>
      </c>
      <c r="C83" s="16">
        <f>IF('Cari Kartlar'!C83="","",'Cari Kartlar'!C83)</f>
      </c>
      <c r="D83" s="16">
        <f>IF('Cari Kartlar'!D83="","",'Cari Kartlar'!D83)</f>
      </c>
      <c r="E83" s="18">
        <f>IF('Cari Kartlar'!H83="",0,'Cari Kartlar'!H83)</f>
      </c>
      <c r="F83" s="18">
        <f>IF($B83="",0,SUMIFS('Hareketler'!$M$5:$M$1004,'Hareketler'!$D$5:$D$1004,$B83,'Hareketler'!$C$5:$C$1004,"Satış"))</f>
      </c>
      <c r="G83" s="18">
        <f>IF($B83="",0,SUMIFS('Hareketler'!$M$5:$M$1004,'Hareketler'!$D$5:$D$1004,$B83,'Hareketler'!$C$5:$C$1004,"Alış"))</f>
      </c>
      <c r="H83" s="26">
        <f>IF($B83="","",$E83+$F83-$G83)</f>
      </c>
    </row>
    <row r="84" spans="2:8" x14ac:dyDescent="0.25">
      <c r="B84" s="16">
        <f>IF('Cari Kartlar'!B84="","",'Cari Kartlar'!B84)</f>
      </c>
      <c r="C84" s="16">
        <f>IF('Cari Kartlar'!C84="","",'Cari Kartlar'!C84)</f>
      </c>
      <c r="D84" s="16">
        <f>IF('Cari Kartlar'!D84="","",'Cari Kartlar'!D84)</f>
      </c>
      <c r="E84" s="18">
        <f>IF('Cari Kartlar'!H84="",0,'Cari Kartlar'!H84)</f>
      </c>
      <c r="F84" s="18">
        <f>IF($B84="",0,SUMIFS('Hareketler'!$M$5:$M$1004,'Hareketler'!$D$5:$D$1004,$B84,'Hareketler'!$C$5:$C$1004,"Satış"))</f>
      </c>
      <c r="G84" s="18">
        <f>IF($B84="",0,SUMIFS('Hareketler'!$M$5:$M$1004,'Hareketler'!$D$5:$D$1004,$B84,'Hareketler'!$C$5:$C$1004,"Alış"))</f>
      </c>
      <c r="H84" s="26">
        <f>IF($B84="","",$E84+$F84-$G84)</f>
      </c>
    </row>
    <row r="85" spans="2:8" x14ac:dyDescent="0.25">
      <c r="B85" s="16">
        <f>IF('Cari Kartlar'!B85="","",'Cari Kartlar'!B85)</f>
      </c>
      <c r="C85" s="16">
        <f>IF('Cari Kartlar'!C85="","",'Cari Kartlar'!C85)</f>
      </c>
      <c r="D85" s="16">
        <f>IF('Cari Kartlar'!D85="","",'Cari Kartlar'!D85)</f>
      </c>
      <c r="E85" s="18">
        <f>IF('Cari Kartlar'!H85="",0,'Cari Kartlar'!H85)</f>
      </c>
      <c r="F85" s="18">
        <f>IF($B85="",0,SUMIFS('Hareketler'!$M$5:$M$1004,'Hareketler'!$D$5:$D$1004,$B85,'Hareketler'!$C$5:$C$1004,"Satış"))</f>
      </c>
      <c r="G85" s="18">
        <f>IF($B85="",0,SUMIFS('Hareketler'!$M$5:$M$1004,'Hareketler'!$D$5:$D$1004,$B85,'Hareketler'!$C$5:$C$1004,"Alış"))</f>
      </c>
      <c r="H85" s="26">
        <f>IF($B85="","",$E85+$F85-$G85)</f>
      </c>
    </row>
    <row r="86" spans="2:8" x14ac:dyDescent="0.25">
      <c r="B86" s="16">
        <f>IF('Cari Kartlar'!B86="","",'Cari Kartlar'!B86)</f>
      </c>
      <c r="C86" s="16">
        <f>IF('Cari Kartlar'!C86="","",'Cari Kartlar'!C86)</f>
      </c>
      <c r="D86" s="16">
        <f>IF('Cari Kartlar'!D86="","",'Cari Kartlar'!D86)</f>
      </c>
      <c r="E86" s="18">
        <f>IF('Cari Kartlar'!H86="",0,'Cari Kartlar'!H86)</f>
      </c>
      <c r="F86" s="18">
        <f>IF($B86="",0,SUMIFS('Hareketler'!$M$5:$M$1004,'Hareketler'!$D$5:$D$1004,$B86,'Hareketler'!$C$5:$C$1004,"Satış"))</f>
      </c>
      <c r="G86" s="18">
        <f>IF($B86="",0,SUMIFS('Hareketler'!$M$5:$M$1004,'Hareketler'!$D$5:$D$1004,$B86,'Hareketler'!$C$5:$C$1004,"Alış"))</f>
      </c>
      <c r="H86" s="26">
        <f>IF($B86="","",$E86+$F86-$G86)</f>
      </c>
    </row>
    <row r="87" spans="2:8" x14ac:dyDescent="0.25">
      <c r="B87" s="16">
        <f>IF('Cari Kartlar'!B87="","",'Cari Kartlar'!B87)</f>
      </c>
      <c r="C87" s="16">
        <f>IF('Cari Kartlar'!C87="","",'Cari Kartlar'!C87)</f>
      </c>
      <c r="D87" s="16">
        <f>IF('Cari Kartlar'!D87="","",'Cari Kartlar'!D87)</f>
      </c>
      <c r="E87" s="18">
        <f>IF('Cari Kartlar'!H87="",0,'Cari Kartlar'!H87)</f>
      </c>
      <c r="F87" s="18">
        <f>IF($B87="",0,SUMIFS('Hareketler'!$M$5:$M$1004,'Hareketler'!$D$5:$D$1004,$B87,'Hareketler'!$C$5:$C$1004,"Satış"))</f>
      </c>
      <c r="G87" s="18">
        <f>IF($B87="",0,SUMIFS('Hareketler'!$M$5:$M$1004,'Hareketler'!$D$5:$D$1004,$B87,'Hareketler'!$C$5:$C$1004,"Alış"))</f>
      </c>
      <c r="H87" s="26">
        <f>IF($B87="","",$E87+$F87-$G87)</f>
      </c>
    </row>
    <row r="88" spans="2:8" x14ac:dyDescent="0.25">
      <c r="B88" s="16">
        <f>IF('Cari Kartlar'!B88="","",'Cari Kartlar'!B88)</f>
      </c>
      <c r="C88" s="16">
        <f>IF('Cari Kartlar'!C88="","",'Cari Kartlar'!C88)</f>
      </c>
      <c r="D88" s="16">
        <f>IF('Cari Kartlar'!D88="","",'Cari Kartlar'!D88)</f>
      </c>
      <c r="E88" s="18">
        <f>IF('Cari Kartlar'!H88="",0,'Cari Kartlar'!H88)</f>
      </c>
      <c r="F88" s="18">
        <f>IF($B88="",0,SUMIFS('Hareketler'!$M$5:$M$1004,'Hareketler'!$D$5:$D$1004,$B88,'Hareketler'!$C$5:$C$1004,"Satış"))</f>
      </c>
      <c r="G88" s="18">
        <f>IF($B88="",0,SUMIFS('Hareketler'!$M$5:$M$1004,'Hareketler'!$D$5:$D$1004,$B88,'Hareketler'!$C$5:$C$1004,"Alış"))</f>
      </c>
      <c r="H88" s="26">
        <f>IF($B88="","",$E88+$F88-$G88)</f>
      </c>
    </row>
    <row r="89" spans="2:8" x14ac:dyDescent="0.25">
      <c r="B89" s="16">
        <f>IF('Cari Kartlar'!B89="","",'Cari Kartlar'!B89)</f>
      </c>
      <c r="C89" s="16">
        <f>IF('Cari Kartlar'!C89="","",'Cari Kartlar'!C89)</f>
      </c>
      <c r="D89" s="16">
        <f>IF('Cari Kartlar'!D89="","",'Cari Kartlar'!D89)</f>
      </c>
      <c r="E89" s="18">
        <f>IF('Cari Kartlar'!H89="",0,'Cari Kartlar'!H89)</f>
      </c>
      <c r="F89" s="18">
        <f>IF($B89="",0,SUMIFS('Hareketler'!$M$5:$M$1004,'Hareketler'!$D$5:$D$1004,$B89,'Hareketler'!$C$5:$C$1004,"Satış"))</f>
      </c>
      <c r="G89" s="18">
        <f>IF($B89="",0,SUMIFS('Hareketler'!$M$5:$M$1004,'Hareketler'!$D$5:$D$1004,$B89,'Hareketler'!$C$5:$C$1004,"Alış"))</f>
      </c>
      <c r="H89" s="26">
        <f>IF($B89="","",$E89+$F89-$G89)</f>
      </c>
    </row>
    <row r="90" spans="2:8" x14ac:dyDescent="0.25">
      <c r="B90" s="16">
        <f>IF('Cari Kartlar'!B90="","",'Cari Kartlar'!B90)</f>
      </c>
      <c r="C90" s="16">
        <f>IF('Cari Kartlar'!C90="","",'Cari Kartlar'!C90)</f>
      </c>
      <c r="D90" s="16">
        <f>IF('Cari Kartlar'!D90="","",'Cari Kartlar'!D90)</f>
      </c>
      <c r="E90" s="18">
        <f>IF('Cari Kartlar'!H90="",0,'Cari Kartlar'!H90)</f>
      </c>
      <c r="F90" s="18">
        <f>IF($B90="",0,SUMIFS('Hareketler'!$M$5:$M$1004,'Hareketler'!$D$5:$D$1004,$B90,'Hareketler'!$C$5:$C$1004,"Satış"))</f>
      </c>
      <c r="G90" s="18">
        <f>IF($B90="",0,SUMIFS('Hareketler'!$M$5:$M$1004,'Hareketler'!$D$5:$D$1004,$B90,'Hareketler'!$C$5:$C$1004,"Alış"))</f>
      </c>
      <c r="H90" s="26">
        <f>IF($B90="","",$E90+$F90-$G90)</f>
      </c>
    </row>
    <row r="91" spans="2:8" x14ac:dyDescent="0.25">
      <c r="B91" s="16">
        <f>IF('Cari Kartlar'!B91="","",'Cari Kartlar'!B91)</f>
      </c>
      <c r="C91" s="16">
        <f>IF('Cari Kartlar'!C91="","",'Cari Kartlar'!C91)</f>
      </c>
      <c r="D91" s="16">
        <f>IF('Cari Kartlar'!D91="","",'Cari Kartlar'!D91)</f>
      </c>
      <c r="E91" s="18">
        <f>IF('Cari Kartlar'!H91="",0,'Cari Kartlar'!H91)</f>
      </c>
      <c r="F91" s="18">
        <f>IF($B91="",0,SUMIFS('Hareketler'!$M$5:$M$1004,'Hareketler'!$D$5:$D$1004,$B91,'Hareketler'!$C$5:$C$1004,"Satış"))</f>
      </c>
      <c r="G91" s="18">
        <f>IF($B91="",0,SUMIFS('Hareketler'!$M$5:$M$1004,'Hareketler'!$D$5:$D$1004,$B91,'Hareketler'!$C$5:$C$1004,"Alış"))</f>
      </c>
      <c r="H91" s="26">
        <f>IF($B91="","",$E91+$F91-$G91)</f>
      </c>
    </row>
    <row r="92" spans="2:8" x14ac:dyDescent="0.25">
      <c r="B92" s="16">
        <f>IF('Cari Kartlar'!B92="","",'Cari Kartlar'!B92)</f>
      </c>
      <c r="C92" s="16">
        <f>IF('Cari Kartlar'!C92="","",'Cari Kartlar'!C92)</f>
      </c>
      <c r="D92" s="16">
        <f>IF('Cari Kartlar'!D92="","",'Cari Kartlar'!D92)</f>
      </c>
      <c r="E92" s="18">
        <f>IF('Cari Kartlar'!H92="",0,'Cari Kartlar'!H92)</f>
      </c>
      <c r="F92" s="18">
        <f>IF($B92="",0,SUMIFS('Hareketler'!$M$5:$M$1004,'Hareketler'!$D$5:$D$1004,$B92,'Hareketler'!$C$5:$C$1004,"Satış"))</f>
      </c>
      <c r="G92" s="18">
        <f>IF($B92="",0,SUMIFS('Hareketler'!$M$5:$M$1004,'Hareketler'!$D$5:$D$1004,$B92,'Hareketler'!$C$5:$C$1004,"Alış"))</f>
      </c>
      <c r="H92" s="26">
        <f>IF($B92="","",$E92+$F92-$G92)</f>
      </c>
    </row>
    <row r="93" spans="2:8" x14ac:dyDescent="0.25">
      <c r="B93" s="16">
        <f>IF('Cari Kartlar'!B93="","",'Cari Kartlar'!B93)</f>
      </c>
      <c r="C93" s="16">
        <f>IF('Cari Kartlar'!C93="","",'Cari Kartlar'!C93)</f>
      </c>
      <c r="D93" s="16">
        <f>IF('Cari Kartlar'!D93="","",'Cari Kartlar'!D93)</f>
      </c>
      <c r="E93" s="18">
        <f>IF('Cari Kartlar'!H93="",0,'Cari Kartlar'!H93)</f>
      </c>
      <c r="F93" s="18">
        <f>IF($B93="",0,SUMIFS('Hareketler'!$M$5:$M$1004,'Hareketler'!$D$5:$D$1004,$B93,'Hareketler'!$C$5:$C$1004,"Satış"))</f>
      </c>
      <c r="G93" s="18">
        <f>IF($B93="",0,SUMIFS('Hareketler'!$M$5:$M$1004,'Hareketler'!$D$5:$D$1004,$B93,'Hareketler'!$C$5:$C$1004,"Alış"))</f>
      </c>
      <c r="H93" s="26">
        <f>IF($B93="","",$E93+$F93-$G93)</f>
      </c>
    </row>
    <row r="94" spans="2:8" x14ac:dyDescent="0.25">
      <c r="B94" s="16">
        <f>IF('Cari Kartlar'!B94="","",'Cari Kartlar'!B94)</f>
      </c>
      <c r="C94" s="16">
        <f>IF('Cari Kartlar'!C94="","",'Cari Kartlar'!C94)</f>
      </c>
      <c r="D94" s="16">
        <f>IF('Cari Kartlar'!D94="","",'Cari Kartlar'!D94)</f>
      </c>
      <c r="E94" s="18">
        <f>IF('Cari Kartlar'!H94="",0,'Cari Kartlar'!H94)</f>
      </c>
      <c r="F94" s="18">
        <f>IF($B94="",0,SUMIFS('Hareketler'!$M$5:$M$1004,'Hareketler'!$D$5:$D$1004,$B94,'Hareketler'!$C$5:$C$1004,"Satış"))</f>
      </c>
      <c r="G94" s="18">
        <f>IF($B94="",0,SUMIFS('Hareketler'!$M$5:$M$1004,'Hareketler'!$D$5:$D$1004,$B94,'Hareketler'!$C$5:$C$1004,"Alış"))</f>
      </c>
      <c r="H94" s="26">
        <f>IF($B94="","",$E94+$F94-$G94)</f>
      </c>
    </row>
    <row r="95" spans="2:8" x14ac:dyDescent="0.25">
      <c r="B95" s="16">
        <f>IF('Cari Kartlar'!B95="","",'Cari Kartlar'!B95)</f>
      </c>
      <c r="C95" s="16">
        <f>IF('Cari Kartlar'!C95="","",'Cari Kartlar'!C95)</f>
      </c>
      <c r="D95" s="16">
        <f>IF('Cari Kartlar'!D95="","",'Cari Kartlar'!D95)</f>
      </c>
      <c r="E95" s="18">
        <f>IF('Cari Kartlar'!H95="",0,'Cari Kartlar'!H95)</f>
      </c>
      <c r="F95" s="18">
        <f>IF($B95="",0,SUMIFS('Hareketler'!$M$5:$M$1004,'Hareketler'!$D$5:$D$1004,$B95,'Hareketler'!$C$5:$C$1004,"Satış"))</f>
      </c>
      <c r="G95" s="18">
        <f>IF($B95="",0,SUMIFS('Hareketler'!$M$5:$M$1004,'Hareketler'!$D$5:$D$1004,$B95,'Hareketler'!$C$5:$C$1004,"Alış"))</f>
      </c>
      <c r="H95" s="26">
        <f>IF($B95="","",$E95+$F95-$G95)</f>
      </c>
    </row>
    <row r="96" spans="2:8" x14ac:dyDescent="0.25">
      <c r="B96" s="16">
        <f>IF('Cari Kartlar'!B96="","",'Cari Kartlar'!B96)</f>
      </c>
      <c r="C96" s="16">
        <f>IF('Cari Kartlar'!C96="","",'Cari Kartlar'!C96)</f>
      </c>
      <c r="D96" s="16">
        <f>IF('Cari Kartlar'!D96="","",'Cari Kartlar'!D96)</f>
      </c>
      <c r="E96" s="18">
        <f>IF('Cari Kartlar'!H96="",0,'Cari Kartlar'!H96)</f>
      </c>
      <c r="F96" s="18">
        <f>IF($B96="",0,SUMIFS('Hareketler'!$M$5:$M$1004,'Hareketler'!$D$5:$D$1004,$B96,'Hareketler'!$C$5:$C$1004,"Satış"))</f>
      </c>
      <c r="G96" s="18">
        <f>IF($B96="",0,SUMIFS('Hareketler'!$M$5:$M$1004,'Hareketler'!$D$5:$D$1004,$B96,'Hareketler'!$C$5:$C$1004,"Alış"))</f>
      </c>
      <c r="H96" s="26">
        <f>IF($B96="","",$E96+$F96-$G96)</f>
      </c>
    </row>
    <row r="97" spans="2:8" x14ac:dyDescent="0.25">
      <c r="B97" s="16">
        <f>IF('Cari Kartlar'!B97="","",'Cari Kartlar'!B97)</f>
      </c>
      <c r="C97" s="16">
        <f>IF('Cari Kartlar'!C97="","",'Cari Kartlar'!C97)</f>
      </c>
      <c r="D97" s="16">
        <f>IF('Cari Kartlar'!D97="","",'Cari Kartlar'!D97)</f>
      </c>
      <c r="E97" s="18">
        <f>IF('Cari Kartlar'!H97="",0,'Cari Kartlar'!H97)</f>
      </c>
      <c r="F97" s="18">
        <f>IF($B97="",0,SUMIFS('Hareketler'!$M$5:$M$1004,'Hareketler'!$D$5:$D$1004,$B97,'Hareketler'!$C$5:$C$1004,"Satış"))</f>
      </c>
      <c r="G97" s="18">
        <f>IF($B97="",0,SUMIFS('Hareketler'!$M$5:$M$1004,'Hareketler'!$D$5:$D$1004,$B97,'Hareketler'!$C$5:$C$1004,"Alış"))</f>
      </c>
      <c r="H97" s="26">
        <f>IF($B97="","",$E97+$F97-$G97)</f>
      </c>
    </row>
    <row r="98" spans="2:8" x14ac:dyDescent="0.25">
      <c r="B98" s="16">
        <f>IF('Cari Kartlar'!B98="","",'Cari Kartlar'!B98)</f>
      </c>
      <c r="C98" s="16">
        <f>IF('Cari Kartlar'!C98="","",'Cari Kartlar'!C98)</f>
      </c>
      <c r="D98" s="16">
        <f>IF('Cari Kartlar'!D98="","",'Cari Kartlar'!D98)</f>
      </c>
      <c r="E98" s="18">
        <f>IF('Cari Kartlar'!H98="",0,'Cari Kartlar'!H98)</f>
      </c>
      <c r="F98" s="18">
        <f>IF($B98="",0,SUMIFS('Hareketler'!$M$5:$M$1004,'Hareketler'!$D$5:$D$1004,$B98,'Hareketler'!$C$5:$C$1004,"Satış"))</f>
      </c>
      <c r="G98" s="18">
        <f>IF($B98="",0,SUMIFS('Hareketler'!$M$5:$M$1004,'Hareketler'!$D$5:$D$1004,$B98,'Hareketler'!$C$5:$C$1004,"Alış"))</f>
      </c>
      <c r="H98" s="26">
        <f>IF($B98="","",$E98+$F98-$G98)</f>
      </c>
    </row>
    <row r="99" spans="2:8" x14ac:dyDescent="0.25">
      <c r="B99" s="16">
        <f>IF('Cari Kartlar'!B99="","",'Cari Kartlar'!B99)</f>
      </c>
      <c r="C99" s="16">
        <f>IF('Cari Kartlar'!C99="","",'Cari Kartlar'!C99)</f>
      </c>
      <c r="D99" s="16">
        <f>IF('Cari Kartlar'!D99="","",'Cari Kartlar'!D99)</f>
      </c>
      <c r="E99" s="18">
        <f>IF('Cari Kartlar'!H99="",0,'Cari Kartlar'!H99)</f>
      </c>
      <c r="F99" s="18">
        <f>IF($B99="",0,SUMIFS('Hareketler'!$M$5:$M$1004,'Hareketler'!$D$5:$D$1004,$B99,'Hareketler'!$C$5:$C$1004,"Satış"))</f>
      </c>
      <c r="G99" s="18">
        <f>IF($B99="",0,SUMIFS('Hareketler'!$M$5:$M$1004,'Hareketler'!$D$5:$D$1004,$B99,'Hareketler'!$C$5:$C$1004,"Alış"))</f>
      </c>
      <c r="H99" s="26">
        <f>IF($B99="","",$E99+$F99-$G99)</f>
      </c>
    </row>
    <row r="100" spans="2:8" x14ac:dyDescent="0.25">
      <c r="B100" s="16">
        <f>IF('Cari Kartlar'!B100="","",'Cari Kartlar'!B100)</f>
      </c>
      <c r="C100" s="16">
        <f>IF('Cari Kartlar'!C100="","",'Cari Kartlar'!C100)</f>
      </c>
      <c r="D100" s="16">
        <f>IF('Cari Kartlar'!D100="","",'Cari Kartlar'!D100)</f>
      </c>
      <c r="E100" s="18">
        <f>IF('Cari Kartlar'!H100="",0,'Cari Kartlar'!H100)</f>
      </c>
      <c r="F100" s="18">
        <f>IF($B100="",0,SUMIFS('Hareketler'!$M$5:$M$1004,'Hareketler'!$D$5:$D$1004,$B100,'Hareketler'!$C$5:$C$1004,"Satış"))</f>
      </c>
      <c r="G100" s="18">
        <f>IF($B100="",0,SUMIFS('Hareketler'!$M$5:$M$1004,'Hareketler'!$D$5:$D$1004,$B100,'Hareketler'!$C$5:$C$1004,"Alış"))</f>
      </c>
      <c r="H100" s="26">
        <f>IF($B100="","",$E100+$F100-$G100)</f>
      </c>
    </row>
    <row r="101" spans="2:8" x14ac:dyDescent="0.25">
      <c r="B101" s="16">
        <f>IF('Cari Kartlar'!B101="","",'Cari Kartlar'!B101)</f>
      </c>
      <c r="C101" s="16">
        <f>IF('Cari Kartlar'!C101="","",'Cari Kartlar'!C101)</f>
      </c>
      <c r="D101" s="16">
        <f>IF('Cari Kartlar'!D101="","",'Cari Kartlar'!D101)</f>
      </c>
      <c r="E101" s="18">
        <f>IF('Cari Kartlar'!H101="",0,'Cari Kartlar'!H101)</f>
      </c>
      <c r="F101" s="18">
        <f>IF($B101="",0,SUMIFS('Hareketler'!$M$5:$M$1004,'Hareketler'!$D$5:$D$1004,$B101,'Hareketler'!$C$5:$C$1004,"Satış"))</f>
      </c>
      <c r="G101" s="18">
        <f>IF($B101="",0,SUMIFS('Hareketler'!$M$5:$M$1004,'Hareketler'!$D$5:$D$1004,$B101,'Hareketler'!$C$5:$C$1004,"Alış"))</f>
      </c>
      <c r="H101" s="26">
        <f>IF($B101="","",$E101+$F101-$G101)</f>
      </c>
    </row>
    <row r="102" spans="2:8" x14ac:dyDescent="0.25">
      <c r="B102" s="16">
        <f>IF('Cari Kartlar'!B102="","",'Cari Kartlar'!B102)</f>
      </c>
      <c r="C102" s="16">
        <f>IF('Cari Kartlar'!C102="","",'Cari Kartlar'!C102)</f>
      </c>
      <c r="D102" s="16">
        <f>IF('Cari Kartlar'!D102="","",'Cari Kartlar'!D102)</f>
      </c>
      <c r="E102" s="18">
        <f>IF('Cari Kartlar'!H102="",0,'Cari Kartlar'!H102)</f>
      </c>
      <c r="F102" s="18">
        <f>IF($B102="",0,SUMIFS('Hareketler'!$M$5:$M$1004,'Hareketler'!$D$5:$D$1004,$B102,'Hareketler'!$C$5:$C$1004,"Satış"))</f>
      </c>
      <c r="G102" s="18">
        <f>IF($B102="",0,SUMIFS('Hareketler'!$M$5:$M$1004,'Hareketler'!$D$5:$D$1004,$B102,'Hareketler'!$C$5:$C$1004,"Alış"))</f>
      </c>
      <c r="H102" s="26">
        <f>IF($B102="","",$E102+$F102-$G102)</f>
      </c>
    </row>
    <row r="103" spans="2:8" x14ac:dyDescent="0.25">
      <c r="B103" s="16">
        <f>IF('Cari Kartlar'!B103="","",'Cari Kartlar'!B103)</f>
      </c>
      <c r="C103" s="16">
        <f>IF('Cari Kartlar'!C103="","",'Cari Kartlar'!C103)</f>
      </c>
      <c r="D103" s="16">
        <f>IF('Cari Kartlar'!D103="","",'Cari Kartlar'!D103)</f>
      </c>
      <c r="E103" s="18">
        <f>IF('Cari Kartlar'!H103="",0,'Cari Kartlar'!H103)</f>
      </c>
      <c r="F103" s="18">
        <f>IF($B103="",0,SUMIFS('Hareketler'!$M$5:$M$1004,'Hareketler'!$D$5:$D$1004,$B103,'Hareketler'!$C$5:$C$1004,"Satış"))</f>
      </c>
      <c r="G103" s="18">
        <f>IF($B103="",0,SUMIFS('Hareketler'!$M$5:$M$1004,'Hareketler'!$D$5:$D$1004,$B103,'Hareketler'!$C$5:$C$1004,"Alış"))</f>
      </c>
      <c r="H103" s="26">
        <f>IF($B103="","",$E103+$F103-$G103)</f>
      </c>
    </row>
    <row r="104" spans="2:8" x14ac:dyDescent="0.25">
      <c r="B104" s="16">
        <f>IF('Cari Kartlar'!B104="","",'Cari Kartlar'!B104)</f>
      </c>
      <c r="C104" s="16">
        <f>IF('Cari Kartlar'!C104="","",'Cari Kartlar'!C104)</f>
      </c>
      <c r="D104" s="16">
        <f>IF('Cari Kartlar'!D104="","",'Cari Kartlar'!D104)</f>
      </c>
      <c r="E104" s="18">
        <f>IF('Cari Kartlar'!H104="",0,'Cari Kartlar'!H104)</f>
      </c>
      <c r="F104" s="18">
        <f>IF($B104="",0,SUMIFS('Hareketler'!$M$5:$M$1004,'Hareketler'!$D$5:$D$1004,$B104,'Hareketler'!$C$5:$C$1004,"Satış"))</f>
      </c>
      <c r="G104" s="18">
        <f>IF($B104="",0,SUMIFS('Hareketler'!$M$5:$M$1004,'Hareketler'!$D$5:$D$1004,$B104,'Hareketler'!$C$5:$C$1004,"Alış"))</f>
      </c>
      <c r="H104" s="26">
        <f>IF($B104="","",$E104+$F104-$G104)</f>
      </c>
    </row>
    <row r="105" spans="2:8" x14ac:dyDescent="0.25">
      <c r="B105" s="16">
        <f>IF('Cari Kartlar'!B105="","",'Cari Kartlar'!B105)</f>
      </c>
      <c r="C105" s="16">
        <f>IF('Cari Kartlar'!C105="","",'Cari Kartlar'!C105)</f>
      </c>
      <c r="D105" s="16">
        <f>IF('Cari Kartlar'!D105="","",'Cari Kartlar'!D105)</f>
      </c>
      <c r="E105" s="18">
        <f>IF('Cari Kartlar'!H105="",0,'Cari Kartlar'!H105)</f>
      </c>
      <c r="F105" s="18">
        <f>IF($B105="",0,SUMIFS('Hareketler'!$M$5:$M$1004,'Hareketler'!$D$5:$D$1004,$B105,'Hareketler'!$C$5:$C$1004,"Satış"))</f>
      </c>
      <c r="G105" s="18">
        <f>IF($B105="",0,SUMIFS('Hareketler'!$M$5:$M$1004,'Hareketler'!$D$5:$D$1004,$B105,'Hareketler'!$C$5:$C$1004,"Alış"))</f>
      </c>
      <c r="H105" s="26">
        <f>IF($B105="","",$E105+$F105-$G105)</f>
      </c>
    </row>
    <row r="106" spans="2:8" x14ac:dyDescent="0.25">
      <c r="B106" s="16">
        <f>IF('Cari Kartlar'!B106="","",'Cari Kartlar'!B106)</f>
      </c>
      <c r="C106" s="16">
        <f>IF('Cari Kartlar'!C106="","",'Cari Kartlar'!C106)</f>
      </c>
      <c r="D106" s="16">
        <f>IF('Cari Kartlar'!D106="","",'Cari Kartlar'!D106)</f>
      </c>
      <c r="E106" s="18">
        <f>IF('Cari Kartlar'!H106="",0,'Cari Kartlar'!H106)</f>
      </c>
      <c r="F106" s="18">
        <f>IF($B106="",0,SUMIFS('Hareketler'!$M$5:$M$1004,'Hareketler'!$D$5:$D$1004,$B106,'Hareketler'!$C$5:$C$1004,"Satış"))</f>
      </c>
      <c r="G106" s="18">
        <f>IF($B106="",0,SUMIFS('Hareketler'!$M$5:$M$1004,'Hareketler'!$D$5:$D$1004,$B106,'Hareketler'!$C$5:$C$1004,"Alış"))</f>
      </c>
      <c r="H106" s="26">
        <f>IF($B106="","",$E106+$F106-$G106)</f>
      </c>
    </row>
    <row r="107" spans="2:8" x14ac:dyDescent="0.25">
      <c r="B107" s="16">
        <f>IF('Cari Kartlar'!B107="","",'Cari Kartlar'!B107)</f>
      </c>
      <c r="C107" s="16">
        <f>IF('Cari Kartlar'!C107="","",'Cari Kartlar'!C107)</f>
      </c>
      <c r="D107" s="16">
        <f>IF('Cari Kartlar'!D107="","",'Cari Kartlar'!D107)</f>
      </c>
      <c r="E107" s="18">
        <f>IF('Cari Kartlar'!H107="",0,'Cari Kartlar'!H107)</f>
      </c>
      <c r="F107" s="18">
        <f>IF($B107="",0,SUMIFS('Hareketler'!$M$5:$M$1004,'Hareketler'!$D$5:$D$1004,$B107,'Hareketler'!$C$5:$C$1004,"Satış"))</f>
      </c>
      <c r="G107" s="18">
        <f>IF($B107="",0,SUMIFS('Hareketler'!$M$5:$M$1004,'Hareketler'!$D$5:$D$1004,$B107,'Hareketler'!$C$5:$C$1004,"Alış"))</f>
      </c>
      <c r="H107" s="26">
        <f>IF($B107="","",$E107+$F107-$G107)</f>
      </c>
    </row>
    <row r="108" spans="2:8" x14ac:dyDescent="0.25">
      <c r="B108" s="16">
        <f>IF('Cari Kartlar'!B108="","",'Cari Kartlar'!B108)</f>
      </c>
      <c r="C108" s="16">
        <f>IF('Cari Kartlar'!C108="","",'Cari Kartlar'!C108)</f>
      </c>
      <c r="D108" s="16">
        <f>IF('Cari Kartlar'!D108="","",'Cari Kartlar'!D108)</f>
      </c>
      <c r="E108" s="18">
        <f>IF('Cari Kartlar'!H108="",0,'Cari Kartlar'!H108)</f>
      </c>
      <c r="F108" s="18">
        <f>IF($B108="",0,SUMIFS('Hareketler'!$M$5:$M$1004,'Hareketler'!$D$5:$D$1004,$B108,'Hareketler'!$C$5:$C$1004,"Satış"))</f>
      </c>
      <c r="G108" s="18">
        <f>IF($B108="",0,SUMIFS('Hareketler'!$M$5:$M$1004,'Hareketler'!$D$5:$D$1004,$B108,'Hareketler'!$C$5:$C$1004,"Alış"))</f>
      </c>
      <c r="H108" s="26">
        <f>IF($B108="","",$E108+$F108-$G108)</f>
      </c>
    </row>
    <row r="109" spans="2:8" x14ac:dyDescent="0.25">
      <c r="B109" s="16">
        <f>IF('Cari Kartlar'!B109="","",'Cari Kartlar'!B109)</f>
      </c>
      <c r="C109" s="16">
        <f>IF('Cari Kartlar'!C109="","",'Cari Kartlar'!C109)</f>
      </c>
      <c r="D109" s="16">
        <f>IF('Cari Kartlar'!D109="","",'Cari Kartlar'!D109)</f>
      </c>
      <c r="E109" s="18">
        <f>IF('Cari Kartlar'!H109="",0,'Cari Kartlar'!H109)</f>
      </c>
      <c r="F109" s="18">
        <f>IF($B109="",0,SUMIFS('Hareketler'!$M$5:$M$1004,'Hareketler'!$D$5:$D$1004,$B109,'Hareketler'!$C$5:$C$1004,"Satış"))</f>
      </c>
      <c r="G109" s="18">
        <f>IF($B109="",0,SUMIFS('Hareketler'!$M$5:$M$1004,'Hareketler'!$D$5:$D$1004,$B109,'Hareketler'!$C$5:$C$1004,"Alış"))</f>
      </c>
      <c r="H109" s="26">
        <f>IF($B109="","",$E109+$F109-$G109)</f>
      </c>
    </row>
    <row r="110" spans="2:8" x14ac:dyDescent="0.25">
      <c r="B110" s="16">
        <f>IF('Cari Kartlar'!B110="","",'Cari Kartlar'!B110)</f>
      </c>
      <c r="C110" s="16">
        <f>IF('Cari Kartlar'!C110="","",'Cari Kartlar'!C110)</f>
      </c>
      <c r="D110" s="16">
        <f>IF('Cari Kartlar'!D110="","",'Cari Kartlar'!D110)</f>
      </c>
      <c r="E110" s="18">
        <f>IF('Cari Kartlar'!H110="",0,'Cari Kartlar'!H110)</f>
      </c>
      <c r="F110" s="18">
        <f>IF($B110="",0,SUMIFS('Hareketler'!$M$5:$M$1004,'Hareketler'!$D$5:$D$1004,$B110,'Hareketler'!$C$5:$C$1004,"Satış"))</f>
      </c>
      <c r="G110" s="18">
        <f>IF($B110="",0,SUMIFS('Hareketler'!$M$5:$M$1004,'Hareketler'!$D$5:$D$1004,$B110,'Hareketler'!$C$5:$C$1004,"Alış"))</f>
      </c>
      <c r="H110" s="26">
        <f>IF($B110="","",$E110+$F110-$G110)</f>
      </c>
    </row>
    <row r="111" spans="2:8" x14ac:dyDescent="0.25">
      <c r="B111" s="16">
        <f>IF('Cari Kartlar'!B111="","",'Cari Kartlar'!B111)</f>
      </c>
      <c r="C111" s="16">
        <f>IF('Cari Kartlar'!C111="","",'Cari Kartlar'!C111)</f>
      </c>
      <c r="D111" s="16">
        <f>IF('Cari Kartlar'!D111="","",'Cari Kartlar'!D111)</f>
      </c>
      <c r="E111" s="18">
        <f>IF('Cari Kartlar'!H111="",0,'Cari Kartlar'!H111)</f>
      </c>
      <c r="F111" s="18">
        <f>IF($B111="",0,SUMIFS('Hareketler'!$M$5:$M$1004,'Hareketler'!$D$5:$D$1004,$B111,'Hareketler'!$C$5:$C$1004,"Satış"))</f>
      </c>
      <c r="G111" s="18">
        <f>IF($B111="",0,SUMIFS('Hareketler'!$M$5:$M$1004,'Hareketler'!$D$5:$D$1004,$B111,'Hareketler'!$C$5:$C$1004,"Alış"))</f>
      </c>
      <c r="H111" s="26">
        <f>IF($B111="","",$E111+$F111-$G111)</f>
      </c>
    </row>
    <row r="112" spans="2:8" x14ac:dyDescent="0.25">
      <c r="B112" s="16">
        <f>IF('Cari Kartlar'!B112="","",'Cari Kartlar'!B112)</f>
      </c>
      <c r="C112" s="16">
        <f>IF('Cari Kartlar'!C112="","",'Cari Kartlar'!C112)</f>
      </c>
      <c r="D112" s="16">
        <f>IF('Cari Kartlar'!D112="","",'Cari Kartlar'!D112)</f>
      </c>
      <c r="E112" s="18">
        <f>IF('Cari Kartlar'!H112="",0,'Cari Kartlar'!H112)</f>
      </c>
      <c r="F112" s="18">
        <f>IF($B112="",0,SUMIFS('Hareketler'!$M$5:$M$1004,'Hareketler'!$D$5:$D$1004,$B112,'Hareketler'!$C$5:$C$1004,"Satış"))</f>
      </c>
      <c r="G112" s="18">
        <f>IF($B112="",0,SUMIFS('Hareketler'!$M$5:$M$1004,'Hareketler'!$D$5:$D$1004,$B112,'Hareketler'!$C$5:$C$1004,"Alış"))</f>
      </c>
      <c r="H112" s="26">
        <f>IF($B112="","",$E112+$F112-$G112)</f>
      </c>
    </row>
    <row r="113" spans="2:8" x14ac:dyDescent="0.25">
      <c r="B113" s="16">
        <f>IF('Cari Kartlar'!B113="","",'Cari Kartlar'!B113)</f>
      </c>
      <c r="C113" s="16">
        <f>IF('Cari Kartlar'!C113="","",'Cari Kartlar'!C113)</f>
      </c>
      <c r="D113" s="16">
        <f>IF('Cari Kartlar'!D113="","",'Cari Kartlar'!D113)</f>
      </c>
      <c r="E113" s="18">
        <f>IF('Cari Kartlar'!H113="",0,'Cari Kartlar'!H113)</f>
      </c>
      <c r="F113" s="18">
        <f>IF($B113="",0,SUMIFS('Hareketler'!$M$5:$M$1004,'Hareketler'!$D$5:$D$1004,$B113,'Hareketler'!$C$5:$C$1004,"Satış"))</f>
      </c>
      <c r="G113" s="18">
        <f>IF($B113="",0,SUMIFS('Hareketler'!$M$5:$M$1004,'Hareketler'!$D$5:$D$1004,$B113,'Hareketler'!$C$5:$C$1004,"Alış"))</f>
      </c>
      <c r="H113" s="26">
        <f>IF($B113="","",$E113+$F113-$G113)</f>
      </c>
    </row>
    <row r="114" spans="2:8" x14ac:dyDescent="0.25">
      <c r="B114" s="16">
        <f>IF('Cari Kartlar'!B114="","",'Cari Kartlar'!B114)</f>
      </c>
      <c r="C114" s="16">
        <f>IF('Cari Kartlar'!C114="","",'Cari Kartlar'!C114)</f>
      </c>
      <c r="D114" s="16">
        <f>IF('Cari Kartlar'!D114="","",'Cari Kartlar'!D114)</f>
      </c>
      <c r="E114" s="18">
        <f>IF('Cari Kartlar'!H114="",0,'Cari Kartlar'!H114)</f>
      </c>
      <c r="F114" s="18">
        <f>IF($B114="",0,SUMIFS('Hareketler'!$M$5:$M$1004,'Hareketler'!$D$5:$D$1004,$B114,'Hareketler'!$C$5:$C$1004,"Satış"))</f>
      </c>
      <c r="G114" s="18">
        <f>IF($B114="",0,SUMIFS('Hareketler'!$M$5:$M$1004,'Hareketler'!$D$5:$D$1004,$B114,'Hareketler'!$C$5:$C$1004,"Alış"))</f>
      </c>
      <c r="H114" s="26">
        <f>IF($B114="","",$E114+$F114-$G114)</f>
      </c>
    </row>
    <row r="115" spans="2:8" x14ac:dyDescent="0.25">
      <c r="B115" s="16">
        <f>IF('Cari Kartlar'!B115="","",'Cari Kartlar'!B115)</f>
      </c>
      <c r="C115" s="16">
        <f>IF('Cari Kartlar'!C115="","",'Cari Kartlar'!C115)</f>
      </c>
      <c r="D115" s="16">
        <f>IF('Cari Kartlar'!D115="","",'Cari Kartlar'!D115)</f>
      </c>
      <c r="E115" s="18">
        <f>IF('Cari Kartlar'!H115="",0,'Cari Kartlar'!H115)</f>
      </c>
      <c r="F115" s="18">
        <f>IF($B115="",0,SUMIFS('Hareketler'!$M$5:$M$1004,'Hareketler'!$D$5:$D$1004,$B115,'Hareketler'!$C$5:$C$1004,"Satış"))</f>
      </c>
      <c r="G115" s="18">
        <f>IF($B115="",0,SUMIFS('Hareketler'!$M$5:$M$1004,'Hareketler'!$D$5:$D$1004,$B115,'Hareketler'!$C$5:$C$1004,"Alış"))</f>
      </c>
      <c r="H115" s="26">
        <f>IF($B115="","",$E115+$F115-$G115)</f>
      </c>
    </row>
    <row r="116" spans="2:8" x14ac:dyDescent="0.25">
      <c r="B116" s="16">
        <f>IF('Cari Kartlar'!B116="","",'Cari Kartlar'!B116)</f>
      </c>
      <c r="C116" s="16">
        <f>IF('Cari Kartlar'!C116="","",'Cari Kartlar'!C116)</f>
      </c>
      <c r="D116" s="16">
        <f>IF('Cari Kartlar'!D116="","",'Cari Kartlar'!D116)</f>
      </c>
      <c r="E116" s="18">
        <f>IF('Cari Kartlar'!H116="",0,'Cari Kartlar'!H116)</f>
      </c>
      <c r="F116" s="18">
        <f>IF($B116="",0,SUMIFS('Hareketler'!$M$5:$M$1004,'Hareketler'!$D$5:$D$1004,$B116,'Hareketler'!$C$5:$C$1004,"Satış"))</f>
      </c>
      <c r="G116" s="18">
        <f>IF($B116="",0,SUMIFS('Hareketler'!$M$5:$M$1004,'Hareketler'!$D$5:$D$1004,$B116,'Hareketler'!$C$5:$C$1004,"Alış"))</f>
      </c>
      <c r="H116" s="26">
        <f>IF($B116="","",$E116+$F116-$G116)</f>
      </c>
    </row>
    <row r="117" spans="2:8" x14ac:dyDescent="0.25">
      <c r="B117" s="16">
        <f>IF('Cari Kartlar'!B117="","",'Cari Kartlar'!B117)</f>
      </c>
      <c r="C117" s="16">
        <f>IF('Cari Kartlar'!C117="","",'Cari Kartlar'!C117)</f>
      </c>
      <c r="D117" s="16">
        <f>IF('Cari Kartlar'!D117="","",'Cari Kartlar'!D117)</f>
      </c>
      <c r="E117" s="18">
        <f>IF('Cari Kartlar'!H117="",0,'Cari Kartlar'!H117)</f>
      </c>
      <c r="F117" s="18">
        <f>IF($B117="",0,SUMIFS('Hareketler'!$M$5:$M$1004,'Hareketler'!$D$5:$D$1004,$B117,'Hareketler'!$C$5:$C$1004,"Satış"))</f>
      </c>
      <c r="G117" s="18">
        <f>IF($B117="",0,SUMIFS('Hareketler'!$M$5:$M$1004,'Hareketler'!$D$5:$D$1004,$B117,'Hareketler'!$C$5:$C$1004,"Alış"))</f>
      </c>
      <c r="H117" s="26">
        <f>IF($B117="","",$E117+$F117-$G117)</f>
      </c>
    </row>
    <row r="118" spans="2:8" x14ac:dyDescent="0.25">
      <c r="B118" s="16">
        <f>IF('Cari Kartlar'!B118="","",'Cari Kartlar'!B118)</f>
      </c>
      <c r="C118" s="16">
        <f>IF('Cari Kartlar'!C118="","",'Cari Kartlar'!C118)</f>
      </c>
      <c r="D118" s="16">
        <f>IF('Cari Kartlar'!D118="","",'Cari Kartlar'!D118)</f>
      </c>
      <c r="E118" s="18">
        <f>IF('Cari Kartlar'!H118="",0,'Cari Kartlar'!H118)</f>
      </c>
      <c r="F118" s="18">
        <f>IF($B118="",0,SUMIFS('Hareketler'!$M$5:$M$1004,'Hareketler'!$D$5:$D$1004,$B118,'Hareketler'!$C$5:$C$1004,"Satış"))</f>
      </c>
      <c r="G118" s="18">
        <f>IF($B118="",0,SUMIFS('Hareketler'!$M$5:$M$1004,'Hareketler'!$D$5:$D$1004,$B118,'Hareketler'!$C$5:$C$1004,"Alış"))</f>
      </c>
      <c r="H118" s="26">
        <f>IF($B118="","",$E118+$F118-$G118)</f>
      </c>
    </row>
    <row r="119" spans="2:8" x14ac:dyDescent="0.25">
      <c r="B119" s="16">
        <f>IF('Cari Kartlar'!B119="","",'Cari Kartlar'!B119)</f>
      </c>
      <c r="C119" s="16">
        <f>IF('Cari Kartlar'!C119="","",'Cari Kartlar'!C119)</f>
      </c>
      <c r="D119" s="16">
        <f>IF('Cari Kartlar'!D119="","",'Cari Kartlar'!D119)</f>
      </c>
      <c r="E119" s="18">
        <f>IF('Cari Kartlar'!H119="",0,'Cari Kartlar'!H119)</f>
      </c>
      <c r="F119" s="18">
        <f>IF($B119="",0,SUMIFS('Hareketler'!$M$5:$M$1004,'Hareketler'!$D$5:$D$1004,$B119,'Hareketler'!$C$5:$C$1004,"Satış"))</f>
      </c>
      <c r="G119" s="18">
        <f>IF($B119="",0,SUMIFS('Hareketler'!$M$5:$M$1004,'Hareketler'!$D$5:$D$1004,$B119,'Hareketler'!$C$5:$C$1004,"Alış"))</f>
      </c>
      <c r="H119" s="26">
        <f>IF($B119="","",$E119+$F119-$G119)</f>
      </c>
    </row>
    <row r="120" spans="2:8" x14ac:dyDescent="0.25">
      <c r="B120" s="16">
        <f>IF('Cari Kartlar'!B120="","",'Cari Kartlar'!B120)</f>
      </c>
      <c r="C120" s="16">
        <f>IF('Cari Kartlar'!C120="","",'Cari Kartlar'!C120)</f>
      </c>
      <c r="D120" s="16">
        <f>IF('Cari Kartlar'!D120="","",'Cari Kartlar'!D120)</f>
      </c>
      <c r="E120" s="18">
        <f>IF('Cari Kartlar'!H120="",0,'Cari Kartlar'!H120)</f>
      </c>
      <c r="F120" s="18">
        <f>IF($B120="",0,SUMIFS('Hareketler'!$M$5:$M$1004,'Hareketler'!$D$5:$D$1004,$B120,'Hareketler'!$C$5:$C$1004,"Satış"))</f>
      </c>
      <c r="G120" s="18">
        <f>IF($B120="",0,SUMIFS('Hareketler'!$M$5:$M$1004,'Hareketler'!$D$5:$D$1004,$B120,'Hareketler'!$C$5:$C$1004,"Alış"))</f>
      </c>
      <c r="H120" s="26">
        <f>IF($B120="","",$E120+$F120-$G120)</f>
      </c>
    </row>
    <row r="121" spans="2:8" x14ac:dyDescent="0.25">
      <c r="B121" s="16">
        <f>IF('Cari Kartlar'!B121="","",'Cari Kartlar'!B121)</f>
      </c>
      <c r="C121" s="16">
        <f>IF('Cari Kartlar'!C121="","",'Cari Kartlar'!C121)</f>
      </c>
      <c r="D121" s="16">
        <f>IF('Cari Kartlar'!D121="","",'Cari Kartlar'!D121)</f>
      </c>
      <c r="E121" s="18">
        <f>IF('Cari Kartlar'!H121="",0,'Cari Kartlar'!H121)</f>
      </c>
      <c r="F121" s="18">
        <f>IF($B121="",0,SUMIFS('Hareketler'!$M$5:$M$1004,'Hareketler'!$D$5:$D$1004,$B121,'Hareketler'!$C$5:$C$1004,"Satış"))</f>
      </c>
      <c r="G121" s="18">
        <f>IF($B121="",0,SUMIFS('Hareketler'!$M$5:$M$1004,'Hareketler'!$D$5:$D$1004,$B121,'Hareketler'!$C$5:$C$1004,"Alış"))</f>
      </c>
      <c r="H121" s="26">
        <f>IF($B121="","",$E121+$F121-$G121)</f>
      </c>
    </row>
    <row r="122" spans="2:8" x14ac:dyDescent="0.25">
      <c r="B122" s="16">
        <f>IF('Cari Kartlar'!B122="","",'Cari Kartlar'!B122)</f>
      </c>
      <c r="C122" s="16">
        <f>IF('Cari Kartlar'!C122="","",'Cari Kartlar'!C122)</f>
      </c>
      <c r="D122" s="16">
        <f>IF('Cari Kartlar'!D122="","",'Cari Kartlar'!D122)</f>
      </c>
      <c r="E122" s="18">
        <f>IF('Cari Kartlar'!H122="",0,'Cari Kartlar'!H122)</f>
      </c>
      <c r="F122" s="18">
        <f>IF($B122="",0,SUMIFS('Hareketler'!$M$5:$M$1004,'Hareketler'!$D$5:$D$1004,$B122,'Hareketler'!$C$5:$C$1004,"Satış"))</f>
      </c>
      <c r="G122" s="18">
        <f>IF($B122="",0,SUMIFS('Hareketler'!$M$5:$M$1004,'Hareketler'!$D$5:$D$1004,$B122,'Hareketler'!$C$5:$C$1004,"Alış"))</f>
      </c>
      <c r="H122" s="26">
        <f>IF($B122="","",$E122+$F122-$G122)</f>
      </c>
    </row>
    <row r="123" spans="2:8" x14ac:dyDescent="0.25">
      <c r="B123" s="16">
        <f>IF('Cari Kartlar'!B123="","",'Cari Kartlar'!B123)</f>
      </c>
      <c r="C123" s="16">
        <f>IF('Cari Kartlar'!C123="","",'Cari Kartlar'!C123)</f>
      </c>
      <c r="D123" s="16">
        <f>IF('Cari Kartlar'!D123="","",'Cari Kartlar'!D123)</f>
      </c>
      <c r="E123" s="18">
        <f>IF('Cari Kartlar'!H123="",0,'Cari Kartlar'!H123)</f>
      </c>
      <c r="F123" s="18">
        <f>IF($B123="",0,SUMIFS('Hareketler'!$M$5:$M$1004,'Hareketler'!$D$5:$D$1004,$B123,'Hareketler'!$C$5:$C$1004,"Satış"))</f>
      </c>
      <c r="G123" s="18">
        <f>IF($B123="",0,SUMIFS('Hareketler'!$M$5:$M$1004,'Hareketler'!$D$5:$D$1004,$B123,'Hareketler'!$C$5:$C$1004,"Alış"))</f>
      </c>
      <c r="H123" s="26">
        <f>IF($B123="","",$E123+$F123-$G123)</f>
      </c>
    </row>
    <row r="124" spans="2:8" x14ac:dyDescent="0.25">
      <c r="B124" s="16">
        <f>IF('Cari Kartlar'!B124="","",'Cari Kartlar'!B124)</f>
      </c>
      <c r="C124" s="16">
        <f>IF('Cari Kartlar'!C124="","",'Cari Kartlar'!C124)</f>
      </c>
      <c r="D124" s="16">
        <f>IF('Cari Kartlar'!D124="","",'Cari Kartlar'!D124)</f>
      </c>
      <c r="E124" s="18">
        <f>IF('Cari Kartlar'!H124="",0,'Cari Kartlar'!H124)</f>
      </c>
      <c r="F124" s="18">
        <f>IF($B124="",0,SUMIFS('Hareketler'!$M$5:$M$1004,'Hareketler'!$D$5:$D$1004,$B124,'Hareketler'!$C$5:$C$1004,"Satış"))</f>
      </c>
      <c r="G124" s="18">
        <f>IF($B124="",0,SUMIFS('Hareketler'!$M$5:$M$1004,'Hareketler'!$D$5:$D$1004,$B124,'Hareketler'!$C$5:$C$1004,"Alış"))</f>
      </c>
      <c r="H124" s="26">
        <f>IF($B124="","",$E124+$F124-$G124)</f>
      </c>
    </row>
    <row r="125" spans="2:8" x14ac:dyDescent="0.25">
      <c r="B125" s="16">
        <f>IF('Cari Kartlar'!B125="","",'Cari Kartlar'!B125)</f>
      </c>
      <c r="C125" s="16">
        <f>IF('Cari Kartlar'!C125="","",'Cari Kartlar'!C125)</f>
      </c>
      <c r="D125" s="16">
        <f>IF('Cari Kartlar'!D125="","",'Cari Kartlar'!D125)</f>
      </c>
      <c r="E125" s="18">
        <f>IF('Cari Kartlar'!H125="",0,'Cari Kartlar'!H125)</f>
      </c>
      <c r="F125" s="18">
        <f>IF($B125="",0,SUMIFS('Hareketler'!$M$5:$M$1004,'Hareketler'!$D$5:$D$1004,$B125,'Hareketler'!$C$5:$C$1004,"Satış"))</f>
      </c>
      <c r="G125" s="18">
        <f>IF($B125="",0,SUMIFS('Hareketler'!$M$5:$M$1004,'Hareketler'!$D$5:$D$1004,$B125,'Hareketler'!$C$5:$C$1004,"Alış"))</f>
      </c>
      <c r="H125" s="26">
        <f>IF($B125="","",$E125+$F125-$G125)</f>
      </c>
    </row>
    <row r="126" spans="2:8" x14ac:dyDescent="0.25">
      <c r="B126" s="16">
        <f>IF('Cari Kartlar'!B126="","",'Cari Kartlar'!B126)</f>
      </c>
      <c r="C126" s="16">
        <f>IF('Cari Kartlar'!C126="","",'Cari Kartlar'!C126)</f>
      </c>
      <c r="D126" s="16">
        <f>IF('Cari Kartlar'!D126="","",'Cari Kartlar'!D126)</f>
      </c>
      <c r="E126" s="18">
        <f>IF('Cari Kartlar'!H126="",0,'Cari Kartlar'!H126)</f>
      </c>
      <c r="F126" s="18">
        <f>IF($B126="",0,SUMIFS('Hareketler'!$M$5:$M$1004,'Hareketler'!$D$5:$D$1004,$B126,'Hareketler'!$C$5:$C$1004,"Satış"))</f>
      </c>
      <c r="G126" s="18">
        <f>IF($B126="",0,SUMIFS('Hareketler'!$M$5:$M$1004,'Hareketler'!$D$5:$D$1004,$B126,'Hareketler'!$C$5:$C$1004,"Alış"))</f>
      </c>
      <c r="H126" s="26">
        <f>IF($B126="","",$E126+$F126-$G126)</f>
      </c>
    </row>
    <row r="127" spans="2:8" x14ac:dyDescent="0.25">
      <c r="B127" s="16">
        <f>IF('Cari Kartlar'!B127="","",'Cari Kartlar'!B127)</f>
      </c>
      <c r="C127" s="16">
        <f>IF('Cari Kartlar'!C127="","",'Cari Kartlar'!C127)</f>
      </c>
      <c r="D127" s="16">
        <f>IF('Cari Kartlar'!D127="","",'Cari Kartlar'!D127)</f>
      </c>
      <c r="E127" s="18">
        <f>IF('Cari Kartlar'!H127="",0,'Cari Kartlar'!H127)</f>
      </c>
      <c r="F127" s="18">
        <f>IF($B127="",0,SUMIFS('Hareketler'!$M$5:$M$1004,'Hareketler'!$D$5:$D$1004,$B127,'Hareketler'!$C$5:$C$1004,"Satış"))</f>
      </c>
      <c r="G127" s="18">
        <f>IF($B127="",0,SUMIFS('Hareketler'!$M$5:$M$1004,'Hareketler'!$D$5:$D$1004,$B127,'Hareketler'!$C$5:$C$1004,"Alış"))</f>
      </c>
      <c r="H127" s="26">
        <f>IF($B127="","",$E127+$F127-$G127)</f>
      </c>
    </row>
    <row r="128" spans="2:8" x14ac:dyDescent="0.25">
      <c r="B128" s="16">
        <f>IF('Cari Kartlar'!B128="","",'Cari Kartlar'!B128)</f>
      </c>
      <c r="C128" s="16">
        <f>IF('Cari Kartlar'!C128="","",'Cari Kartlar'!C128)</f>
      </c>
      <c r="D128" s="16">
        <f>IF('Cari Kartlar'!D128="","",'Cari Kartlar'!D128)</f>
      </c>
      <c r="E128" s="18">
        <f>IF('Cari Kartlar'!H128="",0,'Cari Kartlar'!H128)</f>
      </c>
      <c r="F128" s="18">
        <f>IF($B128="",0,SUMIFS('Hareketler'!$M$5:$M$1004,'Hareketler'!$D$5:$D$1004,$B128,'Hareketler'!$C$5:$C$1004,"Satış"))</f>
      </c>
      <c r="G128" s="18">
        <f>IF($B128="",0,SUMIFS('Hareketler'!$M$5:$M$1004,'Hareketler'!$D$5:$D$1004,$B128,'Hareketler'!$C$5:$C$1004,"Alış"))</f>
      </c>
      <c r="H128" s="26">
        <f>IF($B128="","",$E128+$F128-$G128)</f>
      </c>
    </row>
    <row r="129" spans="2:8" x14ac:dyDescent="0.25">
      <c r="B129" s="16">
        <f>IF('Cari Kartlar'!B129="","",'Cari Kartlar'!B129)</f>
      </c>
      <c r="C129" s="16">
        <f>IF('Cari Kartlar'!C129="","",'Cari Kartlar'!C129)</f>
      </c>
      <c r="D129" s="16">
        <f>IF('Cari Kartlar'!D129="","",'Cari Kartlar'!D129)</f>
      </c>
      <c r="E129" s="18">
        <f>IF('Cari Kartlar'!H129="",0,'Cari Kartlar'!H129)</f>
      </c>
      <c r="F129" s="18">
        <f>IF($B129="",0,SUMIFS('Hareketler'!$M$5:$M$1004,'Hareketler'!$D$5:$D$1004,$B129,'Hareketler'!$C$5:$C$1004,"Satış"))</f>
      </c>
      <c r="G129" s="18">
        <f>IF($B129="",0,SUMIFS('Hareketler'!$M$5:$M$1004,'Hareketler'!$D$5:$D$1004,$B129,'Hareketler'!$C$5:$C$1004,"Alış"))</f>
      </c>
      <c r="H129" s="26">
        <f>IF($B129="","",$E129+$F129-$G129)</f>
      </c>
    </row>
    <row r="130" spans="2:8" x14ac:dyDescent="0.25">
      <c r="B130" s="16">
        <f>IF('Cari Kartlar'!B130="","",'Cari Kartlar'!B130)</f>
      </c>
      <c r="C130" s="16">
        <f>IF('Cari Kartlar'!C130="","",'Cari Kartlar'!C130)</f>
      </c>
      <c r="D130" s="16">
        <f>IF('Cari Kartlar'!D130="","",'Cari Kartlar'!D130)</f>
      </c>
      <c r="E130" s="18">
        <f>IF('Cari Kartlar'!H130="",0,'Cari Kartlar'!H130)</f>
      </c>
      <c r="F130" s="18">
        <f>IF($B130="",0,SUMIFS('Hareketler'!$M$5:$M$1004,'Hareketler'!$D$5:$D$1004,$B130,'Hareketler'!$C$5:$C$1004,"Satış"))</f>
      </c>
      <c r="G130" s="18">
        <f>IF($B130="",0,SUMIFS('Hareketler'!$M$5:$M$1004,'Hareketler'!$D$5:$D$1004,$B130,'Hareketler'!$C$5:$C$1004,"Alış"))</f>
      </c>
      <c r="H130" s="26">
        <f>IF($B130="","",$E130+$F130-$G130)</f>
      </c>
    </row>
    <row r="131" spans="2:8" x14ac:dyDescent="0.25">
      <c r="B131" s="16">
        <f>IF('Cari Kartlar'!B131="","",'Cari Kartlar'!B131)</f>
      </c>
      <c r="C131" s="16">
        <f>IF('Cari Kartlar'!C131="","",'Cari Kartlar'!C131)</f>
      </c>
      <c r="D131" s="16">
        <f>IF('Cari Kartlar'!D131="","",'Cari Kartlar'!D131)</f>
      </c>
      <c r="E131" s="18">
        <f>IF('Cari Kartlar'!H131="",0,'Cari Kartlar'!H131)</f>
      </c>
      <c r="F131" s="18">
        <f>IF($B131="",0,SUMIFS('Hareketler'!$M$5:$M$1004,'Hareketler'!$D$5:$D$1004,$B131,'Hareketler'!$C$5:$C$1004,"Satış"))</f>
      </c>
      <c r="G131" s="18">
        <f>IF($B131="",0,SUMIFS('Hareketler'!$M$5:$M$1004,'Hareketler'!$D$5:$D$1004,$B131,'Hareketler'!$C$5:$C$1004,"Alış"))</f>
      </c>
      <c r="H131" s="26">
        <f>IF($B131="","",$E131+$F131-$G131)</f>
      </c>
    </row>
    <row r="132" spans="2:8" x14ac:dyDescent="0.25">
      <c r="B132" s="16">
        <f>IF('Cari Kartlar'!B132="","",'Cari Kartlar'!B132)</f>
      </c>
      <c r="C132" s="16">
        <f>IF('Cari Kartlar'!C132="","",'Cari Kartlar'!C132)</f>
      </c>
      <c r="D132" s="16">
        <f>IF('Cari Kartlar'!D132="","",'Cari Kartlar'!D132)</f>
      </c>
      <c r="E132" s="18">
        <f>IF('Cari Kartlar'!H132="",0,'Cari Kartlar'!H132)</f>
      </c>
      <c r="F132" s="18">
        <f>IF($B132="",0,SUMIFS('Hareketler'!$M$5:$M$1004,'Hareketler'!$D$5:$D$1004,$B132,'Hareketler'!$C$5:$C$1004,"Satış"))</f>
      </c>
      <c r="G132" s="18">
        <f>IF($B132="",0,SUMIFS('Hareketler'!$M$5:$M$1004,'Hareketler'!$D$5:$D$1004,$B132,'Hareketler'!$C$5:$C$1004,"Alış"))</f>
      </c>
      <c r="H132" s="26">
        <f>IF($B132="","",$E132+$F132-$G132)</f>
      </c>
    </row>
    <row r="133" spans="2:8" x14ac:dyDescent="0.25">
      <c r="B133" s="16">
        <f>IF('Cari Kartlar'!B133="","",'Cari Kartlar'!B133)</f>
      </c>
      <c r="C133" s="16">
        <f>IF('Cari Kartlar'!C133="","",'Cari Kartlar'!C133)</f>
      </c>
      <c r="D133" s="16">
        <f>IF('Cari Kartlar'!D133="","",'Cari Kartlar'!D133)</f>
      </c>
      <c r="E133" s="18">
        <f>IF('Cari Kartlar'!H133="",0,'Cari Kartlar'!H133)</f>
      </c>
      <c r="F133" s="18">
        <f>IF($B133="",0,SUMIFS('Hareketler'!$M$5:$M$1004,'Hareketler'!$D$5:$D$1004,$B133,'Hareketler'!$C$5:$C$1004,"Satış"))</f>
      </c>
      <c r="G133" s="18">
        <f>IF($B133="",0,SUMIFS('Hareketler'!$M$5:$M$1004,'Hareketler'!$D$5:$D$1004,$B133,'Hareketler'!$C$5:$C$1004,"Alış"))</f>
      </c>
      <c r="H133" s="26">
        <f>IF($B133="","",$E133+$F133-$G133)</f>
      </c>
    </row>
    <row r="134" spans="2:8" x14ac:dyDescent="0.25">
      <c r="B134" s="16">
        <f>IF('Cari Kartlar'!B134="","",'Cari Kartlar'!B134)</f>
      </c>
      <c r="C134" s="16">
        <f>IF('Cari Kartlar'!C134="","",'Cari Kartlar'!C134)</f>
      </c>
      <c r="D134" s="16">
        <f>IF('Cari Kartlar'!D134="","",'Cari Kartlar'!D134)</f>
      </c>
      <c r="E134" s="18">
        <f>IF('Cari Kartlar'!H134="",0,'Cari Kartlar'!H134)</f>
      </c>
      <c r="F134" s="18">
        <f>IF($B134="",0,SUMIFS('Hareketler'!$M$5:$M$1004,'Hareketler'!$D$5:$D$1004,$B134,'Hareketler'!$C$5:$C$1004,"Satış"))</f>
      </c>
      <c r="G134" s="18">
        <f>IF($B134="",0,SUMIFS('Hareketler'!$M$5:$M$1004,'Hareketler'!$D$5:$D$1004,$B134,'Hareketler'!$C$5:$C$1004,"Alış"))</f>
      </c>
      <c r="H134" s="26">
        <f>IF($B134="","",$E134+$F134-$G134)</f>
      </c>
    </row>
    <row r="135" spans="2:8" x14ac:dyDescent="0.25">
      <c r="B135" s="16">
        <f>IF('Cari Kartlar'!B135="","",'Cari Kartlar'!B135)</f>
      </c>
      <c r="C135" s="16">
        <f>IF('Cari Kartlar'!C135="","",'Cari Kartlar'!C135)</f>
      </c>
      <c r="D135" s="16">
        <f>IF('Cari Kartlar'!D135="","",'Cari Kartlar'!D135)</f>
      </c>
      <c r="E135" s="18">
        <f>IF('Cari Kartlar'!H135="",0,'Cari Kartlar'!H135)</f>
      </c>
      <c r="F135" s="18">
        <f>IF($B135="",0,SUMIFS('Hareketler'!$M$5:$M$1004,'Hareketler'!$D$5:$D$1004,$B135,'Hareketler'!$C$5:$C$1004,"Satış"))</f>
      </c>
      <c r="G135" s="18">
        <f>IF($B135="",0,SUMIFS('Hareketler'!$M$5:$M$1004,'Hareketler'!$D$5:$D$1004,$B135,'Hareketler'!$C$5:$C$1004,"Alış"))</f>
      </c>
      <c r="H135" s="26">
        <f>IF($B135="","",$E135+$F135-$G135)</f>
      </c>
    </row>
    <row r="136" spans="2:8" x14ac:dyDescent="0.25">
      <c r="B136" s="16">
        <f>IF('Cari Kartlar'!B136="","",'Cari Kartlar'!B136)</f>
      </c>
      <c r="C136" s="16">
        <f>IF('Cari Kartlar'!C136="","",'Cari Kartlar'!C136)</f>
      </c>
      <c r="D136" s="16">
        <f>IF('Cari Kartlar'!D136="","",'Cari Kartlar'!D136)</f>
      </c>
      <c r="E136" s="18">
        <f>IF('Cari Kartlar'!H136="",0,'Cari Kartlar'!H136)</f>
      </c>
      <c r="F136" s="18">
        <f>IF($B136="",0,SUMIFS('Hareketler'!$M$5:$M$1004,'Hareketler'!$D$5:$D$1004,$B136,'Hareketler'!$C$5:$C$1004,"Satış"))</f>
      </c>
      <c r="G136" s="18">
        <f>IF($B136="",0,SUMIFS('Hareketler'!$M$5:$M$1004,'Hareketler'!$D$5:$D$1004,$B136,'Hareketler'!$C$5:$C$1004,"Alış"))</f>
      </c>
      <c r="H136" s="26">
        <f>IF($B136="","",$E136+$F136-$G136)</f>
      </c>
    </row>
    <row r="137" spans="2:8" x14ac:dyDescent="0.25">
      <c r="B137" s="16">
        <f>IF('Cari Kartlar'!B137="","",'Cari Kartlar'!B137)</f>
      </c>
      <c r="C137" s="16">
        <f>IF('Cari Kartlar'!C137="","",'Cari Kartlar'!C137)</f>
      </c>
      <c r="D137" s="16">
        <f>IF('Cari Kartlar'!D137="","",'Cari Kartlar'!D137)</f>
      </c>
      <c r="E137" s="18">
        <f>IF('Cari Kartlar'!H137="",0,'Cari Kartlar'!H137)</f>
      </c>
      <c r="F137" s="18">
        <f>IF($B137="",0,SUMIFS('Hareketler'!$M$5:$M$1004,'Hareketler'!$D$5:$D$1004,$B137,'Hareketler'!$C$5:$C$1004,"Satış"))</f>
      </c>
      <c r="G137" s="18">
        <f>IF($B137="",0,SUMIFS('Hareketler'!$M$5:$M$1004,'Hareketler'!$D$5:$D$1004,$B137,'Hareketler'!$C$5:$C$1004,"Alış"))</f>
      </c>
      <c r="H137" s="26">
        <f>IF($B137="","",$E137+$F137-$G137)</f>
      </c>
    </row>
    <row r="138" spans="2:8" x14ac:dyDescent="0.25">
      <c r="B138" s="16">
        <f>IF('Cari Kartlar'!B138="","",'Cari Kartlar'!B138)</f>
      </c>
      <c r="C138" s="16">
        <f>IF('Cari Kartlar'!C138="","",'Cari Kartlar'!C138)</f>
      </c>
      <c r="D138" s="16">
        <f>IF('Cari Kartlar'!D138="","",'Cari Kartlar'!D138)</f>
      </c>
      <c r="E138" s="18">
        <f>IF('Cari Kartlar'!H138="",0,'Cari Kartlar'!H138)</f>
      </c>
      <c r="F138" s="18">
        <f>IF($B138="",0,SUMIFS('Hareketler'!$M$5:$M$1004,'Hareketler'!$D$5:$D$1004,$B138,'Hareketler'!$C$5:$C$1004,"Satış"))</f>
      </c>
      <c r="G138" s="18">
        <f>IF($B138="",0,SUMIFS('Hareketler'!$M$5:$M$1004,'Hareketler'!$D$5:$D$1004,$B138,'Hareketler'!$C$5:$C$1004,"Alış"))</f>
      </c>
      <c r="H138" s="26">
        <f>IF($B138="","",$E138+$F138-$G138)</f>
      </c>
    </row>
    <row r="139" spans="2:8" x14ac:dyDescent="0.25">
      <c r="B139" s="16">
        <f>IF('Cari Kartlar'!B139="","",'Cari Kartlar'!B139)</f>
      </c>
      <c r="C139" s="16">
        <f>IF('Cari Kartlar'!C139="","",'Cari Kartlar'!C139)</f>
      </c>
      <c r="D139" s="16">
        <f>IF('Cari Kartlar'!D139="","",'Cari Kartlar'!D139)</f>
      </c>
      <c r="E139" s="18">
        <f>IF('Cari Kartlar'!H139="",0,'Cari Kartlar'!H139)</f>
      </c>
      <c r="F139" s="18">
        <f>IF($B139="",0,SUMIFS('Hareketler'!$M$5:$M$1004,'Hareketler'!$D$5:$D$1004,$B139,'Hareketler'!$C$5:$C$1004,"Satış"))</f>
      </c>
      <c r="G139" s="18">
        <f>IF($B139="",0,SUMIFS('Hareketler'!$M$5:$M$1004,'Hareketler'!$D$5:$D$1004,$B139,'Hareketler'!$C$5:$C$1004,"Alış"))</f>
      </c>
      <c r="H139" s="26">
        <f>IF($B139="","",$E139+$F139-$G139)</f>
      </c>
    </row>
    <row r="140" spans="2:8" x14ac:dyDescent="0.25">
      <c r="B140" s="16">
        <f>IF('Cari Kartlar'!B140="","",'Cari Kartlar'!B140)</f>
      </c>
      <c r="C140" s="16">
        <f>IF('Cari Kartlar'!C140="","",'Cari Kartlar'!C140)</f>
      </c>
      <c r="D140" s="16">
        <f>IF('Cari Kartlar'!D140="","",'Cari Kartlar'!D140)</f>
      </c>
      <c r="E140" s="18">
        <f>IF('Cari Kartlar'!H140="",0,'Cari Kartlar'!H140)</f>
      </c>
      <c r="F140" s="18">
        <f>IF($B140="",0,SUMIFS('Hareketler'!$M$5:$M$1004,'Hareketler'!$D$5:$D$1004,$B140,'Hareketler'!$C$5:$C$1004,"Satış"))</f>
      </c>
      <c r="G140" s="18">
        <f>IF($B140="",0,SUMIFS('Hareketler'!$M$5:$M$1004,'Hareketler'!$D$5:$D$1004,$B140,'Hareketler'!$C$5:$C$1004,"Alış"))</f>
      </c>
      <c r="H140" s="26">
        <f>IF($B140="","",$E140+$F140-$G140)</f>
      </c>
    </row>
    <row r="141" spans="2:8" x14ac:dyDescent="0.25">
      <c r="B141" s="16">
        <f>IF('Cari Kartlar'!B141="","",'Cari Kartlar'!B141)</f>
      </c>
      <c r="C141" s="16">
        <f>IF('Cari Kartlar'!C141="","",'Cari Kartlar'!C141)</f>
      </c>
      <c r="D141" s="16">
        <f>IF('Cari Kartlar'!D141="","",'Cari Kartlar'!D141)</f>
      </c>
      <c r="E141" s="18">
        <f>IF('Cari Kartlar'!H141="",0,'Cari Kartlar'!H141)</f>
      </c>
      <c r="F141" s="18">
        <f>IF($B141="",0,SUMIFS('Hareketler'!$M$5:$M$1004,'Hareketler'!$D$5:$D$1004,$B141,'Hareketler'!$C$5:$C$1004,"Satış"))</f>
      </c>
      <c r="G141" s="18">
        <f>IF($B141="",0,SUMIFS('Hareketler'!$M$5:$M$1004,'Hareketler'!$D$5:$D$1004,$B141,'Hareketler'!$C$5:$C$1004,"Alış"))</f>
      </c>
      <c r="H141" s="26">
        <f>IF($B141="","",$E141+$F141-$G141)</f>
      </c>
    </row>
    <row r="142" spans="2:8" x14ac:dyDescent="0.25">
      <c r="B142" s="16">
        <f>IF('Cari Kartlar'!B142="","",'Cari Kartlar'!B142)</f>
      </c>
      <c r="C142" s="16">
        <f>IF('Cari Kartlar'!C142="","",'Cari Kartlar'!C142)</f>
      </c>
      <c r="D142" s="16">
        <f>IF('Cari Kartlar'!D142="","",'Cari Kartlar'!D142)</f>
      </c>
      <c r="E142" s="18">
        <f>IF('Cari Kartlar'!H142="",0,'Cari Kartlar'!H142)</f>
      </c>
      <c r="F142" s="18">
        <f>IF($B142="",0,SUMIFS('Hareketler'!$M$5:$M$1004,'Hareketler'!$D$5:$D$1004,$B142,'Hareketler'!$C$5:$C$1004,"Satış"))</f>
      </c>
      <c r="G142" s="18">
        <f>IF($B142="",0,SUMIFS('Hareketler'!$M$5:$M$1004,'Hareketler'!$D$5:$D$1004,$B142,'Hareketler'!$C$5:$C$1004,"Alış"))</f>
      </c>
      <c r="H142" s="26">
        <f>IF($B142="","",$E142+$F142-$G142)</f>
      </c>
    </row>
    <row r="143" spans="2:8" x14ac:dyDescent="0.25">
      <c r="B143" s="16">
        <f>IF('Cari Kartlar'!B143="","",'Cari Kartlar'!B143)</f>
      </c>
      <c r="C143" s="16">
        <f>IF('Cari Kartlar'!C143="","",'Cari Kartlar'!C143)</f>
      </c>
      <c r="D143" s="16">
        <f>IF('Cari Kartlar'!D143="","",'Cari Kartlar'!D143)</f>
      </c>
      <c r="E143" s="18">
        <f>IF('Cari Kartlar'!H143="",0,'Cari Kartlar'!H143)</f>
      </c>
      <c r="F143" s="18">
        <f>IF($B143="",0,SUMIFS('Hareketler'!$M$5:$M$1004,'Hareketler'!$D$5:$D$1004,$B143,'Hareketler'!$C$5:$C$1004,"Satış"))</f>
      </c>
      <c r="G143" s="18">
        <f>IF($B143="",0,SUMIFS('Hareketler'!$M$5:$M$1004,'Hareketler'!$D$5:$D$1004,$B143,'Hareketler'!$C$5:$C$1004,"Alış"))</f>
      </c>
      <c r="H143" s="26">
        <f>IF($B143="","",$E143+$F143-$G143)</f>
      </c>
    </row>
    <row r="144" spans="2:8" x14ac:dyDescent="0.25">
      <c r="B144" s="16">
        <f>IF('Cari Kartlar'!B144="","",'Cari Kartlar'!B144)</f>
      </c>
      <c r="C144" s="16">
        <f>IF('Cari Kartlar'!C144="","",'Cari Kartlar'!C144)</f>
      </c>
      <c r="D144" s="16">
        <f>IF('Cari Kartlar'!D144="","",'Cari Kartlar'!D144)</f>
      </c>
      <c r="E144" s="18">
        <f>IF('Cari Kartlar'!H144="",0,'Cari Kartlar'!H144)</f>
      </c>
      <c r="F144" s="18">
        <f>IF($B144="",0,SUMIFS('Hareketler'!$M$5:$M$1004,'Hareketler'!$D$5:$D$1004,$B144,'Hareketler'!$C$5:$C$1004,"Satış"))</f>
      </c>
      <c r="G144" s="18">
        <f>IF($B144="",0,SUMIFS('Hareketler'!$M$5:$M$1004,'Hareketler'!$D$5:$D$1004,$B144,'Hareketler'!$C$5:$C$1004,"Alış"))</f>
      </c>
      <c r="H144" s="26">
        <f>IF($B144="","",$E144+$F144-$G144)</f>
      </c>
    </row>
    <row r="145" spans="2:8" x14ac:dyDescent="0.25">
      <c r="B145" s="16">
        <f>IF('Cari Kartlar'!B145="","",'Cari Kartlar'!B145)</f>
      </c>
      <c r="C145" s="16">
        <f>IF('Cari Kartlar'!C145="","",'Cari Kartlar'!C145)</f>
      </c>
      <c r="D145" s="16">
        <f>IF('Cari Kartlar'!D145="","",'Cari Kartlar'!D145)</f>
      </c>
      <c r="E145" s="18">
        <f>IF('Cari Kartlar'!H145="",0,'Cari Kartlar'!H145)</f>
      </c>
      <c r="F145" s="18">
        <f>IF($B145="",0,SUMIFS('Hareketler'!$M$5:$M$1004,'Hareketler'!$D$5:$D$1004,$B145,'Hareketler'!$C$5:$C$1004,"Satış"))</f>
      </c>
      <c r="G145" s="18">
        <f>IF($B145="",0,SUMIFS('Hareketler'!$M$5:$M$1004,'Hareketler'!$D$5:$D$1004,$B145,'Hareketler'!$C$5:$C$1004,"Alış"))</f>
      </c>
      <c r="H145" s="26">
        <f>IF($B145="","",$E145+$F145-$G145)</f>
      </c>
    </row>
    <row r="146" spans="2:8" x14ac:dyDescent="0.25">
      <c r="B146" s="16">
        <f>IF('Cari Kartlar'!B146="","",'Cari Kartlar'!B146)</f>
      </c>
      <c r="C146" s="16">
        <f>IF('Cari Kartlar'!C146="","",'Cari Kartlar'!C146)</f>
      </c>
      <c r="D146" s="16">
        <f>IF('Cari Kartlar'!D146="","",'Cari Kartlar'!D146)</f>
      </c>
      <c r="E146" s="18">
        <f>IF('Cari Kartlar'!H146="",0,'Cari Kartlar'!H146)</f>
      </c>
      <c r="F146" s="18">
        <f>IF($B146="",0,SUMIFS('Hareketler'!$M$5:$M$1004,'Hareketler'!$D$5:$D$1004,$B146,'Hareketler'!$C$5:$C$1004,"Satış"))</f>
      </c>
      <c r="G146" s="18">
        <f>IF($B146="",0,SUMIFS('Hareketler'!$M$5:$M$1004,'Hareketler'!$D$5:$D$1004,$B146,'Hareketler'!$C$5:$C$1004,"Alış"))</f>
      </c>
      <c r="H146" s="26">
        <f>IF($B146="","",$E146+$F146-$G146)</f>
      </c>
    </row>
    <row r="147" spans="2:8" x14ac:dyDescent="0.25">
      <c r="B147" s="16">
        <f>IF('Cari Kartlar'!B147="","",'Cari Kartlar'!B147)</f>
      </c>
      <c r="C147" s="16">
        <f>IF('Cari Kartlar'!C147="","",'Cari Kartlar'!C147)</f>
      </c>
      <c r="D147" s="16">
        <f>IF('Cari Kartlar'!D147="","",'Cari Kartlar'!D147)</f>
      </c>
      <c r="E147" s="18">
        <f>IF('Cari Kartlar'!H147="",0,'Cari Kartlar'!H147)</f>
      </c>
      <c r="F147" s="18">
        <f>IF($B147="",0,SUMIFS('Hareketler'!$M$5:$M$1004,'Hareketler'!$D$5:$D$1004,$B147,'Hareketler'!$C$5:$C$1004,"Satış"))</f>
      </c>
      <c r="G147" s="18">
        <f>IF($B147="",0,SUMIFS('Hareketler'!$M$5:$M$1004,'Hareketler'!$D$5:$D$1004,$B147,'Hareketler'!$C$5:$C$1004,"Alış"))</f>
      </c>
      <c r="H147" s="26">
        <f>IF($B147="","",$E147+$F147-$G147)</f>
      </c>
    </row>
    <row r="148" spans="2:8" x14ac:dyDescent="0.25">
      <c r="B148" s="16">
        <f>IF('Cari Kartlar'!B148="","",'Cari Kartlar'!B148)</f>
      </c>
      <c r="C148" s="16">
        <f>IF('Cari Kartlar'!C148="","",'Cari Kartlar'!C148)</f>
      </c>
      <c r="D148" s="16">
        <f>IF('Cari Kartlar'!D148="","",'Cari Kartlar'!D148)</f>
      </c>
      <c r="E148" s="18">
        <f>IF('Cari Kartlar'!H148="",0,'Cari Kartlar'!H148)</f>
      </c>
      <c r="F148" s="18">
        <f>IF($B148="",0,SUMIFS('Hareketler'!$M$5:$M$1004,'Hareketler'!$D$5:$D$1004,$B148,'Hareketler'!$C$5:$C$1004,"Satış"))</f>
      </c>
      <c r="G148" s="18">
        <f>IF($B148="",0,SUMIFS('Hareketler'!$M$5:$M$1004,'Hareketler'!$D$5:$D$1004,$B148,'Hareketler'!$C$5:$C$1004,"Alış"))</f>
      </c>
      <c r="H148" s="26">
        <f>IF($B148="","",$E148+$F148-$G148)</f>
      </c>
    </row>
    <row r="149" spans="2:8" x14ac:dyDescent="0.25">
      <c r="B149" s="16">
        <f>IF('Cari Kartlar'!B149="","",'Cari Kartlar'!B149)</f>
      </c>
      <c r="C149" s="16">
        <f>IF('Cari Kartlar'!C149="","",'Cari Kartlar'!C149)</f>
      </c>
      <c r="D149" s="16">
        <f>IF('Cari Kartlar'!D149="","",'Cari Kartlar'!D149)</f>
      </c>
      <c r="E149" s="18">
        <f>IF('Cari Kartlar'!H149="",0,'Cari Kartlar'!H149)</f>
      </c>
      <c r="F149" s="18">
        <f>IF($B149="",0,SUMIFS('Hareketler'!$M$5:$M$1004,'Hareketler'!$D$5:$D$1004,$B149,'Hareketler'!$C$5:$C$1004,"Satış"))</f>
      </c>
      <c r="G149" s="18">
        <f>IF($B149="",0,SUMIFS('Hareketler'!$M$5:$M$1004,'Hareketler'!$D$5:$D$1004,$B149,'Hareketler'!$C$5:$C$1004,"Alış"))</f>
      </c>
      <c r="H149" s="26">
        <f>IF($B149="","",$E149+$F149-$G149)</f>
      </c>
    </row>
    <row r="150" spans="2:8" x14ac:dyDescent="0.25">
      <c r="B150" s="16">
        <f>IF('Cari Kartlar'!B150="","",'Cari Kartlar'!B150)</f>
      </c>
      <c r="C150" s="16">
        <f>IF('Cari Kartlar'!C150="","",'Cari Kartlar'!C150)</f>
      </c>
      <c r="D150" s="16">
        <f>IF('Cari Kartlar'!D150="","",'Cari Kartlar'!D150)</f>
      </c>
      <c r="E150" s="18">
        <f>IF('Cari Kartlar'!H150="",0,'Cari Kartlar'!H150)</f>
      </c>
      <c r="F150" s="18">
        <f>IF($B150="",0,SUMIFS('Hareketler'!$M$5:$M$1004,'Hareketler'!$D$5:$D$1004,$B150,'Hareketler'!$C$5:$C$1004,"Satış"))</f>
      </c>
      <c r="G150" s="18">
        <f>IF($B150="",0,SUMIFS('Hareketler'!$M$5:$M$1004,'Hareketler'!$D$5:$D$1004,$B150,'Hareketler'!$C$5:$C$1004,"Alış"))</f>
      </c>
      <c r="H150" s="26">
        <f>IF($B150="","",$E150+$F150-$G150)</f>
      </c>
    </row>
    <row r="151" spans="2:8" x14ac:dyDescent="0.25">
      <c r="B151" s="16">
        <f>IF('Cari Kartlar'!B151="","",'Cari Kartlar'!B151)</f>
      </c>
      <c r="C151" s="16">
        <f>IF('Cari Kartlar'!C151="","",'Cari Kartlar'!C151)</f>
      </c>
      <c r="D151" s="16">
        <f>IF('Cari Kartlar'!D151="","",'Cari Kartlar'!D151)</f>
      </c>
      <c r="E151" s="18">
        <f>IF('Cari Kartlar'!H151="",0,'Cari Kartlar'!H151)</f>
      </c>
      <c r="F151" s="18">
        <f>IF($B151="",0,SUMIFS('Hareketler'!$M$5:$M$1004,'Hareketler'!$D$5:$D$1004,$B151,'Hareketler'!$C$5:$C$1004,"Satış"))</f>
      </c>
      <c r="G151" s="18">
        <f>IF($B151="",0,SUMIFS('Hareketler'!$M$5:$M$1004,'Hareketler'!$D$5:$D$1004,$B151,'Hareketler'!$C$5:$C$1004,"Alış"))</f>
      </c>
      <c r="H151" s="26">
        <f>IF($B151="","",$E151+$F151-$G151)</f>
      </c>
    </row>
    <row r="152" spans="2:8" x14ac:dyDescent="0.25">
      <c r="B152" s="16">
        <f>IF('Cari Kartlar'!B152="","",'Cari Kartlar'!B152)</f>
      </c>
      <c r="C152" s="16">
        <f>IF('Cari Kartlar'!C152="","",'Cari Kartlar'!C152)</f>
      </c>
      <c r="D152" s="16">
        <f>IF('Cari Kartlar'!D152="","",'Cari Kartlar'!D152)</f>
      </c>
      <c r="E152" s="18">
        <f>IF('Cari Kartlar'!H152="",0,'Cari Kartlar'!H152)</f>
      </c>
      <c r="F152" s="18">
        <f>IF($B152="",0,SUMIFS('Hareketler'!$M$5:$M$1004,'Hareketler'!$D$5:$D$1004,$B152,'Hareketler'!$C$5:$C$1004,"Satış"))</f>
      </c>
      <c r="G152" s="18">
        <f>IF($B152="",0,SUMIFS('Hareketler'!$M$5:$M$1004,'Hareketler'!$D$5:$D$1004,$B152,'Hareketler'!$C$5:$C$1004,"Alış"))</f>
      </c>
      <c r="H152" s="26">
        <f>IF($B152="","",$E152+$F152-$G152)</f>
      </c>
    </row>
    <row r="153" spans="2:8" x14ac:dyDescent="0.25">
      <c r="B153" s="16">
        <f>IF('Cari Kartlar'!B153="","",'Cari Kartlar'!B153)</f>
      </c>
      <c r="C153" s="16">
        <f>IF('Cari Kartlar'!C153="","",'Cari Kartlar'!C153)</f>
      </c>
      <c r="D153" s="16">
        <f>IF('Cari Kartlar'!D153="","",'Cari Kartlar'!D153)</f>
      </c>
      <c r="E153" s="18">
        <f>IF('Cari Kartlar'!H153="",0,'Cari Kartlar'!H153)</f>
      </c>
      <c r="F153" s="18">
        <f>IF($B153="",0,SUMIFS('Hareketler'!$M$5:$M$1004,'Hareketler'!$D$5:$D$1004,$B153,'Hareketler'!$C$5:$C$1004,"Satış"))</f>
      </c>
      <c r="G153" s="18">
        <f>IF($B153="",0,SUMIFS('Hareketler'!$M$5:$M$1004,'Hareketler'!$D$5:$D$1004,$B153,'Hareketler'!$C$5:$C$1004,"Alış"))</f>
      </c>
      <c r="H153" s="26">
        <f>IF($B153="","",$E153+$F153-$G153)</f>
      </c>
    </row>
    <row r="154" spans="2:8" x14ac:dyDescent="0.25">
      <c r="B154" s="16">
        <f>IF('Cari Kartlar'!B154="","",'Cari Kartlar'!B154)</f>
      </c>
      <c r="C154" s="16">
        <f>IF('Cari Kartlar'!C154="","",'Cari Kartlar'!C154)</f>
      </c>
      <c r="D154" s="16">
        <f>IF('Cari Kartlar'!D154="","",'Cari Kartlar'!D154)</f>
      </c>
      <c r="E154" s="18">
        <f>IF('Cari Kartlar'!H154="",0,'Cari Kartlar'!H154)</f>
      </c>
      <c r="F154" s="18">
        <f>IF($B154="",0,SUMIFS('Hareketler'!$M$5:$M$1004,'Hareketler'!$D$5:$D$1004,$B154,'Hareketler'!$C$5:$C$1004,"Satış"))</f>
      </c>
      <c r="G154" s="18">
        <f>IF($B154="",0,SUMIFS('Hareketler'!$M$5:$M$1004,'Hareketler'!$D$5:$D$1004,$B154,'Hareketler'!$C$5:$C$1004,"Alış"))</f>
      </c>
      <c r="H154" s="26">
        <f>IF($B154="","",$E154+$F154-$G154)</f>
      </c>
    </row>
    <row r="155" spans="2:8" x14ac:dyDescent="0.25">
      <c r="B155" s="16">
        <f>IF('Cari Kartlar'!B155="","",'Cari Kartlar'!B155)</f>
      </c>
      <c r="C155" s="16">
        <f>IF('Cari Kartlar'!C155="","",'Cari Kartlar'!C155)</f>
      </c>
      <c r="D155" s="16">
        <f>IF('Cari Kartlar'!D155="","",'Cari Kartlar'!D155)</f>
      </c>
      <c r="E155" s="18">
        <f>IF('Cari Kartlar'!H155="",0,'Cari Kartlar'!H155)</f>
      </c>
      <c r="F155" s="18">
        <f>IF($B155="",0,SUMIFS('Hareketler'!$M$5:$M$1004,'Hareketler'!$D$5:$D$1004,$B155,'Hareketler'!$C$5:$C$1004,"Satış"))</f>
      </c>
      <c r="G155" s="18">
        <f>IF($B155="",0,SUMIFS('Hareketler'!$M$5:$M$1004,'Hareketler'!$D$5:$D$1004,$B155,'Hareketler'!$C$5:$C$1004,"Alış"))</f>
      </c>
      <c r="H155" s="26">
        <f>IF($B155="","",$E155+$F155-$G155)</f>
      </c>
    </row>
    <row r="156" spans="2:8" x14ac:dyDescent="0.25">
      <c r="B156" s="16">
        <f>IF('Cari Kartlar'!B156="","",'Cari Kartlar'!B156)</f>
      </c>
      <c r="C156" s="16">
        <f>IF('Cari Kartlar'!C156="","",'Cari Kartlar'!C156)</f>
      </c>
      <c r="D156" s="16">
        <f>IF('Cari Kartlar'!D156="","",'Cari Kartlar'!D156)</f>
      </c>
      <c r="E156" s="18">
        <f>IF('Cari Kartlar'!H156="",0,'Cari Kartlar'!H156)</f>
      </c>
      <c r="F156" s="18">
        <f>IF($B156="",0,SUMIFS('Hareketler'!$M$5:$M$1004,'Hareketler'!$D$5:$D$1004,$B156,'Hareketler'!$C$5:$C$1004,"Satış"))</f>
      </c>
      <c r="G156" s="18">
        <f>IF($B156="",0,SUMIFS('Hareketler'!$M$5:$M$1004,'Hareketler'!$D$5:$D$1004,$B156,'Hareketler'!$C$5:$C$1004,"Alış"))</f>
      </c>
      <c r="H156" s="26">
        <f>IF($B156="","",$E156+$F156-$G156)</f>
      </c>
    </row>
    <row r="157" spans="2:8" x14ac:dyDescent="0.25">
      <c r="B157" s="16">
        <f>IF('Cari Kartlar'!B157="","",'Cari Kartlar'!B157)</f>
      </c>
      <c r="C157" s="16">
        <f>IF('Cari Kartlar'!C157="","",'Cari Kartlar'!C157)</f>
      </c>
      <c r="D157" s="16">
        <f>IF('Cari Kartlar'!D157="","",'Cari Kartlar'!D157)</f>
      </c>
      <c r="E157" s="18">
        <f>IF('Cari Kartlar'!H157="",0,'Cari Kartlar'!H157)</f>
      </c>
      <c r="F157" s="18">
        <f>IF($B157="",0,SUMIFS('Hareketler'!$M$5:$M$1004,'Hareketler'!$D$5:$D$1004,$B157,'Hareketler'!$C$5:$C$1004,"Satış"))</f>
      </c>
      <c r="G157" s="18">
        <f>IF($B157="",0,SUMIFS('Hareketler'!$M$5:$M$1004,'Hareketler'!$D$5:$D$1004,$B157,'Hareketler'!$C$5:$C$1004,"Alış"))</f>
      </c>
      <c r="H157" s="26">
        <f>IF($B157="","",$E157+$F157-$G157)</f>
      </c>
    </row>
    <row r="158" spans="2:8" x14ac:dyDescent="0.25">
      <c r="B158" s="16">
        <f>IF('Cari Kartlar'!B158="","",'Cari Kartlar'!B158)</f>
      </c>
      <c r="C158" s="16">
        <f>IF('Cari Kartlar'!C158="","",'Cari Kartlar'!C158)</f>
      </c>
      <c r="D158" s="16">
        <f>IF('Cari Kartlar'!D158="","",'Cari Kartlar'!D158)</f>
      </c>
      <c r="E158" s="18">
        <f>IF('Cari Kartlar'!H158="",0,'Cari Kartlar'!H158)</f>
      </c>
      <c r="F158" s="18">
        <f>IF($B158="",0,SUMIFS('Hareketler'!$M$5:$M$1004,'Hareketler'!$D$5:$D$1004,$B158,'Hareketler'!$C$5:$C$1004,"Satış"))</f>
      </c>
      <c r="G158" s="18">
        <f>IF($B158="",0,SUMIFS('Hareketler'!$M$5:$M$1004,'Hareketler'!$D$5:$D$1004,$B158,'Hareketler'!$C$5:$C$1004,"Alış"))</f>
      </c>
      <c r="H158" s="26">
        <f>IF($B158="","",$E158+$F158-$G158)</f>
      </c>
    </row>
    <row r="159" spans="2:8" x14ac:dyDescent="0.25">
      <c r="B159" s="16">
        <f>IF('Cari Kartlar'!B159="","",'Cari Kartlar'!B159)</f>
      </c>
      <c r="C159" s="16">
        <f>IF('Cari Kartlar'!C159="","",'Cari Kartlar'!C159)</f>
      </c>
      <c r="D159" s="16">
        <f>IF('Cari Kartlar'!D159="","",'Cari Kartlar'!D159)</f>
      </c>
      <c r="E159" s="18">
        <f>IF('Cari Kartlar'!H159="",0,'Cari Kartlar'!H159)</f>
      </c>
      <c r="F159" s="18">
        <f>IF($B159="",0,SUMIFS('Hareketler'!$M$5:$M$1004,'Hareketler'!$D$5:$D$1004,$B159,'Hareketler'!$C$5:$C$1004,"Satış"))</f>
      </c>
      <c r="G159" s="18">
        <f>IF($B159="",0,SUMIFS('Hareketler'!$M$5:$M$1004,'Hareketler'!$D$5:$D$1004,$B159,'Hareketler'!$C$5:$C$1004,"Alış"))</f>
      </c>
      <c r="H159" s="26">
        <f>IF($B159="","",$E159+$F159-$G159)</f>
      </c>
    </row>
    <row r="160" spans="2:8" x14ac:dyDescent="0.25">
      <c r="B160" s="16">
        <f>IF('Cari Kartlar'!B160="","",'Cari Kartlar'!B160)</f>
      </c>
      <c r="C160" s="16">
        <f>IF('Cari Kartlar'!C160="","",'Cari Kartlar'!C160)</f>
      </c>
      <c r="D160" s="16">
        <f>IF('Cari Kartlar'!D160="","",'Cari Kartlar'!D160)</f>
      </c>
      <c r="E160" s="18">
        <f>IF('Cari Kartlar'!H160="",0,'Cari Kartlar'!H160)</f>
      </c>
      <c r="F160" s="18">
        <f>IF($B160="",0,SUMIFS('Hareketler'!$M$5:$M$1004,'Hareketler'!$D$5:$D$1004,$B160,'Hareketler'!$C$5:$C$1004,"Satış"))</f>
      </c>
      <c r="G160" s="18">
        <f>IF($B160="",0,SUMIFS('Hareketler'!$M$5:$M$1004,'Hareketler'!$D$5:$D$1004,$B160,'Hareketler'!$C$5:$C$1004,"Alış"))</f>
      </c>
      <c r="H160" s="26">
        <f>IF($B160="","",$E160+$F160-$G160)</f>
      </c>
    </row>
    <row r="161" spans="2:8" x14ac:dyDescent="0.25">
      <c r="B161" s="16">
        <f>IF('Cari Kartlar'!B161="","",'Cari Kartlar'!B161)</f>
      </c>
      <c r="C161" s="16">
        <f>IF('Cari Kartlar'!C161="","",'Cari Kartlar'!C161)</f>
      </c>
      <c r="D161" s="16">
        <f>IF('Cari Kartlar'!D161="","",'Cari Kartlar'!D161)</f>
      </c>
      <c r="E161" s="18">
        <f>IF('Cari Kartlar'!H161="",0,'Cari Kartlar'!H161)</f>
      </c>
      <c r="F161" s="18">
        <f>IF($B161="",0,SUMIFS('Hareketler'!$M$5:$M$1004,'Hareketler'!$D$5:$D$1004,$B161,'Hareketler'!$C$5:$C$1004,"Satış"))</f>
      </c>
      <c r="G161" s="18">
        <f>IF($B161="",0,SUMIFS('Hareketler'!$M$5:$M$1004,'Hareketler'!$D$5:$D$1004,$B161,'Hareketler'!$C$5:$C$1004,"Alış"))</f>
      </c>
      <c r="H161" s="26">
        <f>IF($B161="","",$E161+$F161-$G161)</f>
      </c>
    </row>
    <row r="162" spans="2:8" x14ac:dyDescent="0.25">
      <c r="B162" s="16">
        <f>IF('Cari Kartlar'!B162="","",'Cari Kartlar'!B162)</f>
      </c>
      <c r="C162" s="16">
        <f>IF('Cari Kartlar'!C162="","",'Cari Kartlar'!C162)</f>
      </c>
      <c r="D162" s="16">
        <f>IF('Cari Kartlar'!D162="","",'Cari Kartlar'!D162)</f>
      </c>
      <c r="E162" s="18">
        <f>IF('Cari Kartlar'!H162="",0,'Cari Kartlar'!H162)</f>
      </c>
      <c r="F162" s="18">
        <f>IF($B162="",0,SUMIFS('Hareketler'!$M$5:$M$1004,'Hareketler'!$D$5:$D$1004,$B162,'Hareketler'!$C$5:$C$1004,"Satış"))</f>
      </c>
      <c r="G162" s="18">
        <f>IF($B162="",0,SUMIFS('Hareketler'!$M$5:$M$1004,'Hareketler'!$D$5:$D$1004,$B162,'Hareketler'!$C$5:$C$1004,"Alış"))</f>
      </c>
      <c r="H162" s="26">
        <f>IF($B162="","",$E162+$F162-$G162)</f>
      </c>
    </row>
    <row r="163" spans="2:8" x14ac:dyDescent="0.25">
      <c r="B163" s="16">
        <f>IF('Cari Kartlar'!B163="","",'Cari Kartlar'!B163)</f>
      </c>
      <c r="C163" s="16">
        <f>IF('Cari Kartlar'!C163="","",'Cari Kartlar'!C163)</f>
      </c>
      <c r="D163" s="16">
        <f>IF('Cari Kartlar'!D163="","",'Cari Kartlar'!D163)</f>
      </c>
      <c r="E163" s="18">
        <f>IF('Cari Kartlar'!H163="",0,'Cari Kartlar'!H163)</f>
      </c>
      <c r="F163" s="18">
        <f>IF($B163="",0,SUMIFS('Hareketler'!$M$5:$M$1004,'Hareketler'!$D$5:$D$1004,$B163,'Hareketler'!$C$5:$C$1004,"Satış"))</f>
      </c>
      <c r="G163" s="18">
        <f>IF($B163="",0,SUMIFS('Hareketler'!$M$5:$M$1004,'Hareketler'!$D$5:$D$1004,$B163,'Hareketler'!$C$5:$C$1004,"Alış"))</f>
      </c>
      <c r="H163" s="26">
        <f>IF($B163="","",$E163+$F163-$G163)</f>
      </c>
    </row>
    <row r="164" spans="2:8" x14ac:dyDescent="0.25">
      <c r="B164" s="16">
        <f>IF('Cari Kartlar'!B164="","",'Cari Kartlar'!B164)</f>
      </c>
      <c r="C164" s="16">
        <f>IF('Cari Kartlar'!C164="","",'Cari Kartlar'!C164)</f>
      </c>
      <c r="D164" s="16">
        <f>IF('Cari Kartlar'!D164="","",'Cari Kartlar'!D164)</f>
      </c>
      <c r="E164" s="18">
        <f>IF('Cari Kartlar'!H164="",0,'Cari Kartlar'!H164)</f>
      </c>
      <c r="F164" s="18">
        <f>IF($B164="",0,SUMIFS('Hareketler'!$M$5:$M$1004,'Hareketler'!$D$5:$D$1004,$B164,'Hareketler'!$C$5:$C$1004,"Satış"))</f>
      </c>
      <c r="G164" s="18">
        <f>IF($B164="",0,SUMIFS('Hareketler'!$M$5:$M$1004,'Hareketler'!$D$5:$D$1004,$B164,'Hareketler'!$C$5:$C$1004,"Alış"))</f>
      </c>
      <c r="H164" s="26">
        <f>IF($B164="","",$E164+$F164-$G164)</f>
      </c>
    </row>
    <row r="165" spans="2:8" x14ac:dyDescent="0.25">
      <c r="B165" s="16">
        <f>IF('Cari Kartlar'!B165="","",'Cari Kartlar'!B165)</f>
      </c>
      <c r="C165" s="16">
        <f>IF('Cari Kartlar'!C165="","",'Cari Kartlar'!C165)</f>
      </c>
      <c r="D165" s="16">
        <f>IF('Cari Kartlar'!D165="","",'Cari Kartlar'!D165)</f>
      </c>
      <c r="E165" s="18">
        <f>IF('Cari Kartlar'!H165="",0,'Cari Kartlar'!H165)</f>
      </c>
      <c r="F165" s="18">
        <f>IF($B165="",0,SUMIFS('Hareketler'!$M$5:$M$1004,'Hareketler'!$D$5:$D$1004,$B165,'Hareketler'!$C$5:$C$1004,"Satış"))</f>
      </c>
      <c r="G165" s="18">
        <f>IF($B165="",0,SUMIFS('Hareketler'!$M$5:$M$1004,'Hareketler'!$D$5:$D$1004,$B165,'Hareketler'!$C$5:$C$1004,"Alış"))</f>
      </c>
      <c r="H165" s="26">
        <f>IF($B165="","",$E165+$F165-$G165)</f>
      </c>
    </row>
    <row r="166" spans="2:8" x14ac:dyDescent="0.25">
      <c r="B166" s="16">
        <f>IF('Cari Kartlar'!B166="","",'Cari Kartlar'!B166)</f>
      </c>
      <c r="C166" s="16">
        <f>IF('Cari Kartlar'!C166="","",'Cari Kartlar'!C166)</f>
      </c>
      <c r="D166" s="16">
        <f>IF('Cari Kartlar'!D166="","",'Cari Kartlar'!D166)</f>
      </c>
      <c r="E166" s="18">
        <f>IF('Cari Kartlar'!H166="",0,'Cari Kartlar'!H166)</f>
      </c>
      <c r="F166" s="18">
        <f>IF($B166="",0,SUMIFS('Hareketler'!$M$5:$M$1004,'Hareketler'!$D$5:$D$1004,$B166,'Hareketler'!$C$5:$C$1004,"Satış"))</f>
      </c>
      <c r="G166" s="18">
        <f>IF($B166="",0,SUMIFS('Hareketler'!$M$5:$M$1004,'Hareketler'!$D$5:$D$1004,$B166,'Hareketler'!$C$5:$C$1004,"Alış"))</f>
      </c>
      <c r="H166" s="26">
        <f>IF($B166="","",$E166+$F166-$G166)</f>
      </c>
    </row>
    <row r="167" spans="2:8" x14ac:dyDescent="0.25">
      <c r="B167" s="16">
        <f>IF('Cari Kartlar'!B167="","",'Cari Kartlar'!B167)</f>
      </c>
      <c r="C167" s="16">
        <f>IF('Cari Kartlar'!C167="","",'Cari Kartlar'!C167)</f>
      </c>
      <c r="D167" s="16">
        <f>IF('Cari Kartlar'!D167="","",'Cari Kartlar'!D167)</f>
      </c>
      <c r="E167" s="18">
        <f>IF('Cari Kartlar'!H167="",0,'Cari Kartlar'!H167)</f>
      </c>
      <c r="F167" s="18">
        <f>IF($B167="",0,SUMIFS('Hareketler'!$M$5:$M$1004,'Hareketler'!$D$5:$D$1004,$B167,'Hareketler'!$C$5:$C$1004,"Satış"))</f>
      </c>
      <c r="G167" s="18">
        <f>IF($B167="",0,SUMIFS('Hareketler'!$M$5:$M$1004,'Hareketler'!$D$5:$D$1004,$B167,'Hareketler'!$C$5:$C$1004,"Alış"))</f>
      </c>
      <c r="H167" s="26">
        <f>IF($B167="","",$E167+$F167-$G167)</f>
      </c>
    </row>
    <row r="168" spans="2:8" x14ac:dyDescent="0.25">
      <c r="B168" s="16">
        <f>IF('Cari Kartlar'!B168="","",'Cari Kartlar'!B168)</f>
      </c>
      <c r="C168" s="16">
        <f>IF('Cari Kartlar'!C168="","",'Cari Kartlar'!C168)</f>
      </c>
      <c r="D168" s="16">
        <f>IF('Cari Kartlar'!D168="","",'Cari Kartlar'!D168)</f>
      </c>
      <c r="E168" s="18">
        <f>IF('Cari Kartlar'!H168="",0,'Cari Kartlar'!H168)</f>
      </c>
      <c r="F168" s="18">
        <f>IF($B168="",0,SUMIFS('Hareketler'!$M$5:$M$1004,'Hareketler'!$D$5:$D$1004,$B168,'Hareketler'!$C$5:$C$1004,"Satış"))</f>
      </c>
      <c r="G168" s="18">
        <f>IF($B168="",0,SUMIFS('Hareketler'!$M$5:$M$1004,'Hareketler'!$D$5:$D$1004,$B168,'Hareketler'!$C$5:$C$1004,"Alış"))</f>
      </c>
      <c r="H168" s="26">
        <f>IF($B168="","",$E168+$F168-$G168)</f>
      </c>
    </row>
    <row r="169" spans="2:8" x14ac:dyDescent="0.25">
      <c r="B169" s="16">
        <f>IF('Cari Kartlar'!B169="","",'Cari Kartlar'!B169)</f>
      </c>
      <c r="C169" s="16">
        <f>IF('Cari Kartlar'!C169="","",'Cari Kartlar'!C169)</f>
      </c>
      <c r="D169" s="16">
        <f>IF('Cari Kartlar'!D169="","",'Cari Kartlar'!D169)</f>
      </c>
      <c r="E169" s="18">
        <f>IF('Cari Kartlar'!H169="",0,'Cari Kartlar'!H169)</f>
      </c>
      <c r="F169" s="18">
        <f>IF($B169="",0,SUMIFS('Hareketler'!$M$5:$M$1004,'Hareketler'!$D$5:$D$1004,$B169,'Hareketler'!$C$5:$C$1004,"Satış"))</f>
      </c>
      <c r="G169" s="18">
        <f>IF($B169="",0,SUMIFS('Hareketler'!$M$5:$M$1004,'Hareketler'!$D$5:$D$1004,$B169,'Hareketler'!$C$5:$C$1004,"Alış"))</f>
      </c>
      <c r="H169" s="26">
        <f>IF($B169="","",$E169+$F169-$G169)</f>
      </c>
    </row>
    <row r="170" spans="2:8" x14ac:dyDescent="0.25">
      <c r="B170" s="16">
        <f>IF('Cari Kartlar'!B170="","",'Cari Kartlar'!B170)</f>
      </c>
      <c r="C170" s="16">
        <f>IF('Cari Kartlar'!C170="","",'Cari Kartlar'!C170)</f>
      </c>
      <c r="D170" s="16">
        <f>IF('Cari Kartlar'!D170="","",'Cari Kartlar'!D170)</f>
      </c>
      <c r="E170" s="18">
        <f>IF('Cari Kartlar'!H170="",0,'Cari Kartlar'!H170)</f>
      </c>
      <c r="F170" s="18">
        <f>IF($B170="",0,SUMIFS('Hareketler'!$M$5:$M$1004,'Hareketler'!$D$5:$D$1004,$B170,'Hareketler'!$C$5:$C$1004,"Satış"))</f>
      </c>
      <c r="G170" s="18">
        <f>IF($B170="",0,SUMIFS('Hareketler'!$M$5:$M$1004,'Hareketler'!$D$5:$D$1004,$B170,'Hareketler'!$C$5:$C$1004,"Alış"))</f>
      </c>
      <c r="H170" s="26">
        <f>IF($B170="","",$E170+$F170-$G170)</f>
      </c>
    </row>
    <row r="171" spans="2:8" x14ac:dyDescent="0.25">
      <c r="B171" s="16">
        <f>IF('Cari Kartlar'!B171="","",'Cari Kartlar'!B171)</f>
      </c>
      <c r="C171" s="16">
        <f>IF('Cari Kartlar'!C171="","",'Cari Kartlar'!C171)</f>
      </c>
      <c r="D171" s="16">
        <f>IF('Cari Kartlar'!D171="","",'Cari Kartlar'!D171)</f>
      </c>
      <c r="E171" s="18">
        <f>IF('Cari Kartlar'!H171="",0,'Cari Kartlar'!H171)</f>
      </c>
      <c r="F171" s="18">
        <f>IF($B171="",0,SUMIFS('Hareketler'!$M$5:$M$1004,'Hareketler'!$D$5:$D$1004,$B171,'Hareketler'!$C$5:$C$1004,"Satış"))</f>
      </c>
      <c r="G171" s="18">
        <f>IF($B171="",0,SUMIFS('Hareketler'!$M$5:$M$1004,'Hareketler'!$D$5:$D$1004,$B171,'Hareketler'!$C$5:$C$1004,"Alış"))</f>
      </c>
      <c r="H171" s="26">
        <f>IF($B171="","",$E171+$F171-$G171)</f>
      </c>
    </row>
    <row r="172" spans="2:8" x14ac:dyDescent="0.25">
      <c r="B172" s="16">
        <f>IF('Cari Kartlar'!B172="","",'Cari Kartlar'!B172)</f>
      </c>
      <c r="C172" s="16">
        <f>IF('Cari Kartlar'!C172="","",'Cari Kartlar'!C172)</f>
      </c>
      <c r="D172" s="16">
        <f>IF('Cari Kartlar'!D172="","",'Cari Kartlar'!D172)</f>
      </c>
      <c r="E172" s="18">
        <f>IF('Cari Kartlar'!H172="",0,'Cari Kartlar'!H172)</f>
      </c>
      <c r="F172" s="18">
        <f>IF($B172="",0,SUMIFS('Hareketler'!$M$5:$M$1004,'Hareketler'!$D$5:$D$1004,$B172,'Hareketler'!$C$5:$C$1004,"Satış"))</f>
      </c>
      <c r="G172" s="18">
        <f>IF($B172="",0,SUMIFS('Hareketler'!$M$5:$M$1004,'Hareketler'!$D$5:$D$1004,$B172,'Hareketler'!$C$5:$C$1004,"Alış"))</f>
      </c>
      <c r="H172" s="26">
        <f>IF($B172="","",$E172+$F172-$G172)</f>
      </c>
    </row>
    <row r="173" spans="2:8" x14ac:dyDescent="0.25">
      <c r="B173" s="16">
        <f>IF('Cari Kartlar'!B173="","",'Cari Kartlar'!B173)</f>
      </c>
      <c r="C173" s="16">
        <f>IF('Cari Kartlar'!C173="","",'Cari Kartlar'!C173)</f>
      </c>
      <c r="D173" s="16">
        <f>IF('Cari Kartlar'!D173="","",'Cari Kartlar'!D173)</f>
      </c>
      <c r="E173" s="18">
        <f>IF('Cari Kartlar'!H173="",0,'Cari Kartlar'!H173)</f>
      </c>
      <c r="F173" s="18">
        <f>IF($B173="",0,SUMIFS('Hareketler'!$M$5:$M$1004,'Hareketler'!$D$5:$D$1004,$B173,'Hareketler'!$C$5:$C$1004,"Satış"))</f>
      </c>
      <c r="G173" s="18">
        <f>IF($B173="",0,SUMIFS('Hareketler'!$M$5:$M$1004,'Hareketler'!$D$5:$D$1004,$B173,'Hareketler'!$C$5:$C$1004,"Alış"))</f>
      </c>
      <c r="H173" s="26">
        <f>IF($B173="","",$E173+$F173-$G173)</f>
      </c>
    </row>
    <row r="174" spans="2:8" x14ac:dyDescent="0.25">
      <c r="B174" s="16">
        <f>IF('Cari Kartlar'!B174="","",'Cari Kartlar'!B174)</f>
      </c>
      <c r="C174" s="16">
        <f>IF('Cari Kartlar'!C174="","",'Cari Kartlar'!C174)</f>
      </c>
      <c r="D174" s="16">
        <f>IF('Cari Kartlar'!D174="","",'Cari Kartlar'!D174)</f>
      </c>
      <c r="E174" s="18">
        <f>IF('Cari Kartlar'!H174="",0,'Cari Kartlar'!H174)</f>
      </c>
      <c r="F174" s="18">
        <f>IF($B174="",0,SUMIFS('Hareketler'!$M$5:$M$1004,'Hareketler'!$D$5:$D$1004,$B174,'Hareketler'!$C$5:$C$1004,"Satış"))</f>
      </c>
      <c r="G174" s="18">
        <f>IF($B174="",0,SUMIFS('Hareketler'!$M$5:$M$1004,'Hareketler'!$D$5:$D$1004,$B174,'Hareketler'!$C$5:$C$1004,"Alış"))</f>
      </c>
      <c r="H174" s="26">
        <f>IF($B174="","",$E174+$F174-$G174)</f>
      </c>
    </row>
    <row r="175" spans="2:8" x14ac:dyDescent="0.25">
      <c r="B175" s="16">
        <f>IF('Cari Kartlar'!B175="","",'Cari Kartlar'!B175)</f>
      </c>
      <c r="C175" s="16">
        <f>IF('Cari Kartlar'!C175="","",'Cari Kartlar'!C175)</f>
      </c>
      <c r="D175" s="16">
        <f>IF('Cari Kartlar'!D175="","",'Cari Kartlar'!D175)</f>
      </c>
      <c r="E175" s="18">
        <f>IF('Cari Kartlar'!H175="",0,'Cari Kartlar'!H175)</f>
      </c>
      <c r="F175" s="18">
        <f>IF($B175="",0,SUMIFS('Hareketler'!$M$5:$M$1004,'Hareketler'!$D$5:$D$1004,$B175,'Hareketler'!$C$5:$C$1004,"Satış"))</f>
      </c>
      <c r="G175" s="18">
        <f>IF($B175="",0,SUMIFS('Hareketler'!$M$5:$M$1004,'Hareketler'!$D$5:$D$1004,$B175,'Hareketler'!$C$5:$C$1004,"Alış"))</f>
      </c>
      <c r="H175" s="26">
        <f>IF($B175="","",$E175+$F175-$G175)</f>
      </c>
    </row>
    <row r="176" spans="2:8" x14ac:dyDescent="0.25">
      <c r="B176" s="16">
        <f>IF('Cari Kartlar'!B176="","",'Cari Kartlar'!B176)</f>
      </c>
      <c r="C176" s="16">
        <f>IF('Cari Kartlar'!C176="","",'Cari Kartlar'!C176)</f>
      </c>
      <c r="D176" s="16">
        <f>IF('Cari Kartlar'!D176="","",'Cari Kartlar'!D176)</f>
      </c>
      <c r="E176" s="18">
        <f>IF('Cari Kartlar'!H176="",0,'Cari Kartlar'!H176)</f>
      </c>
      <c r="F176" s="18">
        <f>IF($B176="",0,SUMIFS('Hareketler'!$M$5:$M$1004,'Hareketler'!$D$5:$D$1004,$B176,'Hareketler'!$C$5:$C$1004,"Satış"))</f>
      </c>
      <c r="G176" s="18">
        <f>IF($B176="",0,SUMIFS('Hareketler'!$M$5:$M$1004,'Hareketler'!$D$5:$D$1004,$B176,'Hareketler'!$C$5:$C$1004,"Alış"))</f>
      </c>
      <c r="H176" s="26">
        <f>IF($B176="","",$E176+$F176-$G176)</f>
      </c>
    </row>
    <row r="177" spans="2:8" x14ac:dyDescent="0.25">
      <c r="B177" s="16">
        <f>IF('Cari Kartlar'!B177="","",'Cari Kartlar'!B177)</f>
      </c>
      <c r="C177" s="16">
        <f>IF('Cari Kartlar'!C177="","",'Cari Kartlar'!C177)</f>
      </c>
      <c r="D177" s="16">
        <f>IF('Cari Kartlar'!D177="","",'Cari Kartlar'!D177)</f>
      </c>
      <c r="E177" s="18">
        <f>IF('Cari Kartlar'!H177="",0,'Cari Kartlar'!H177)</f>
      </c>
      <c r="F177" s="18">
        <f>IF($B177="",0,SUMIFS('Hareketler'!$M$5:$M$1004,'Hareketler'!$D$5:$D$1004,$B177,'Hareketler'!$C$5:$C$1004,"Satış"))</f>
      </c>
      <c r="G177" s="18">
        <f>IF($B177="",0,SUMIFS('Hareketler'!$M$5:$M$1004,'Hareketler'!$D$5:$D$1004,$B177,'Hareketler'!$C$5:$C$1004,"Alış"))</f>
      </c>
      <c r="H177" s="26">
        <f>IF($B177="","",$E177+$F177-$G177)</f>
      </c>
    </row>
    <row r="178" spans="2:8" x14ac:dyDescent="0.25">
      <c r="B178" s="16">
        <f>IF('Cari Kartlar'!B178="","",'Cari Kartlar'!B178)</f>
      </c>
      <c r="C178" s="16">
        <f>IF('Cari Kartlar'!C178="","",'Cari Kartlar'!C178)</f>
      </c>
      <c r="D178" s="16">
        <f>IF('Cari Kartlar'!D178="","",'Cari Kartlar'!D178)</f>
      </c>
      <c r="E178" s="18">
        <f>IF('Cari Kartlar'!H178="",0,'Cari Kartlar'!H178)</f>
      </c>
      <c r="F178" s="18">
        <f>IF($B178="",0,SUMIFS('Hareketler'!$M$5:$M$1004,'Hareketler'!$D$5:$D$1004,$B178,'Hareketler'!$C$5:$C$1004,"Satış"))</f>
      </c>
      <c r="G178" s="18">
        <f>IF($B178="",0,SUMIFS('Hareketler'!$M$5:$M$1004,'Hareketler'!$D$5:$D$1004,$B178,'Hareketler'!$C$5:$C$1004,"Alış"))</f>
      </c>
      <c r="H178" s="26">
        <f>IF($B178="","",$E178+$F178-$G178)</f>
      </c>
    </row>
    <row r="179" spans="2:8" x14ac:dyDescent="0.25">
      <c r="B179" s="16">
        <f>IF('Cari Kartlar'!B179="","",'Cari Kartlar'!B179)</f>
      </c>
      <c r="C179" s="16">
        <f>IF('Cari Kartlar'!C179="","",'Cari Kartlar'!C179)</f>
      </c>
      <c r="D179" s="16">
        <f>IF('Cari Kartlar'!D179="","",'Cari Kartlar'!D179)</f>
      </c>
      <c r="E179" s="18">
        <f>IF('Cari Kartlar'!H179="",0,'Cari Kartlar'!H179)</f>
      </c>
      <c r="F179" s="18">
        <f>IF($B179="",0,SUMIFS('Hareketler'!$M$5:$M$1004,'Hareketler'!$D$5:$D$1004,$B179,'Hareketler'!$C$5:$C$1004,"Satış"))</f>
      </c>
      <c r="G179" s="18">
        <f>IF($B179="",0,SUMIFS('Hareketler'!$M$5:$M$1004,'Hareketler'!$D$5:$D$1004,$B179,'Hareketler'!$C$5:$C$1004,"Alış"))</f>
      </c>
      <c r="H179" s="26">
        <f>IF($B179="","",$E179+$F179-$G179)</f>
      </c>
    </row>
    <row r="180" spans="2:8" x14ac:dyDescent="0.25">
      <c r="B180" s="16">
        <f>IF('Cari Kartlar'!B180="","",'Cari Kartlar'!B180)</f>
      </c>
      <c r="C180" s="16">
        <f>IF('Cari Kartlar'!C180="","",'Cari Kartlar'!C180)</f>
      </c>
      <c r="D180" s="16">
        <f>IF('Cari Kartlar'!D180="","",'Cari Kartlar'!D180)</f>
      </c>
      <c r="E180" s="18">
        <f>IF('Cari Kartlar'!H180="",0,'Cari Kartlar'!H180)</f>
      </c>
      <c r="F180" s="18">
        <f>IF($B180="",0,SUMIFS('Hareketler'!$M$5:$M$1004,'Hareketler'!$D$5:$D$1004,$B180,'Hareketler'!$C$5:$C$1004,"Satış"))</f>
      </c>
      <c r="G180" s="18">
        <f>IF($B180="",0,SUMIFS('Hareketler'!$M$5:$M$1004,'Hareketler'!$D$5:$D$1004,$B180,'Hareketler'!$C$5:$C$1004,"Alış"))</f>
      </c>
      <c r="H180" s="26">
        <f>IF($B180="","",$E180+$F180-$G180)</f>
      </c>
    </row>
    <row r="181" spans="2:8" x14ac:dyDescent="0.25">
      <c r="B181" s="16">
        <f>IF('Cari Kartlar'!B181="","",'Cari Kartlar'!B181)</f>
      </c>
      <c r="C181" s="16">
        <f>IF('Cari Kartlar'!C181="","",'Cari Kartlar'!C181)</f>
      </c>
      <c r="D181" s="16">
        <f>IF('Cari Kartlar'!D181="","",'Cari Kartlar'!D181)</f>
      </c>
      <c r="E181" s="18">
        <f>IF('Cari Kartlar'!H181="",0,'Cari Kartlar'!H181)</f>
      </c>
      <c r="F181" s="18">
        <f>IF($B181="",0,SUMIFS('Hareketler'!$M$5:$M$1004,'Hareketler'!$D$5:$D$1004,$B181,'Hareketler'!$C$5:$C$1004,"Satış"))</f>
      </c>
      <c r="G181" s="18">
        <f>IF($B181="",0,SUMIFS('Hareketler'!$M$5:$M$1004,'Hareketler'!$D$5:$D$1004,$B181,'Hareketler'!$C$5:$C$1004,"Alış"))</f>
      </c>
      <c r="H181" s="26">
        <f>IF($B181="","",$E181+$F181-$G181)</f>
      </c>
    </row>
    <row r="182" spans="2:8" x14ac:dyDescent="0.25">
      <c r="B182" s="16">
        <f>IF('Cari Kartlar'!B182="","",'Cari Kartlar'!B182)</f>
      </c>
      <c r="C182" s="16">
        <f>IF('Cari Kartlar'!C182="","",'Cari Kartlar'!C182)</f>
      </c>
      <c r="D182" s="16">
        <f>IF('Cari Kartlar'!D182="","",'Cari Kartlar'!D182)</f>
      </c>
      <c r="E182" s="18">
        <f>IF('Cari Kartlar'!H182="",0,'Cari Kartlar'!H182)</f>
      </c>
      <c r="F182" s="18">
        <f>IF($B182="",0,SUMIFS('Hareketler'!$M$5:$M$1004,'Hareketler'!$D$5:$D$1004,$B182,'Hareketler'!$C$5:$C$1004,"Satış"))</f>
      </c>
      <c r="G182" s="18">
        <f>IF($B182="",0,SUMIFS('Hareketler'!$M$5:$M$1004,'Hareketler'!$D$5:$D$1004,$B182,'Hareketler'!$C$5:$C$1004,"Alış"))</f>
      </c>
      <c r="H182" s="26">
        <f>IF($B182="","",$E182+$F182-$G182)</f>
      </c>
    </row>
    <row r="183" spans="2:8" x14ac:dyDescent="0.25">
      <c r="B183" s="16">
        <f>IF('Cari Kartlar'!B183="","",'Cari Kartlar'!B183)</f>
      </c>
      <c r="C183" s="16">
        <f>IF('Cari Kartlar'!C183="","",'Cari Kartlar'!C183)</f>
      </c>
      <c r="D183" s="16">
        <f>IF('Cari Kartlar'!D183="","",'Cari Kartlar'!D183)</f>
      </c>
      <c r="E183" s="18">
        <f>IF('Cari Kartlar'!H183="",0,'Cari Kartlar'!H183)</f>
      </c>
      <c r="F183" s="18">
        <f>IF($B183="",0,SUMIFS('Hareketler'!$M$5:$M$1004,'Hareketler'!$D$5:$D$1004,$B183,'Hareketler'!$C$5:$C$1004,"Satış"))</f>
      </c>
      <c r="G183" s="18">
        <f>IF($B183="",0,SUMIFS('Hareketler'!$M$5:$M$1004,'Hareketler'!$D$5:$D$1004,$B183,'Hareketler'!$C$5:$C$1004,"Alış"))</f>
      </c>
      <c r="H183" s="26">
        <f>IF($B183="","",$E183+$F183-$G183)</f>
      </c>
    </row>
    <row r="184" spans="2:8" x14ac:dyDescent="0.25">
      <c r="B184" s="16">
        <f>IF('Cari Kartlar'!B184="","",'Cari Kartlar'!B184)</f>
      </c>
      <c r="C184" s="16">
        <f>IF('Cari Kartlar'!C184="","",'Cari Kartlar'!C184)</f>
      </c>
      <c r="D184" s="16">
        <f>IF('Cari Kartlar'!D184="","",'Cari Kartlar'!D184)</f>
      </c>
      <c r="E184" s="18">
        <f>IF('Cari Kartlar'!H184="",0,'Cari Kartlar'!H184)</f>
      </c>
      <c r="F184" s="18">
        <f>IF($B184="",0,SUMIFS('Hareketler'!$M$5:$M$1004,'Hareketler'!$D$5:$D$1004,$B184,'Hareketler'!$C$5:$C$1004,"Satış"))</f>
      </c>
      <c r="G184" s="18">
        <f>IF($B184="",0,SUMIFS('Hareketler'!$M$5:$M$1004,'Hareketler'!$D$5:$D$1004,$B184,'Hareketler'!$C$5:$C$1004,"Alış"))</f>
      </c>
      <c r="H184" s="26">
        <f>IF($B184="","",$E184+$F184-$G184)</f>
      </c>
    </row>
    <row r="185" spans="2:8" x14ac:dyDescent="0.25">
      <c r="B185" s="16">
        <f>IF('Cari Kartlar'!B185="","",'Cari Kartlar'!B185)</f>
      </c>
      <c r="C185" s="16">
        <f>IF('Cari Kartlar'!C185="","",'Cari Kartlar'!C185)</f>
      </c>
      <c r="D185" s="16">
        <f>IF('Cari Kartlar'!D185="","",'Cari Kartlar'!D185)</f>
      </c>
      <c r="E185" s="18">
        <f>IF('Cari Kartlar'!H185="",0,'Cari Kartlar'!H185)</f>
      </c>
      <c r="F185" s="18">
        <f>IF($B185="",0,SUMIFS('Hareketler'!$M$5:$M$1004,'Hareketler'!$D$5:$D$1004,$B185,'Hareketler'!$C$5:$C$1004,"Satış"))</f>
      </c>
      <c r="G185" s="18">
        <f>IF($B185="",0,SUMIFS('Hareketler'!$M$5:$M$1004,'Hareketler'!$D$5:$D$1004,$B185,'Hareketler'!$C$5:$C$1004,"Alış"))</f>
      </c>
      <c r="H185" s="26">
        <f>IF($B185="","",$E185+$F185-$G185)</f>
      </c>
    </row>
    <row r="186" spans="2:8" x14ac:dyDescent="0.25">
      <c r="B186" s="16">
        <f>IF('Cari Kartlar'!B186="","",'Cari Kartlar'!B186)</f>
      </c>
      <c r="C186" s="16">
        <f>IF('Cari Kartlar'!C186="","",'Cari Kartlar'!C186)</f>
      </c>
      <c r="D186" s="16">
        <f>IF('Cari Kartlar'!D186="","",'Cari Kartlar'!D186)</f>
      </c>
      <c r="E186" s="18">
        <f>IF('Cari Kartlar'!H186="",0,'Cari Kartlar'!H186)</f>
      </c>
      <c r="F186" s="18">
        <f>IF($B186="",0,SUMIFS('Hareketler'!$M$5:$M$1004,'Hareketler'!$D$5:$D$1004,$B186,'Hareketler'!$C$5:$C$1004,"Satış"))</f>
      </c>
      <c r="G186" s="18">
        <f>IF($B186="",0,SUMIFS('Hareketler'!$M$5:$M$1004,'Hareketler'!$D$5:$D$1004,$B186,'Hareketler'!$C$5:$C$1004,"Alış"))</f>
      </c>
      <c r="H186" s="26">
        <f>IF($B186="","",$E186+$F186-$G186)</f>
      </c>
    </row>
    <row r="187" spans="2:8" x14ac:dyDescent="0.25">
      <c r="B187" s="16">
        <f>IF('Cari Kartlar'!B187="","",'Cari Kartlar'!B187)</f>
      </c>
      <c r="C187" s="16">
        <f>IF('Cari Kartlar'!C187="","",'Cari Kartlar'!C187)</f>
      </c>
      <c r="D187" s="16">
        <f>IF('Cari Kartlar'!D187="","",'Cari Kartlar'!D187)</f>
      </c>
      <c r="E187" s="18">
        <f>IF('Cari Kartlar'!H187="",0,'Cari Kartlar'!H187)</f>
      </c>
      <c r="F187" s="18">
        <f>IF($B187="",0,SUMIFS('Hareketler'!$M$5:$M$1004,'Hareketler'!$D$5:$D$1004,$B187,'Hareketler'!$C$5:$C$1004,"Satış"))</f>
      </c>
      <c r="G187" s="18">
        <f>IF($B187="",0,SUMIFS('Hareketler'!$M$5:$M$1004,'Hareketler'!$D$5:$D$1004,$B187,'Hareketler'!$C$5:$C$1004,"Alış"))</f>
      </c>
      <c r="H187" s="26">
        <f>IF($B187="","",$E187+$F187-$G187)</f>
      </c>
    </row>
    <row r="188" spans="2:8" x14ac:dyDescent="0.25">
      <c r="B188" s="16">
        <f>IF('Cari Kartlar'!B188="","",'Cari Kartlar'!B188)</f>
      </c>
      <c r="C188" s="16">
        <f>IF('Cari Kartlar'!C188="","",'Cari Kartlar'!C188)</f>
      </c>
      <c r="D188" s="16">
        <f>IF('Cari Kartlar'!D188="","",'Cari Kartlar'!D188)</f>
      </c>
      <c r="E188" s="18">
        <f>IF('Cari Kartlar'!H188="",0,'Cari Kartlar'!H188)</f>
      </c>
      <c r="F188" s="18">
        <f>IF($B188="",0,SUMIFS('Hareketler'!$M$5:$M$1004,'Hareketler'!$D$5:$D$1004,$B188,'Hareketler'!$C$5:$C$1004,"Satış"))</f>
      </c>
      <c r="G188" s="18">
        <f>IF($B188="",0,SUMIFS('Hareketler'!$M$5:$M$1004,'Hareketler'!$D$5:$D$1004,$B188,'Hareketler'!$C$5:$C$1004,"Alış"))</f>
      </c>
      <c r="H188" s="26">
        <f>IF($B188="","",$E188+$F188-$G188)</f>
      </c>
    </row>
    <row r="189" spans="2:8" x14ac:dyDescent="0.25">
      <c r="B189" s="16">
        <f>IF('Cari Kartlar'!B189="","",'Cari Kartlar'!B189)</f>
      </c>
      <c r="C189" s="16">
        <f>IF('Cari Kartlar'!C189="","",'Cari Kartlar'!C189)</f>
      </c>
      <c r="D189" s="16">
        <f>IF('Cari Kartlar'!D189="","",'Cari Kartlar'!D189)</f>
      </c>
      <c r="E189" s="18">
        <f>IF('Cari Kartlar'!H189="",0,'Cari Kartlar'!H189)</f>
      </c>
      <c r="F189" s="18">
        <f>IF($B189="",0,SUMIFS('Hareketler'!$M$5:$M$1004,'Hareketler'!$D$5:$D$1004,$B189,'Hareketler'!$C$5:$C$1004,"Satış"))</f>
      </c>
      <c r="G189" s="18">
        <f>IF($B189="",0,SUMIFS('Hareketler'!$M$5:$M$1004,'Hareketler'!$D$5:$D$1004,$B189,'Hareketler'!$C$5:$C$1004,"Alış"))</f>
      </c>
      <c r="H189" s="26">
        <f>IF($B189="","",$E189+$F189-$G189)</f>
      </c>
    </row>
    <row r="190" spans="2:8" x14ac:dyDescent="0.25">
      <c r="B190" s="16">
        <f>IF('Cari Kartlar'!B190="","",'Cari Kartlar'!B190)</f>
      </c>
      <c r="C190" s="16">
        <f>IF('Cari Kartlar'!C190="","",'Cari Kartlar'!C190)</f>
      </c>
      <c r="D190" s="16">
        <f>IF('Cari Kartlar'!D190="","",'Cari Kartlar'!D190)</f>
      </c>
      <c r="E190" s="18">
        <f>IF('Cari Kartlar'!H190="",0,'Cari Kartlar'!H190)</f>
      </c>
      <c r="F190" s="18">
        <f>IF($B190="",0,SUMIFS('Hareketler'!$M$5:$M$1004,'Hareketler'!$D$5:$D$1004,$B190,'Hareketler'!$C$5:$C$1004,"Satış"))</f>
      </c>
      <c r="G190" s="18">
        <f>IF($B190="",0,SUMIFS('Hareketler'!$M$5:$M$1004,'Hareketler'!$D$5:$D$1004,$B190,'Hareketler'!$C$5:$C$1004,"Alış"))</f>
      </c>
      <c r="H190" s="26">
        <f>IF($B190="","",$E190+$F190-$G190)</f>
      </c>
    </row>
    <row r="191" spans="2:8" x14ac:dyDescent="0.25">
      <c r="B191" s="16">
        <f>IF('Cari Kartlar'!B191="","",'Cari Kartlar'!B191)</f>
      </c>
      <c r="C191" s="16">
        <f>IF('Cari Kartlar'!C191="","",'Cari Kartlar'!C191)</f>
      </c>
      <c r="D191" s="16">
        <f>IF('Cari Kartlar'!D191="","",'Cari Kartlar'!D191)</f>
      </c>
      <c r="E191" s="18">
        <f>IF('Cari Kartlar'!H191="",0,'Cari Kartlar'!H191)</f>
      </c>
      <c r="F191" s="18">
        <f>IF($B191="",0,SUMIFS('Hareketler'!$M$5:$M$1004,'Hareketler'!$D$5:$D$1004,$B191,'Hareketler'!$C$5:$C$1004,"Satış"))</f>
      </c>
      <c r="G191" s="18">
        <f>IF($B191="",0,SUMIFS('Hareketler'!$M$5:$M$1004,'Hareketler'!$D$5:$D$1004,$B191,'Hareketler'!$C$5:$C$1004,"Alış"))</f>
      </c>
      <c r="H191" s="26">
        <f>IF($B191="","",$E191+$F191-$G191)</f>
      </c>
    </row>
    <row r="192" spans="2:8" x14ac:dyDescent="0.25">
      <c r="B192" s="16">
        <f>IF('Cari Kartlar'!B192="","",'Cari Kartlar'!B192)</f>
      </c>
      <c r="C192" s="16">
        <f>IF('Cari Kartlar'!C192="","",'Cari Kartlar'!C192)</f>
      </c>
      <c r="D192" s="16">
        <f>IF('Cari Kartlar'!D192="","",'Cari Kartlar'!D192)</f>
      </c>
      <c r="E192" s="18">
        <f>IF('Cari Kartlar'!H192="",0,'Cari Kartlar'!H192)</f>
      </c>
      <c r="F192" s="18">
        <f>IF($B192="",0,SUMIFS('Hareketler'!$M$5:$M$1004,'Hareketler'!$D$5:$D$1004,$B192,'Hareketler'!$C$5:$C$1004,"Satış"))</f>
      </c>
      <c r="G192" s="18">
        <f>IF($B192="",0,SUMIFS('Hareketler'!$M$5:$M$1004,'Hareketler'!$D$5:$D$1004,$B192,'Hareketler'!$C$5:$C$1004,"Alış"))</f>
      </c>
      <c r="H192" s="26">
        <f>IF($B192="","",$E192+$F192-$G192)</f>
      </c>
    </row>
    <row r="193" spans="2:8" x14ac:dyDescent="0.25">
      <c r="B193" s="16">
        <f>IF('Cari Kartlar'!B193="","",'Cari Kartlar'!B193)</f>
      </c>
      <c r="C193" s="16">
        <f>IF('Cari Kartlar'!C193="","",'Cari Kartlar'!C193)</f>
      </c>
      <c r="D193" s="16">
        <f>IF('Cari Kartlar'!D193="","",'Cari Kartlar'!D193)</f>
      </c>
      <c r="E193" s="18">
        <f>IF('Cari Kartlar'!H193="",0,'Cari Kartlar'!H193)</f>
      </c>
      <c r="F193" s="18">
        <f>IF($B193="",0,SUMIFS('Hareketler'!$M$5:$M$1004,'Hareketler'!$D$5:$D$1004,$B193,'Hareketler'!$C$5:$C$1004,"Satış"))</f>
      </c>
      <c r="G193" s="18">
        <f>IF($B193="",0,SUMIFS('Hareketler'!$M$5:$M$1004,'Hareketler'!$D$5:$D$1004,$B193,'Hareketler'!$C$5:$C$1004,"Alış"))</f>
      </c>
      <c r="H193" s="26">
        <f>IF($B193="","",$E193+$F193-$G193)</f>
      </c>
    </row>
    <row r="194" spans="2:8" x14ac:dyDescent="0.25">
      <c r="B194" s="16">
        <f>IF('Cari Kartlar'!B194="","",'Cari Kartlar'!B194)</f>
      </c>
      <c r="C194" s="16">
        <f>IF('Cari Kartlar'!C194="","",'Cari Kartlar'!C194)</f>
      </c>
      <c r="D194" s="16">
        <f>IF('Cari Kartlar'!D194="","",'Cari Kartlar'!D194)</f>
      </c>
      <c r="E194" s="18">
        <f>IF('Cari Kartlar'!H194="",0,'Cari Kartlar'!H194)</f>
      </c>
      <c r="F194" s="18">
        <f>IF($B194="",0,SUMIFS('Hareketler'!$M$5:$M$1004,'Hareketler'!$D$5:$D$1004,$B194,'Hareketler'!$C$5:$C$1004,"Satış"))</f>
      </c>
      <c r="G194" s="18">
        <f>IF($B194="",0,SUMIFS('Hareketler'!$M$5:$M$1004,'Hareketler'!$D$5:$D$1004,$B194,'Hareketler'!$C$5:$C$1004,"Alış"))</f>
      </c>
      <c r="H194" s="26">
        <f>IF($B194="","",$E194+$F194-$G194)</f>
      </c>
    </row>
    <row r="195" spans="2:8" x14ac:dyDescent="0.25">
      <c r="B195" s="16">
        <f>IF('Cari Kartlar'!B195="","",'Cari Kartlar'!B195)</f>
      </c>
      <c r="C195" s="16">
        <f>IF('Cari Kartlar'!C195="","",'Cari Kartlar'!C195)</f>
      </c>
      <c r="D195" s="16">
        <f>IF('Cari Kartlar'!D195="","",'Cari Kartlar'!D195)</f>
      </c>
      <c r="E195" s="18">
        <f>IF('Cari Kartlar'!H195="",0,'Cari Kartlar'!H195)</f>
      </c>
      <c r="F195" s="18">
        <f>IF($B195="",0,SUMIFS('Hareketler'!$M$5:$M$1004,'Hareketler'!$D$5:$D$1004,$B195,'Hareketler'!$C$5:$C$1004,"Satış"))</f>
      </c>
      <c r="G195" s="18">
        <f>IF($B195="",0,SUMIFS('Hareketler'!$M$5:$M$1004,'Hareketler'!$D$5:$D$1004,$B195,'Hareketler'!$C$5:$C$1004,"Alış"))</f>
      </c>
      <c r="H195" s="26">
        <f>IF($B195="","",$E195+$F195-$G195)</f>
      </c>
    </row>
    <row r="196" spans="2:8" x14ac:dyDescent="0.25">
      <c r="B196" s="16">
        <f>IF('Cari Kartlar'!B196="","",'Cari Kartlar'!B196)</f>
      </c>
      <c r="C196" s="16">
        <f>IF('Cari Kartlar'!C196="","",'Cari Kartlar'!C196)</f>
      </c>
      <c r="D196" s="16">
        <f>IF('Cari Kartlar'!D196="","",'Cari Kartlar'!D196)</f>
      </c>
      <c r="E196" s="18">
        <f>IF('Cari Kartlar'!H196="",0,'Cari Kartlar'!H196)</f>
      </c>
      <c r="F196" s="18">
        <f>IF($B196="",0,SUMIFS('Hareketler'!$M$5:$M$1004,'Hareketler'!$D$5:$D$1004,$B196,'Hareketler'!$C$5:$C$1004,"Satış"))</f>
      </c>
      <c r="G196" s="18">
        <f>IF($B196="",0,SUMIFS('Hareketler'!$M$5:$M$1004,'Hareketler'!$D$5:$D$1004,$B196,'Hareketler'!$C$5:$C$1004,"Alış"))</f>
      </c>
      <c r="H196" s="26">
        <f>IF($B196="","",$E196+$F196-$G196)</f>
      </c>
    </row>
    <row r="197" spans="2:8" x14ac:dyDescent="0.25">
      <c r="B197" s="16">
        <f>IF('Cari Kartlar'!B197="","",'Cari Kartlar'!B197)</f>
      </c>
      <c r="C197" s="16">
        <f>IF('Cari Kartlar'!C197="","",'Cari Kartlar'!C197)</f>
      </c>
      <c r="D197" s="16">
        <f>IF('Cari Kartlar'!D197="","",'Cari Kartlar'!D197)</f>
      </c>
      <c r="E197" s="18">
        <f>IF('Cari Kartlar'!H197="",0,'Cari Kartlar'!H197)</f>
      </c>
      <c r="F197" s="18">
        <f>IF($B197="",0,SUMIFS('Hareketler'!$M$5:$M$1004,'Hareketler'!$D$5:$D$1004,$B197,'Hareketler'!$C$5:$C$1004,"Satış"))</f>
      </c>
      <c r="G197" s="18">
        <f>IF($B197="",0,SUMIFS('Hareketler'!$M$5:$M$1004,'Hareketler'!$D$5:$D$1004,$B197,'Hareketler'!$C$5:$C$1004,"Alış"))</f>
      </c>
      <c r="H197" s="26">
        <f>IF($B197="","",$E197+$F197-$G197)</f>
      </c>
    </row>
    <row r="198" spans="2:8" x14ac:dyDescent="0.25">
      <c r="B198" s="16">
        <f>IF('Cari Kartlar'!B198="","",'Cari Kartlar'!B198)</f>
      </c>
      <c r="C198" s="16">
        <f>IF('Cari Kartlar'!C198="","",'Cari Kartlar'!C198)</f>
      </c>
      <c r="D198" s="16">
        <f>IF('Cari Kartlar'!D198="","",'Cari Kartlar'!D198)</f>
      </c>
      <c r="E198" s="18">
        <f>IF('Cari Kartlar'!H198="",0,'Cari Kartlar'!H198)</f>
      </c>
      <c r="F198" s="18">
        <f>IF($B198="",0,SUMIFS('Hareketler'!$M$5:$M$1004,'Hareketler'!$D$5:$D$1004,$B198,'Hareketler'!$C$5:$C$1004,"Satış"))</f>
      </c>
      <c r="G198" s="18">
        <f>IF($B198="",0,SUMIFS('Hareketler'!$M$5:$M$1004,'Hareketler'!$D$5:$D$1004,$B198,'Hareketler'!$C$5:$C$1004,"Alış"))</f>
      </c>
      <c r="H198" s="26">
        <f>IF($B198="","",$E198+$F198-$G198)</f>
      </c>
    </row>
    <row r="199" spans="2:8" x14ac:dyDescent="0.25">
      <c r="B199" s="16">
        <f>IF('Cari Kartlar'!B199="","",'Cari Kartlar'!B199)</f>
      </c>
      <c r="C199" s="16">
        <f>IF('Cari Kartlar'!C199="","",'Cari Kartlar'!C199)</f>
      </c>
      <c r="D199" s="16">
        <f>IF('Cari Kartlar'!D199="","",'Cari Kartlar'!D199)</f>
      </c>
      <c r="E199" s="18">
        <f>IF('Cari Kartlar'!H199="",0,'Cari Kartlar'!H199)</f>
      </c>
      <c r="F199" s="18">
        <f>IF($B199="",0,SUMIFS('Hareketler'!$M$5:$M$1004,'Hareketler'!$D$5:$D$1004,$B199,'Hareketler'!$C$5:$C$1004,"Satış"))</f>
      </c>
      <c r="G199" s="18">
        <f>IF($B199="",0,SUMIFS('Hareketler'!$M$5:$M$1004,'Hareketler'!$D$5:$D$1004,$B199,'Hareketler'!$C$5:$C$1004,"Alış"))</f>
      </c>
      <c r="H199" s="26">
        <f>IF($B199="","",$E199+$F199-$G199)</f>
      </c>
    </row>
    <row r="200" spans="2:8" x14ac:dyDescent="0.25">
      <c r="B200" s="16">
        <f>IF('Cari Kartlar'!B200="","",'Cari Kartlar'!B200)</f>
      </c>
      <c r="C200" s="16">
        <f>IF('Cari Kartlar'!C200="","",'Cari Kartlar'!C200)</f>
      </c>
      <c r="D200" s="16">
        <f>IF('Cari Kartlar'!D200="","",'Cari Kartlar'!D200)</f>
      </c>
      <c r="E200" s="18">
        <f>IF('Cari Kartlar'!H200="",0,'Cari Kartlar'!H200)</f>
      </c>
      <c r="F200" s="18">
        <f>IF($B200="",0,SUMIFS('Hareketler'!$M$5:$M$1004,'Hareketler'!$D$5:$D$1004,$B200,'Hareketler'!$C$5:$C$1004,"Satış"))</f>
      </c>
      <c r="G200" s="18">
        <f>IF($B200="",0,SUMIFS('Hareketler'!$M$5:$M$1004,'Hareketler'!$D$5:$D$1004,$B200,'Hareketler'!$C$5:$C$1004,"Alış"))</f>
      </c>
      <c r="H200" s="26">
        <f>IF($B200="","",$E200+$F200-$G200)</f>
      </c>
    </row>
    <row r="201" spans="2:8" x14ac:dyDescent="0.25">
      <c r="B201" s="16">
        <f>IF('Cari Kartlar'!B201="","",'Cari Kartlar'!B201)</f>
      </c>
      <c r="C201" s="16">
        <f>IF('Cari Kartlar'!C201="","",'Cari Kartlar'!C201)</f>
      </c>
      <c r="D201" s="16">
        <f>IF('Cari Kartlar'!D201="","",'Cari Kartlar'!D201)</f>
      </c>
      <c r="E201" s="18">
        <f>IF('Cari Kartlar'!H201="",0,'Cari Kartlar'!H201)</f>
      </c>
      <c r="F201" s="18">
        <f>IF($B201="",0,SUMIFS('Hareketler'!$M$5:$M$1004,'Hareketler'!$D$5:$D$1004,$B201,'Hareketler'!$C$5:$C$1004,"Satış"))</f>
      </c>
      <c r="G201" s="18">
        <f>IF($B201="",0,SUMIFS('Hareketler'!$M$5:$M$1004,'Hareketler'!$D$5:$D$1004,$B201,'Hareketler'!$C$5:$C$1004,"Alış"))</f>
      </c>
      <c r="H201" s="26">
        <f>IF($B201="","",$E201+$F201-$G201)</f>
      </c>
    </row>
    <row r="202" spans="2:8" x14ac:dyDescent="0.25">
      <c r="B202" s="16">
        <f>IF('Cari Kartlar'!B202="","",'Cari Kartlar'!B202)</f>
      </c>
      <c r="C202" s="16">
        <f>IF('Cari Kartlar'!C202="","",'Cari Kartlar'!C202)</f>
      </c>
      <c r="D202" s="16">
        <f>IF('Cari Kartlar'!D202="","",'Cari Kartlar'!D202)</f>
      </c>
      <c r="E202" s="18">
        <f>IF('Cari Kartlar'!H202="",0,'Cari Kartlar'!H202)</f>
      </c>
      <c r="F202" s="18">
        <f>IF($B202="",0,SUMIFS('Hareketler'!$M$5:$M$1004,'Hareketler'!$D$5:$D$1004,$B202,'Hareketler'!$C$5:$C$1004,"Satış"))</f>
      </c>
      <c r="G202" s="18">
        <f>IF($B202="",0,SUMIFS('Hareketler'!$M$5:$M$1004,'Hareketler'!$D$5:$D$1004,$B202,'Hareketler'!$C$5:$C$1004,"Alış"))</f>
      </c>
      <c r="H202" s="26">
        <f>IF($B202="","",$E202+$F202-$G202)</f>
      </c>
    </row>
    <row r="203" spans="2:8" x14ac:dyDescent="0.25">
      <c r="B203" s="16">
        <f>IF('Cari Kartlar'!B203="","",'Cari Kartlar'!B203)</f>
      </c>
      <c r="C203" s="16">
        <f>IF('Cari Kartlar'!C203="","",'Cari Kartlar'!C203)</f>
      </c>
      <c r="D203" s="16">
        <f>IF('Cari Kartlar'!D203="","",'Cari Kartlar'!D203)</f>
      </c>
      <c r="E203" s="18">
        <f>IF('Cari Kartlar'!H203="",0,'Cari Kartlar'!H203)</f>
      </c>
      <c r="F203" s="18">
        <f>IF($B203="",0,SUMIFS('Hareketler'!$M$5:$M$1004,'Hareketler'!$D$5:$D$1004,$B203,'Hareketler'!$C$5:$C$1004,"Satış"))</f>
      </c>
      <c r="G203" s="18">
        <f>IF($B203="",0,SUMIFS('Hareketler'!$M$5:$M$1004,'Hareketler'!$D$5:$D$1004,$B203,'Hareketler'!$C$5:$C$1004,"Alış"))</f>
      </c>
      <c r="H203" s="26">
        <f>IF($B203="","",$E203+$F203-$G203)</f>
      </c>
    </row>
    <row r="204" spans="2:8" x14ac:dyDescent="0.25">
      <c r="B204" s="16">
        <f>IF('Cari Kartlar'!B204="","",'Cari Kartlar'!B204)</f>
      </c>
      <c r="C204" s="16">
        <f>IF('Cari Kartlar'!C204="","",'Cari Kartlar'!C204)</f>
      </c>
      <c r="D204" s="16">
        <f>IF('Cari Kartlar'!D204="","",'Cari Kartlar'!D204)</f>
      </c>
      <c r="E204" s="18">
        <f>IF('Cari Kartlar'!H204="",0,'Cari Kartlar'!H204)</f>
      </c>
      <c r="F204" s="18">
        <f>IF($B204="",0,SUMIFS('Hareketler'!$M$5:$M$1004,'Hareketler'!$D$5:$D$1004,$B204,'Hareketler'!$C$5:$C$1004,"Satış"))</f>
      </c>
      <c r="G204" s="18">
        <f>IF($B204="",0,SUMIFS('Hareketler'!$M$5:$M$1004,'Hareketler'!$D$5:$D$1004,$B204,'Hareketler'!$C$5:$C$1004,"Alış"))</f>
      </c>
      <c r="H204" s="26">
        <f>IF($B204="","",$E204+$F204-$G204)</f>
      </c>
    </row>
  </sheetData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66534"/>
  </sheetPr>
  <dimension ref="A1:F26"/>
  <sheetFormatPr defaultRowHeight="15" outlineLevelRow="0" outlineLevelCol="0" x14ac:dyDescent="55"/>
  <cols>
    <col min="1" max="1" width="3" customWidth="1"/>
    <col min="2" max="2" width="26" customWidth="1"/>
    <col min="3" max="3" width="20" customWidth="1"/>
    <col min="4" max="4" width="4" customWidth="1"/>
    <col min="5" max="5" width="26" customWidth="1"/>
    <col min="6" max="6" width="20" customWidth="1"/>
  </cols>
  <sheetData>
    <row r="1" ht="34" customHeight="1" spans="1:6" x14ac:dyDescent="0.25">
      <c r="A1" s="1" t="s">
        <v>122</v>
      </c>
      <c r="B1" s="1"/>
      <c r="C1" s="1"/>
      <c r="D1" s="1"/>
      <c r="E1" s="1"/>
      <c r="F1" s="1"/>
    </row>
    <row r="2" ht="20" customHeight="1" spans="1:6" x14ac:dyDescent="0.25">
      <c r="A2" s="2" t="s">
        <v>123</v>
      </c>
      <c r="B2" s="2"/>
      <c r="C2" s="2"/>
      <c r="D2" s="2"/>
      <c r="E2" s="2"/>
      <c r="F2" s="2"/>
    </row>
    <row r="4" spans="2:6" x14ac:dyDescent="0.25">
      <c r="B4" s="27" t="s">
        <v>124</v>
      </c>
      <c r="C4" s="28">
        <f>SUMIF('Hareketler'!$C$5:$C$1004,"Satış",'Hareketler'!$K$5:$K$1004)</f>
      </c>
      <c r="E4" s="27" t="s">
        <v>125</v>
      </c>
      <c r="F4" s="28">
        <f>SUMIF('Hareketler'!$C$5:$C$1004,"Satış",'Hareketler'!$L$5:$L$1004)</f>
      </c>
    </row>
    <row r="5" spans="2:6" x14ac:dyDescent="0.25">
      <c r="B5" s="27" t="s">
        <v>126</v>
      </c>
      <c r="C5" s="28">
        <f>SUMIF('Hareketler'!$C$5:$C$1004,"Alış",'Hareketler'!$K$5:$K$1004)</f>
      </c>
      <c r="E5" s="27" t="s">
        <v>127</v>
      </c>
      <c r="F5" s="28">
        <f>SUMIF('Hareketler'!$C$5:$C$1004,"Alış",'Hareketler'!$L$5:$L$1004)</f>
      </c>
    </row>
    <row r="6" spans="2:6" x14ac:dyDescent="0.25">
      <c r="B6" s="27" t="s">
        <v>128</v>
      </c>
      <c r="C6" s="28">
        <f>C4-C5</f>
      </c>
      <c r="E6" s="27" t="s">
        <v>129</v>
      </c>
      <c r="F6" s="28">
        <f>F4-F5</f>
      </c>
    </row>
    <row r="7" spans="2:6" x14ac:dyDescent="0.25">
      <c r="B7" s="27" t="s">
        <v>130</v>
      </c>
      <c r="C7" s="29">
        <f>IF(C4=0,0,C6/C4)</f>
      </c>
      <c r="E7" s="27" t="s">
        <v>131</v>
      </c>
      <c r="F7" s="30">
        <f>COUNTA('Hareketler'!$B$5:$B$1004)</f>
      </c>
    </row>
    <row r="9" spans="2:6" x14ac:dyDescent="0.25">
      <c r="B9" s="27" t="s">
        <v>132</v>
      </c>
      <c r="C9" s="28">
        <f>SUMIF('Cari Ekstre'!$H$5:$H$204,"&gt;0")</f>
      </c>
      <c r="E9" s="27" t="s">
        <v>133</v>
      </c>
      <c r="F9" s="30">
        <f>COUNTIF('Stok Durumu'!$J$5:$J$204,"KRİTİK")</f>
      </c>
    </row>
    <row r="10" spans="2:6" x14ac:dyDescent="0.25">
      <c r="B10" s="27" t="s">
        <v>134</v>
      </c>
      <c r="C10" s="28">
        <f>ABS(SUMIF('Cari Ekstre'!$H$5:$H$204,"&lt;0"))</f>
      </c>
      <c r="E10" s="27" t="s">
        <v>135</v>
      </c>
      <c r="F10" s="30">
        <f>COUNTIF('Stok Durumu'!$J$5:$J$204,"STOK YOK")</f>
      </c>
    </row>
    <row r="12" spans="2:2" x14ac:dyDescent="0.25">
      <c r="B12" s="3" t="s">
        <v>136</v>
      </c>
    </row>
    <row r="13" ht="30" customHeight="1" spans="2:4" x14ac:dyDescent="0.25">
      <c r="B13" s="9" t="s">
        <v>30</v>
      </c>
      <c r="C13" s="9" t="s">
        <v>137</v>
      </c>
      <c r="D13" s="9" t="s">
        <v>138</v>
      </c>
    </row>
    <row r="14" spans="3:4" x14ac:dyDescent="0.25">
      <c r="C14" s="16">
        <f>IFERROR(INDEX('Cari Ekstre'!$C$5:$C$204,MATCH(LARGE('Cari Ekstre'!$F$5:$F$204,1),'Cari Ekstre'!$F$5:$F$204,0)),"")</f>
      </c>
      <c r="D14" s="18">
        <f>IFERROR(LARGE('Cari Ekstre'!$F$5:$F$204,1),"")</f>
      </c>
    </row>
    <row r="15" spans="3:4" x14ac:dyDescent="0.25">
      <c r="C15" s="16">
        <f>IFERROR(INDEX('Cari Ekstre'!$C$5:$C$204,MATCH(LARGE('Cari Ekstre'!$F$5:$F$204,2),'Cari Ekstre'!$F$5:$F$204,0)),"")</f>
      </c>
      <c r="D15" s="18">
        <f>IFERROR(LARGE('Cari Ekstre'!$F$5:$F$204,2),"")</f>
      </c>
    </row>
    <row r="16" spans="3:4" x14ac:dyDescent="0.25">
      <c r="C16" s="16">
        <f>IFERROR(INDEX('Cari Ekstre'!$C$5:$C$204,MATCH(LARGE('Cari Ekstre'!$F$5:$F$204,3),'Cari Ekstre'!$F$5:$F$204,0)),"")</f>
      </c>
      <c r="D16" s="18">
        <f>IFERROR(LARGE('Cari Ekstre'!$F$5:$F$204,3),"")</f>
      </c>
    </row>
    <row r="17" spans="3:4" x14ac:dyDescent="0.25">
      <c r="C17" s="16">
        <f>IFERROR(INDEX('Cari Ekstre'!$C$5:$C$204,MATCH(LARGE('Cari Ekstre'!$F$5:$F$204,4),'Cari Ekstre'!$F$5:$F$204,0)),"")</f>
      </c>
      <c r="D17" s="18">
        <f>IFERROR(LARGE('Cari Ekstre'!$F$5:$F$204,4),"")</f>
      </c>
    </row>
    <row r="18" spans="3:4" x14ac:dyDescent="0.25">
      <c r="C18" s="16">
        <f>IFERROR(INDEX('Cari Ekstre'!$C$5:$C$204,MATCH(LARGE('Cari Ekstre'!$F$5:$F$204,5),'Cari Ekstre'!$F$5:$F$204,0)),"")</f>
      </c>
      <c r="D18" s="18">
        <f>IFERROR(LARGE('Cari Ekstre'!$F$5:$F$204,5),"")</f>
      </c>
    </row>
    <row r="19" spans="3:4" x14ac:dyDescent="0.25">
      <c r="C19" s="16">
        <f>IFERROR(INDEX('Cari Ekstre'!$C$5:$C$204,MATCH(LARGE('Cari Ekstre'!$F$5:$F$204,6),'Cari Ekstre'!$F$5:$F$204,0)),"")</f>
      </c>
      <c r="D19" s="18">
        <f>IFERROR(LARGE('Cari Ekstre'!$F$5:$F$204,6),"")</f>
      </c>
    </row>
    <row r="20" spans="3:4" x14ac:dyDescent="0.25">
      <c r="C20" s="16">
        <f>IFERROR(INDEX('Cari Ekstre'!$C$5:$C$204,MATCH(LARGE('Cari Ekstre'!$F$5:$F$204,7),'Cari Ekstre'!$F$5:$F$204,0)),"")</f>
      </c>
      <c r="D20" s="18">
        <f>IFERROR(LARGE('Cari Ekstre'!$F$5:$F$204,7),"")</f>
      </c>
    </row>
    <row r="21" spans="3:4" x14ac:dyDescent="0.25">
      <c r="C21" s="16">
        <f>IFERROR(INDEX('Cari Ekstre'!$C$5:$C$204,MATCH(LARGE('Cari Ekstre'!$F$5:$F$204,8),'Cari Ekstre'!$F$5:$F$204,0)),"")</f>
      </c>
      <c r="D21" s="18">
        <f>IFERROR(LARGE('Cari Ekstre'!$F$5:$F$204,8),"")</f>
      </c>
    </row>
    <row r="22" spans="3:4" x14ac:dyDescent="0.25">
      <c r="C22" s="16">
        <f>IFERROR(INDEX('Cari Ekstre'!$C$5:$C$204,MATCH(LARGE('Cari Ekstre'!$F$5:$F$204,9),'Cari Ekstre'!$F$5:$F$204,0)),"")</f>
      </c>
      <c r="D22" s="18">
        <f>IFERROR(LARGE('Cari Ekstre'!$F$5:$F$204,9),"")</f>
      </c>
    </row>
    <row r="23" spans="3:4" x14ac:dyDescent="0.25">
      <c r="C23" s="16">
        <f>IFERROR(INDEX('Cari Ekstre'!$C$5:$C$204,MATCH(LARGE('Cari Ekstre'!$F$5:$F$204,10),'Cari Ekstre'!$F$5:$F$204,0)),"")</f>
      </c>
      <c r="D23" s="18">
        <f>IFERROR(LARGE('Cari Ekstre'!$F$5:$F$204,10),"")</f>
      </c>
    </row>
    <row r="25" spans="2:6" x14ac:dyDescent="0.25">
      <c r="B25" s="12" t="s">
        <v>139</v>
      </c>
      <c r="C25" s="12"/>
      <c r="D25" s="12"/>
      <c r="E25" s="12"/>
      <c r="F25" s="12"/>
    </row>
    <row r="26" spans="2:6" x14ac:dyDescent="0.25">
      <c r="B26" s="12"/>
      <c r="C26" s="12"/>
      <c r="D26" s="12"/>
      <c r="E26" s="12"/>
      <c r="F26" s="12"/>
    </row>
  </sheetData>
  <mergeCells count="3">
    <mergeCell ref="A1:F1"/>
    <mergeCell ref="A2:F2"/>
    <mergeCell ref="B25:F2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Nasıl Kullanılır</vt:lpstr>
      <vt:lpstr>Ayarlar</vt:lpstr>
      <vt:lpstr>Cari Kartlar</vt:lpstr>
      <vt:lpstr>Ürün Kartlar</vt:lpstr>
      <vt:lpstr>Hareketler</vt:lpstr>
      <vt:lpstr>Stok Durumu</vt:lpstr>
      <vt:lpstr>Cari Ekstre</vt:lpstr>
      <vt:lpstr>Dashboard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MiniHesap</dc:creator>
  <dc:title/>
  <dc:subject/>
  <dc:description/>
  <cp:keywords/>
  <cp:category/>
  <cp:lastModifiedBy>Unknown</cp:lastModifiedBy>
  <dcterms:created xsi:type="dcterms:W3CDTF">2026-09-11T06:45:26Z</dcterms:created>
  <dcterms:modified xsi:type="dcterms:W3CDTF">2026-09-11T06:45:26Z</dcterms:modified>
</cp:coreProperties>
</file>