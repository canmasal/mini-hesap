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Malzeme Kartları" state="visible" r:id="rId5"/>
    <sheet sheetId="3" name="Reçeteler" state="visible" r:id="rId6"/>
    <sheet sheetId="4" name="Menü Kartları" state="visible" r:id="rId7"/>
    <sheet sheetId="5" name="Satışlar" state="visible" r:id="rId8"/>
    <sheet sheetId="6" name="Dashboard" state="visible" r:id="rId9"/>
    <sheet sheetId="7" name="Listeler" state="visible" r:id="rId10"/>
  </sheets>
  <definedNames>
    <definedName name="MalzemeKodlari">'Malzeme Kartları'!$B$5:$B$204</definedName>
    <definedName name="MenuKodlari">'Menü Kartları'!$B$5:$B$154</definedName>
    <definedName name="Kategoriler">Listeler!$B$5:$B$10</definedName>
  </definedNames>
  <calcPr calcId="171027"/>
</workbook>
</file>

<file path=xl/sharedStrings.xml><?xml version="1.0" encoding="utf-8"?>
<sst xmlns="http://schemas.openxmlformats.org/spreadsheetml/2006/main" count="127" uniqueCount="96">
  <si>
    <t>Nasıl Kullanılır?</t>
  </si>
  <si>
    <t>MiniHesap · minihesap.net</t>
  </si>
  <si>
    <t>Bu dosya ne işe yarar?</t>
  </si>
  <si>
    <t>Menünüzdeki her ürünün reçete bazlı gerçek maliyetini hesaplar. Hangi ürün kazandırıyor, hangisi zarar ettiriyor net olarak gösterir. Fire oranlarını da hesaba katar.</t>
  </si>
  <si>
    <t>Adım adım</t>
  </si>
  <si>
    <t>1. MALZEME KARTLARI sayfasına kullandığınız tüm malzemeleri girin: birim, birim fiyat ve fire oranı.</t>
  </si>
  <si>
    <t>2. REÇETELER sayfasında her menü ürünü için kullanılan malzemeleri ve miktarları yazın.</t>
  </si>
  <si>
    <t>3. MENÜ KARTLARI sayfasına ürünlerinizi ve satış fiyatlarını girin; maliyet reçeteden otomatik gelir.</t>
  </si>
  <si>
    <t>4. SATIŞLAR sayfasına günlük satış adetlerini işleyin.</t>
  </si>
  <si>
    <t>5. DASHBOARD ciro, maliyet, brüt kâr ve ortalama food cost oranınızı gösterir.</t>
  </si>
  <si>
    <t>Food cost nedir?</t>
  </si>
  <si>
    <t>Food cost = ürün maliyeti / satış fiyatı. Sektörde sağlıklı aralık %25-35'tir.</t>
  </si>
  <si>
    <t>%40'ı aşan ürünlerde ya porsiyon küçültülmeli ya fiyat artırılmalı ya da tedarikçi değiştirilmelidir.</t>
  </si>
  <si>
    <t>Fire oranı</t>
  </si>
  <si>
    <t>Fire, malzemenin kullanılamayan kısmıdır (kabuk, kemik, bozulma). Fire oranı %20 olan bir malzemenin gerçek birim maliyeti fiyatın 1/(1-0,20) katıdır.</t>
  </si>
  <si>
    <t>Fire girmezseniz maliyetiniz olduğundan düşük çıkar ve kâr yanılsaması oluşur.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</si>
  <si>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</si>
  <si>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</si>
  <si>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Malzeme Kartları</t>
  </si>
  <si>
    <t>Fire oranı girmeyi unutmayın · gerçek maliyeti etkiler</t>
  </si>
  <si>
    <t/>
  </si>
  <si>
    <t>Malzeme Kodu</t>
  </si>
  <si>
    <t>Malzeme Adı</t>
  </si>
  <si>
    <t>Birim</t>
  </si>
  <si>
    <t>Birim Fiyat</t>
  </si>
  <si>
    <t>Fire</t>
  </si>
  <si>
    <t>Fireli Birim Maliyet</t>
  </si>
  <si>
    <t>Tedarikçi</t>
  </si>
  <si>
    <t>MZ01</t>
  </si>
  <si>
    <t>Dana Kıyma</t>
  </si>
  <si>
    <t>kg</t>
  </si>
  <si>
    <t>Et Toptan</t>
  </si>
  <si>
    <t>MZ02</t>
  </si>
  <si>
    <t>Hamburger Ekmeği</t>
  </si>
  <si>
    <t>adet</t>
  </si>
  <si>
    <t>Fırın A</t>
  </si>
  <si>
    <t>MZ03</t>
  </si>
  <si>
    <t>Cheddar Peyniri</t>
  </si>
  <si>
    <t>Süt Ürünleri B</t>
  </si>
  <si>
    <t>MZ04</t>
  </si>
  <si>
    <t>Domates</t>
  </si>
  <si>
    <t>Manav C</t>
  </si>
  <si>
    <t>MZ05</t>
  </si>
  <si>
    <t>Patates</t>
  </si>
  <si>
    <t>MZ06</t>
  </si>
  <si>
    <t>Ayçiçek Yağı</t>
  </si>
  <si>
    <t>lt</t>
  </si>
  <si>
    <t>Toptan D</t>
  </si>
  <si>
    <t>Reçeteler</t>
  </si>
  <si>
    <t>Her menü ürünü için kullanılan malzemeleri satır satır girin</t>
  </si>
  <si>
    <t>Ürün Kodu</t>
  </si>
  <si>
    <t>Ürün Adı</t>
  </si>
  <si>
    <t>Miktar</t>
  </si>
  <si>
    <t>Satır Maliyeti</t>
  </si>
  <si>
    <t>MN01</t>
  </si>
  <si>
    <t>MN02</t>
  </si>
  <si>
    <t>Menü Kartları</t>
  </si>
  <si>
    <t>Maliyet reçetelerden otomatik hesaplanır</t>
  </si>
  <si>
    <t>Kategori</t>
  </si>
  <si>
    <t>Satış Fiyatı</t>
  </si>
  <si>
    <t>KDV</t>
  </si>
  <si>
    <t>Reçete Maliyeti</t>
  </si>
  <si>
    <t>Porsiyon Kârı</t>
  </si>
  <si>
    <t>Food Cost</t>
  </si>
  <si>
    <t>Durum</t>
  </si>
  <si>
    <t>Cheeseburger</t>
  </si>
  <si>
    <t>Ana Yemek</t>
  </si>
  <si>
    <t>Patates Kızartması</t>
  </si>
  <si>
    <t>Atıştırmalık</t>
  </si>
  <si>
    <t>Satışlar</t>
  </si>
  <si>
    <t>Günlük satış adetlerini işleyin</t>
  </si>
  <si>
    <t>Tarih</t>
  </si>
  <si>
    <t>Adet</t>
  </si>
  <si>
    <t>Ciro</t>
  </si>
  <si>
    <t>Maliyet</t>
  </si>
  <si>
    <t>Brüt Kâr</t>
  </si>
  <si>
    <t>Maliyet Paneli Özeti</t>
  </si>
  <si>
    <t>Satışlar ve menü kartlarından beslenir</t>
  </si>
  <si>
    <t>TOPLAM CİRO</t>
  </si>
  <si>
    <t>SATILAN TOPLAM PORSİYON</t>
  </si>
  <si>
    <t>TOPLAM MALZEME MALİYETİ</t>
  </si>
  <si>
    <t>MENÜDEKİ ÜRÜN SAYISI</t>
  </si>
  <si>
    <t>BRÜT KÂR</t>
  </si>
  <si>
    <t>FOOD COST YÜKSEK ÜRÜN</t>
  </si>
  <si>
    <t>ORTALAMA FOOD COST</t>
  </si>
  <si>
    <t>DİKKAT EDİLECEK ÜRÜN</t>
  </si>
  <si>
    <t>EN ÇOK KÂR GETİREN ÜRÜNLER</t>
  </si>
  <si>
    <t>Ürün</t>
  </si>
  <si>
    <t>Food cost %25-35 aralığı sağlıklıdır. %40'ı aşan ürünlerde porsiyonu küçültün, fiyatı artırın veya tedarikçi değiştirin. Malzeme fiyatları değiştiğinde MALZEME KARTLARI sayfasını güncellemeniz yeterli; tüm reçete maliyetleri kendiliğinden yenilenir.</t>
  </si>
  <si>
    <t>Listeler</t>
  </si>
  <si>
    <t>Açılır menüleri besler</t>
  </si>
  <si>
    <t>Menü Kategorileri</t>
  </si>
  <si>
    <t>Başlangıç</t>
  </si>
  <si>
    <t>Tatlı</t>
  </si>
  <si>
    <t>Sıcak İçecek</t>
  </si>
  <si>
    <t>Soğuk İçecek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</si>
</sst>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₺&quot;"/>
    <numFmt numFmtId="165" formatCode="0.0%"/>
    <numFmt numFmtId="166" formatCode="dd.mm.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FFFBEB"/>
      </patternFill>
    </fill>
    <fill>
      <patternFill patternType="solid">
        <fgColor rgb="FFF8FAF9"/>
      </patternFill>
    </fill>
    <fill>
      <patternFill patternType="solid">
        <fgColor rgb="FFFFFDF2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164" fontId="0" fillId="5" borderId="2" xfId="0" applyNumberFormat="1" applyFill="1" applyBorder="1"/>
    <xf numFmtId="9" fontId="0" fillId="5" borderId="2" xfId="0" applyNumberFormat="1" applyFill="1" applyBorder="1"/>
    <xf numFmtId="164" fontId="7" fillId="6" borderId="2" xfId="0" applyNumberFormat="1" applyFont="1" applyFill="1" applyBorder="1"/>
    <xf numFmtId="0" fontId="0" fillId="7" borderId="2" xfId="0" applyFill="1" applyBorder="1"/>
    <xf numFmtId="164" fontId="0" fillId="7" borderId="2" xfId="0" applyNumberFormat="1" applyFill="1" applyBorder="1"/>
    <xf numFmtId="9" fontId="0" fillId="7" borderId="2" xfId="0" applyNumberFormat="1" applyFill="1" applyBorder="1"/>
    <xf numFmtId="0" fontId="7" fillId="6" borderId="2" xfId="0" applyFont="1" applyFill="1" applyBorder="1"/>
    <xf numFmtId="4" fontId="0" fillId="5" borderId="2" xfId="0" applyNumberFormat="1" applyFill="1" applyBorder="1"/>
    <xf numFmtId="164" fontId="8" fillId="6" borderId="2" xfId="0" applyNumberFormat="1" applyFont="1" applyFill="1" applyBorder="1"/>
    <xf numFmtId="4" fontId="0" fillId="7" borderId="2" xfId="0" applyNumberFormat="1" applyFill="1" applyBorder="1"/>
    <xf numFmtId="165" fontId="7" fillId="6" borderId="2" xfId="0" applyNumberFormat="1" applyFont="1" applyFill="1" applyBorder="1"/>
    <xf numFmtId="166" fontId="0" fillId="5" borderId="2" xfId="0" applyNumberFormat="1" applyFill="1" applyBorder="1"/>
    <xf numFmtId="3" fontId="0" fillId="5" borderId="2" xfId="0" applyNumberFormat="1" applyFill="1" applyBorder="1"/>
    <xf numFmtId="166" fontId="0" fillId="7" borderId="2" xfId="0" applyNumberFormat="1" applyFill="1" applyBorder="1"/>
    <xf numFmtId="3" fontId="0" fillId="7" borderId="2" xfId="0" applyNumberFormat="1" applyFill="1" applyBorder="1"/>
    <xf numFmtId="0" fontId="9" fillId="0" borderId="0" xfId="0" applyFont="1" applyAlignment="1">
      <alignment vertical="center"/>
    </xf>
    <xf numFmtId="164" fontId="10" fillId="3" borderId="1" xfId="0" applyNumberFormat="1" applyFont="1" applyFill="1" applyBorder="1" applyAlignment="1">
      <alignment horizontal="right" vertical="center" indent="1"/>
    </xf>
    <xf numFmtId="3" fontId="10" fillId="3" borderId="1" xfId="0" applyNumberFormat="1" applyFont="1" applyFill="1" applyBorder="1" applyAlignment="1">
      <alignment horizontal="right" vertical="center" indent="1"/>
    </xf>
    <xf numFmtId="165" fontId="10" fillId="3" borderId="1" xfId="0" applyNumberFormat="1" applyFont="1" applyFill="1" applyBorder="1" applyAlignment="1">
      <alignment horizontal="right" vertical="center" indent="1"/>
    </xf>
    <xf numFmtId="0" fontId="5" fillId="0" borderId="0" xfId="0" applyFont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2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854D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4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32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32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2" ht="18" customHeight="1" spans="2:2" x14ac:dyDescent="0.25">
      <c r="B12" s="4" t="s">
        <v>9</v>
      </c>
    </row>
    <row r="14" spans="2:2" x14ac:dyDescent="0.25">
      <c r="B14" s="3" t="s">
        <v>10</v>
      </c>
    </row>
    <row r="15" ht="18" customHeight="1" spans="2:2" x14ac:dyDescent="0.25">
      <c r="B15" s="4" t="s">
        <v>11</v>
      </c>
    </row>
    <row r="16" ht="32" customHeight="1" spans="2:2" x14ac:dyDescent="0.25">
      <c r="B16" s="4" t="s">
        <v>12</v>
      </c>
    </row>
    <row r="18" spans="2:2" x14ac:dyDescent="0.25">
      <c r="B18" s="3" t="s">
        <v>13</v>
      </c>
    </row>
    <row r="19" ht="32" customHeight="1" spans="2:2" x14ac:dyDescent="0.25">
      <c r="B19" s="4" t="s">
        <v>14</v>
      </c>
    </row>
    <row r="20" ht="18" customHeight="1" spans="2:2" x14ac:dyDescent="0.25">
      <c r="B20" s="4" t="s">
        <v>15</v>
      </c>
    </row>
    <row r="22" spans="2:2" x14ac:dyDescent="0.25">
      <c r="B22" s="5" t="s">
        <v>16</v>
      </c>
    </row>
    <row r="24" spans="2:2" x14ac:dyDescent="0.25">
      <c r="B24" s="6" t="s">
        <v>17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0" customWidth="1"/>
    <col min="4" max="4" width="12" customWidth="1"/>
    <col min="5" max="5" width="16" customWidth="1"/>
    <col min="6" max="6" width="12" customWidth="1"/>
    <col min="7" max="7" width="20" customWidth="1"/>
    <col min="8" max="8" width="22" customWidth="1"/>
  </cols>
  <sheetData>
    <row r="1" ht="34" customHeight="1" spans="1:8" x14ac:dyDescent="0.25">
      <c r="A1" s="1" t="s">
        <v>18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19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</row>
    <row r="5" spans="2:8" x14ac:dyDescent="0.25">
      <c r="B5" s="8" t="s">
        <v>28</v>
      </c>
      <c r="C5" s="8" t="s">
        <v>29</v>
      </c>
      <c r="D5" s="8" t="s">
        <v>30</v>
      </c>
      <c r="E5" s="9">
        <v>720</v>
      </c>
      <c r="F5" s="10">
        <v>0.12</v>
      </c>
      <c r="G5" s="11">
        <f>IF($B5="","",IF(IF($F5="",0,$F5)&gt;=1,$E5,$E5/(1-IF($F5="",0,$F5))))</f>
      </c>
      <c r="H5" s="8" t="s">
        <v>31</v>
      </c>
    </row>
    <row r="6" spans="2:8" x14ac:dyDescent="0.25">
      <c r="B6" s="12" t="s">
        <v>32</v>
      </c>
      <c r="C6" s="12" t="s">
        <v>33</v>
      </c>
      <c r="D6" s="12" t="s">
        <v>34</v>
      </c>
      <c r="E6" s="13">
        <v>14</v>
      </c>
      <c r="F6" s="14">
        <v>0.03</v>
      </c>
      <c r="G6" s="11">
        <f>IF($B6="","",IF(IF($F6="",0,$F6)&gt;=1,$E6,$E6/(1-IF($F6="",0,$F6))))</f>
      </c>
      <c r="H6" s="12" t="s">
        <v>35</v>
      </c>
    </row>
    <row r="7" spans="2:8" x14ac:dyDescent="0.25">
      <c r="B7" s="8" t="s">
        <v>36</v>
      </c>
      <c r="C7" s="8" t="s">
        <v>37</v>
      </c>
      <c r="D7" s="8" t="s">
        <v>30</v>
      </c>
      <c r="E7" s="9">
        <v>480</v>
      </c>
      <c r="F7" s="10">
        <v>0.05</v>
      </c>
      <c r="G7" s="11">
        <f>IF($B7="","",IF(IF($F7="",0,$F7)&gt;=1,$E7,$E7/(1-IF($F7="",0,$F7))))</f>
      </c>
      <c r="H7" s="8" t="s">
        <v>38</v>
      </c>
    </row>
    <row r="8" spans="2:8" x14ac:dyDescent="0.25">
      <c r="B8" s="12" t="s">
        <v>39</v>
      </c>
      <c r="C8" s="12" t="s">
        <v>40</v>
      </c>
      <c r="D8" s="12" t="s">
        <v>30</v>
      </c>
      <c r="E8" s="13">
        <v>65</v>
      </c>
      <c r="F8" s="14">
        <v>0.2</v>
      </c>
      <c r="G8" s="11">
        <f>IF($B8="","",IF(IF($F8="",0,$F8)&gt;=1,$E8,$E8/(1-IF($F8="",0,$F8))))</f>
      </c>
      <c r="H8" s="12" t="s">
        <v>41</v>
      </c>
    </row>
    <row r="9" spans="2:8" x14ac:dyDescent="0.25">
      <c r="B9" s="8" t="s">
        <v>42</v>
      </c>
      <c r="C9" s="8" t="s">
        <v>43</v>
      </c>
      <c r="D9" s="8" t="s">
        <v>30</v>
      </c>
      <c r="E9" s="9">
        <v>42</v>
      </c>
      <c r="F9" s="10">
        <v>0.25</v>
      </c>
      <c r="G9" s="11">
        <f>IF($B9="","",IF(IF($F9="",0,$F9)&gt;=1,$E9,$E9/(1-IF($F9="",0,$F9))))</f>
      </c>
      <c r="H9" s="8" t="s">
        <v>41</v>
      </c>
    </row>
    <row r="10" spans="2:8" x14ac:dyDescent="0.25">
      <c r="B10" s="12" t="s">
        <v>44</v>
      </c>
      <c r="C10" s="12" t="s">
        <v>45</v>
      </c>
      <c r="D10" s="12" t="s">
        <v>46</v>
      </c>
      <c r="E10" s="13">
        <v>98</v>
      </c>
      <c r="F10" s="14">
        <v>0</v>
      </c>
      <c r="G10" s="11">
        <f>IF($B10="","",IF(IF($F10="",0,$F10)&gt;=1,$E10,$E10/(1-IF($F10="",0,$F10))))</f>
      </c>
      <c r="H10" s="12" t="s">
        <v>47</v>
      </c>
    </row>
    <row r="11" spans="2:8" x14ac:dyDescent="0.25">
      <c r="B11" s="8"/>
      <c r="C11" s="8"/>
      <c r="D11" s="8"/>
      <c r="E11" s="9"/>
      <c r="F11" s="10"/>
      <c r="G11" s="11">
        <f>IF($B11="","",IF(IF($F11="",0,$F11)&gt;=1,$E11,$E11/(1-IF($F11="",0,$F11))))</f>
      </c>
      <c r="H11" s="8"/>
    </row>
    <row r="12" spans="2:8" x14ac:dyDescent="0.25">
      <c r="B12" s="12"/>
      <c r="C12" s="12"/>
      <c r="D12" s="12"/>
      <c r="E12" s="13"/>
      <c r="F12" s="14"/>
      <c r="G12" s="11">
        <f>IF($B12="","",IF(IF($F12="",0,$F12)&gt;=1,$E12,$E12/(1-IF($F12="",0,$F12))))</f>
      </c>
      <c r="H12" s="12"/>
    </row>
    <row r="13" spans="2:8" x14ac:dyDescent="0.25">
      <c r="B13" s="8"/>
      <c r="C13" s="8"/>
      <c r="D13" s="8"/>
      <c r="E13" s="9"/>
      <c r="F13" s="10"/>
      <c r="G13" s="11">
        <f>IF($B13="","",IF(IF($F13="",0,$F13)&gt;=1,$E13,$E13/(1-IF($F13="",0,$F13))))</f>
      </c>
      <c r="H13" s="8"/>
    </row>
    <row r="14" spans="2:8" x14ac:dyDescent="0.25">
      <c r="B14" s="12"/>
      <c r="C14" s="12"/>
      <c r="D14" s="12"/>
      <c r="E14" s="13"/>
      <c r="F14" s="14"/>
      <c r="G14" s="11">
        <f>IF($B14="","",IF(IF($F14="",0,$F14)&gt;=1,$E14,$E14/(1-IF($F14="",0,$F14))))</f>
      </c>
      <c r="H14" s="12"/>
    </row>
    <row r="15" spans="2:8" x14ac:dyDescent="0.25">
      <c r="B15" s="8"/>
      <c r="C15" s="8"/>
      <c r="D15" s="8"/>
      <c r="E15" s="9"/>
      <c r="F15" s="10"/>
      <c r="G15" s="11">
        <f>IF($B15="","",IF(IF($F15="",0,$F15)&gt;=1,$E15,$E15/(1-IF($F15="",0,$F15))))</f>
      </c>
      <c r="H15" s="8"/>
    </row>
    <row r="16" spans="2:8" x14ac:dyDescent="0.25">
      <c r="B16" s="12"/>
      <c r="C16" s="12"/>
      <c r="D16" s="12"/>
      <c r="E16" s="13"/>
      <c r="F16" s="14"/>
      <c r="G16" s="11">
        <f>IF($B16="","",IF(IF($F16="",0,$F16)&gt;=1,$E16,$E16/(1-IF($F16="",0,$F16))))</f>
      </c>
      <c r="H16" s="12"/>
    </row>
    <row r="17" spans="2:8" x14ac:dyDescent="0.25">
      <c r="B17" s="8"/>
      <c r="C17" s="8"/>
      <c r="D17" s="8"/>
      <c r="E17" s="9"/>
      <c r="F17" s="10"/>
      <c r="G17" s="11">
        <f>IF($B17="","",IF(IF($F17="",0,$F17)&gt;=1,$E17,$E17/(1-IF($F17="",0,$F17))))</f>
      </c>
      <c r="H17" s="8"/>
    </row>
    <row r="18" spans="2:8" x14ac:dyDescent="0.25">
      <c r="B18" s="12"/>
      <c r="C18" s="12"/>
      <c r="D18" s="12"/>
      <c r="E18" s="13"/>
      <c r="F18" s="14"/>
      <c r="G18" s="11">
        <f>IF($B18="","",IF(IF($F18="",0,$F18)&gt;=1,$E18,$E18/(1-IF($F18="",0,$F18))))</f>
      </c>
      <c r="H18" s="12"/>
    </row>
    <row r="19" spans="2:8" x14ac:dyDescent="0.25">
      <c r="B19" s="8"/>
      <c r="C19" s="8"/>
      <c r="D19" s="8"/>
      <c r="E19" s="9"/>
      <c r="F19" s="10"/>
      <c r="G19" s="11">
        <f>IF($B19="","",IF(IF($F19="",0,$F19)&gt;=1,$E19,$E19/(1-IF($F19="",0,$F19))))</f>
      </c>
      <c r="H19" s="8"/>
    </row>
    <row r="20" spans="2:8" x14ac:dyDescent="0.25">
      <c r="B20" s="12"/>
      <c r="C20" s="12"/>
      <c r="D20" s="12"/>
      <c r="E20" s="13"/>
      <c r="F20" s="14"/>
      <c r="G20" s="11">
        <f>IF($B20="","",IF(IF($F20="",0,$F20)&gt;=1,$E20,$E20/(1-IF($F20="",0,$F20))))</f>
      </c>
      <c r="H20" s="12"/>
    </row>
    <row r="21" spans="2:8" x14ac:dyDescent="0.25">
      <c r="B21" s="8"/>
      <c r="C21" s="8"/>
      <c r="D21" s="8"/>
      <c r="E21" s="9"/>
      <c r="F21" s="10"/>
      <c r="G21" s="11">
        <f>IF($B21="","",IF(IF($F21="",0,$F21)&gt;=1,$E21,$E21/(1-IF($F21="",0,$F21))))</f>
      </c>
      <c r="H21" s="8"/>
    </row>
    <row r="22" spans="2:8" x14ac:dyDescent="0.25">
      <c r="B22" s="12"/>
      <c r="C22" s="12"/>
      <c r="D22" s="12"/>
      <c r="E22" s="13"/>
      <c r="F22" s="14"/>
      <c r="G22" s="11">
        <f>IF($B22="","",IF(IF($F22="",0,$F22)&gt;=1,$E22,$E22/(1-IF($F22="",0,$F22))))</f>
      </c>
      <c r="H22" s="12"/>
    </row>
    <row r="23" spans="2:8" x14ac:dyDescent="0.25">
      <c r="B23" s="8"/>
      <c r="C23" s="8"/>
      <c r="D23" s="8"/>
      <c r="E23" s="9"/>
      <c r="F23" s="10"/>
      <c r="G23" s="11">
        <f>IF($B23="","",IF(IF($F23="",0,$F23)&gt;=1,$E23,$E23/(1-IF($F23="",0,$F23))))</f>
      </c>
      <c r="H23" s="8"/>
    </row>
    <row r="24" spans="2:8" x14ac:dyDescent="0.25">
      <c r="B24" s="12"/>
      <c r="C24" s="12"/>
      <c r="D24" s="12"/>
      <c r="E24" s="13"/>
      <c r="F24" s="14"/>
      <c r="G24" s="11">
        <f>IF($B24="","",IF(IF($F24="",0,$F24)&gt;=1,$E24,$E24/(1-IF($F24="",0,$F24))))</f>
      </c>
      <c r="H24" s="12"/>
    </row>
    <row r="25" spans="2:8" x14ac:dyDescent="0.25">
      <c r="B25" s="8"/>
      <c r="C25" s="8"/>
      <c r="D25" s="8"/>
      <c r="E25" s="9"/>
      <c r="F25" s="10"/>
      <c r="G25" s="11">
        <f>IF($B25="","",IF(IF($F25="",0,$F25)&gt;=1,$E25,$E25/(1-IF($F25="",0,$F25))))</f>
      </c>
      <c r="H25" s="8"/>
    </row>
    <row r="26" spans="2:8" x14ac:dyDescent="0.25">
      <c r="B26" s="12"/>
      <c r="C26" s="12"/>
      <c r="D26" s="12"/>
      <c r="E26" s="13"/>
      <c r="F26" s="14"/>
      <c r="G26" s="11">
        <f>IF($B26="","",IF(IF($F26="",0,$F26)&gt;=1,$E26,$E26/(1-IF($F26="",0,$F26))))</f>
      </c>
      <c r="H26" s="12"/>
    </row>
    <row r="27" spans="2:8" x14ac:dyDescent="0.25">
      <c r="B27" s="8"/>
      <c r="C27" s="8"/>
      <c r="D27" s="8"/>
      <c r="E27" s="9"/>
      <c r="F27" s="10"/>
      <c r="G27" s="11">
        <f>IF($B27="","",IF(IF($F27="",0,$F27)&gt;=1,$E27,$E27/(1-IF($F27="",0,$F27))))</f>
      </c>
      <c r="H27" s="8"/>
    </row>
    <row r="28" spans="2:8" x14ac:dyDescent="0.25">
      <c r="B28" s="12"/>
      <c r="C28" s="12"/>
      <c r="D28" s="12"/>
      <c r="E28" s="13"/>
      <c r="F28" s="14"/>
      <c r="G28" s="11">
        <f>IF($B28="","",IF(IF($F28="",0,$F28)&gt;=1,$E28,$E28/(1-IF($F28="",0,$F28))))</f>
      </c>
      <c r="H28" s="12"/>
    </row>
    <row r="29" spans="2:8" x14ac:dyDescent="0.25">
      <c r="B29" s="8"/>
      <c r="C29" s="8"/>
      <c r="D29" s="8"/>
      <c r="E29" s="9"/>
      <c r="F29" s="10"/>
      <c r="G29" s="11">
        <f>IF($B29="","",IF(IF($F29="",0,$F29)&gt;=1,$E29,$E29/(1-IF($F29="",0,$F29))))</f>
      </c>
      <c r="H29" s="8"/>
    </row>
    <row r="30" spans="2:8" x14ac:dyDescent="0.25">
      <c r="B30" s="12"/>
      <c r="C30" s="12"/>
      <c r="D30" s="12"/>
      <c r="E30" s="13"/>
      <c r="F30" s="14"/>
      <c r="G30" s="11">
        <f>IF($B30="","",IF(IF($F30="",0,$F30)&gt;=1,$E30,$E30/(1-IF($F30="",0,$F30))))</f>
      </c>
      <c r="H30" s="12"/>
    </row>
    <row r="31" spans="2:8" x14ac:dyDescent="0.25">
      <c r="B31" s="8"/>
      <c r="C31" s="8"/>
      <c r="D31" s="8"/>
      <c r="E31" s="9"/>
      <c r="F31" s="10"/>
      <c r="G31" s="11">
        <f>IF($B31="","",IF(IF($F31="",0,$F31)&gt;=1,$E31,$E31/(1-IF($F31="",0,$F31))))</f>
      </c>
      <c r="H31" s="8"/>
    </row>
    <row r="32" spans="2:8" x14ac:dyDescent="0.25">
      <c r="B32" s="12"/>
      <c r="C32" s="12"/>
      <c r="D32" s="12"/>
      <c r="E32" s="13"/>
      <c r="F32" s="14"/>
      <c r="G32" s="11">
        <f>IF($B32="","",IF(IF($F32="",0,$F32)&gt;=1,$E32,$E32/(1-IF($F32="",0,$F32))))</f>
      </c>
      <c r="H32" s="12"/>
    </row>
    <row r="33" spans="2:8" x14ac:dyDescent="0.25">
      <c r="B33" s="8"/>
      <c r="C33" s="8"/>
      <c r="D33" s="8"/>
      <c r="E33" s="9"/>
      <c r="F33" s="10"/>
      <c r="G33" s="11">
        <f>IF($B33="","",IF(IF($F33="",0,$F33)&gt;=1,$E33,$E33/(1-IF($F33="",0,$F33))))</f>
      </c>
      <c r="H33" s="8"/>
    </row>
    <row r="34" spans="2:8" x14ac:dyDescent="0.25">
      <c r="B34" s="12"/>
      <c r="C34" s="12"/>
      <c r="D34" s="12"/>
      <c r="E34" s="13"/>
      <c r="F34" s="14"/>
      <c r="G34" s="11">
        <f>IF($B34="","",IF(IF($F34="",0,$F34)&gt;=1,$E34,$E34/(1-IF($F34="",0,$F34))))</f>
      </c>
      <c r="H34" s="12"/>
    </row>
    <row r="35" spans="2:8" x14ac:dyDescent="0.25">
      <c r="B35" s="8"/>
      <c r="C35" s="8"/>
      <c r="D35" s="8"/>
      <c r="E35" s="9"/>
      <c r="F35" s="10"/>
      <c r="G35" s="11">
        <f>IF($B35="","",IF(IF($F35="",0,$F35)&gt;=1,$E35,$E35/(1-IF($F35="",0,$F35))))</f>
      </c>
      <c r="H35" s="8"/>
    </row>
    <row r="36" spans="2:8" x14ac:dyDescent="0.25">
      <c r="B36" s="12"/>
      <c r="C36" s="12"/>
      <c r="D36" s="12"/>
      <c r="E36" s="13"/>
      <c r="F36" s="14"/>
      <c r="G36" s="11">
        <f>IF($B36="","",IF(IF($F36="",0,$F36)&gt;=1,$E36,$E36/(1-IF($F36="",0,$F36))))</f>
      </c>
      <c r="H36" s="12"/>
    </row>
    <row r="37" spans="2:8" x14ac:dyDescent="0.25">
      <c r="B37" s="8"/>
      <c r="C37" s="8"/>
      <c r="D37" s="8"/>
      <c r="E37" s="9"/>
      <c r="F37" s="10"/>
      <c r="G37" s="11">
        <f>IF($B37="","",IF(IF($F37="",0,$F37)&gt;=1,$E37,$E37/(1-IF($F37="",0,$F37))))</f>
      </c>
      <c r="H37" s="8"/>
    </row>
    <row r="38" spans="2:8" x14ac:dyDescent="0.25">
      <c r="B38" s="12"/>
      <c r="C38" s="12"/>
      <c r="D38" s="12"/>
      <c r="E38" s="13"/>
      <c r="F38" s="14"/>
      <c r="G38" s="11">
        <f>IF($B38="","",IF(IF($F38="",0,$F38)&gt;=1,$E38,$E38/(1-IF($F38="",0,$F38))))</f>
      </c>
      <c r="H38" s="12"/>
    </row>
    <row r="39" spans="2:8" x14ac:dyDescent="0.25">
      <c r="B39" s="8"/>
      <c r="C39" s="8"/>
      <c r="D39" s="8"/>
      <c r="E39" s="9"/>
      <c r="F39" s="10"/>
      <c r="G39" s="11">
        <f>IF($B39="","",IF(IF($F39="",0,$F39)&gt;=1,$E39,$E39/(1-IF($F39="",0,$F39))))</f>
      </c>
      <c r="H39" s="8"/>
    </row>
    <row r="40" spans="2:8" x14ac:dyDescent="0.25">
      <c r="B40" s="12"/>
      <c r="C40" s="12"/>
      <c r="D40" s="12"/>
      <c r="E40" s="13"/>
      <c r="F40" s="14"/>
      <c r="G40" s="11">
        <f>IF($B40="","",IF(IF($F40="",0,$F40)&gt;=1,$E40,$E40/(1-IF($F40="",0,$F40))))</f>
      </c>
      <c r="H40" s="12"/>
    </row>
    <row r="41" spans="2:8" x14ac:dyDescent="0.25">
      <c r="B41" s="8"/>
      <c r="C41" s="8"/>
      <c r="D41" s="8"/>
      <c r="E41" s="9"/>
      <c r="F41" s="10"/>
      <c r="G41" s="11">
        <f>IF($B41="","",IF(IF($F41="",0,$F41)&gt;=1,$E41,$E41/(1-IF($F41="",0,$F41))))</f>
      </c>
      <c r="H41" s="8"/>
    </row>
    <row r="42" spans="2:8" x14ac:dyDescent="0.25">
      <c r="B42" s="12"/>
      <c r="C42" s="12"/>
      <c r="D42" s="12"/>
      <c r="E42" s="13"/>
      <c r="F42" s="14"/>
      <c r="G42" s="11">
        <f>IF($B42="","",IF(IF($F42="",0,$F42)&gt;=1,$E42,$E42/(1-IF($F42="",0,$F42))))</f>
      </c>
      <c r="H42" s="12"/>
    </row>
    <row r="43" spans="2:8" x14ac:dyDescent="0.25">
      <c r="B43" s="8"/>
      <c r="C43" s="8"/>
      <c r="D43" s="8"/>
      <c r="E43" s="9"/>
      <c r="F43" s="10"/>
      <c r="G43" s="11">
        <f>IF($B43="","",IF(IF($F43="",0,$F43)&gt;=1,$E43,$E43/(1-IF($F43="",0,$F43))))</f>
      </c>
      <c r="H43" s="8"/>
    </row>
    <row r="44" spans="2:8" x14ac:dyDescent="0.25">
      <c r="B44" s="12"/>
      <c r="C44" s="12"/>
      <c r="D44" s="12"/>
      <c r="E44" s="13"/>
      <c r="F44" s="14"/>
      <c r="G44" s="11">
        <f>IF($B44="","",IF(IF($F44="",0,$F44)&gt;=1,$E44,$E44/(1-IF($F44="",0,$F44))))</f>
      </c>
      <c r="H44" s="12"/>
    </row>
    <row r="45" spans="2:8" x14ac:dyDescent="0.25">
      <c r="B45" s="8"/>
      <c r="C45" s="8"/>
      <c r="D45" s="8"/>
      <c r="E45" s="9"/>
      <c r="F45" s="10"/>
      <c r="G45" s="11">
        <f>IF($B45="","",IF(IF($F45="",0,$F45)&gt;=1,$E45,$E45/(1-IF($F45="",0,$F45))))</f>
      </c>
      <c r="H45" s="8"/>
    </row>
    <row r="46" spans="2:8" x14ac:dyDescent="0.25">
      <c r="B46" s="12"/>
      <c r="C46" s="12"/>
      <c r="D46" s="12"/>
      <c r="E46" s="13"/>
      <c r="F46" s="14"/>
      <c r="G46" s="11">
        <f>IF($B46="","",IF(IF($F46="",0,$F46)&gt;=1,$E46,$E46/(1-IF($F46="",0,$F46))))</f>
      </c>
      <c r="H46" s="12"/>
    </row>
    <row r="47" spans="2:8" x14ac:dyDescent="0.25">
      <c r="B47" s="8"/>
      <c r="C47" s="8"/>
      <c r="D47" s="8"/>
      <c r="E47" s="9"/>
      <c r="F47" s="10"/>
      <c r="G47" s="11">
        <f>IF($B47="","",IF(IF($F47="",0,$F47)&gt;=1,$E47,$E47/(1-IF($F47="",0,$F47))))</f>
      </c>
      <c r="H47" s="8"/>
    </row>
    <row r="48" spans="2:8" x14ac:dyDescent="0.25">
      <c r="B48" s="12"/>
      <c r="C48" s="12"/>
      <c r="D48" s="12"/>
      <c r="E48" s="13"/>
      <c r="F48" s="14"/>
      <c r="G48" s="11">
        <f>IF($B48="","",IF(IF($F48="",0,$F48)&gt;=1,$E48,$E48/(1-IF($F48="",0,$F48))))</f>
      </c>
      <c r="H48" s="12"/>
    </row>
    <row r="49" spans="2:8" x14ac:dyDescent="0.25">
      <c r="B49" s="8"/>
      <c r="C49" s="8"/>
      <c r="D49" s="8"/>
      <c r="E49" s="9"/>
      <c r="F49" s="10"/>
      <c r="G49" s="11">
        <f>IF($B49="","",IF(IF($F49="",0,$F49)&gt;=1,$E49,$E49/(1-IF($F49="",0,$F49))))</f>
      </c>
      <c r="H49" s="8"/>
    </row>
    <row r="50" spans="2:8" x14ac:dyDescent="0.25">
      <c r="B50" s="12"/>
      <c r="C50" s="12"/>
      <c r="D50" s="12"/>
      <c r="E50" s="13"/>
      <c r="F50" s="14"/>
      <c r="G50" s="11">
        <f>IF($B50="","",IF(IF($F50="",0,$F50)&gt;=1,$E50,$E50/(1-IF($F50="",0,$F50))))</f>
      </c>
      <c r="H50" s="12"/>
    </row>
    <row r="51" spans="2:8" x14ac:dyDescent="0.25">
      <c r="B51" s="8"/>
      <c r="C51" s="8"/>
      <c r="D51" s="8"/>
      <c r="E51" s="9"/>
      <c r="F51" s="10"/>
      <c r="G51" s="11">
        <f>IF($B51="","",IF(IF($F51="",0,$F51)&gt;=1,$E51,$E51/(1-IF($F51="",0,$F51))))</f>
      </c>
      <c r="H51" s="8"/>
    </row>
    <row r="52" spans="2:8" x14ac:dyDescent="0.25">
      <c r="B52" s="12"/>
      <c r="C52" s="12"/>
      <c r="D52" s="12"/>
      <c r="E52" s="13"/>
      <c r="F52" s="14"/>
      <c r="G52" s="11">
        <f>IF($B52="","",IF(IF($F52="",0,$F52)&gt;=1,$E52,$E52/(1-IF($F52="",0,$F52))))</f>
      </c>
      <c r="H52" s="12"/>
    </row>
    <row r="53" spans="2:8" x14ac:dyDescent="0.25">
      <c r="B53" s="8"/>
      <c r="C53" s="8"/>
      <c r="D53" s="8"/>
      <c r="E53" s="9"/>
      <c r="F53" s="10"/>
      <c r="G53" s="11">
        <f>IF($B53="","",IF(IF($F53="",0,$F53)&gt;=1,$E53,$E53/(1-IF($F53="",0,$F53))))</f>
      </c>
      <c r="H53" s="8"/>
    </row>
    <row r="54" spans="2:8" x14ac:dyDescent="0.25">
      <c r="B54" s="12"/>
      <c r="C54" s="12"/>
      <c r="D54" s="12"/>
      <c r="E54" s="13"/>
      <c r="F54" s="14"/>
      <c r="G54" s="11">
        <f>IF($B54="","",IF(IF($F54="",0,$F54)&gt;=1,$E54,$E54/(1-IF($F54="",0,$F54))))</f>
      </c>
      <c r="H54" s="12"/>
    </row>
    <row r="55" spans="2:8" x14ac:dyDescent="0.25">
      <c r="B55" s="8"/>
      <c r="C55" s="8"/>
      <c r="D55" s="8"/>
      <c r="E55" s="9"/>
      <c r="F55" s="10"/>
      <c r="G55" s="11">
        <f>IF($B55="","",IF(IF($F55="",0,$F55)&gt;=1,$E55,$E55/(1-IF($F55="",0,$F55))))</f>
      </c>
      <c r="H55" s="8"/>
    </row>
    <row r="56" spans="2:8" x14ac:dyDescent="0.25">
      <c r="B56" s="12"/>
      <c r="C56" s="12"/>
      <c r="D56" s="12"/>
      <c r="E56" s="13"/>
      <c r="F56" s="14"/>
      <c r="G56" s="11">
        <f>IF($B56="","",IF(IF($F56="",0,$F56)&gt;=1,$E56,$E56/(1-IF($F56="",0,$F56))))</f>
      </c>
      <c r="H56" s="12"/>
    </row>
    <row r="57" spans="2:8" x14ac:dyDescent="0.25">
      <c r="B57" s="8"/>
      <c r="C57" s="8"/>
      <c r="D57" s="8"/>
      <c r="E57" s="9"/>
      <c r="F57" s="10"/>
      <c r="G57" s="11">
        <f>IF($B57="","",IF(IF($F57="",0,$F57)&gt;=1,$E57,$E57/(1-IF($F57="",0,$F57))))</f>
      </c>
      <c r="H57" s="8"/>
    </row>
    <row r="58" spans="2:8" x14ac:dyDescent="0.25">
      <c r="B58" s="12"/>
      <c r="C58" s="12"/>
      <c r="D58" s="12"/>
      <c r="E58" s="13"/>
      <c r="F58" s="14"/>
      <c r="G58" s="11">
        <f>IF($B58="","",IF(IF($F58="",0,$F58)&gt;=1,$E58,$E58/(1-IF($F58="",0,$F58))))</f>
      </c>
      <c r="H58" s="12"/>
    </row>
    <row r="59" spans="2:8" x14ac:dyDescent="0.25">
      <c r="B59" s="8"/>
      <c r="C59" s="8"/>
      <c r="D59" s="8"/>
      <c r="E59" s="9"/>
      <c r="F59" s="10"/>
      <c r="G59" s="11">
        <f>IF($B59="","",IF(IF($F59="",0,$F59)&gt;=1,$E59,$E59/(1-IF($F59="",0,$F59))))</f>
      </c>
      <c r="H59" s="8"/>
    </row>
    <row r="60" spans="2:8" x14ac:dyDescent="0.25">
      <c r="B60" s="12"/>
      <c r="C60" s="12"/>
      <c r="D60" s="12"/>
      <c r="E60" s="13"/>
      <c r="F60" s="14"/>
      <c r="G60" s="11">
        <f>IF($B60="","",IF(IF($F60="",0,$F60)&gt;=1,$E60,$E60/(1-IF($F60="",0,$F60))))</f>
      </c>
      <c r="H60" s="12"/>
    </row>
    <row r="61" spans="2:8" x14ac:dyDescent="0.25">
      <c r="B61" s="8"/>
      <c r="C61" s="8"/>
      <c r="D61" s="8"/>
      <c r="E61" s="9"/>
      <c r="F61" s="10"/>
      <c r="G61" s="11">
        <f>IF($B61="","",IF(IF($F61="",0,$F61)&gt;=1,$E61,$E61/(1-IF($F61="",0,$F61))))</f>
      </c>
      <c r="H61" s="8"/>
    </row>
    <row r="62" spans="2:8" x14ac:dyDescent="0.25">
      <c r="B62" s="12"/>
      <c r="C62" s="12"/>
      <c r="D62" s="12"/>
      <c r="E62" s="13"/>
      <c r="F62" s="14"/>
      <c r="G62" s="11">
        <f>IF($B62="","",IF(IF($F62="",0,$F62)&gt;=1,$E62,$E62/(1-IF($F62="",0,$F62))))</f>
      </c>
      <c r="H62" s="12"/>
    </row>
    <row r="63" spans="2:8" x14ac:dyDescent="0.25">
      <c r="B63" s="8"/>
      <c r="C63" s="8"/>
      <c r="D63" s="8"/>
      <c r="E63" s="9"/>
      <c r="F63" s="10"/>
      <c r="G63" s="11">
        <f>IF($B63="","",IF(IF($F63="",0,$F63)&gt;=1,$E63,$E63/(1-IF($F63="",0,$F63))))</f>
      </c>
      <c r="H63" s="8"/>
    </row>
    <row r="64" spans="2:8" x14ac:dyDescent="0.25">
      <c r="B64" s="12"/>
      <c r="C64" s="12"/>
      <c r="D64" s="12"/>
      <c r="E64" s="13"/>
      <c r="F64" s="14"/>
      <c r="G64" s="11">
        <f>IF($B64="","",IF(IF($F64="",0,$F64)&gt;=1,$E64,$E64/(1-IF($F64="",0,$F64))))</f>
      </c>
      <c r="H64" s="12"/>
    </row>
    <row r="65" spans="2:8" x14ac:dyDescent="0.25">
      <c r="B65" s="8"/>
      <c r="C65" s="8"/>
      <c r="D65" s="8"/>
      <c r="E65" s="9"/>
      <c r="F65" s="10"/>
      <c r="G65" s="11">
        <f>IF($B65="","",IF(IF($F65="",0,$F65)&gt;=1,$E65,$E65/(1-IF($F65="",0,$F65))))</f>
      </c>
      <c r="H65" s="8"/>
    </row>
    <row r="66" spans="2:8" x14ac:dyDescent="0.25">
      <c r="B66" s="12"/>
      <c r="C66" s="12"/>
      <c r="D66" s="12"/>
      <c r="E66" s="13"/>
      <c r="F66" s="14"/>
      <c r="G66" s="11">
        <f>IF($B66="","",IF(IF($F66="",0,$F66)&gt;=1,$E66,$E66/(1-IF($F66="",0,$F66))))</f>
      </c>
      <c r="H66" s="12"/>
    </row>
    <row r="67" spans="2:8" x14ac:dyDescent="0.25">
      <c r="B67" s="8"/>
      <c r="C67" s="8"/>
      <c r="D67" s="8"/>
      <c r="E67" s="9"/>
      <c r="F67" s="10"/>
      <c r="G67" s="11">
        <f>IF($B67="","",IF(IF($F67="",0,$F67)&gt;=1,$E67,$E67/(1-IF($F67="",0,$F67))))</f>
      </c>
      <c r="H67" s="8"/>
    </row>
    <row r="68" spans="2:8" x14ac:dyDescent="0.25">
      <c r="B68" s="12"/>
      <c r="C68" s="12"/>
      <c r="D68" s="12"/>
      <c r="E68" s="13"/>
      <c r="F68" s="14"/>
      <c r="G68" s="11">
        <f>IF($B68="","",IF(IF($F68="",0,$F68)&gt;=1,$E68,$E68/(1-IF($F68="",0,$F68))))</f>
      </c>
      <c r="H68" s="12"/>
    </row>
    <row r="69" spans="2:8" x14ac:dyDescent="0.25">
      <c r="B69" s="8"/>
      <c r="C69" s="8"/>
      <c r="D69" s="8"/>
      <c r="E69" s="9"/>
      <c r="F69" s="10"/>
      <c r="G69" s="11">
        <f>IF($B69="","",IF(IF($F69="",0,$F69)&gt;=1,$E69,$E69/(1-IF($F69="",0,$F69))))</f>
      </c>
      <c r="H69" s="8"/>
    </row>
    <row r="70" spans="2:8" x14ac:dyDescent="0.25">
      <c r="B70" s="12"/>
      <c r="C70" s="12"/>
      <c r="D70" s="12"/>
      <c r="E70" s="13"/>
      <c r="F70" s="14"/>
      <c r="G70" s="11">
        <f>IF($B70="","",IF(IF($F70="",0,$F70)&gt;=1,$E70,$E70/(1-IF($F70="",0,$F70))))</f>
      </c>
      <c r="H70" s="12"/>
    </row>
    <row r="71" spans="2:8" x14ac:dyDescent="0.25">
      <c r="B71" s="8"/>
      <c r="C71" s="8"/>
      <c r="D71" s="8"/>
      <c r="E71" s="9"/>
      <c r="F71" s="10"/>
      <c r="G71" s="11">
        <f>IF($B71="","",IF(IF($F71="",0,$F71)&gt;=1,$E71,$E71/(1-IF($F71="",0,$F71))))</f>
      </c>
      <c r="H71" s="8"/>
    </row>
    <row r="72" spans="2:8" x14ac:dyDescent="0.25">
      <c r="B72" s="12"/>
      <c r="C72" s="12"/>
      <c r="D72" s="12"/>
      <c r="E72" s="13"/>
      <c r="F72" s="14"/>
      <c r="G72" s="11">
        <f>IF($B72="","",IF(IF($F72="",0,$F72)&gt;=1,$E72,$E72/(1-IF($F72="",0,$F72))))</f>
      </c>
      <c r="H72" s="12"/>
    </row>
    <row r="73" spans="2:8" x14ac:dyDescent="0.25">
      <c r="B73" s="8"/>
      <c r="C73" s="8"/>
      <c r="D73" s="8"/>
      <c r="E73" s="9"/>
      <c r="F73" s="10"/>
      <c r="G73" s="11">
        <f>IF($B73="","",IF(IF($F73="",0,$F73)&gt;=1,$E73,$E73/(1-IF($F73="",0,$F73))))</f>
      </c>
      <c r="H73" s="8"/>
    </row>
    <row r="74" spans="2:8" x14ac:dyDescent="0.25">
      <c r="B74" s="12"/>
      <c r="C74" s="12"/>
      <c r="D74" s="12"/>
      <c r="E74" s="13"/>
      <c r="F74" s="14"/>
      <c r="G74" s="11">
        <f>IF($B74="","",IF(IF($F74="",0,$F74)&gt;=1,$E74,$E74/(1-IF($F74="",0,$F74))))</f>
      </c>
      <c r="H74" s="12"/>
    </row>
    <row r="75" spans="2:8" x14ac:dyDescent="0.25">
      <c r="B75" s="8"/>
      <c r="C75" s="8"/>
      <c r="D75" s="8"/>
      <c r="E75" s="9"/>
      <c r="F75" s="10"/>
      <c r="G75" s="11">
        <f>IF($B75="","",IF(IF($F75="",0,$F75)&gt;=1,$E75,$E75/(1-IF($F75="",0,$F75))))</f>
      </c>
      <c r="H75" s="8"/>
    </row>
    <row r="76" spans="2:8" x14ac:dyDescent="0.25">
      <c r="B76" s="12"/>
      <c r="C76" s="12"/>
      <c r="D76" s="12"/>
      <c r="E76" s="13"/>
      <c r="F76" s="14"/>
      <c r="G76" s="11">
        <f>IF($B76="","",IF(IF($F76="",0,$F76)&gt;=1,$E76,$E76/(1-IF($F76="",0,$F76))))</f>
      </c>
      <c r="H76" s="12"/>
    </row>
    <row r="77" spans="2:8" x14ac:dyDescent="0.25">
      <c r="B77" s="8"/>
      <c r="C77" s="8"/>
      <c r="D77" s="8"/>
      <c r="E77" s="9"/>
      <c r="F77" s="10"/>
      <c r="G77" s="11">
        <f>IF($B77="","",IF(IF($F77="",0,$F77)&gt;=1,$E77,$E77/(1-IF($F77="",0,$F77))))</f>
      </c>
      <c r="H77" s="8"/>
    </row>
    <row r="78" spans="2:8" x14ac:dyDescent="0.25">
      <c r="B78" s="12"/>
      <c r="C78" s="12"/>
      <c r="D78" s="12"/>
      <c r="E78" s="13"/>
      <c r="F78" s="14"/>
      <c r="G78" s="11">
        <f>IF($B78="","",IF(IF($F78="",0,$F78)&gt;=1,$E78,$E78/(1-IF($F78="",0,$F78))))</f>
      </c>
      <c r="H78" s="12"/>
    </row>
    <row r="79" spans="2:8" x14ac:dyDescent="0.25">
      <c r="B79" s="8"/>
      <c r="C79" s="8"/>
      <c r="D79" s="8"/>
      <c r="E79" s="9"/>
      <c r="F79" s="10"/>
      <c r="G79" s="11">
        <f>IF($B79="","",IF(IF($F79="",0,$F79)&gt;=1,$E79,$E79/(1-IF($F79="",0,$F79))))</f>
      </c>
      <c r="H79" s="8"/>
    </row>
    <row r="80" spans="2:8" x14ac:dyDescent="0.25">
      <c r="B80" s="12"/>
      <c r="C80" s="12"/>
      <c r="D80" s="12"/>
      <c r="E80" s="13"/>
      <c r="F80" s="14"/>
      <c r="G80" s="11">
        <f>IF($B80="","",IF(IF($F80="",0,$F80)&gt;=1,$E80,$E80/(1-IF($F80="",0,$F80))))</f>
      </c>
      <c r="H80" s="12"/>
    </row>
    <row r="81" spans="2:8" x14ac:dyDescent="0.25">
      <c r="B81" s="8"/>
      <c r="C81" s="8"/>
      <c r="D81" s="8"/>
      <c r="E81" s="9"/>
      <c r="F81" s="10"/>
      <c r="G81" s="11">
        <f>IF($B81="","",IF(IF($F81="",0,$F81)&gt;=1,$E81,$E81/(1-IF($F81="",0,$F81))))</f>
      </c>
      <c r="H81" s="8"/>
    </row>
    <row r="82" spans="2:8" x14ac:dyDescent="0.25">
      <c r="B82" s="12"/>
      <c r="C82" s="12"/>
      <c r="D82" s="12"/>
      <c r="E82" s="13"/>
      <c r="F82" s="14"/>
      <c r="G82" s="11">
        <f>IF($B82="","",IF(IF($F82="",0,$F82)&gt;=1,$E82,$E82/(1-IF($F82="",0,$F82))))</f>
      </c>
      <c r="H82" s="12"/>
    </row>
    <row r="83" spans="2:8" x14ac:dyDescent="0.25">
      <c r="B83" s="8"/>
      <c r="C83" s="8"/>
      <c r="D83" s="8"/>
      <c r="E83" s="9"/>
      <c r="F83" s="10"/>
      <c r="G83" s="11">
        <f>IF($B83="","",IF(IF($F83="",0,$F83)&gt;=1,$E83,$E83/(1-IF($F83="",0,$F83))))</f>
      </c>
      <c r="H83" s="8"/>
    </row>
    <row r="84" spans="2:8" x14ac:dyDescent="0.25">
      <c r="B84" s="12"/>
      <c r="C84" s="12"/>
      <c r="D84" s="12"/>
      <c r="E84" s="13"/>
      <c r="F84" s="14"/>
      <c r="G84" s="11">
        <f>IF($B84="","",IF(IF($F84="",0,$F84)&gt;=1,$E84,$E84/(1-IF($F84="",0,$F84))))</f>
      </c>
      <c r="H84" s="12"/>
    </row>
    <row r="85" spans="2:8" x14ac:dyDescent="0.25">
      <c r="B85" s="8"/>
      <c r="C85" s="8"/>
      <c r="D85" s="8"/>
      <c r="E85" s="9"/>
      <c r="F85" s="10"/>
      <c r="G85" s="11">
        <f>IF($B85="","",IF(IF($F85="",0,$F85)&gt;=1,$E85,$E85/(1-IF($F85="",0,$F85))))</f>
      </c>
      <c r="H85" s="8"/>
    </row>
    <row r="86" spans="2:8" x14ac:dyDescent="0.25">
      <c r="B86" s="12"/>
      <c r="C86" s="12"/>
      <c r="D86" s="12"/>
      <c r="E86" s="13"/>
      <c r="F86" s="14"/>
      <c r="G86" s="11">
        <f>IF($B86="","",IF(IF($F86="",0,$F86)&gt;=1,$E86,$E86/(1-IF($F86="",0,$F86))))</f>
      </c>
      <c r="H86" s="12"/>
    </row>
    <row r="87" spans="2:8" x14ac:dyDescent="0.25">
      <c r="B87" s="8"/>
      <c r="C87" s="8"/>
      <c r="D87" s="8"/>
      <c r="E87" s="9"/>
      <c r="F87" s="10"/>
      <c r="G87" s="11">
        <f>IF($B87="","",IF(IF($F87="",0,$F87)&gt;=1,$E87,$E87/(1-IF($F87="",0,$F87))))</f>
      </c>
      <c r="H87" s="8"/>
    </row>
    <row r="88" spans="2:8" x14ac:dyDescent="0.25">
      <c r="B88" s="12"/>
      <c r="C88" s="12"/>
      <c r="D88" s="12"/>
      <c r="E88" s="13"/>
      <c r="F88" s="14"/>
      <c r="G88" s="11">
        <f>IF($B88="","",IF(IF($F88="",0,$F88)&gt;=1,$E88,$E88/(1-IF($F88="",0,$F88))))</f>
      </c>
      <c r="H88" s="12"/>
    </row>
    <row r="89" spans="2:8" x14ac:dyDescent="0.25">
      <c r="B89" s="8"/>
      <c r="C89" s="8"/>
      <c r="D89" s="8"/>
      <c r="E89" s="9"/>
      <c r="F89" s="10"/>
      <c r="G89" s="11">
        <f>IF($B89="","",IF(IF($F89="",0,$F89)&gt;=1,$E89,$E89/(1-IF($F89="",0,$F89))))</f>
      </c>
      <c r="H89" s="8"/>
    </row>
    <row r="90" spans="2:8" x14ac:dyDescent="0.25">
      <c r="B90" s="12"/>
      <c r="C90" s="12"/>
      <c r="D90" s="12"/>
      <c r="E90" s="13"/>
      <c r="F90" s="14"/>
      <c r="G90" s="11">
        <f>IF($B90="","",IF(IF($F90="",0,$F90)&gt;=1,$E90,$E90/(1-IF($F90="",0,$F90))))</f>
      </c>
      <c r="H90" s="12"/>
    </row>
    <row r="91" spans="2:8" x14ac:dyDescent="0.25">
      <c r="B91" s="8"/>
      <c r="C91" s="8"/>
      <c r="D91" s="8"/>
      <c r="E91" s="9"/>
      <c r="F91" s="10"/>
      <c r="G91" s="11">
        <f>IF($B91="","",IF(IF($F91="",0,$F91)&gt;=1,$E91,$E91/(1-IF($F91="",0,$F91))))</f>
      </c>
      <c r="H91" s="8"/>
    </row>
    <row r="92" spans="2:8" x14ac:dyDescent="0.25">
      <c r="B92" s="12"/>
      <c r="C92" s="12"/>
      <c r="D92" s="12"/>
      <c r="E92" s="13"/>
      <c r="F92" s="14"/>
      <c r="G92" s="11">
        <f>IF($B92="","",IF(IF($F92="",0,$F92)&gt;=1,$E92,$E92/(1-IF($F92="",0,$F92))))</f>
      </c>
      <c r="H92" s="12"/>
    </row>
    <row r="93" spans="2:8" x14ac:dyDescent="0.25">
      <c r="B93" s="8"/>
      <c r="C93" s="8"/>
      <c r="D93" s="8"/>
      <c r="E93" s="9"/>
      <c r="F93" s="10"/>
      <c r="G93" s="11">
        <f>IF($B93="","",IF(IF($F93="",0,$F93)&gt;=1,$E93,$E93/(1-IF($F93="",0,$F93))))</f>
      </c>
      <c r="H93" s="8"/>
    </row>
    <row r="94" spans="2:8" x14ac:dyDescent="0.25">
      <c r="B94" s="12"/>
      <c r="C94" s="12"/>
      <c r="D94" s="12"/>
      <c r="E94" s="13"/>
      <c r="F94" s="14"/>
      <c r="G94" s="11">
        <f>IF($B94="","",IF(IF($F94="",0,$F94)&gt;=1,$E94,$E94/(1-IF($F94="",0,$F94))))</f>
      </c>
      <c r="H94" s="12"/>
    </row>
    <row r="95" spans="2:8" x14ac:dyDescent="0.25">
      <c r="B95" s="8"/>
      <c r="C95" s="8"/>
      <c r="D95" s="8"/>
      <c r="E95" s="9"/>
      <c r="F95" s="10"/>
      <c r="G95" s="11">
        <f>IF($B95="","",IF(IF($F95="",0,$F95)&gt;=1,$E95,$E95/(1-IF($F95="",0,$F95))))</f>
      </c>
      <c r="H95" s="8"/>
    </row>
    <row r="96" spans="2:8" x14ac:dyDescent="0.25">
      <c r="B96" s="12"/>
      <c r="C96" s="12"/>
      <c r="D96" s="12"/>
      <c r="E96" s="13"/>
      <c r="F96" s="14"/>
      <c r="G96" s="11">
        <f>IF($B96="","",IF(IF($F96="",0,$F96)&gt;=1,$E96,$E96/(1-IF($F96="",0,$F96))))</f>
      </c>
      <c r="H96" s="12"/>
    </row>
    <row r="97" spans="2:8" x14ac:dyDescent="0.25">
      <c r="B97" s="8"/>
      <c r="C97" s="8"/>
      <c r="D97" s="8"/>
      <c r="E97" s="9"/>
      <c r="F97" s="10"/>
      <c r="G97" s="11">
        <f>IF($B97="","",IF(IF($F97="",0,$F97)&gt;=1,$E97,$E97/(1-IF($F97="",0,$F97))))</f>
      </c>
      <c r="H97" s="8"/>
    </row>
    <row r="98" spans="2:8" x14ac:dyDescent="0.25">
      <c r="B98" s="12"/>
      <c r="C98" s="12"/>
      <c r="D98" s="12"/>
      <c r="E98" s="13"/>
      <c r="F98" s="14"/>
      <c r="G98" s="11">
        <f>IF($B98="","",IF(IF($F98="",0,$F98)&gt;=1,$E98,$E98/(1-IF($F98="",0,$F98))))</f>
      </c>
      <c r="H98" s="12"/>
    </row>
    <row r="99" spans="2:8" x14ac:dyDescent="0.25">
      <c r="B99" s="8"/>
      <c r="C99" s="8"/>
      <c r="D99" s="8"/>
      <c r="E99" s="9"/>
      <c r="F99" s="10"/>
      <c r="G99" s="11">
        <f>IF($B99="","",IF(IF($F99="",0,$F99)&gt;=1,$E99,$E99/(1-IF($F99="",0,$F99))))</f>
      </c>
      <c r="H99" s="8"/>
    </row>
    <row r="100" spans="2:8" x14ac:dyDescent="0.25">
      <c r="B100" s="12"/>
      <c r="C100" s="12"/>
      <c r="D100" s="12"/>
      <c r="E100" s="13"/>
      <c r="F100" s="14"/>
      <c r="G100" s="11">
        <f>IF($B100="","",IF(IF($F100="",0,$F100)&gt;=1,$E100,$E100/(1-IF($F100="",0,$F100))))</f>
      </c>
      <c r="H100" s="12"/>
    </row>
    <row r="101" spans="2:8" x14ac:dyDescent="0.25">
      <c r="B101" s="8"/>
      <c r="C101" s="8"/>
      <c r="D101" s="8"/>
      <c r="E101" s="9"/>
      <c r="F101" s="10"/>
      <c r="G101" s="11">
        <f>IF($B101="","",IF(IF($F101="",0,$F101)&gt;=1,$E101,$E101/(1-IF($F101="",0,$F101))))</f>
      </c>
      <c r="H101" s="8"/>
    </row>
    <row r="102" spans="2:8" x14ac:dyDescent="0.25">
      <c r="B102" s="12"/>
      <c r="C102" s="12"/>
      <c r="D102" s="12"/>
      <c r="E102" s="13"/>
      <c r="F102" s="14"/>
      <c r="G102" s="11">
        <f>IF($B102="","",IF(IF($F102="",0,$F102)&gt;=1,$E102,$E102/(1-IF($F102="",0,$F102))))</f>
      </c>
      <c r="H102" s="12"/>
    </row>
    <row r="103" spans="2:8" x14ac:dyDescent="0.25">
      <c r="B103" s="8"/>
      <c r="C103" s="8"/>
      <c r="D103" s="8"/>
      <c r="E103" s="9"/>
      <c r="F103" s="10"/>
      <c r="G103" s="11">
        <f>IF($B103="","",IF(IF($F103="",0,$F103)&gt;=1,$E103,$E103/(1-IF($F103="",0,$F103))))</f>
      </c>
      <c r="H103" s="8"/>
    </row>
    <row r="104" spans="2:8" x14ac:dyDescent="0.25">
      <c r="B104" s="12"/>
      <c r="C104" s="12"/>
      <c r="D104" s="12"/>
      <c r="E104" s="13"/>
      <c r="F104" s="14"/>
      <c r="G104" s="11">
        <f>IF($B104="","",IF(IF($F104="",0,$F104)&gt;=1,$E104,$E104/(1-IF($F104="",0,$F104))))</f>
      </c>
      <c r="H104" s="12"/>
    </row>
    <row r="105" spans="2:8" x14ac:dyDescent="0.25">
      <c r="B105" s="8"/>
      <c r="C105" s="8"/>
      <c r="D105" s="8"/>
      <c r="E105" s="9"/>
      <c r="F105" s="10"/>
      <c r="G105" s="11">
        <f>IF($B105="","",IF(IF($F105="",0,$F105)&gt;=1,$E105,$E105/(1-IF($F105="",0,$F105))))</f>
      </c>
      <c r="H105" s="8"/>
    </row>
    <row r="106" spans="2:8" x14ac:dyDescent="0.25">
      <c r="B106" s="12"/>
      <c r="C106" s="12"/>
      <c r="D106" s="12"/>
      <c r="E106" s="13"/>
      <c r="F106" s="14"/>
      <c r="G106" s="11">
        <f>IF($B106="","",IF(IF($F106="",0,$F106)&gt;=1,$E106,$E106/(1-IF($F106="",0,$F106))))</f>
      </c>
      <c r="H106" s="12"/>
    </row>
    <row r="107" spans="2:8" x14ac:dyDescent="0.25">
      <c r="B107" s="8"/>
      <c r="C107" s="8"/>
      <c r="D107" s="8"/>
      <c r="E107" s="9"/>
      <c r="F107" s="10"/>
      <c r="G107" s="11">
        <f>IF($B107="","",IF(IF($F107="",0,$F107)&gt;=1,$E107,$E107/(1-IF($F107="",0,$F107))))</f>
      </c>
      <c r="H107" s="8"/>
    </row>
    <row r="108" spans="2:8" x14ac:dyDescent="0.25">
      <c r="B108" s="12"/>
      <c r="C108" s="12"/>
      <c r="D108" s="12"/>
      <c r="E108" s="13"/>
      <c r="F108" s="14"/>
      <c r="G108" s="11">
        <f>IF($B108="","",IF(IF($F108="",0,$F108)&gt;=1,$E108,$E108/(1-IF($F108="",0,$F108))))</f>
      </c>
      <c r="H108" s="12"/>
    </row>
    <row r="109" spans="2:8" x14ac:dyDescent="0.25">
      <c r="B109" s="8"/>
      <c r="C109" s="8"/>
      <c r="D109" s="8"/>
      <c r="E109" s="9"/>
      <c r="F109" s="10"/>
      <c r="G109" s="11">
        <f>IF($B109="","",IF(IF($F109="",0,$F109)&gt;=1,$E109,$E109/(1-IF($F109="",0,$F109))))</f>
      </c>
      <c r="H109" s="8"/>
    </row>
    <row r="110" spans="2:8" x14ac:dyDescent="0.25">
      <c r="B110" s="12"/>
      <c r="C110" s="12"/>
      <c r="D110" s="12"/>
      <c r="E110" s="13"/>
      <c r="F110" s="14"/>
      <c r="G110" s="11">
        <f>IF($B110="","",IF(IF($F110="",0,$F110)&gt;=1,$E110,$E110/(1-IF($F110="",0,$F110))))</f>
      </c>
      <c r="H110" s="12"/>
    </row>
    <row r="111" spans="2:8" x14ac:dyDescent="0.25">
      <c r="B111" s="8"/>
      <c r="C111" s="8"/>
      <c r="D111" s="8"/>
      <c r="E111" s="9"/>
      <c r="F111" s="10"/>
      <c r="G111" s="11">
        <f>IF($B111="","",IF(IF($F111="",0,$F111)&gt;=1,$E111,$E111/(1-IF($F111="",0,$F111))))</f>
      </c>
      <c r="H111" s="8"/>
    </row>
    <row r="112" spans="2:8" x14ac:dyDescent="0.25">
      <c r="B112" s="12"/>
      <c r="C112" s="12"/>
      <c r="D112" s="12"/>
      <c r="E112" s="13"/>
      <c r="F112" s="14"/>
      <c r="G112" s="11">
        <f>IF($B112="","",IF(IF($F112="",0,$F112)&gt;=1,$E112,$E112/(1-IF($F112="",0,$F112))))</f>
      </c>
      <c r="H112" s="12"/>
    </row>
    <row r="113" spans="2:8" x14ac:dyDescent="0.25">
      <c r="B113" s="8"/>
      <c r="C113" s="8"/>
      <c r="D113" s="8"/>
      <c r="E113" s="9"/>
      <c r="F113" s="10"/>
      <c r="G113" s="11">
        <f>IF($B113="","",IF(IF($F113="",0,$F113)&gt;=1,$E113,$E113/(1-IF($F113="",0,$F113))))</f>
      </c>
      <c r="H113" s="8"/>
    </row>
    <row r="114" spans="2:8" x14ac:dyDescent="0.25">
      <c r="B114" s="12"/>
      <c r="C114" s="12"/>
      <c r="D114" s="12"/>
      <c r="E114" s="13"/>
      <c r="F114" s="14"/>
      <c r="G114" s="11">
        <f>IF($B114="","",IF(IF($F114="",0,$F114)&gt;=1,$E114,$E114/(1-IF($F114="",0,$F114))))</f>
      </c>
      <c r="H114" s="12"/>
    </row>
    <row r="115" spans="2:8" x14ac:dyDescent="0.25">
      <c r="B115" s="8"/>
      <c r="C115" s="8"/>
      <c r="D115" s="8"/>
      <c r="E115" s="9"/>
      <c r="F115" s="10"/>
      <c r="G115" s="11">
        <f>IF($B115="","",IF(IF($F115="",0,$F115)&gt;=1,$E115,$E115/(1-IF($F115="",0,$F115))))</f>
      </c>
      <c r="H115" s="8"/>
    </row>
    <row r="116" spans="2:8" x14ac:dyDescent="0.25">
      <c r="B116" s="12"/>
      <c r="C116" s="12"/>
      <c r="D116" s="12"/>
      <c r="E116" s="13"/>
      <c r="F116" s="14"/>
      <c r="G116" s="11">
        <f>IF($B116="","",IF(IF($F116="",0,$F116)&gt;=1,$E116,$E116/(1-IF($F116="",0,$F116))))</f>
      </c>
      <c r="H116" s="12"/>
    </row>
    <row r="117" spans="2:8" x14ac:dyDescent="0.25">
      <c r="B117" s="8"/>
      <c r="C117" s="8"/>
      <c r="D117" s="8"/>
      <c r="E117" s="9"/>
      <c r="F117" s="10"/>
      <c r="G117" s="11">
        <f>IF($B117="","",IF(IF($F117="",0,$F117)&gt;=1,$E117,$E117/(1-IF($F117="",0,$F117))))</f>
      </c>
      <c r="H117" s="8"/>
    </row>
    <row r="118" spans="2:8" x14ac:dyDescent="0.25">
      <c r="B118" s="12"/>
      <c r="C118" s="12"/>
      <c r="D118" s="12"/>
      <c r="E118" s="13"/>
      <c r="F118" s="14"/>
      <c r="G118" s="11">
        <f>IF($B118="","",IF(IF($F118="",0,$F118)&gt;=1,$E118,$E118/(1-IF($F118="",0,$F118))))</f>
      </c>
      <c r="H118" s="12"/>
    </row>
    <row r="119" spans="2:8" x14ac:dyDescent="0.25">
      <c r="B119" s="8"/>
      <c r="C119" s="8"/>
      <c r="D119" s="8"/>
      <c r="E119" s="9"/>
      <c r="F119" s="10"/>
      <c r="G119" s="11">
        <f>IF($B119="","",IF(IF($F119="",0,$F119)&gt;=1,$E119,$E119/(1-IF($F119="",0,$F119))))</f>
      </c>
      <c r="H119" s="8"/>
    </row>
    <row r="120" spans="2:8" x14ac:dyDescent="0.25">
      <c r="B120" s="12"/>
      <c r="C120" s="12"/>
      <c r="D120" s="12"/>
      <c r="E120" s="13"/>
      <c r="F120" s="14"/>
      <c r="G120" s="11">
        <f>IF($B120="","",IF(IF($F120="",0,$F120)&gt;=1,$E120,$E120/(1-IF($F120="",0,$F120))))</f>
      </c>
      <c r="H120" s="12"/>
    </row>
    <row r="121" spans="2:8" x14ac:dyDescent="0.25">
      <c r="B121" s="8"/>
      <c r="C121" s="8"/>
      <c r="D121" s="8"/>
      <c r="E121" s="9"/>
      <c r="F121" s="10"/>
      <c r="G121" s="11">
        <f>IF($B121="","",IF(IF($F121="",0,$F121)&gt;=1,$E121,$E121/(1-IF($F121="",0,$F121))))</f>
      </c>
      <c r="H121" s="8"/>
    </row>
    <row r="122" spans="2:8" x14ac:dyDescent="0.25">
      <c r="B122" s="12"/>
      <c r="C122" s="12"/>
      <c r="D122" s="12"/>
      <c r="E122" s="13"/>
      <c r="F122" s="14"/>
      <c r="G122" s="11">
        <f>IF($B122="","",IF(IF($F122="",0,$F122)&gt;=1,$E122,$E122/(1-IF($F122="",0,$F122))))</f>
      </c>
      <c r="H122" s="12"/>
    </row>
    <row r="123" spans="2:8" x14ac:dyDescent="0.25">
      <c r="B123" s="8"/>
      <c r="C123" s="8"/>
      <c r="D123" s="8"/>
      <c r="E123" s="9"/>
      <c r="F123" s="10"/>
      <c r="G123" s="11">
        <f>IF($B123="","",IF(IF($F123="",0,$F123)&gt;=1,$E123,$E123/(1-IF($F123="",0,$F123))))</f>
      </c>
      <c r="H123" s="8"/>
    </row>
    <row r="124" spans="2:8" x14ac:dyDescent="0.25">
      <c r="B124" s="12"/>
      <c r="C124" s="12"/>
      <c r="D124" s="12"/>
      <c r="E124" s="13"/>
      <c r="F124" s="14"/>
      <c r="G124" s="11">
        <f>IF($B124="","",IF(IF($F124="",0,$F124)&gt;=1,$E124,$E124/(1-IF($F124="",0,$F124))))</f>
      </c>
      <c r="H124" s="12"/>
    </row>
    <row r="125" spans="2:8" x14ac:dyDescent="0.25">
      <c r="B125" s="8"/>
      <c r="C125" s="8"/>
      <c r="D125" s="8"/>
      <c r="E125" s="9"/>
      <c r="F125" s="10"/>
      <c r="G125" s="11">
        <f>IF($B125="","",IF(IF($F125="",0,$F125)&gt;=1,$E125,$E125/(1-IF($F125="",0,$F125))))</f>
      </c>
      <c r="H125" s="8"/>
    </row>
    <row r="126" spans="2:8" x14ac:dyDescent="0.25">
      <c r="B126" s="12"/>
      <c r="C126" s="12"/>
      <c r="D126" s="12"/>
      <c r="E126" s="13"/>
      <c r="F126" s="14"/>
      <c r="G126" s="11">
        <f>IF($B126="","",IF(IF($F126="",0,$F126)&gt;=1,$E126,$E126/(1-IF($F126="",0,$F126))))</f>
      </c>
      <c r="H126" s="12"/>
    </row>
    <row r="127" spans="2:8" x14ac:dyDescent="0.25">
      <c r="B127" s="8"/>
      <c r="C127" s="8"/>
      <c r="D127" s="8"/>
      <c r="E127" s="9"/>
      <c r="F127" s="10"/>
      <c r="G127" s="11">
        <f>IF($B127="","",IF(IF($F127="",0,$F127)&gt;=1,$E127,$E127/(1-IF($F127="",0,$F127))))</f>
      </c>
      <c r="H127" s="8"/>
    </row>
    <row r="128" spans="2:8" x14ac:dyDescent="0.25">
      <c r="B128" s="12"/>
      <c r="C128" s="12"/>
      <c r="D128" s="12"/>
      <c r="E128" s="13"/>
      <c r="F128" s="14"/>
      <c r="G128" s="11">
        <f>IF($B128="","",IF(IF($F128="",0,$F128)&gt;=1,$E128,$E128/(1-IF($F128="",0,$F128))))</f>
      </c>
      <c r="H128" s="12"/>
    </row>
    <row r="129" spans="2:8" x14ac:dyDescent="0.25">
      <c r="B129" s="8"/>
      <c r="C129" s="8"/>
      <c r="D129" s="8"/>
      <c r="E129" s="9"/>
      <c r="F129" s="10"/>
      <c r="G129" s="11">
        <f>IF($B129="","",IF(IF($F129="",0,$F129)&gt;=1,$E129,$E129/(1-IF($F129="",0,$F129))))</f>
      </c>
      <c r="H129" s="8"/>
    </row>
    <row r="130" spans="2:8" x14ac:dyDescent="0.25">
      <c r="B130" s="12"/>
      <c r="C130" s="12"/>
      <c r="D130" s="12"/>
      <c r="E130" s="13"/>
      <c r="F130" s="14"/>
      <c r="G130" s="11">
        <f>IF($B130="","",IF(IF($F130="",0,$F130)&gt;=1,$E130,$E130/(1-IF($F130="",0,$F130))))</f>
      </c>
      <c r="H130" s="12"/>
    </row>
    <row r="131" spans="2:8" x14ac:dyDescent="0.25">
      <c r="B131" s="8"/>
      <c r="C131" s="8"/>
      <c r="D131" s="8"/>
      <c r="E131" s="9"/>
      <c r="F131" s="10"/>
      <c r="G131" s="11">
        <f>IF($B131="","",IF(IF($F131="",0,$F131)&gt;=1,$E131,$E131/(1-IF($F131="",0,$F131))))</f>
      </c>
      <c r="H131" s="8"/>
    </row>
    <row r="132" spans="2:8" x14ac:dyDescent="0.25">
      <c r="B132" s="12"/>
      <c r="C132" s="12"/>
      <c r="D132" s="12"/>
      <c r="E132" s="13"/>
      <c r="F132" s="14"/>
      <c r="G132" s="11">
        <f>IF($B132="","",IF(IF($F132="",0,$F132)&gt;=1,$E132,$E132/(1-IF($F132="",0,$F132))))</f>
      </c>
      <c r="H132" s="12"/>
    </row>
    <row r="133" spans="2:8" x14ac:dyDescent="0.25">
      <c r="B133" s="8"/>
      <c r="C133" s="8"/>
      <c r="D133" s="8"/>
      <c r="E133" s="9"/>
      <c r="F133" s="10"/>
      <c r="G133" s="11">
        <f>IF($B133="","",IF(IF($F133="",0,$F133)&gt;=1,$E133,$E133/(1-IF($F133="",0,$F133))))</f>
      </c>
      <c r="H133" s="8"/>
    </row>
    <row r="134" spans="2:8" x14ac:dyDescent="0.25">
      <c r="B134" s="12"/>
      <c r="C134" s="12"/>
      <c r="D134" s="12"/>
      <c r="E134" s="13"/>
      <c r="F134" s="14"/>
      <c r="G134" s="11">
        <f>IF($B134="","",IF(IF($F134="",0,$F134)&gt;=1,$E134,$E134/(1-IF($F134="",0,$F134))))</f>
      </c>
      <c r="H134" s="12"/>
    </row>
    <row r="135" spans="2:8" x14ac:dyDescent="0.25">
      <c r="B135" s="8"/>
      <c r="C135" s="8"/>
      <c r="D135" s="8"/>
      <c r="E135" s="9"/>
      <c r="F135" s="10"/>
      <c r="G135" s="11">
        <f>IF($B135="","",IF(IF($F135="",0,$F135)&gt;=1,$E135,$E135/(1-IF($F135="",0,$F135))))</f>
      </c>
      <c r="H135" s="8"/>
    </row>
    <row r="136" spans="2:8" x14ac:dyDescent="0.25">
      <c r="B136" s="12"/>
      <c r="C136" s="12"/>
      <c r="D136" s="12"/>
      <c r="E136" s="13"/>
      <c r="F136" s="14"/>
      <c r="G136" s="11">
        <f>IF($B136="","",IF(IF($F136="",0,$F136)&gt;=1,$E136,$E136/(1-IF($F136="",0,$F136))))</f>
      </c>
      <c r="H136" s="12"/>
    </row>
    <row r="137" spans="2:8" x14ac:dyDescent="0.25">
      <c r="B137" s="8"/>
      <c r="C137" s="8"/>
      <c r="D137" s="8"/>
      <c r="E137" s="9"/>
      <c r="F137" s="10"/>
      <c r="G137" s="11">
        <f>IF($B137="","",IF(IF($F137="",0,$F137)&gt;=1,$E137,$E137/(1-IF($F137="",0,$F137))))</f>
      </c>
      <c r="H137" s="8"/>
    </row>
    <row r="138" spans="2:8" x14ac:dyDescent="0.25">
      <c r="B138" s="12"/>
      <c r="C138" s="12"/>
      <c r="D138" s="12"/>
      <c r="E138" s="13"/>
      <c r="F138" s="14"/>
      <c r="G138" s="11">
        <f>IF($B138="","",IF(IF($F138="",0,$F138)&gt;=1,$E138,$E138/(1-IF($F138="",0,$F138))))</f>
      </c>
      <c r="H138" s="12"/>
    </row>
    <row r="139" spans="2:8" x14ac:dyDescent="0.25">
      <c r="B139" s="8"/>
      <c r="C139" s="8"/>
      <c r="D139" s="8"/>
      <c r="E139" s="9"/>
      <c r="F139" s="10"/>
      <c r="G139" s="11">
        <f>IF($B139="","",IF(IF($F139="",0,$F139)&gt;=1,$E139,$E139/(1-IF($F139="",0,$F139))))</f>
      </c>
      <c r="H139" s="8"/>
    </row>
    <row r="140" spans="2:8" x14ac:dyDescent="0.25">
      <c r="B140" s="12"/>
      <c r="C140" s="12"/>
      <c r="D140" s="12"/>
      <c r="E140" s="13"/>
      <c r="F140" s="14"/>
      <c r="G140" s="11">
        <f>IF($B140="","",IF(IF($F140="",0,$F140)&gt;=1,$E140,$E140/(1-IF($F140="",0,$F140))))</f>
      </c>
      <c r="H140" s="12"/>
    </row>
    <row r="141" spans="2:8" x14ac:dyDescent="0.25">
      <c r="B141" s="8"/>
      <c r="C141" s="8"/>
      <c r="D141" s="8"/>
      <c r="E141" s="9"/>
      <c r="F141" s="10"/>
      <c r="G141" s="11">
        <f>IF($B141="","",IF(IF($F141="",0,$F141)&gt;=1,$E141,$E141/(1-IF($F141="",0,$F141))))</f>
      </c>
      <c r="H141" s="8"/>
    </row>
    <row r="142" spans="2:8" x14ac:dyDescent="0.25">
      <c r="B142" s="12"/>
      <c r="C142" s="12"/>
      <c r="D142" s="12"/>
      <c r="E142" s="13"/>
      <c r="F142" s="14"/>
      <c r="G142" s="11">
        <f>IF($B142="","",IF(IF($F142="",0,$F142)&gt;=1,$E142,$E142/(1-IF($F142="",0,$F142))))</f>
      </c>
      <c r="H142" s="12"/>
    </row>
    <row r="143" spans="2:8" x14ac:dyDescent="0.25">
      <c r="B143" s="8"/>
      <c r="C143" s="8"/>
      <c r="D143" s="8"/>
      <c r="E143" s="9"/>
      <c r="F143" s="10"/>
      <c r="G143" s="11">
        <f>IF($B143="","",IF(IF($F143="",0,$F143)&gt;=1,$E143,$E143/(1-IF($F143="",0,$F143))))</f>
      </c>
      <c r="H143" s="8"/>
    </row>
    <row r="144" spans="2:8" x14ac:dyDescent="0.25">
      <c r="B144" s="12"/>
      <c r="C144" s="12"/>
      <c r="D144" s="12"/>
      <c r="E144" s="13"/>
      <c r="F144" s="14"/>
      <c r="G144" s="11">
        <f>IF($B144="","",IF(IF($F144="",0,$F144)&gt;=1,$E144,$E144/(1-IF($F144="",0,$F144))))</f>
      </c>
      <c r="H144" s="12"/>
    </row>
    <row r="145" spans="2:8" x14ac:dyDescent="0.25">
      <c r="B145" s="8"/>
      <c r="C145" s="8"/>
      <c r="D145" s="8"/>
      <c r="E145" s="9"/>
      <c r="F145" s="10"/>
      <c r="G145" s="11">
        <f>IF($B145="","",IF(IF($F145="",0,$F145)&gt;=1,$E145,$E145/(1-IF($F145="",0,$F145))))</f>
      </c>
      <c r="H145" s="8"/>
    </row>
    <row r="146" spans="2:8" x14ac:dyDescent="0.25">
      <c r="B146" s="12"/>
      <c r="C146" s="12"/>
      <c r="D146" s="12"/>
      <c r="E146" s="13"/>
      <c r="F146" s="14"/>
      <c r="G146" s="11">
        <f>IF($B146="","",IF(IF($F146="",0,$F146)&gt;=1,$E146,$E146/(1-IF($F146="",0,$F146))))</f>
      </c>
      <c r="H146" s="12"/>
    </row>
    <row r="147" spans="2:8" x14ac:dyDescent="0.25">
      <c r="B147" s="8"/>
      <c r="C147" s="8"/>
      <c r="D147" s="8"/>
      <c r="E147" s="9"/>
      <c r="F147" s="10"/>
      <c r="G147" s="11">
        <f>IF($B147="","",IF(IF($F147="",0,$F147)&gt;=1,$E147,$E147/(1-IF($F147="",0,$F147))))</f>
      </c>
      <c r="H147" s="8"/>
    </row>
    <row r="148" spans="2:8" x14ac:dyDescent="0.25">
      <c r="B148" s="12"/>
      <c r="C148" s="12"/>
      <c r="D148" s="12"/>
      <c r="E148" s="13"/>
      <c r="F148" s="14"/>
      <c r="G148" s="11">
        <f>IF($B148="","",IF(IF($F148="",0,$F148)&gt;=1,$E148,$E148/(1-IF($F148="",0,$F148))))</f>
      </c>
      <c r="H148" s="12"/>
    </row>
    <row r="149" spans="2:8" x14ac:dyDescent="0.25">
      <c r="B149" s="8"/>
      <c r="C149" s="8"/>
      <c r="D149" s="8"/>
      <c r="E149" s="9"/>
      <c r="F149" s="10"/>
      <c r="G149" s="11">
        <f>IF($B149="","",IF(IF($F149="",0,$F149)&gt;=1,$E149,$E149/(1-IF($F149="",0,$F149))))</f>
      </c>
      <c r="H149" s="8"/>
    </row>
    <row r="150" spans="2:8" x14ac:dyDescent="0.25">
      <c r="B150" s="12"/>
      <c r="C150" s="12"/>
      <c r="D150" s="12"/>
      <c r="E150" s="13"/>
      <c r="F150" s="14"/>
      <c r="G150" s="11">
        <f>IF($B150="","",IF(IF($F150="",0,$F150)&gt;=1,$E150,$E150/(1-IF($F150="",0,$F150))))</f>
      </c>
      <c r="H150" s="12"/>
    </row>
    <row r="151" spans="2:8" x14ac:dyDescent="0.25">
      <c r="B151" s="8"/>
      <c r="C151" s="8"/>
      <c r="D151" s="8"/>
      <c r="E151" s="9"/>
      <c r="F151" s="10"/>
      <c r="G151" s="11">
        <f>IF($B151="","",IF(IF($F151="",0,$F151)&gt;=1,$E151,$E151/(1-IF($F151="",0,$F151))))</f>
      </c>
      <c r="H151" s="8"/>
    </row>
    <row r="152" spans="2:8" x14ac:dyDescent="0.25">
      <c r="B152" s="12"/>
      <c r="C152" s="12"/>
      <c r="D152" s="12"/>
      <c r="E152" s="13"/>
      <c r="F152" s="14"/>
      <c r="G152" s="11">
        <f>IF($B152="","",IF(IF($F152="",0,$F152)&gt;=1,$E152,$E152/(1-IF($F152="",0,$F152))))</f>
      </c>
      <c r="H152" s="12"/>
    </row>
    <row r="153" spans="2:8" x14ac:dyDescent="0.25">
      <c r="B153" s="8"/>
      <c r="C153" s="8"/>
      <c r="D153" s="8"/>
      <c r="E153" s="9"/>
      <c r="F153" s="10"/>
      <c r="G153" s="11">
        <f>IF($B153="","",IF(IF($F153="",0,$F153)&gt;=1,$E153,$E153/(1-IF($F153="",0,$F153))))</f>
      </c>
      <c r="H153" s="8"/>
    </row>
    <row r="154" spans="2:8" x14ac:dyDescent="0.25">
      <c r="B154" s="12"/>
      <c r="C154" s="12"/>
      <c r="D154" s="12"/>
      <c r="E154" s="13"/>
      <c r="F154" s="14"/>
      <c r="G154" s="11">
        <f>IF($B154="","",IF(IF($F154="",0,$F154)&gt;=1,$E154,$E154/(1-IF($F154="",0,$F154))))</f>
      </c>
      <c r="H154" s="12"/>
    </row>
    <row r="155" spans="2:8" x14ac:dyDescent="0.25">
      <c r="B155" s="8"/>
      <c r="C155" s="8"/>
      <c r="D155" s="8"/>
      <c r="E155" s="9"/>
      <c r="F155" s="10"/>
      <c r="G155" s="11">
        <f>IF($B155="","",IF(IF($F155="",0,$F155)&gt;=1,$E155,$E155/(1-IF($F155="",0,$F155))))</f>
      </c>
      <c r="H155" s="8"/>
    </row>
    <row r="156" spans="2:8" x14ac:dyDescent="0.25">
      <c r="B156" s="12"/>
      <c r="C156" s="12"/>
      <c r="D156" s="12"/>
      <c r="E156" s="13"/>
      <c r="F156" s="14"/>
      <c r="G156" s="11">
        <f>IF($B156="","",IF(IF($F156="",0,$F156)&gt;=1,$E156,$E156/(1-IF($F156="",0,$F156))))</f>
      </c>
      <c r="H156" s="12"/>
    </row>
    <row r="157" spans="2:8" x14ac:dyDescent="0.25">
      <c r="B157" s="8"/>
      <c r="C157" s="8"/>
      <c r="D157" s="8"/>
      <c r="E157" s="9"/>
      <c r="F157" s="10"/>
      <c r="G157" s="11">
        <f>IF($B157="","",IF(IF($F157="",0,$F157)&gt;=1,$E157,$E157/(1-IF($F157="",0,$F157))))</f>
      </c>
      <c r="H157" s="8"/>
    </row>
    <row r="158" spans="2:8" x14ac:dyDescent="0.25">
      <c r="B158" s="12"/>
      <c r="C158" s="12"/>
      <c r="D158" s="12"/>
      <c r="E158" s="13"/>
      <c r="F158" s="14"/>
      <c r="G158" s="11">
        <f>IF($B158="","",IF(IF($F158="",0,$F158)&gt;=1,$E158,$E158/(1-IF($F158="",0,$F158))))</f>
      </c>
      <c r="H158" s="12"/>
    </row>
    <row r="159" spans="2:8" x14ac:dyDescent="0.25">
      <c r="B159" s="8"/>
      <c r="C159" s="8"/>
      <c r="D159" s="8"/>
      <c r="E159" s="9"/>
      <c r="F159" s="10"/>
      <c r="G159" s="11">
        <f>IF($B159="","",IF(IF($F159="",0,$F159)&gt;=1,$E159,$E159/(1-IF($F159="",0,$F159))))</f>
      </c>
      <c r="H159" s="8"/>
    </row>
    <row r="160" spans="2:8" x14ac:dyDescent="0.25">
      <c r="B160" s="12"/>
      <c r="C160" s="12"/>
      <c r="D160" s="12"/>
      <c r="E160" s="13"/>
      <c r="F160" s="14"/>
      <c r="G160" s="11">
        <f>IF($B160="","",IF(IF($F160="",0,$F160)&gt;=1,$E160,$E160/(1-IF($F160="",0,$F160))))</f>
      </c>
      <c r="H160" s="12"/>
    </row>
    <row r="161" spans="2:8" x14ac:dyDescent="0.25">
      <c r="B161" s="8"/>
      <c r="C161" s="8"/>
      <c r="D161" s="8"/>
      <c r="E161" s="9"/>
      <c r="F161" s="10"/>
      <c r="G161" s="11">
        <f>IF($B161="","",IF(IF($F161="",0,$F161)&gt;=1,$E161,$E161/(1-IF($F161="",0,$F161))))</f>
      </c>
      <c r="H161" s="8"/>
    </row>
    <row r="162" spans="2:8" x14ac:dyDescent="0.25">
      <c r="B162" s="12"/>
      <c r="C162" s="12"/>
      <c r="D162" s="12"/>
      <c r="E162" s="13"/>
      <c r="F162" s="14"/>
      <c r="G162" s="11">
        <f>IF($B162="","",IF(IF($F162="",0,$F162)&gt;=1,$E162,$E162/(1-IF($F162="",0,$F162))))</f>
      </c>
      <c r="H162" s="12"/>
    </row>
    <row r="163" spans="2:8" x14ac:dyDescent="0.25">
      <c r="B163" s="8"/>
      <c r="C163" s="8"/>
      <c r="D163" s="8"/>
      <c r="E163" s="9"/>
      <c r="F163" s="10"/>
      <c r="G163" s="11">
        <f>IF($B163="","",IF(IF($F163="",0,$F163)&gt;=1,$E163,$E163/(1-IF($F163="",0,$F163))))</f>
      </c>
      <c r="H163" s="8"/>
    </row>
    <row r="164" spans="2:8" x14ac:dyDescent="0.25">
      <c r="B164" s="12"/>
      <c r="C164" s="12"/>
      <c r="D164" s="12"/>
      <c r="E164" s="13"/>
      <c r="F164" s="14"/>
      <c r="G164" s="11">
        <f>IF($B164="","",IF(IF($F164="",0,$F164)&gt;=1,$E164,$E164/(1-IF($F164="",0,$F164))))</f>
      </c>
      <c r="H164" s="12"/>
    </row>
    <row r="165" spans="2:8" x14ac:dyDescent="0.25">
      <c r="B165" s="8"/>
      <c r="C165" s="8"/>
      <c r="D165" s="8"/>
      <c r="E165" s="9"/>
      <c r="F165" s="10"/>
      <c r="G165" s="11">
        <f>IF($B165="","",IF(IF($F165="",0,$F165)&gt;=1,$E165,$E165/(1-IF($F165="",0,$F165))))</f>
      </c>
      <c r="H165" s="8"/>
    </row>
    <row r="166" spans="2:8" x14ac:dyDescent="0.25">
      <c r="B166" s="12"/>
      <c r="C166" s="12"/>
      <c r="D166" s="12"/>
      <c r="E166" s="13"/>
      <c r="F166" s="14"/>
      <c r="G166" s="11">
        <f>IF($B166="","",IF(IF($F166="",0,$F166)&gt;=1,$E166,$E166/(1-IF($F166="",0,$F166))))</f>
      </c>
      <c r="H166" s="12"/>
    </row>
    <row r="167" spans="2:8" x14ac:dyDescent="0.25">
      <c r="B167" s="8"/>
      <c r="C167" s="8"/>
      <c r="D167" s="8"/>
      <c r="E167" s="9"/>
      <c r="F167" s="10"/>
      <c r="G167" s="11">
        <f>IF($B167="","",IF(IF($F167="",0,$F167)&gt;=1,$E167,$E167/(1-IF($F167="",0,$F167))))</f>
      </c>
      <c r="H167" s="8"/>
    </row>
    <row r="168" spans="2:8" x14ac:dyDescent="0.25">
      <c r="B168" s="12"/>
      <c r="C168" s="12"/>
      <c r="D168" s="12"/>
      <c r="E168" s="13"/>
      <c r="F168" s="14"/>
      <c r="G168" s="11">
        <f>IF($B168="","",IF(IF($F168="",0,$F168)&gt;=1,$E168,$E168/(1-IF($F168="",0,$F168))))</f>
      </c>
      <c r="H168" s="12"/>
    </row>
    <row r="169" spans="2:8" x14ac:dyDescent="0.25">
      <c r="B169" s="8"/>
      <c r="C169" s="8"/>
      <c r="D169" s="8"/>
      <c r="E169" s="9"/>
      <c r="F169" s="10"/>
      <c r="G169" s="11">
        <f>IF($B169="","",IF(IF($F169="",0,$F169)&gt;=1,$E169,$E169/(1-IF($F169="",0,$F169))))</f>
      </c>
      <c r="H169" s="8"/>
    </row>
    <row r="170" spans="2:8" x14ac:dyDescent="0.25">
      <c r="B170" s="12"/>
      <c r="C170" s="12"/>
      <c r="D170" s="12"/>
      <c r="E170" s="13"/>
      <c r="F170" s="14"/>
      <c r="G170" s="11">
        <f>IF($B170="","",IF(IF($F170="",0,$F170)&gt;=1,$E170,$E170/(1-IF($F170="",0,$F170))))</f>
      </c>
      <c r="H170" s="12"/>
    </row>
    <row r="171" spans="2:8" x14ac:dyDescent="0.25">
      <c r="B171" s="8"/>
      <c r="C171" s="8"/>
      <c r="D171" s="8"/>
      <c r="E171" s="9"/>
      <c r="F171" s="10"/>
      <c r="G171" s="11">
        <f>IF($B171="","",IF(IF($F171="",0,$F171)&gt;=1,$E171,$E171/(1-IF($F171="",0,$F171))))</f>
      </c>
      <c r="H171" s="8"/>
    </row>
    <row r="172" spans="2:8" x14ac:dyDescent="0.25">
      <c r="B172" s="12"/>
      <c r="C172" s="12"/>
      <c r="D172" s="12"/>
      <c r="E172" s="13"/>
      <c r="F172" s="14"/>
      <c r="G172" s="11">
        <f>IF($B172="","",IF(IF($F172="",0,$F172)&gt;=1,$E172,$E172/(1-IF($F172="",0,$F172))))</f>
      </c>
      <c r="H172" s="12"/>
    </row>
    <row r="173" spans="2:8" x14ac:dyDescent="0.25">
      <c r="B173" s="8"/>
      <c r="C173" s="8"/>
      <c r="D173" s="8"/>
      <c r="E173" s="9"/>
      <c r="F173" s="10"/>
      <c r="G173" s="11">
        <f>IF($B173="","",IF(IF($F173="",0,$F173)&gt;=1,$E173,$E173/(1-IF($F173="",0,$F173))))</f>
      </c>
      <c r="H173" s="8"/>
    </row>
    <row r="174" spans="2:8" x14ac:dyDescent="0.25">
      <c r="B174" s="12"/>
      <c r="C174" s="12"/>
      <c r="D174" s="12"/>
      <c r="E174" s="13"/>
      <c r="F174" s="14"/>
      <c r="G174" s="11">
        <f>IF($B174="","",IF(IF($F174="",0,$F174)&gt;=1,$E174,$E174/(1-IF($F174="",0,$F174))))</f>
      </c>
      <c r="H174" s="12"/>
    </row>
    <row r="175" spans="2:8" x14ac:dyDescent="0.25">
      <c r="B175" s="8"/>
      <c r="C175" s="8"/>
      <c r="D175" s="8"/>
      <c r="E175" s="9"/>
      <c r="F175" s="10"/>
      <c r="G175" s="11">
        <f>IF($B175="","",IF(IF($F175="",0,$F175)&gt;=1,$E175,$E175/(1-IF($F175="",0,$F175))))</f>
      </c>
      <c r="H175" s="8"/>
    </row>
    <row r="176" spans="2:8" x14ac:dyDescent="0.25">
      <c r="B176" s="12"/>
      <c r="C176" s="12"/>
      <c r="D176" s="12"/>
      <c r="E176" s="13"/>
      <c r="F176" s="14"/>
      <c r="G176" s="11">
        <f>IF($B176="","",IF(IF($F176="",0,$F176)&gt;=1,$E176,$E176/(1-IF($F176="",0,$F176))))</f>
      </c>
      <c r="H176" s="12"/>
    </row>
    <row r="177" spans="2:8" x14ac:dyDescent="0.25">
      <c r="B177" s="8"/>
      <c r="C177" s="8"/>
      <c r="D177" s="8"/>
      <c r="E177" s="9"/>
      <c r="F177" s="10"/>
      <c r="G177" s="11">
        <f>IF($B177="","",IF(IF($F177="",0,$F177)&gt;=1,$E177,$E177/(1-IF($F177="",0,$F177))))</f>
      </c>
      <c r="H177" s="8"/>
    </row>
    <row r="178" spans="2:8" x14ac:dyDescent="0.25">
      <c r="B178" s="12"/>
      <c r="C178" s="12"/>
      <c r="D178" s="12"/>
      <c r="E178" s="13"/>
      <c r="F178" s="14"/>
      <c r="G178" s="11">
        <f>IF($B178="","",IF(IF($F178="",0,$F178)&gt;=1,$E178,$E178/(1-IF($F178="",0,$F178))))</f>
      </c>
      <c r="H178" s="12"/>
    </row>
    <row r="179" spans="2:8" x14ac:dyDescent="0.25">
      <c r="B179" s="8"/>
      <c r="C179" s="8"/>
      <c r="D179" s="8"/>
      <c r="E179" s="9"/>
      <c r="F179" s="10"/>
      <c r="G179" s="11">
        <f>IF($B179="","",IF(IF($F179="",0,$F179)&gt;=1,$E179,$E179/(1-IF($F179="",0,$F179))))</f>
      </c>
      <c r="H179" s="8"/>
    </row>
    <row r="180" spans="2:8" x14ac:dyDescent="0.25">
      <c r="B180" s="12"/>
      <c r="C180" s="12"/>
      <c r="D180" s="12"/>
      <c r="E180" s="13"/>
      <c r="F180" s="14"/>
      <c r="G180" s="11">
        <f>IF($B180="","",IF(IF($F180="",0,$F180)&gt;=1,$E180,$E180/(1-IF($F180="",0,$F180))))</f>
      </c>
      <c r="H180" s="12"/>
    </row>
    <row r="181" spans="2:8" x14ac:dyDescent="0.25">
      <c r="B181" s="8"/>
      <c r="C181" s="8"/>
      <c r="D181" s="8"/>
      <c r="E181" s="9"/>
      <c r="F181" s="10"/>
      <c r="G181" s="11">
        <f>IF($B181="","",IF(IF($F181="",0,$F181)&gt;=1,$E181,$E181/(1-IF($F181="",0,$F181))))</f>
      </c>
      <c r="H181" s="8"/>
    </row>
    <row r="182" spans="2:8" x14ac:dyDescent="0.25">
      <c r="B182" s="12"/>
      <c r="C182" s="12"/>
      <c r="D182" s="12"/>
      <c r="E182" s="13"/>
      <c r="F182" s="14"/>
      <c r="G182" s="11">
        <f>IF($B182="","",IF(IF($F182="",0,$F182)&gt;=1,$E182,$E182/(1-IF($F182="",0,$F182))))</f>
      </c>
      <c r="H182" s="12"/>
    </row>
    <row r="183" spans="2:8" x14ac:dyDescent="0.25">
      <c r="B183" s="8"/>
      <c r="C183" s="8"/>
      <c r="D183" s="8"/>
      <c r="E183" s="9"/>
      <c r="F183" s="10"/>
      <c r="G183" s="11">
        <f>IF($B183="","",IF(IF($F183="",0,$F183)&gt;=1,$E183,$E183/(1-IF($F183="",0,$F183))))</f>
      </c>
      <c r="H183" s="8"/>
    </row>
    <row r="184" spans="2:8" x14ac:dyDescent="0.25">
      <c r="B184" s="12"/>
      <c r="C184" s="12"/>
      <c r="D184" s="12"/>
      <c r="E184" s="13"/>
      <c r="F184" s="14"/>
      <c r="G184" s="11">
        <f>IF($B184="","",IF(IF($F184="",0,$F184)&gt;=1,$E184,$E184/(1-IF($F184="",0,$F184))))</f>
      </c>
      <c r="H184" s="12"/>
    </row>
    <row r="185" spans="2:8" x14ac:dyDescent="0.25">
      <c r="B185" s="8"/>
      <c r="C185" s="8"/>
      <c r="D185" s="8"/>
      <c r="E185" s="9"/>
      <c r="F185" s="10"/>
      <c r="G185" s="11">
        <f>IF($B185="","",IF(IF($F185="",0,$F185)&gt;=1,$E185,$E185/(1-IF($F185="",0,$F185))))</f>
      </c>
      <c r="H185" s="8"/>
    </row>
    <row r="186" spans="2:8" x14ac:dyDescent="0.25">
      <c r="B186" s="12"/>
      <c r="C186" s="12"/>
      <c r="D186" s="12"/>
      <c r="E186" s="13"/>
      <c r="F186" s="14"/>
      <c r="G186" s="11">
        <f>IF($B186="","",IF(IF($F186="",0,$F186)&gt;=1,$E186,$E186/(1-IF($F186="",0,$F186))))</f>
      </c>
      <c r="H186" s="12"/>
    </row>
    <row r="187" spans="2:8" x14ac:dyDescent="0.25">
      <c r="B187" s="8"/>
      <c r="C187" s="8"/>
      <c r="D187" s="8"/>
      <c r="E187" s="9"/>
      <c r="F187" s="10"/>
      <c r="G187" s="11">
        <f>IF($B187="","",IF(IF($F187="",0,$F187)&gt;=1,$E187,$E187/(1-IF($F187="",0,$F187))))</f>
      </c>
      <c r="H187" s="8"/>
    </row>
    <row r="188" spans="2:8" x14ac:dyDescent="0.25">
      <c r="B188" s="12"/>
      <c r="C188" s="12"/>
      <c r="D188" s="12"/>
      <c r="E188" s="13"/>
      <c r="F188" s="14"/>
      <c r="G188" s="11">
        <f>IF($B188="","",IF(IF($F188="",0,$F188)&gt;=1,$E188,$E188/(1-IF($F188="",0,$F188))))</f>
      </c>
      <c r="H188" s="12"/>
    </row>
    <row r="189" spans="2:8" x14ac:dyDescent="0.25">
      <c r="B189" s="8"/>
      <c r="C189" s="8"/>
      <c r="D189" s="8"/>
      <c r="E189" s="9"/>
      <c r="F189" s="10"/>
      <c r="G189" s="11">
        <f>IF($B189="","",IF(IF($F189="",0,$F189)&gt;=1,$E189,$E189/(1-IF($F189="",0,$F189))))</f>
      </c>
      <c r="H189" s="8"/>
    </row>
    <row r="190" spans="2:8" x14ac:dyDescent="0.25">
      <c r="B190" s="12"/>
      <c r="C190" s="12"/>
      <c r="D190" s="12"/>
      <c r="E190" s="13"/>
      <c r="F190" s="14"/>
      <c r="G190" s="11">
        <f>IF($B190="","",IF(IF($F190="",0,$F190)&gt;=1,$E190,$E190/(1-IF($F190="",0,$F190))))</f>
      </c>
      <c r="H190" s="12"/>
    </row>
    <row r="191" spans="2:8" x14ac:dyDescent="0.25">
      <c r="B191" s="8"/>
      <c r="C191" s="8"/>
      <c r="D191" s="8"/>
      <c r="E191" s="9"/>
      <c r="F191" s="10"/>
      <c r="G191" s="11">
        <f>IF($B191="","",IF(IF($F191="",0,$F191)&gt;=1,$E191,$E191/(1-IF($F191="",0,$F191))))</f>
      </c>
      <c r="H191" s="8"/>
    </row>
    <row r="192" spans="2:8" x14ac:dyDescent="0.25">
      <c r="B192" s="12"/>
      <c r="C192" s="12"/>
      <c r="D192" s="12"/>
      <c r="E192" s="13"/>
      <c r="F192" s="14"/>
      <c r="G192" s="11">
        <f>IF($B192="","",IF(IF($F192="",0,$F192)&gt;=1,$E192,$E192/(1-IF($F192="",0,$F192))))</f>
      </c>
      <c r="H192" s="12"/>
    </row>
    <row r="193" spans="2:8" x14ac:dyDescent="0.25">
      <c r="B193" s="8"/>
      <c r="C193" s="8"/>
      <c r="D193" s="8"/>
      <c r="E193" s="9"/>
      <c r="F193" s="10"/>
      <c r="G193" s="11">
        <f>IF($B193="","",IF(IF($F193="",0,$F193)&gt;=1,$E193,$E193/(1-IF($F193="",0,$F193))))</f>
      </c>
      <c r="H193" s="8"/>
    </row>
    <row r="194" spans="2:8" x14ac:dyDescent="0.25">
      <c r="B194" s="12"/>
      <c r="C194" s="12"/>
      <c r="D194" s="12"/>
      <c r="E194" s="13"/>
      <c r="F194" s="14"/>
      <c r="G194" s="11">
        <f>IF($B194="","",IF(IF($F194="",0,$F194)&gt;=1,$E194,$E194/(1-IF($F194="",0,$F194))))</f>
      </c>
      <c r="H194" s="12"/>
    </row>
    <row r="195" spans="2:8" x14ac:dyDescent="0.25">
      <c r="B195" s="8"/>
      <c r="C195" s="8"/>
      <c r="D195" s="8"/>
      <c r="E195" s="9"/>
      <c r="F195" s="10"/>
      <c r="G195" s="11">
        <f>IF($B195="","",IF(IF($F195="",0,$F195)&gt;=1,$E195,$E195/(1-IF($F195="",0,$F195))))</f>
      </c>
      <c r="H195" s="8"/>
    </row>
    <row r="196" spans="2:8" x14ac:dyDescent="0.25">
      <c r="B196" s="12"/>
      <c r="C196" s="12"/>
      <c r="D196" s="12"/>
      <c r="E196" s="13"/>
      <c r="F196" s="14"/>
      <c r="G196" s="11">
        <f>IF($B196="","",IF(IF($F196="",0,$F196)&gt;=1,$E196,$E196/(1-IF($F196="",0,$F196))))</f>
      </c>
      <c r="H196" s="12"/>
    </row>
    <row r="197" spans="2:8" x14ac:dyDescent="0.25">
      <c r="B197" s="8"/>
      <c r="C197" s="8"/>
      <c r="D197" s="8"/>
      <c r="E197" s="9"/>
      <c r="F197" s="10"/>
      <c r="G197" s="11">
        <f>IF($B197="","",IF(IF($F197="",0,$F197)&gt;=1,$E197,$E197/(1-IF($F197="",0,$F197))))</f>
      </c>
      <c r="H197" s="8"/>
    </row>
    <row r="198" spans="2:8" x14ac:dyDescent="0.25">
      <c r="B198" s="12"/>
      <c r="C198" s="12"/>
      <c r="D198" s="12"/>
      <c r="E198" s="13"/>
      <c r="F198" s="14"/>
      <c r="G198" s="11">
        <f>IF($B198="","",IF(IF($F198="",0,$F198)&gt;=1,$E198,$E198/(1-IF($F198="",0,$F198))))</f>
      </c>
      <c r="H198" s="12"/>
    </row>
    <row r="199" spans="2:8" x14ac:dyDescent="0.25">
      <c r="B199" s="8"/>
      <c r="C199" s="8"/>
      <c r="D199" s="8"/>
      <c r="E199" s="9"/>
      <c r="F199" s="10"/>
      <c r="G199" s="11">
        <f>IF($B199="","",IF(IF($F199="",0,$F199)&gt;=1,$E199,$E199/(1-IF($F199="",0,$F199))))</f>
      </c>
      <c r="H199" s="8"/>
    </row>
    <row r="200" spans="2:8" x14ac:dyDescent="0.25">
      <c r="B200" s="12"/>
      <c r="C200" s="12"/>
      <c r="D200" s="12"/>
      <c r="E200" s="13"/>
      <c r="F200" s="14"/>
      <c r="G200" s="11">
        <f>IF($B200="","",IF(IF($F200="",0,$F200)&gt;=1,$E200,$E200/(1-IF($F200="",0,$F200))))</f>
      </c>
      <c r="H200" s="12"/>
    </row>
    <row r="201" spans="2:8" x14ac:dyDescent="0.25">
      <c r="B201" s="8"/>
      <c r="C201" s="8"/>
      <c r="D201" s="8"/>
      <c r="E201" s="9"/>
      <c r="F201" s="10"/>
      <c r="G201" s="11">
        <f>IF($B201="","",IF(IF($F201="",0,$F201)&gt;=1,$E201,$E201/(1-IF($F201="",0,$F201))))</f>
      </c>
      <c r="H201" s="8"/>
    </row>
    <row r="202" spans="2:8" x14ac:dyDescent="0.25">
      <c r="B202" s="12"/>
      <c r="C202" s="12"/>
      <c r="D202" s="12"/>
      <c r="E202" s="13"/>
      <c r="F202" s="14"/>
      <c r="G202" s="11">
        <f>IF($B202="","",IF(IF($F202="",0,$F202)&gt;=1,$E202,$E202/(1-IF($F202="",0,$F202))))</f>
      </c>
      <c r="H202" s="12"/>
    </row>
    <row r="203" spans="2:8" x14ac:dyDescent="0.25">
      <c r="B203" s="8"/>
      <c r="C203" s="8"/>
      <c r="D203" s="8"/>
      <c r="E203" s="9"/>
      <c r="F203" s="10"/>
      <c r="G203" s="11">
        <f>IF($B203="","",IF(IF($F203="",0,$F203)&gt;=1,$E203,$E203/(1-IF($F203="",0,$F203))))</f>
      </c>
      <c r="H203" s="8"/>
    </row>
    <row r="204" spans="2:8" x14ac:dyDescent="0.25">
      <c r="B204" s="12"/>
      <c r="C204" s="12"/>
      <c r="D204" s="12"/>
      <c r="E204" s="13"/>
      <c r="F204" s="14"/>
      <c r="G204" s="11">
        <f>IF($B204="","",IF(IF($F204="",0,$F204)&gt;=1,$E204,$E204/(1-IF($F204="",0,$F204))))</f>
      </c>
      <c r="H204" s="12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H8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26" customWidth="1"/>
    <col min="4" max="4" width="14" customWidth="1"/>
    <col min="5" max="5" width="28" customWidth="1"/>
    <col min="6" max="7" width="12" customWidth="1"/>
    <col min="8" max="8" width="20" customWidth="1"/>
  </cols>
  <sheetData>
    <row r="1" ht="34" customHeight="1" spans="1:8" x14ac:dyDescent="0.25">
      <c r="A1" s="1" t="s">
        <v>48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49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7" t="s">
        <v>20</v>
      </c>
      <c r="B4" s="7" t="s">
        <v>50</v>
      </c>
      <c r="C4" s="7" t="s">
        <v>51</v>
      </c>
      <c r="D4" s="7" t="s">
        <v>21</v>
      </c>
      <c r="E4" s="7" t="s">
        <v>22</v>
      </c>
      <c r="F4" s="7" t="s">
        <v>52</v>
      </c>
      <c r="G4" s="7" t="s">
        <v>23</v>
      </c>
      <c r="H4" s="7" t="s">
        <v>53</v>
      </c>
    </row>
    <row r="5" spans="2:8" x14ac:dyDescent="0.25">
      <c r="B5" s="8" t="s">
        <v>54</v>
      </c>
      <c r="C5" s="15">
        <f>IFERROR(IF($B5="","",VLOOKUP($B5,'Menü Kartları'!$B$5:$C$154,2,FALSE)),"")</f>
      </c>
      <c r="D5" s="8" t="s">
        <v>28</v>
      </c>
      <c r="E5" s="15">
        <f>IFERROR(IF($D5="","",VLOOKUP($D5,'Malzeme Kartları'!$B$5:$C$204,2,FALSE)),"— tanımsız —")</f>
      </c>
      <c r="F5" s="16">
        <v>0.15</v>
      </c>
      <c r="G5" s="15">
        <f>IFERROR(IF($D5="","",VLOOKUP($D5,'Malzeme Kartları'!$B$5:$D$204,3,FALSE)),"")</f>
      </c>
      <c r="H5" s="17">
        <f>IFERROR(IF(OR($D5="",$F5=""),0,$F5*VLOOKUP($D5,'Malzeme Kartları'!$B$5:$G$204,6,FALSE)),0)</f>
      </c>
    </row>
    <row r="6" spans="2:8" x14ac:dyDescent="0.25">
      <c r="B6" s="12" t="s">
        <v>54</v>
      </c>
      <c r="C6" s="15">
        <f>IFERROR(IF($B6="","",VLOOKUP($B6,'Menü Kartları'!$B$5:$C$154,2,FALSE)),"")</f>
      </c>
      <c r="D6" s="12" t="s">
        <v>32</v>
      </c>
      <c r="E6" s="15">
        <f>IFERROR(IF($D6="","",VLOOKUP($D6,'Malzeme Kartları'!$B$5:$C$204,2,FALSE)),"— tanımsız —")</f>
      </c>
      <c r="F6" s="18">
        <v>1</v>
      </c>
      <c r="G6" s="15">
        <f>IFERROR(IF($D6="","",VLOOKUP($D6,'Malzeme Kartları'!$B$5:$D$204,3,FALSE)),"")</f>
      </c>
      <c r="H6" s="17">
        <f>IFERROR(IF(OR($D6="",$F6=""),0,$F6*VLOOKUP($D6,'Malzeme Kartları'!$B$5:$G$204,6,FALSE)),0)</f>
      </c>
    </row>
    <row r="7" spans="2:8" x14ac:dyDescent="0.25">
      <c r="B7" s="8" t="s">
        <v>54</v>
      </c>
      <c r="C7" s="15">
        <f>IFERROR(IF($B7="","",VLOOKUP($B7,'Menü Kartları'!$B$5:$C$154,2,FALSE)),"")</f>
      </c>
      <c r="D7" s="8" t="s">
        <v>36</v>
      </c>
      <c r="E7" s="15">
        <f>IFERROR(IF($D7="","",VLOOKUP($D7,'Malzeme Kartları'!$B$5:$C$204,2,FALSE)),"— tanımsız —")</f>
      </c>
      <c r="F7" s="16">
        <v>0.03</v>
      </c>
      <c r="G7" s="15">
        <f>IFERROR(IF($D7="","",VLOOKUP($D7,'Malzeme Kartları'!$B$5:$D$204,3,FALSE)),"")</f>
      </c>
      <c r="H7" s="17">
        <f>IFERROR(IF(OR($D7="",$F7=""),0,$F7*VLOOKUP($D7,'Malzeme Kartları'!$B$5:$G$204,6,FALSE)),0)</f>
      </c>
    </row>
    <row r="8" spans="2:8" x14ac:dyDescent="0.25">
      <c r="B8" s="12" t="s">
        <v>54</v>
      </c>
      <c r="C8" s="15">
        <f>IFERROR(IF($B8="","",VLOOKUP($B8,'Menü Kartları'!$B$5:$C$154,2,FALSE)),"")</f>
      </c>
      <c r="D8" s="12" t="s">
        <v>39</v>
      </c>
      <c r="E8" s="15">
        <f>IFERROR(IF($D8="","",VLOOKUP($D8,'Malzeme Kartları'!$B$5:$C$204,2,FALSE)),"— tanımsız —")</f>
      </c>
      <c r="F8" s="18">
        <v>0.04</v>
      </c>
      <c r="G8" s="15">
        <f>IFERROR(IF($D8="","",VLOOKUP($D8,'Malzeme Kartları'!$B$5:$D$204,3,FALSE)),"")</f>
      </c>
      <c r="H8" s="17">
        <f>IFERROR(IF(OR($D8="",$F8=""),0,$F8*VLOOKUP($D8,'Malzeme Kartları'!$B$5:$G$204,6,FALSE)),0)</f>
      </c>
    </row>
    <row r="9" spans="2:8" x14ac:dyDescent="0.25">
      <c r="B9" s="8" t="s">
        <v>55</v>
      </c>
      <c r="C9" s="15">
        <f>IFERROR(IF($B9="","",VLOOKUP($B9,'Menü Kartları'!$B$5:$C$154,2,FALSE)),"")</f>
      </c>
      <c r="D9" s="8" t="s">
        <v>42</v>
      </c>
      <c r="E9" s="15">
        <f>IFERROR(IF($D9="","",VLOOKUP($D9,'Malzeme Kartları'!$B$5:$C$204,2,FALSE)),"— tanımsız —")</f>
      </c>
      <c r="F9" s="16">
        <v>0.25</v>
      </c>
      <c r="G9" s="15">
        <f>IFERROR(IF($D9="","",VLOOKUP($D9,'Malzeme Kartları'!$B$5:$D$204,3,FALSE)),"")</f>
      </c>
      <c r="H9" s="17">
        <f>IFERROR(IF(OR($D9="",$F9=""),0,$F9*VLOOKUP($D9,'Malzeme Kartları'!$B$5:$G$204,6,FALSE)),0)</f>
      </c>
    </row>
    <row r="10" spans="2:8" x14ac:dyDescent="0.25">
      <c r="B10" s="12" t="s">
        <v>55</v>
      </c>
      <c r="C10" s="15">
        <f>IFERROR(IF($B10="","",VLOOKUP($B10,'Menü Kartları'!$B$5:$C$154,2,FALSE)),"")</f>
      </c>
      <c r="D10" s="12" t="s">
        <v>44</v>
      </c>
      <c r="E10" s="15">
        <f>IFERROR(IF($D10="","",VLOOKUP($D10,'Malzeme Kartları'!$B$5:$C$204,2,FALSE)),"— tanımsız —")</f>
      </c>
      <c r="F10" s="18">
        <v>0.05</v>
      </c>
      <c r="G10" s="15">
        <f>IFERROR(IF($D10="","",VLOOKUP($D10,'Malzeme Kartları'!$B$5:$D$204,3,FALSE)),"")</f>
      </c>
      <c r="H10" s="17">
        <f>IFERROR(IF(OR($D10="",$F10=""),0,$F10*VLOOKUP($D10,'Malzeme Kartları'!$B$5:$G$204,6,FALSE)),0)</f>
      </c>
    </row>
    <row r="11" spans="2:8" x14ac:dyDescent="0.25">
      <c r="B11" s="8"/>
      <c r="C11" s="15">
        <f>IFERROR(IF($B11="","",VLOOKUP($B11,'Menü Kartları'!$B$5:$C$154,2,FALSE)),"")</f>
      </c>
      <c r="D11" s="8"/>
      <c r="E11" s="15">
        <f>IFERROR(IF($D11="","",VLOOKUP($D11,'Malzeme Kartları'!$B$5:$C$204,2,FALSE)),"— tanımsız —")</f>
      </c>
      <c r="F11" s="16"/>
      <c r="G11" s="15">
        <f>IFERROR(IF($D11="","",VLOOKUP($D11,'Malzeme Kartları'!$B$5:$D$204,3,FALSE)),"")</f>
      </c>
      <c r="H11" s="17">
        <f>IFERROR(IF(OR($D11="",$F11=""),0,$F11*VLOOKUP($D11,'Malzeme Kartları'!$B$5:$G$204,6,FALSE)),0)</f>
      </c>
    </row>
    <row r="12" spans="2:8" x14ac:dyDescent="0.25">
      <c r="B12" s="12"/>
      <c r="C12" s="15">
        <f>IFERROR(IF($B12="","",VLOOKUP($B12,'Menü Kartları'!$B$5:$C$154,2,FALSE)),"")</f>
      </c>
      <c r="D12" s="12"/>
      <c r="E12" s="15">
        <f>IFERROR(IF($D12="","",VLOOKUP($D12,'Malzeme Kartları'!$B$5:$C$204,2,FALSE)),"— tanımsız —")</f>
      </c>
      <c r="F12" s="18"/>
      <c r="G12" s="15">
        <f>IFERROR(IF($D12="","",VLOOKUP($D12,'Malzeme Kartları'!$B$5:$D$204,3,FALSE)),"")</f>
      </c>
      <c r="H12" s="17">
        <f>IFERROR(IF(OR($D12="",$F12=""),0,$F12*VLOOKUP($D12,'Malzeme Kartları'!$B$5:$G$204,6,FALSE)),0)</f>
      </c>
    </row>
    <row r="13" spans="2:8" x14ac:dyDescent="0.25">
      <c r="B13" s="8"/>
      <c r="C13" s="15">
        <f>IFERROR(IF($B13="","",VLOOKUP($B13,'Menü Kartları'!$B$5:$C$154,2,FALSE)),"")</f>
      </c>
      <c r="D13" s="8"/>
      <c r="E13" s="15">
        <f>IFERROR(IF($D13="","",VLOOKUP($D13,'Malzeme Kartları'!$B$5:$C$204,2,FALSE)),"— tanımsız —")</f>
      </c>
      <c r="F13" s="16"/>
      <c r="G13" s="15">
        <f>IFERROR(IF($D13="","",VLOOKUP($D13,'Malzeme Kartları'!$B$5:$D$204,3,FALSE)),"")</f>
      </c>
      <c r="H13" s="17">
        <f>IFERROR(IF(OR($D13="",$F13=""),0,$F13*VLOOKUP($D13,'Malzeme Kartları'!$B$5:$G$204,6,FALSE)),0)</f>
      </c>
    </row>
    <row r="14" spans="2:8" x14ac:dyDescent="0.25">
      <c r="B14" s="12"/>
      <c r="C14" s="15">
        <f>IFERROR(IF($B14="","",VLOOKUP($B14,'Menü Kartları'!$B$5:$C$154,2,FALSE)),"")</f>
      </c>
      <c r="D14" s="12"/>
      <c r="E14" s="15">
        <f>IFERROR(IF($D14="","",VLOOKUP($D14,'Malzeme Kartları'!$B$5:$C$204,2,FALSE)),"— tanımsız —")</f>
      </c>
      <c r="F14" s="18"/>
      <c r="G14" s="15">
        <f>IFERROR(IF($D14="","",VLOOKUP($D14,'Malzeme Kartları'!$B$5:$D$204,3,FALSE)),"")</f>
      </c>
      <c r="H14" s="17">
        <f>IFERROR(IF(OR($D14="",$F14=""),0,$F14*VLOOKUP($D14,'Malzeme Kartları'!$B$5:$G$204,6,FALSE)),0)</f>
      </c>
    </row>
    <row r="15" spans="2:8" x14ac:dyDescent="0.25">
      <c r="B15" s="8"/>
      <c r="C15" s="15">
        <f>IFERROR(IF($B15="","",VLOOKUP($B15,'Menü Kartları'!$B$5:$C$154,2,FALSE)),"")</f>
      </c>
      <c r="D15" s="8"/>
      <c r="E15" s="15">
        <f>IFERROR(IF($D15="","",VLOOKUP($D15,'Malzeme Kartları'!$B$5:$C$204,2,FALSE)),"— tanımsız —")</f>
      </c>
      <c r="F15" s="16"/>
      <c r="G15" s="15">
        <f>IFERROR(IF($D15="","",VLOOKUP($D15,'Malzeme Kartları'!$B$5:$D$204,3,FALSE)),"")</f>
      </c>
      <c r="H15" s="17">
        <f>IFERROR(IF(OR($D15="",$F15=""),0,$F15*VLOOKUP($D15,'Malzeme Kartları'!$B$5:$G$204,6,FALSE)),0)</f>
      </c>
    </row>
    <row r="16" spans="2:8" x14ac:dyDescent="0.25">
      <c r="B16" s="12"/>
      <c r="C16" s="15">
        <f>IFERROR(IF($B16="","",VLOOKUP($B16,'Menü Kartları'!$B$5:$C$154,2,FALSE)),"")</f>
      </c>
      <c r="D16" s="12"/>
      <c r="E16" s="15">
        <f>IFERROR(IF($D16="","",VLOOKUP($D16,'Malzeme Kartları'!$B$5:$C$204,2,FALSE)),"— tanımsız —")</f>
      </c>
      <c r="F16" s="18"/>
      <c r="G16" s="15">
        <f>IFERROR(IF($D16="","",VLOOKUP($D16,'Malzeme Kartları'!$B$5:$D$204,3,FALSE)),"")</f>
      </c>
      <c r="H16" s="17">
        <f>IFERROR(IF(OR($D16="",$F16=""),0,$F16*VLOOKUP($D16,'Malzeme Kartları'!$B$5:$G$204,6,FALSE)),0)</f>
      </c>
    </row>
    <row r="17" spans="2:8" x14ac:dyDescent="0.25">
      <c r="B17" s="8"/>
      <c r="C17" s="15">
        <f>IFERROR(IF($B17="","",VLOOKUP($B17,'Menü Kartları'!$B$5:$C$154,2,FALSE)),"")</f>
      </c>
      <c r="D17" s="8"/>
      <c r="E17" s="15">
        <f>IFERROR(IF($D17="","",VLOOKUP($D17,'Malzeme Kartları'!$B$5:$C$204,2,FALSE)),"— tanımsız —")</f>
      </c>
      <c r="F17" s="16"/>
      <c r="G17" s="15">
        <f>IFERROR(IF($D17="","",VLOOKUP($D17,'Malzeme Kartları'!$B$5:$D$204,3,FALSE)),"")</f>
      </c>
      <c r="H17" s="17">
        <f>IFERROR(IF(OR($D17="",$F17=""),0,$F17*VLOOKUP($D17,'Malzeme Kartları'!$B$5:$G$204,6,FALSE)),0)</f>
      </c>
    </row>
    <row r="18" spans="2:8" x14ac:dyDescent="0.25">
      <c r="B18" s="12"/>
      <c r="C18" s="15">
        <f>IFERROR(IF($B18="","",VLOOKUP($B18,'Menü Kartları'!$B$5:$C$154,2,FALSE)),"")</f>
      </c>
      <c r="D18" s="12"/>
      <c r="E18" s="15">
        <f>IFERROR(IF($D18="","",VLOOKUP($D18,'Malzeme Kartları'!$B$5:$C$204,2,FALSE)),"— tanımsız —")</f>
      </c>
      <c r="F18" s="18"/>
      <c r="G18" s="15">
        <f>IFERROR(IF($D18="","",VLOOKUP($D18,'Malzeme Kartları'!$B$5:$D$204,3,FALSE)),"")</f>
      </c>
      <c r="H18" s="17">
        <f>IFERROR(IF(OR($D18="",$F18=""),0,$F18*VLOOKUP($D18,'Malzeme Kartları'!$B$5:$G$204,6,FALSE)),0)</f>
      </c>
    </row>
    <row r="19" spans="2:8" x14ac:dyDescent="0.25">
      <c r="B19" s="8"/>
      <c r="C19" s="15">
        <f>IFERROR(IF($B19="","",VLOOKUP($B19,'Menü Kartları'!$B$5:$C$154,2,FALSE)),"")</f>
      </c>
      <c r="D19" s="8"/>
      <c r="E19" s="15">
        <f>IFERROR(IF($D19="","",VLOOKUP($D19,'Malzeme Kartları'!$B$5:$C$204,2,FALSE)),"— tanımsız —")</f>
      </c>
      <c r="F19" s="16"/>
      <c r="G19" s="15">
        <f>IFERROR(IF($D19="","",VLOOKUP($D19,'Malzeme Kartları'!$B$5:$D$204,3,FALSE)),"")</f>
      </c>
      <c r="H19" s="17">
        <f>IFERROR(IF(OR($D19="",$F19=""),0,$F19*VLOOKUP($D19,'Malzeme Kartları'!$B$5:$G$204,6,FALSE)),0)</f>
      </c>
    </row>
    <row r="20" spans="2:8" x14ac:dyDescent="0.25">
      <c r="B20" s="12"/>
      <c r="C20" s="15">
        <f>IFERROR(IF($B20="","",VLOOKUP($B20,'Menü Kartları'!$B$5:$C$154,2,FALSE)),"")</f>
      </c>
      <c r="D20" s="12"/>
      <c r="E20" s="15">
        <f>IFERROR(IF($D20="","",VLOOKUP($D20,'Malzeme Kartları'!$B$5:$C$204,2,FALSE)),"— tanımsız —")</f>
      </c>
      <c r="F20" s="18"/>
      <c r="G20" s="15">
        <f>IFERROR(IF($D20="","",VLOOKUP($D20,'Malzeme Kartları'!$B$5:$D$204,3,FALSE)),"")</f>
      </c>
      <c r="H20" s="17">
        <f>IFERROR(IF(OR($D20="",$F20=""),0,$F20*VLOOKUP($D20,'Malzeme Kartları'!$B$5:$G$204,6,FALSE)),0)</f>
      </c>
    </row>
    <row r="21" spans="2:8" x14ac:dyDescent="0.25">
      <c r="B21" s="8"/>
      <c r="C21" s="15">
        <f>IFERROR(IF($B21="","",VLOOKUP($B21,'Menü Kartları'!$B$5:$C$154,2,FALSE)),"")</f>
      </c>
      <c r="D21" s="8"/>
      <c r="E21" s="15">
        <f>IFERROR(IF($D21="","",VLOOKUP($D21,'Malzeme Kartları'!$B$5:$C$204,2,FALSE)),"— tanımsız —")</f>
      </c>
      <c r="F21" s="16"/>
      <c r="G21" s="15">
        <f>IFERROR(IF($D21="","",VLOOKUP($D21,'Malzeme Kartları'!$B$5:$D$204,3,FALSE)),"")</f>
      </c>
      <c r="H21" s="17">
        <f>IFERROR(IF(OR($D21="",$F21=""),0,$F21*VLOOKUP($D21,'Malzeme Kartları'!$B$5:$G$204,6,FALSE)),0)</f>
      </c>
    </row>
    <row r="22" spans="2:8" x14ac:dyDescent="0.25">
      <c r="B22" s="12"/>
      <c r="C22" s="15">
        <f>IFERROR(IF($B22="","",VLOOKUP($B22,'Menü Kartları'!$B$5:$C$154,2,FALSE)),"")</f>
      </c>
      <c r="D22" s="12"/>
      <c r="E22" s="15">
        <f>IFERROR(IF($D22="","",VLOOKUP($D22,'Malzeme Kartları'!$B$5:$C$204,2,FALSE)),"— tanımsız —")</f>
      </c>
      <c r="F22" s="18"/>
      <c r="G22" s="15">
        <f>IFERROR(IF($D22="","",VLOOKUP($D22,'Malzeme Kartları'!$B$5:$D$204,3,FALSE)),"")</f>
      </c>
      <c r="H22" s="17">
        <f>IFERROR(IF(OR($D22="",$F22=""),0,$F22*VLOOKUP($D22,'Malzeme Kartları'!$B$5:$G$204,6,FALSE)),0)</f>
      </c>
    </row>
    <row r="23" spans="2:8" x14ac:dyDescent="0.25">
      <c r="B23" s="8"/>
      <c r="C23" s="15">
        <f>IFERROR(IF($B23="","",VLOOKUP($B23,'Menü Kartları'!$B$5:$C$154,2,FALSE)),"")</f>
      </c>
      <c r="D23" s="8"/>
      <c r="E23" s="15">
        <f>IFERROR(IF($D23="","",VLOOKUP($D23,'Malzeme Kartları'!$B$5:$C$204,2,FALSE)),"— tanımsız —")</f>
      </c>
      <c r="F23" s="16"/>
      <c r="G23" s="15">
        <f>IFERROR(IF($D23="","",VLOOKUP($D23,'Malzeme Kartları'!$B$5:$D$204,3,FALSE)),"")</f>
      </c>
      <c r="H23" s="17">
        <f>IFERROR(IF(OR($D23="",$F23=""),0,$F23*VLOOKUP($D23,'Malzeme Kartları'!$B$5:$G$204,6,FALSE)),0)</f>
      </c>
    </row>
    <row r="24" spans="2:8" x14ac:dyDescent="0.25">
      <c r="B24" s="12"/>
      <c r="C24" s="15">
        <f>IFERROR(IF($B24="","",VLOOKUP($B24,'Menü Kartları'!$B$5:$C$154,2,FALSE)),"")</f>
      </c>
      <c r="D24" s="12"/>
      <c r="E24" s="15">
        <f>IFERROR(IF($D24="","",VLOOKUP($D24,'Malzeme Kartları'!$B$5:$C$204,2,FALSE)),"— tanımsız —")</f>
      </c>
      <c r="F24" s="18"/>
      <c r="G24" s="15">
        <f>IFERROR(IF($D24="","",VLOOKUP($D24,'Malzeme Kartları'!$B$5:$D$204,3,FALSE)),"")</f>
      </c>
      <c r="H24" s="17">
        <f>IFERROR(IF(OR($D24="",$F24=""),0,$F24*VLOOKUP($D24,'Malzeme Kartları'!$B$5:$G$204,6,FALSE)),0)</f>
      </c>
    </row>
    <row r="25" spans="2:8" x14ac:dyDescent="0.25">
      <c r="B25" s="8"/>
      <c r="C25" s="15">
        <f>IFERROR(IF($B25="","",VLOOKUP($B25,'Menü Kartları'!$B$5:$C$154,2,FALSE)),"")</f>
      </c>
      <c r="D25" s="8"/>
      <c r="E25" s="15">
        <f>IFERROR(IF($D25="","",VLOOKUP($D25,'Malzeme Kartları'!$B$5:$C$204,2,FALSE)),"— tanımsız —")</f>
      </c>
      <c r="F25" s="16"/>
      <c r="G25" s="15">
        <f>IFERROR(IF($D25="","",VLOOKUP($D25,'Malzeme Kartları'!$B$5:$D$204,3,FALSE)),"")</f>
      </c>
      <c r="H25" s="17">
        <f>IFERROR(IF(OR($D25="",$F25=""),0,$F25*VLOOKUP($D25,'Malzeme Kartları'!$B$5:$G$204,6,FALSE)),0)</f>
      </c>
    </row>
    <row r="26" spans="2:8" x14ac:dyDescent="0.25">
      <c r="B26" s="12"/>
      <c r="C26" s="15">
        <f>IFERROR(IF($B26="","",VLOOKUP($B26,'Menü Kartları'!$B$5:$C$154,2,FALSE)),"")</f>
      </c>
      <c r="D26" s="12"/>
      <c r="E26" s="15">
        <f>IFERROR(IF($D26="","",VLOOKUP($D26,'Malzeme Kartları'!$B$5:$C$204,2,FALSE)),"— tanımsız —")</f>
      </c>
      <c r="F26" s="18"/>
      <c r="G26" s="15">
        <f>IFERROR(IF($D26="","",VLOOKUP($D26,'Malzeme Kartları'!$B$5:$D$204,3,FALSE)),"")</f>
      </c>
      <c r="H26" s="17">
        <f>IFERROR(IF(OR($D26="",$F26=""),0,$F26*VLOOKUP($D26,'Malzeme Kartları'!$B$5:$G$204,6,FALSE)),0)</f>
      </c>
    </row>
    <row r="27" spans="2:8" x14ac:dyDescent="0.25">
      <c r="B27" s="8"/>
      <c r="C27" s="15">
        <f>IFERROR(IF($B27="","",VLOOKUP($B27,'Menü Kartları'!$B$5:$C$154,2,FALSE)),"")</f>
      </c>
      <c r="D27" s="8"/>
      <c r="E27" s="15">
        <f>IFERROR(IF($D27="","",VLOOKUP($D27,'Malzeme Kartları'!$B$5:$C$204,2,FALSE)),"— tanımsız —")</f>
      </c>
      <c r="F27" s="16"/>
      <c r="G27" s="15">
        <f>IFERROR(IF($D27="","",VLOOKUP($D27,'Malzeme Kartları'!$B$5:$D$204,3,FALSE)),"")</f>
      </c>
      <c r="H27" s="17">
        <f>IFERROR(IF(OR($D27="",$F27=""),0,$F27*VLOOKUP($D27,'Malzeme Kartları'!$B$5:$G$204,6,FALSE)),0)</f>
      </c>
    </row>
    <row r="28" spans="2:8" x14ac:dyDescent="0.25">
      <c r="B28" s="12"/>
      <c r="C28" s="15">
        <f>IFERROR(IF($B28="","",VLOOKUP($B28,'Menü Kartları'!$B$5:$C$154,2,FALSE)),"")</f>
      </c>
      <c r="D28" s="12"/>
      <c r="E28" s="15">
        <f>IFERROR(IF($D28="","",VLOOKUP($D28,'Malzeme Kartları'!$B$5:$C$204,2,FALSE)),"— tanımsız —")</f>
      </c>
      <c r="F28" s="18"/>
      <c r="G28" s="15">
        <f>IFERROR(IF($D28="","",VLOOKUP($D28,'Malzeme Kartları'!$B$5:$D$204,3,FALSE)),"")</f>
      </c>
      <c r="H28" s="17">
        <f>IFERROR(IF(OR($D28="",$F28=""),0,$F28*VLOOKUP($D28,'Malzeme Kartları'!$B$5:$G$204,6,FALSE)),0)</f>
      </c>
    </row>
    <row r="29" spans="2:8" x14ac:dyDescent="0.25">
      <c r="B29" s="8"/>
      <c r="C29" s="15">
        <f>IFERROR(IF($B29="","",VLOOKUP($B29,'Menü Kartları'!$B$5:$C$154,2,FALSE)),"")</f>
      </c>
      <c r="D29" s="8"/>
      <c r="E29" s="15">
        <f>IFERROR(IF($D29="","",VLOOKUP($D29,'Malzeme Kartları'!$B$5:$C$204,2,FALSE)),"— tanımsız —")</f>
      </c>
      <c r="F29" s="16"/>
      <c r="G29" s="15">
        <f>IFERROR(IF($D29="","",VLOOKUP($D29,'Malzeme Kartları'!$B$5:$D$204,3,FALSE)),"")</f>
      </c>
      <c r="H29" s="17">
        <f>IFERROR(IF(OR($D29="",$F29=""),0,$F29*VLOOKUP($D29,'Malzeme Kartları'!$B$5:$G$204,6,FALSE)),0)</f>
      </c>
    </row>
    <row r="30" spans="2:8" x14ac:dyDescent="0.25">
      <c r="B30" s="12"/>
      <c r="C30" s="15">
        <f>IFERROR(IF($B30="","",VLOOKUP($B30,'Menü Kartları'!$B$5:$C$154,2,FALSE)),"")</f>
      </c>
      <c r="D30" s="12"/>
      <c r="E30" s="15">
        <f>IFERROR(IF($D30="","",VLOOKUP($D30,'Malzeme Kartları'!$B$5:$C$204,2,FALSE)),"— tanımsız —")</f>
      </c>
      <c r="F30" s="18"/>
      <c r="G30" s="15">
        <f>IFERROR(IF($D30="","",VLOOKUP($D30,'Malzeme Kartları'!$B$5:$D$204,3,FALSE)),"")</f>
      </c>
      <c r="H30" s="17">
        <f>IFERROR(IF(OR($D30="",$F30=""),0,$F30*VLOOKUP($D30,'Malzeme Kartları'!$B$5:$G$204,6,FALSE)),0)</f>
      </c>
    </row>
    <row r="31" spans="2:8" x14ac:dyDescent="0.25">
      <c r="B31" s="8"/>
      <c r="C31" s="15">
        <f>IFERROR(IF($B31="","",VLOOKUP($B31,'Menü Kartları'!$B$5:$C$154,2,FALSE)),"")</f>
      </c>
      <c r="D31" s="8"/>
      <c r="E31" s="15">
        <f>IFERROR(IF($D31="","",VLOOKUP($D31,'Malzeme Kartları'!$B$5:$C$204,2,FALSE)),"— tanımsız —")</f>
      </c>
      <c r="F31" s="16"/>
      <c r="G31" s="15">
        <f>IFERROR(IF($D31="","",VLOOKUP($D31,'Malzeme Kartları'!$B$5:$D$204,3,FALSE)),"")</f>
      </c>
      <c r="H31" s="17">
        <f>IFERROR(IF(OR($D31="",$F31=""),0,$F31*VLOOKUP($D31,'Malzeme Kartları'!$B$5:$G$204,6,FALSE)),0)</f>
      </c>
    </row>
    <row r="32" spans="2:8" x14ac:dyDescent="0.25">
      <c r="B32" s="12"/>
      <c r="C32" s="15">
        <f>IFERROR(IF($B32="","",VLOOKUP($B32,'Menü Kartları'!$B$5:$C$154,2,FALSE)),"")</f>
      </c>
      <c r="D32" s="12"/>
      <c r="E32" s="15">
        <f>IFERROR(IF($D32="","",VLOOKUP($D32,'Malzeme Kartları'!$B$5:$C$204,2,FALSE)),"— tanımsız —")</f>
      </c>
      <c r="F32" s="18"/>
      <c r="G32" s="15">
        <f>IFERROR(IF($D32="","",VLOOKUP($D32,'Malzeme Kartları'!$B$5:$D$204,3,FALSE)),"")</f>
      </c>
      <c r="H32" s="17">
        <f>IFERROR(IF(OR($D32="",$F32=""),0,$F32*VLOOKUP($D32,'Malzeme Kartları'!$B$5:$G$204,6,FALSE)),0)</f>
      </c>
    </row>
    <row r="33" spans="2:8" x14ac:dyDescent="0.25">
      <c r="B33" s="8"/>
      <c r="C33" s="15">
        <f>IFERROR(IF($B33="","",VLOOKUP($B33,'Menü Kartları'!$B$5:$C$154,2,FALSE)),"")</f>
      </c>
      <c r="D33" s="8"/>
      <c r="E33" s="15">
        <f>IFERROR(IF($D33="","",VLOOKUP($D33,'Malzeme Kartları'!$B$5:$C$204,2,FALSE)),"— tanımsız —")</f>
      </c>
      <c r="F33" s="16"/>
      <c r="G33" s="15">
        <f>IFERROR(IF($D33="","",VLOOKUP($D33,'Malzeme Kartları'!$B$5:$D$204,3,FALSE)),"")</f>
      </c>
      <c r="H33" s="17">
        <f>IFERROR(IF(OR($D33="",$F33=""),0,$F33*VLOOKUP($D33,'Malzeme Kartları'!$B$5:$G$204,6,FALSE)),0)</f>
      </c>
    </row>
    <row r="34" spans="2:8" x14ac:dyDescent="0.25">
      <c r="B34" s="12"/>
      <c r="C34" s="15">
        <f>IFERROR(IF($B34="","",VLOOKUP($B34,'Menü Kartları'!$B$5:$C$154,2,FALSE)),"")</f>
      </c>
      <c r="D34" s="12"/>
      <c r="E34" s="15">
        <f>IFERROR(IF($D34="","",VLOOKUP($D34,'Malzeme Kartları'!$B$5:$C$204,2,FALSE)),"— tanımsız —")</f>
      </c>
      <c r="F34" s="18"/>
      <c r="G34" s="15">
        <f>IFERROR(IF($D34="","",VLOOKUP($D34,'Malzeme Kartları'!$B$5:$D$204,3,FALSE)),"")</f>
      </c>
      <c r="H34" s="17">
        <f>IFERROR(IF(OR($D34="",$F34=""),0,$F34*VLOOKUP($D34,'Malzeme Kartları'!$B$5:$G$204,6,FALSE)),0)</f>
      </c>
    </row>
    <row r="35" spans="2:8" x14ac:dyDescent="0.25">
      <c r="B35" s="8"/>
      <c r="C35" s="15">
        <f>IFERROR(IF($B35="","",VLOOKUP($B35,'Menü Kartları'!$B$5:$C$154,2,FALSE)),"")</f>
      </c>
      <c r="D35" s="8"/>
      <c r="E35" s="15">
        <f>IFERROR(IF($D35="","",VLOOKUP($D35,'Malzeme Kartları'!$B$5:$C$204,2,FALSE)),"— tanımsız —")</f>
      </c>
      <c r="F35" s="16"/>
      <c r="G35" s="15">
        <f>IFERROR(IF($D35="","",VLOOKUP($D35,'Malzeme Kartları'!$B$5:$D$204,3,FALSE)),"")</f>
      </c>
      <c r="H35" s="17">
        <f>IFERROR(IF(OR($D35="",$F35=""),0,$F35*VLOOKUP($D35,'Malzeme Kartları'!$B$5:$G$204,6,FALSE)),0)</f>
      </c>
    </row>
    <row r="36" spans="2:8" x14ac:dyDescent="0.25">
      <c r="B36" s="12"/>
      <c r="C36" s="15">
        <f>IFERROR(IF($B36="","",VLOOKUP($B36,'Menü Kartları'!$B$5:$C$154,2,FALSE)),"")</f>
      </c>
      <c r="D36" s="12"/>
      <c r="E36" s="15">
        <f>IFERROR(IF($D36="","",VLOOKUP($D36,'Malzeme Kartları'!$B$5:$C$204,2,FALSE)),"— tanımsız —")</f>
      </c>
      <c r="F36" s="18"/>
      <c r="G36" s="15">
        <f>IFERROR(IF($D36="","",VLOOKUP($D36,'Malzeme Kartları'!$B$5:$D$204,3,FALSE)),"")</f>
      </c>
      <c r="H36" s="17">
        <f>IFERROR(IF(OR($D36="",$F36=""),0,$F36*VLOOKUP($D36,'Malzeme Kartları'!$B$5:$G$204,6,FALSE)),0)</f>
      </c>
    </row>
    <row r="37" spans="2:8" x14ac:dyDescent="0.25">
      <c r="B37" s="8"/>
      <c r="C37" s="15">
        <f>IFERROR(IF($B37="","",VLOOKUP($B37,'Menü Kartları'!$B$5:$C$154,2,FALSE)),"")</f>
      </c>
      <c r="D37" s="8"/>
      <c r="E37" s="15">
        <f>IFERROR(IF($D37="","",VLOOKUP($D37,'Malzeme Kartları'!$B$5:$C$204,2,FALSE)),"— tanımsız —")</f>
      </c>
      <c r="F37" s="16"/>
      <c r="G37" s="15">
        <f>IFERROR(IF($D37="","",VLOOKUP($D37,'Malzeme Kartları'!$B$5:$D$204,3,FALSE)),"")</f>
      </c>
      <c r="H37" s="17">
        <f>IFERROR(IF(OR($D37="",$F37=""),0,$F37*VLOOKUP($D37,'Malzeme Kartları'!$B$5:$G$204,6,FALSE)),0)</f>
      </c>
    </row>
    <row r="38" spans="2:8" x14ac:dyDescent="0.25">
      <c r="B38" s="12"/>
      <c r="C38" s="15">
        <f>IFERROR(IF($B38="","",VLOOKUP($B38,'Menü Kartları'!$B$5:$C$154,2,FALSE)),"")</f>
      </c>
      <c r="D38" s="12"/>
      <c r="E38" s="15">
        <f>IFERROR(IF($D38="","",VLOOKUP($D38,'Malzeme Kartları'!$B$5:$C$204,2,FALSE)),"— tanımsız —")</f>
      </c>
      <c r="F38" s="18"/>
      <c r="G38" s="15">
        <f>IFERROR(IF($D38="","",VLOOKUP($D38,'Malzeme Kartları'!$B$5:$D$204,3,FALSE)),"")</f>
      </c>
      <c r="H38" s="17">
        <f>IFERROR(IF(OR($D38="",$F38=""),0,$F38*VLOOKUP($D38,'Malzeme Kartları'!$B$5:$G$204,6,FALSE)),0)</f>
      </c>
    </row>
    <row r="39" spans="2:8" x14ac:dyDescent="0.25">
      <c r="B39" s="8"/>
      <c r="C39" s="15">
        <f>IFERROR(IF($B39="","",VLOOKUP($B39,'Menü Kartları'!$B$5:$C$154,2,FALSE)),"")</f>
      </c>
      <c r="D39" s="8"/>
      <c r="E39" s="15">
        <f>IFERROR(IF($D39="","",VLOOKUP($D39,'Malzeme Kartları'!$B$5:$C$204,2,FALSE)),"— tanımsız —")</f>
      </c>
      <c r="F39" s="16"/>
      <c r="G39" s="15">
        <f>IFERROR(IF($D39="","",VLOOKUP($D39,'Malzeme Kartları'!$B$5:$D$204,3,FALSE)),"")</f>
      </c>
      <c r="H39" s="17">
        <f>IFERROR(IF(OR($D39="",$F39=""),0,$F39*VLOOKUP($D39,'Malzeme Kartları'!$B$5:$G$204,6,FALSE)),0)</f>
      </c>
    </row>
    <row r="40" spans="2:8" x14ac:dyDescent="0.25">
      <c r="B40" s="12"/>
      <c r="C40" s="15">
        <f>IFERROR(IF($B40="","",VLOOKUP($B40,'Menü Kartları'!$B$5:$C$154,2,FALSE)),"")</f>
      </c>
      <c r="D40" s="12"/>
      <c r="E40" s="15">
        <f>IFERROR(IF($D40="","",VLOOKUP($D40,'Malzeme Kartları'!$B$5:$C$204,2,FALSE)),"— tanımsız —")</f>
      </c>
      <c r="F40" s="18"/>
      <c r="G40" s="15">
        <f>IFERROR(IF($D40="","",VLOOKUP($D40,'Malzeme Kartları'!$B$5:$D$204,3,FALSE)),"")</f>
      </c>
      <c r="H40" s="17">
        <f>IFERROR(IF(OR($D40="",$F40=""),0,$F40*VLOOKUP($D40,'Malzeme Kartları'!$B$5:$G$204,6,FALSE)),0)</f>
      </c>
    </row>
    <row r="41" spans="2:8" x14ac:dyDescent="0.25">
      <c r="B41" s="8"/>
      <c r="C41" s="15">
        <f>IFERROR(IF($B41="","",VLOOKUP($B41,'Menü Kartları'!$B$5:$C$154,2,FALSE)),"")</f>
      </c>
      <c r="D41" s="8"/>
      <c r="E41" s="15">
        <f>IFERROR(IF($D41="","",VLOOKUP($D41,'Malzeme Kartları'!$B$5:$C$204,2,FALSE)),"— tanımsız —")</f>
      </c>
      <c r="F41" s="16"/>
      <c r="G41" s="15">
        <f>IFERROR(IF($D41="","",VLOOKUP($D41,'Malzeme Kartları'!$B$5:$D$204,3,FALSE)),"")</f>
      </c>
      <c r="H41" s="17">
        <f>IFERROR(IF(OR($D41="",$F41=""),0,$F41*VLOOKUP($D41,'Malzeme Kartları'!$B$5:$G$204,6,FALSE)),0)</f>
      </c>
    </row>
    <row r="42" spans="2:8" x14ac:dyDescent="0.25">
      <c r="B42" s="12"/>
      <c r="C42" s="15">
        <f>IFERROR(IF($B42="","",VLOOKUP($B42,'Menü Kartları'!$B$5:$C$154,2,FALSE)),"")</f>
      </c>
      <c r="D42" s="12"/>
      <c r="E42" s="15">
        <f>IFERROR(IF($D42="","",VLOOKUP($D42,'Malzeme Kartları'!$B$5:$C$204,2,FALSE)),"— tanımsız —")</f>
      </c>
      <c r="F42" s="18"/>
      <c r="G42" s="15">
        <f>IFERROR(IF($D42="","",VLOOKUP($D42,'Malzeme Kartları'!$B$5:$D$204,3,FALSE)),"")</f>
      </c>
      <c r="H42" s="17">
        <f>IFERROR(IF(OR($D42="",$F42=""),0,$F42*VLOOKUP($D42,'Malzeme Kartları'!$B$5:$G$204,6,FALSE)),0)</f>
      </c>
    </row>
    <row r="43" spans="2:8" x14ac:dyDescent="0.25">
      <c r="B43" s="8"/>
      <c r="C43" s="15">
        <f>IFERROR(IF($B43="","",VLOOKUP($B43,'Menü Kartları'!$B$5:$C$154,2,FALSE)),"")</f>
      </c>
      <c r="D43" s="8"/>
      <c r="E43" s="15">
        <f>IFERROR(IF($D43="","",VLOOKUP($D43,'Malzeme Kartları'!$B$5:$C$204,2,FALSE)),"— tanımsız —")</f>
      </c>
      <c r="F43" s="16"/>
      <c r="G43" s="15">
        <f>IFERROR(IF($D43="","",VLOOKUP($D43,'Malzeme Kartları'!$B$5:$D$204,3,FALSE)),"")</f>
      </c>
      <c r="H43" s="17">
        <f>IFERROR(IF(OR($D43="",$F43=""),0,$F43*VLOOKUP($D43,'Malzeme Kartları'!$B$5:$G$204,6,FALSE)),0)</f>
      </c>
    </row>
    <row r="44" spans="2:8" x14ac:dyDescent="0.25">
      <c r="B44" s="12"/>
      <c r="C44" s="15">
        <f>IFERROR(IF($B44="","",VLOOKUP($B44,'Menü Kartları'!$B$5:$C$154,2,FALSE)),"")</f>
      </c>
      <c r="D44" s="12"/>
      <c r="E44" s="15">
        <f>IFERROR(IF($D44="","",VLOOKUP($D44,'Malzeme Kartları'!$B$5:$C$204,2,FALSE)),"— tanımsız —")</f>
      </c>
      <c r="F44" s="18"/>
      <c r="G44" s="15">
        <f>IFERROR(IF($D44="","",VLOOKUP($D44,'Malzeme Kartları'!$B$5:$D$204,3,FALSE)),"")</f>
      </c>
      <c r="H44" s="17">
        <f>IFERROR(IF(OR($D44="",$F44=""),0,$F44*VLOOKUP($D44,'Malzeme Kartları'!$B$5:$G$204,6,FALSE)),0)</f>
      </c>
    </row>
    <row r="45" spans="2:8" x14ac:dyDescent="0.25">
      <c r="B45" s="8"/>
      <c r="C45" s="15">
        <f>IFERROR(IF($B45="","",VLOOKUP($B45,'Menü Kartları'!$B$5:$C$154,2,FALSE)),"")</f>
      </c>
      <c r="D45" s="8"/>
      <c r="E45" s="15">
        <f>IFERROR(IF($D45="","",VLOOKUP($D45,'Malzeme Kartları'!$B$5:$C$204,2,FALSE)),"— tanımsız —")</f>
      </c>
      <c r="F45" s="16"/>
      <c r="G45" s="15">
        <f>IFERROR(IF($D45="","",VLOOKUP($D45,'Malzeme Kartları'!$B$5:$D$204,3,FALSE)),"")</f>
      </c>
      <c r="H45" s="17">
        <f>IFERROR(IF(OR($D45="",$F45=""),0,$F45*VLOOKUP($D45,'Malzeme Kartları'!$B$5:$G$204,6,FALSE)),0)</f>
      </c>
    </row>
    <row r="46" spans="2:8" x14ac:dyDescent="0.25">
      <c r="B46" s="12"/>
      <c r="C46" s="15">
        <f>IFERROR(IF($B46="","",VLOOKUP($B46,'Menü Kartları'!$B$5:$C$154,2,FALSE)),"")</f>
      </c>
      <c r="D46" s="12"/>
      <c r="E46" s="15">
        <f>IFERROR(IF($D46="","",VLOOKUP($D46,'Malzeme Kartları'!$B$5:$C$204,2,FALSE)),"— tanımsız —")</f>
      </c>
      <c r="F46" s="18"/>
      <c r="G46" s="15">
        <f>IFERROR(IF($D46="","",VLOOKUP($D46,'Malzeme Kartları'!$B$5:$D$204,3,FALSE)),"")</f>
      </c>
      <c r="H46" s="17">
        <f>IFERROR(IF(OR($D46="",$F46=""),0,$F46*VLOOKUP($D46,'Malzeme Kartları'!$B$5:$G$204,6,FALSE)),0)</f>
      </c>
    </row>
    <row r="47" spans="2:8" x14ac:dyDescent="0.25">
      <c r="B47" s="8"/>
      <c r="C47" s="15">
        <f>IFERROR(IF($B47="","",VLOOKUP($B47,'Menü Kartları'!$B$5:$C$154,2,FALSE)),"")</f>
      </c>
      <c r="D47" s="8"/>
      <c r="E47" s="15">
        <f>IFERROR(IF($D47="","",VLOOKUP($D47,'Malzeme Kartları'!$B$5:$C$204,2,FALSE)),"— tanımsız —")</f>
      </c>
      <c r="F47" s="16"/>
      <c r="G47" s="15">
        <f>IFERROR(IF($D47="","",VLOOKUP($D47,'Malzeme Kartları'!$B$5:$D$204,3,FALSE)),"")</f>
      </c>
      <c r="H47" s="17">
        <f>IFERROR(IF(OR($D47="",$F47=""),0,$F47*VLOOKUP($D47,'Malzeme Kartları'!$B$5:$G$204,6,FALSE)),0)</f>
      </c>
    </row>
    <row r="48" spans="2:8" x14ac:dyDescent="0.25">
      <c r="B48" s="12"/>
      <c r="C48" s="15">
        <f>IFERROR(IF($B48="","",VLOOKUP($B48,'Menü Kartları'!$B$5:$C$154,2,FALSE)),"")</f>
      </c>
      <c r="D48" s="12"/>
      <c r="E48" s="15">
        <f>IFERROR(IF($D48="","",VLOOKUP($D48,'Malzeme Kartları'!$B$5:$C$204,2,FALSE)),"— tanımsız —")</f>
      </c>
      <c r="F48" s="18"/>
      <c r="G48" s="15">
        <f>IFERROR(IF($D48="","",VLOOKUP($D48,'Malzeme Kartları'!$B$5:$D$204,3,FALSE)),"")</f>
      </c>
      <c r="H48" s="17">
        <f>IFERROR(IF(OR($D48="",$F48=""),0,$F48*VLOOKUP($D48,'Malzeme Kartları'!$B$5:$G$204,6,FALSE)),0)</f>
      </c>
    </row>
    <row r="49" spans="2:8" x14ac:dyDescent="0.25">
      <c r="B49" s="8"/>
      <c r="C49" s="15">
        <f>IFERROR(IF($B49="","",VLOOKUP($B49,'Menü Kartları'!$B$5:$C$154,2,FALSE)),"")</f>
      </c>
      <c r="D49" s="8"/>
      <c r="E49" s="15">
        <f>IFERROR(IF($D49="","",VLOOKUP($D49,'Malzeme Kartları'!$B$5:$C$204,2,FALSE)),"— tanımsız —")</f>
      </c>
      <c r="F49" s="16"/>
      <c r="G49" s="15">
        <f>IFERROR(IF($D49="","",VLOOKUP($D49,'Malzeme Kartları'!$B$5:$D$204,3,FALSE)),"")</f>
      </c>
      <c r="H49" s="17">
        <f>IFERROR(IF(OR($D49="",$F49=""),0,$F49*VLOOKUP($D49,'Malzeme Kartları'!$B$5:$G$204,6,FALSE)),0)</f>
      </c>
    </row>
    <row r="50" spans="2:8" x14ac:dyDescent="0.25">
      <c r="B50" s="12"/>
      <c r="C50" s="15">
        <f>IFERROR(IF($B50="","",VLOOKUP($B50,'Menü Kartları'!$B$5:$C$154,2,FALSE)),"")</f>
      </c>
      <c r="D50" s="12"/>
      <c r="E50" s="15">
        <f>IFERROR(IF($D50="","",VLOOKUP($D50,'Malzeme Kartları'!$B$5:$C$204,2,FALSE)),"— tanımsız —")</f>
      </c>
      <c r="F50" s="18"/>
      <c r="G50" s="15">
        <f>IFERROR(IF($D50="","",VLOOKUP($D50,'Malzeme Kartları'!$B$5:$D$204,3,FALSE)),"")</f>
      </c>
      <c r="H50" s="17">
        <f>IFERROR(IF(OR($D50="",$F50=""),0,$F50*VLOOKUP($D50,'Malzeme Kartları'!$B$5:$G$204,6,FALSE)),0)</f>
      </c>
    </row>
    <row r="51" spans="2:8" x14ac:dyDescent="0.25">
      <c r="B51" s="8"/>
      <c r="C51" s="15">
        <f>IFERROR(IF($B51="","",VLOOKUP($B51,'Menü Kartları'!$B$5:$C$154,2,FALSE)),"")</f>
      </c>
      <c r="D51" s="8"/>
      <c r="E51" s="15">
        <f>IFERROR(IF($D51="","",VLOOKUP($D51,'Malzeme Kartları'!$B$5:$C$204,2,FALSE)),"— tanımsız —")</f>
      </c>
      <c r="F51" s="16"/>
      <c r="G51" s="15">
        <f>IFERROR(IF($D51="","",VLOOKUP($D51,'Malzeme Kartları'!$B$5:$D$204,3,FALSE)),"")</f>
      </c>
      <c r="H51" s="17">
        <f>IFERROR(IF(OR($D51="",$F51=""),0,$F51*VLOOKUP($D51,'Malzeme Kartları'!$B$5:$G$204,6,FALSE)),0)</f>
      </c>
    </row>
    <row r="52" spans="2:8" x14ac:dyDescent="0.25">
      <c r="B52" s="12"/>
      <c r="C52" s="15">
        <f>IFERROR(IF($B52="","",VLOOKUP($B52,'Menü Kartları'!$B$5:$C$154,2,FALSE)),"")</f>
      </c>
      <c r="D52" s="12"/>
      <c r="E52" s="15">
        <f>IFERROR(IF($D52="","",VLOOKUP($D52,'Malzeme Kartları'!$B$5:$C$204,2,FALSE)),"— tanımsız —")</f>
      </c>
      <c r="F52" s="18"/>
      <c r="G52" s="15">
        <f>IFERROR(IF($D52="","",VLOOKUP($D52,'Malzeme Kartları'!$B$5:$D$204,3,FALSE)),"")</f>
      </c>
      <c r="H52" s="17">
        <f>IFERROR(IF(OR($D52="",$F52=""),0,$F52*VLOOKUP($D52,'Malzeme Kartları'!$B$5:$G$204,6,FALSE)),0)</f>
      </c>
    </row>
    <row r="53" spans="2:8" x14ac:dyDescent="0.25">
      <c r="B53" s="8"/>
      <c r="C53" s="15">
        <f>IFERROR(IF($B53="","",VLOOKUP($B53,'Menü Kartları'!$B$5:$C$154,2,FALSE)),"")</f>
      </c>
      <c r="D53" s="8"/>
      <c r="E53" s="15">
        <f>IFERROR(IF($D53="","",VLOOKUP($D53,'Malzeme Kartları'!$B$5:$C$204,2,FALSE)),"— tanımsız —")</f>
      </c>
      <c r="F53" s="16"/>
      <c r="G53" s="15">
        <f>IFERROR(IF($D53="","",VLOOKUP($D53,'Malzeme Kartları'!$B$5:$D$204,3,FALSE)),"")</f>
      </c>
      <c r="H53" s="17">
        <f>IFERROR(IF(OR($D53="",$F53=""),0,$F53*VLOOKUP($D53,'Malzeme Kartları'!$B$5:$G$204,6,FALSE)),0)</f>
      </c>
    </row>
    <row r="54" spans="2:8" x14ac:dyDescent="0.25">
      <c r="B54" s="12"/>
      <c r="C54" s="15">
        <f>IFERROR(IF($B54="","",VLOOKUP($B54,'Menü Kartları'!$B$5:$C$154,2,FALSE)),"")</f>
      </c>
      <c r="D54" s="12"/>
      <c r="E54" s="15">
        <f>IFERROR(IF($D54="","",VLOOKUP($D54,'Malzeme Kartları'!$B$5:$C$204,2,FALSE)),"— tanımsız —")</f>
      </c>
      <c r="F54" s="18"/>
      <c r="G54" s="15">
        <f>IFERROR(IF($D54="","",VLOOKUP($D54,'Malzeme Kartları'!$B$5:$D$204,3,FALSE)),"")</f>
      </c>
      <c r="H54" s="17">
        <f>IFERROR(IF(OR($D54="",$F54=""),0,$F54*VLOOKUP($D54,'Malzeme Kartları'!$B$5:$G$204,6,FALSE)),0)</f>
      </c>
    </row>
    <row r="55" spans="2:8" x14ac:dyDescent="0.25">
      <c r="B55" s="8"/>
      <c r="C55" s="15">
        <f>IFERROR(IF($B55="","",VLOOKUP($B55,'Menü Kartları'!$B$5:$C$154,2,FALSE)),"")</f>
      </c>
      <c r="D55" s="8"/>
      <c r="E55" s="15">
        <f>IFERROR(IF($D55="","",VLOOKUP($D55,'Malzeme Kartları'!$B$5:$C$204,2,FALSE)),"— tanımsız —")</f>
      </c>
      <c r="F55" s="16"/>
      <c r="G55" s="15">
        <f>IFERROR(IF($D55="","",VLOOKUP($D55,'Malzeme Kartları'!$B$5:$D$204,3,FALSE)),"")</f>
      </c>
      <c r="H55" s="17">
        <f>IFERROR(IF(OR($D55="",$F55=""),0,$F55*VLOOKUP($D55,'Malzeme Kartları'!$B$5:$G$204,6,FALSE)),0)</f>
      </c>
    </row>
    <row r="56" spans="2:8" x14ac:dyDescent="0.25">
      <c r="B56" s="12"/>
      <c r="C56" s="15">
        <f>IFERROR(IF($B56="","",VLOOKUP($B56,'Menü Kartları'!$B$5:$C$154,2,FALSE)),"")</f>
      </c>
      <c r="D56" s="12"/>
      <c r="E56" s="15">
        <f>IFERROR(IF($D56="","",VLOOKUP($D56,'Malzeme Kartları'!$B$5:$C$204,2,FALSE)),"— tanımsız —")</f>
      </c>
      <c r="F56" s="18"/>
      <c r="G56" s="15">
        <f>IFERROR(IF($D56="","",VLOOKUP($D56,'Malzeme Kartları'!$B$5:$D$204,3,FALSE)),"")</f>
      </c>
      <c r="H56" s="17">
        <f>IFERROR(IF(OR($D56="",$F56=""),0,$F56*VLOOKUP($D56,'Malzeme Kartları'!$B$5:$G$204,6,FALSE)),0)</f>
      </c>
    </row>
    <row r="57" spans="2:8" x14ac:dyDescent="0.25">
      <c r="B57" s="8"/>
      <c r="C57" s="15">
        <f>IFERROR(IF($B57="","",VLOOKUP($B57,'Menü Kartları'!$B$5:$C$154,2,FALSE)),"")</f>
      </c>
      <c r="D57" s="8"/>
      <c r="E57" s="15">
        <f>IFERROR(IF($D57="","",VLOOKUP($D57,'Malzeme Kartları'!$B$5:$C$204,2,FALSE)),"— tanımsız —")</f>
      </c>
      <c r="F57" s="16"/>
      <c r="G57" s="15">
        <f>IFERROR(IF($D57="","",VLOOKUP($D57,'Malzeme Kartları'!$B$5:$D$204,3,FALSE)),"")</f>
      </c>
      <c r="H57" s="17">
        <f>IFERROR(IF(OR($D57="",$F57=""),0,$F57*VLOOKUP($D57,'Malzeme Kartları'!$B$5:$G$204,6,FALSE)),0)</f>
      </c>
    </row>
    <row r="58" spans="2:8" x14ac:dyDescent="0.25">
      <c r="B58" s="12"/>
      <c r="C58" s="15">
        <f>IFERROR(IF($B58="","",VLOOKUP($B58,'Menü Kartları'!$B$5:$C$154,2,FALSE)),"")</f>
      </c>
      <c r="D58" s="12"/>
      <c r="E58" s="15">
        <f>IFERROR(IF($D58="","",VLOOKUP($D58,'Malzeme Kartları'!$B$5:$C$204,2,FALSE)),"— tanımsız —")</f>
      </c>
      <c r="F58" s="18"/>
      <c r="G58" s="15">
        <f>IFERROR(IF($D58="","",VLOOKUP($D58,'Malzeme Kartları'!$B$5:$D$204,3,FALSE)),"")</f>
      </c>
      <c r="H58" s="17">
        <f>IFERROR(IF(OR($D58="",$F58=""),0,$F58*VLOOKUP($D58,'Malzeme Kartları'!$B$5:$G$204,6,FALSE)),0)</f>
      </c>
    </row>
    <row r="59" spans="2:8" x14ac:dyDescent="0.25">
      <c r="B59" s="8"/>
      <c r="C59" s="15">
        <f>IFERROR(IF($B59="","",VLOOKUP($B59,'Menü Kartları'!$B$5:$C$154,2,FALSE)),"")</f>
      </c>
      <c r="D59" s="8"/>
      <c r="E59" s="15">
        <f>IFERROR(IF($D59="","",VLOOKUP($D59,'Malzeme Kartları'!$B$5:$C$204,2,FALSE)),"— tanımsız —")</f>
      </c>
      <c r="F59" s="16"/>
      <c r="G59" s="15">
        <f>IFERROR(IF($D59="","",VLOOKUP($D59,'Malzeme Kartları'!$B$5:$D$204,3,FALSE)),"")</f>
      </c>
      <c r="H59" s="17">
        <f>IFERROR(IF(OR($D59="",$F59=""),0,$F59*VLOOKUP($D59,'Malzeme Kartları'!$B$5:$G$204,6,FALSE)),0)</f>
      </c>
    </row>
    <row r="60" spans="2:8" x14ac:dyDescent="0.25">
      <c r="B60" s="12"/>
      <c r="C60" s="15">
        <f>IFERROR(IF($B60="","",VLOOKUP($B60,'Menü Kartları'!$B$5:$C$154,2,FALSE)),"")</f>
      </c>
      <c r="D60" s="12"/>
      <c r="E60" s="15">
        <f>IFERROR(IF($D60="","",VLOOKUP($D60,'Malzeme Kartları'!$B$5:$C$204,2,FALSE)),"— tanımsız —")</f>
      </c>
      <c r="F60" s="18"/>
      <c r="G60" s="15">
        <f>IFERROR(IF($D60="","",VLOOKUP($D60,'Malzeme Kartları'!$B$5:$D$204,3,FALSE)),"")</f>
      </c>
      <c r="H60" s="17">
        <f>IFERROR(IF(OR($D60="",$F60=""),0,$F60*VLOOKUP($D60,'Malzeme Kartları'!$B$5:$G$204,6,FALSE)),0)</f>
      </c>
    </row>
    <row r="61" spans="2:8" x14ac:dyDescent="0.25">
      <c r="B61" s="8"/>
      <c r="C61" s="15">
        <f>IFERROR(IF($B61="","",VLOOKUP($B61,'Menü Kartları'!$B$5:$C$154,2,FALSE)),"")</f>
      </c>
      <c r="D61" s="8"/>
      <c r="E61" s="15">
        <f>IFERROR(IF($D61="","",VLOOKUP($D61,'Malzeme Kartları'!$B$5:$C$204,2,FALSE)),"— tanımsız —")</f>
      </c>
      <c r="F61" s="16"/>
      <c r="G61" s="15">
        <f>IFERROR(IF($D61="","",VLOOKUP($D61,'Malzeme Kartları'!$B$5:$D$204,3,FALSE)),"")</f>
      </c>
      <c r="H61" s="17">
        <f>IFERROR(IF(OR($D61="",$F61=""),0,$F61*VLOOKUP($D61,'Malzeme Kartları'!$B$5:$G$204,6,FALSE)),0)</f>
      </c>
    </row>
    <row r="62" spans="2:8" x14ac:dyDescent="0.25">
      <c r="B62" s="12"/>
      <c r="C62" s="15">
        <f>IFERROR(IF($B62="","",VLOOKUP($B62,'Menü Kartları'!$B$5:$C$154,2,FALSE)),"")</f>
      </c>
      <c r="D62" s="12"/>
      <c r="E62" s="15">
        <f>IFERROR(IF($D62="","",VLOOKUP($D62,'Malzeme Kartları'!$B$5:$C$204,2,FALSE)),"— tanımsız —")</f>
      </c>
      <c r="F62" s="18"/>
      <c r="G62" s="15">
        <f>IFERROR(IF($D62="","",VLOOKUP($D62,'Malzeme Kartları'!$B$5:$D$204,3,FALSE)),"")</f>
      </c>
      <c r="H62" s="17">
        <f>IFERROR(IF(OR($D62="",$F62=""),0,$F62*VLOOKUP($D62,'Malzeme Kartları'!$B$5:$G$204,6,FALSE)),0)</f>
      </c>
    </row>
    <row r="63" spans="2:8" x14ac:dyDescent="0.25">
      <c r="B63" s="8"/>
      <c r="C63" s="15">
        <f>IFERROR(IF($B63="","",VLOOKUP($B63,'Menü Kartları'!$B$5:$C$154,2,FALSE)),"")</f>
      </c>
      <c r="D63" s="8"/>
      <c r="E63" s="15">
        <f>IFERROR(IF($D63="","",VLOOKUP($D63,'Malzeme Kartları'!$B$5:$C$204,2,FALSE)),"— tanımsız —")</f>
      </c>
      <c r="F63" s="16"/>
      <c r="G63" s="15">
        <f>IFERROR(IF($D63="","",VLOOKUP($D63,'Malzeme Kartları'!$B$5:$D$204,3,FALSE)),"")</f>
      </c>
      <c r="H63" s="17">
        <f>IFERROR(IF(OR($D63="",$F63=""),0,$F63*VLOOKUP($D63,'Malzeme Kartları'!$B$5:$G$204,6,FALSE)),0)</f>
      </c>
    </row>
    <row r="64" spans="2:8" x14ac:dyDescent="0.25">
      <c r="B64" s="12"/>
      <c r="C64" s="15">
        <f>IFERROR(IF($B64="","",VLOOKUP($B64,'Menü Kartları'!$B$5:$C$154,2,FALSE)),"")</f>
      </c>
      <c r="D64" s="12"/>
      <c r="E64" s="15">
        <f>IFERROR(IF($D64="","",VLOOKUP($D64,'Malzeme Kartları'!$B$5:$C$204,2,FALSE)),"— tanımsız —")</f>
      </c>
      <c r="F64" s="18"/>
      <c r="G64" s="15">
        <f>IFERROR(IF($D64="","",VLOOKUP($D64,'Malzeme Kartları'!$B$5:$D$204,3,FALSE)),"")</f>
      </c>
      <c r="H64" s="17">
        <f>IFERROR(IF(OR($D64="",$F64=""),0,$F64*VLOOKUP($D64,'Malzeme Kartları'!$B$5:$G$204,6,FALSE)),0)</f>
      </c>
    </row>
    <row r="65" spans="2:8" x14ac:dyDescent="0.25">
      <c r="B65" s="8"/>
      <c r="C65" s="15">
        <f>IFERROR(IF($B65="","",VLOOKUP($B65,'Menü Kartları'!$B$5:$C$154,2,FALSE)),"")</f>
      </c>
      <c r="D65" s="8"/>
      <c r="E65" s="15">
        <f>IFERROR(IF($D65="","",VLOOKUP($D65,'Malzeme Kartları'!$B$5:$C$204,2,FALSE)),"— tanımsız —")</f>
      </c>
      <c r="F65" s="16"/>
      <c r="G65" s="15">
        <f>IFERROR(IF($D65="","",VLOOKUP($D65,'Malzeme Kartları'!$B$5:$D$204,3,FALSE)),"")</f>
      </c>
      <c r="H65" s="17">
        <f>IFERROR(IF(OR($D65="",$F65=""),0,$F65*VLOOKUP($D65,'Malzeme Kartları'!$B$5:$G$204,6,FALSE)),0)</f>
      </c>
    </row>
    <row r="66" spans="2:8" x14ac:dyDescent="0.25">
      <c r="B66" s="12"/>
      <c r="C66" s="15">
        <f>IFERROR(IF($B66="","",VLOOKUP($B66,'Menü Kartları'!$B$5:$C$154,2,FALSE)),"")</f>
      </c>
      <c r="D66" s="12"/>
      <c r="E66" s="15">
        <f>IFERROR(IF($D66="","",VLOOKUP($D66,'Malzeme Kartları'!$B$5:$C$204,2,FALSE)),"— tanımsız —")</f>
      </c>
      <c r="F66" s="18"/>
      <c r="G66" s="15">
        <f>IFERROR(IF($D66="","",VLOOKUP($D66,'Malzeme Kartları'!$B$5:$D$204,3,FALSE)),"")</f>
      </c>
      <c r="H66" s="17">
        <f>IFERROR(IF(OR($D66="",$F66=""),0,$F66*VLOOKUP($D66,'Malzeme Kartları'!$B$5:$G$204,6,FALSE)),0)</f>
      </c>
    </row>
    <row r="67" spans="2:8" x14ac:dyDescent="0.25">
      <c r="B67" s="8"/>
      <c r="C67" s="15">
        <f>IFERROR(IF($B67="","",VLOOKUP($B67,'Menü Kartları'!$B$5:$C$154,2,FALSE)),"")</f>
      </c>
      <c r="D67" s="8"/>
      <c r="E67" s="15">
        <f>IFERROR(IF($D67="","",VLOOKUP($D67,'Malzeme Kartları'!$B$5:$C$204,2,FALSE)),"— tanımsız —")</f>
      </c>
      <c r="F67" s="16"/>
      <c r="G67" s="15">
        <f>IFERROR(IF($D67="","",VLOOKUP($D67,'Malzeme Kartları'!$B$5:$D$204,3,FALSE)),"")</f>
      </c>
      <c r="H67" s="17">
        <f>IFERROR(IF(OR($D67="",$F67=""),0,$F67*VLOOKUP($D67,'Malzeme Kartları'!$B$5:$G$204,6,FALSE)),0)</f>
      </c>
    </row>
    <row r="68" spans="2:8" x14ac:dyDescent="0.25">
      <c r="B68" s="12"/>
      <c r="C68" s="15">
        <f>IFERROR(IF($B68="","",VLOOKUP($B68,'Menü Kartları'!$B$5:$C$154,2,FALSE)),"")</f>
      </c>
      <c r="D68" s="12"/>
      <c r="E68" s="15">
        <f>IFERROR(IF($D68="","",VLOOKUP($D68,'Malzeme Kartları'!$B$5:$C$204,2,FALSE)),"— tanımsız —")</f>
      </c>
      <c r="F68" s="18"/>
      <c r="G68" s="15">
        <f>IFERROR(IF($D68="","",VLOOKUP($D68,'Malzeme Kartları'!$B$5:$D$204,3,FALSE)),"")</f>
      </c>
      <c r="H68" s="17">
        <f>IFERROR(IF(OR($D68="",$F68=""),0,$F68*VLOOKUP($D68,'Malzeme Kartları'!$B$5:$G$204,6,FALSE)),0)</f>
      </c>
    </row>
    <row r="69" spans="2:8" x14ac:dyDescent="0.25">
      <c r="B69" s="8"/>
      <c r="C69" s="15">
        <f>IFERROR(IF($B69="","",VLOOKUP($B69,'Menü Kartları'!$B$5:$C$154,2,FALSE)),"")</f>
      </c>
      <c r="D69" s="8"/>
      <c r="E69" s="15">
        <f>IFERROR(IF($D69="","",VLOOKUP($D69,'Malzeme Kartları'!$B$5:$C$204,2,FALSE)),"— tanımsız —")</f>
      </c>
      <c r="F69" s="16"/>
      <c r="G69" s="15">
        <f>IFERROR(IF($D69="","",VLOOKUP($D69,'Malzeme Kartları'!$B$5:$D$204,3,FALSE)),"")</f>
      </c>
      <c r="H69" s="17">
        <f>IFERROR(IF(OR($D69="",$F69=""),0,$F69*VLOOKUP($D69,'Malzeme Kartları'!$B$5:$G$204,6,FALSE)),0)</f>
      </c>
    </row>
    <row r="70" spans="2:8" x14ac:dyDescent="0.25">
      <c r="B70" s="12"/>
      <c r="C70" s="15">
        <f>IFERROR(IF($B70="","",VLOOKUP($B70,'Menü Kartları'!$B$5:$C$154,2,FALSE)),"")</f>
      </c>
      <c r="D70" s="12"/>
      <c r="E70" s="15">
        <f>IFERROR(IF($D70="","",VLOOKUP($D70,'Malzeme Kartları'!$B$5:$C$204,2,FALSE)),"— tanımsız —")</f>
      </c>
      <c r="F70" s="18"/>
      <c r="G70" s="15">
        <f>IFERROR(IF($D70="","",VLOOKUP($D70,'Malzeme Kartları'!$B$5:$D$204,3,FALSE)),"")</f>
      </c>
      <c r="H70" s="17">
        <f>IFERROR(IF(OR($D70="",$F70=""),0,$F70*VLOOKUP($D70,'Malzeme Kartları'!$B$5:$G$204,6,FALSE)),0)</f>
      </c>
    </row>
    <row r="71" spans="2:8" x14ac:dyDescent="0.25">
      <c r="B71" s="8"/>
      <c r="C71" s="15">
        <f>IFERROR(IF($B71="","",VLOOKUP($B71,'Menü Kartları'!$B$5:$C$154,2,FALSE)),"")</f>
      </c>
      <c r="D71" s="8"/>
      <c r="E71" s="15">
        <f>IFERROR(IF($D71="","",VLOOKUP($D71,'Malzeme Kartları'!$B$5:$C$204,2,FALSE)),"— tanımsız —")</f>
      </c>
      <c r="F71" s="16"/>
      <c r="G71" s="15">
        <f>IFERROR(IF($D71="","",VLOOKUP($D71,'Malzeme Kartları'!$B$5:$D$204,3,FALSE)),"")</f>
      </c>
      <c r="H71" s="17">
        <f>IFERROR(IF(OR($D71="",$F71=""),0,$F71*VLOOKUP($D71,'Malzeme Kartları'!$B$5:$G$204,6,FALSE)),0)</f>
      </c>
    </row>
    <row r="72" spans="2:8" x14ac:dyDescent="0.25">
      <c r="B72" s="12"/>
      <c r="C72" s="15">
        <f>IFERROR(IF($B72="","",VLOOKUP($B72,'Menü Kartları'!$B$5:$C$154,2,FALSE)),"")</f>
      </c>
      <c r="D72" s="12"/>
      <c r="E72" s="15">
        <f>IFERROR(IF($D72="","",VLOOKUP($D72,'Malzeme Kartları'!$B$5:$C$204,2,FALSE)),"— tanımsız —")</f>
      </c>
      <c r="F72" s="18"/>
      <c r="G72" s="15">
        <f>IFERROR(IF($D72="","",VLOOKUP($D72,'Malzeme Kartları'!$B$5:$D$204,3,FALSE)),"")</f>
      </c>
      <c r="H72" s="17">
        <f>IFERROR(IF(OR($D72="",$F72=""),0,$F72*VLOOKUP($D72,'Malzeme Kartları'!$B$5:$G$204,6,FALSE)),0)</f>
      </c>
    </row>
    <row r="73" spans="2:8" x14ac:dyDescent="0.25">
      <c r="B73" s="8"/>
      <c r="C73" s="15">
        <f>IFERROR(IF($B73="","",VLOOKUP($B73,'Menü Kartları'!$B$5:$C$154,2,FALSE)),"")</f>
      </c>
      <c r="D73" s="8"/>
      <c r="E73" s="15">
        <f>IFERROR(IF($D73="","",VLOOKUP($D73,'Malzeme Kartları'!$B$5:$C$204,2,FALSE)),"— tanımsız —")</f>
      </c>
      <c r="F73" s="16"/>
      <c r="G73" s="15">
        <f>IFERROR(IF($D73="","",VLOOKUP($D73,'Malzeme Kartları'!$B$5:$D$204,3,FALSE)),"")</f>
      </c>
      <c r="H73" s="17">
        <f>IFERROR(IF(OR($D73="",$F73=""),0,$F73*VLOOKUP($D73,'Malzeme Kartları'!$B$5:$G$204,6,FALSE)),0)</f>
      </c>
    </row>
    <row r="74" spans="2:8" x14ac:dyDescent="0.25">
      <c r="B74" s="12"/>
      <c r="C74" s="15">
        <f>IFERROR(IF($B74="","",VLOOKUP($B74,'Menü Kartları'!$B$5:$C$154,2,FALSE)),"")</f>
      </c>
      <c r="D74" s="12"/>
      <c r="E74" s="15">
        <f>IFERROR(IF($D74="","",VLOOKUP($D74,'Malzeme Kartları'!$B$5:$C$204,2,FALSE)),"— tanımsız —")</f>
      </c>
      <c r="F74" s="18"/>
      <c r="G74" s="15">
        <f>IFERROR(IF($D74="","",VLOOKUP($D74,'Malzeme Kartları'!$B$5:$D$204,3,FALSE)),"")</f>
      </c>
      <c r="H74" s="17">
        <f>IFERROR(IF(OR($D74="",$F74=""),0,$F74*VLOOKUP($D74,'Malzeme Kartları'!$B$5:$G$204,6,FALSE)),0)</f>
      </c>
    </row>
    <row r="75" spans="2:8" x14ac:dyDescent="0.25">
      <c r="B75" s="8"/>
      <c r="C75" s="15">
        <f>IFERROR(IF($B75="","",VLOOKUP($B75,'Menü Kartları'!$B$5:$C$154,2,FALSE)),"")</f>
      </c>
      <c r="D75" s="8"/>
      <c r="E75" s="15">
        <f>IFERROR(IF($D75="","",VLOOKUP($D75,'Malzeme Kartları'!$B$5:$C$204,2,FALSE)),"— tanımsız —")</f>
      </c>
      <c r="F75" s="16"/>
      <c r="G75" s="15">
        <f>IFERROR(IF($D75="","",VLOOKUP($D75,'Malzeme Kartları'!$B$5:$D$204,3,FALSE)),"")</f>
      </c>
      <c r="H75" s="17">
        <f>IFERROR(IF(OR($D75="",$F75=""),0,$F75*VLOOKUP($D75,'Malzeme Kartları'!$B$5:$G$204,6,FALSE)),0)</f>
      </c>
    </row>
    <row r="76" spans="2:8" x14ac:dyDescent="0.25">
      <c r="B76" s="12"/>
      <c r="C76" s="15">
        <f>IFERROR(IF($B76="","",VLOOKUP($B76,'Menü Kartları'!$B$5:$C$154,2,FALSE)),"")</f>
      </c>
      <c r="D76" s="12"/>
      <c r="E76" s="15">
        <f>IFERROR(IF($D76="","",VLOOKUP($D76,'Malzeme Kartları'!$B$5:$C$204,2,FALSE)),"— tanımsız —")</f>
      </c>
      <c r="F76" s="18"/>
      <c r="G76" s="15">
        <f>IFERROR(IF($D76="","",VLOOKUP($D76,'Malzeme Kartları'!$B$5:$D$204,3,FALSE)),"")</f>
      </c>
      <c r="H76" s="17">
        <f>IFERROR(IF(OR($D76="",$F76=""),0,$F76*VLOOKUP($D76,'Malzeme Kartları'!$B$5:$G$204,6,FALSE)),0)</f>
      </c>
    </row>
    <row r="77" spans="2:8" x14ac:dyDescent="0.25">
      <c r="B77" s="8"/>
      <c r="C77" s="15">
        <f>IFERROR(IF($B77="","",VLOOKUP($B77,'Menü Kartları'!$B$5:$C$154,2,FALSE)),"")</f>
      </c>
      <c r="D77" s="8"/>
      <c r="E77" s="15">
        <f>IFERROR(IF($D77="","",VLOOKUP($D77,'Malzeme Kartları'!$B$5:$C$204,2,FALSE)),"— tanımsız —")</f>
      </c>
      <c r="F77" s="16"/>
      <c r="G77" s="15">
        <f>IFERROR(IF($D77="","",VLOOKUP($D77,'Malzeme Kartları'!$B$5:$D$204,3,FALSE)),"")</f>
      </c>
      <c r="H77" s="17">
        <f>IFERROR(IF(OR($D77="",$F77=""),0,$F77*VLOOKUP($D77,'Malzeme Kartları'!$B$5:$G$204,6,FALSE)),0)</f>
      </c>
    </row>
    <row r="78" spans="2:8" x14ac:dyDescent="0.25">
      <c r="B78" s="12"/>
      <c r="C78" s="15">
        <f>IFERROR(IF($B78="","",VLOOKUP($B78,'Menü Kartları'!$B$5:$C$154,2,FALSE)),"")</f>
      </c>
      <c r="D78" s="12"/>
      <c r="E78" s="15">
        <f>IFERROR(IF($D78="","",VLOOKUP($D78,'Malzeme Kartları'!$B$5:$C$204,2,FALSE)),"— tanımsız —")</f>
      </c>
      <c r="F78" s="18"/>
      <c r="G78" s="15">
        <f>IFERROR(IF($D78="","",VLOOKUP($D78,'Malzeme Kartları'!$B$5:$D$204,3,FALSE)),"")</f>
      </c>
      <c r="H78" s="17">
        <f>IFERROR(IF(OR($D78="",$F78=""),0,$F78*VLOOKUP($D78,'Malzeme Kartları'!$B$5:$G$204,6,FALSE)),0)</f>
      </c>
    </row>
    <row r="79" spans="2:8" x14ac:dyDescent="0.25">
      <c r="B79" s="8"/>
      <c r="C79" s="15">
        <f>IFERROR(IF($B79="","",VLOOKUP($B79,'Menü Kartları'!$B$5:$C$154,2,FALSE)),"")</f>
      </c>
      <c r="D79" s="8"/>
      <c r="E79" s="15">
        <f>IFERROR(IF($D79="","",VLOOKUP($D79,'Malzeme Kartları'!$B$5:$C$204,2,FALSE)),"— tanımsız —")</f>
      </c>
      <c r="F79" s="16"/>
      <c r="G79" s="15">
        <f>IFERROR(IF($D79="","",VLOOKUP($D79,'Malzeme Kartları'!$B$5:$D$204,3,FALSE)),"")</f>
      </c>
      <c r="H79" s="17">
        <f>IFERROR(IF(OR($D79="",$F79=""),0,$F79*VLOOKUP($D79,'Malzeme Kartları'!$B$5:$G$204,6,FALSE)),0)</f>
      </c>
    </row>
    <row r="80" spans="2:8" x14ac:dyDescent="0.25">
      <c r="B80" s="12"/>
      <c r="C80" s="15">
        <f>IFERROR(IF($B80="","",VLOOKUP($B80,'Menü Kartları'!$B$5:$C$154,2,FALSE)),"")</f>
      </c>
      <c r="D80" s="12"/>
      <c r="E80" s="15">
        <f>IFERROR(IF($D80="","",VLOOKUP($D80,'Malzeme Kartları'!$B$5:$C$204,2,FALSE)),"— tanımsız —")</f>
      </c>
      <c r="F80" s="18"/>
      <c r="G80" s="15">
        <f>IFERROR(IF($D80="","",VLOOKUP($D80,'Malzeme Kartları'!$B$5:$D$204,3,FALSE)),"")</f>
      </c>
      <c r="H80" s="17">
        <f>IFERROR(IF(OR($D80="",$F80=""),0,$F80*VLOOKUP($D80,'Malzeme Kartları'!$B$5:$G$204,6,FALSE)),0)</f>
      </c>
    </row>
    <row r="81" spans="2:8" x14ac:dyDescent="0.25">
      <c r="B81" s="8"/>
      <c r="C81" s="15">
        <f>IFERROR(IF($B81="","",VLOOKUP($B81,'Menü Kartları'!$B$5:$C$154,2,FALSE)),"")</f>
      </c>
      <c r="D81" s="8"/>
      <c r="E81" s="15">
        <f>IFERROR(IF($D81="","",VLOOKUP($D81,'Malzeme Kartları'!$B$5:$C$204,2,FALSE)),"— tanımsız —")</f>
      </c>
      <c r="F81" s="16"/>
      <c r="G81" s="15">
        <f>IFERROR(IF($D81="","",VLOOKUP($D81,'Malzeme Kartları'!$B$5:$D$204,3,FALSE)),"")</f>
      </c>
      <c r="H81" s="17">
        <f>IFERROR(IF(OR($D81="",$F81=""),0,$F81*VLOOKUP($D81,'Malzeme Kartları'!$B$5:$G$204,6,FALSE)),0)</f>
      </c>
    </row>
    <row r="82" spans="2:8" x14ac:dyDescent="0.25">
      <c r="B82" s="12"/>
      <c r="C82" s="15">
        <f>IFERROR(IF($B82="","",VLOOKUP($B82,'Menü Kartları'!$B$5:$C$154,2,FALSE)),"")</f>
      </c>
      <c r="D82" s="12"/>
      <c r="E82" s="15">
        <f>IFERROR(IF($D82="","",VLOOKUP($D82,'Malzeme Kartları'!$B$5:$C$204,2,FALSE)),"— tanımsız —")</f>
      </c>
      <c r="F82" s="18"/>
      <c r="G82" s="15">
        <f>IFERROR(IF($D82="","",VLOOKUP($D82,'Malzeme Kartları'!$B$5:$D$204,3,FALSE)),"")</f>
      </c>
      <c r="H82" s="17">
        <f>IFERROR(IF(OR($D82="",$F82=""),0,$F82*VLOOKUP($D82,'Malzeme Kartları'!$B$5:$G$204,6,FALSE)),0)</f>
      </c>
    </row>
    <row r="83" spans="2:8" x14ac:dyDescent="0.25">
      <c r="B83" s="8"/>
      <c r="C83" s="15">
        <f>IFERROR(IF($B83="","",VLOOKUP($B83,'Menü Kartları'!$B$5:$C$154,2,FALSE)),"")</f>
      </c>
      <c r="D83" s="8"/>
      <c r="E83" s="15">
        <f>IFERROR(IF($D83="","",VLOOKUP($D83,'Malzeme Kartları'!$B$5:$C$204,2,FALSE)),"— tanımsız —")</f>
      </c>
      <c r="F83" s="16"/>
      <c r="G83" s="15">
        <f>IFERROR(IF($D83="","",VLOOKUP($D83,'Malzeme Kartları'!$B$5:$D$204,3,FALSE)),"")</f>
      </c>
      <c r="H83" s="17">
        <f>IFERROR(IF(OR($D83="",$F83=""),0,$F83*VLOOKUP($D83,'Malzeme Kartları'!$B$5:$G$204,6,FALSE)),0)</f>
      </c>
    </row>
    <row r="84" spans="2:8" x14ac:dyDescent="0.25">
      <c r="B84" s="12"/>
      <c r="C84" s="15">
        <f>IFERROR(IF($B84="","",VLOOKUP($B84,'Menü Kartları'!$B$5:$C$154,2,FALSE)),"")</f>
      </c>
      <c r="D84" s="12"/>
      <c r="E84" s="15">
        <f>IFERROR(IF($D84="","",VLOOKUP($D84,'Malzeme Kartları'!$B$5:$C$204,2,FALSE)),"— tanımsız —")</f>
      </c>
      <c r="F84" s="18"/>
      <c r="G84" s="15">
        <f>IFERROR(IF($D84="","",VLOOKUP($D84,'Malzeme Kartları'!$B$5:$D$204,3,FALSE)),"")</f>
      </c>
      <c r="H84" s="17">
        <f>IFERROR(IF(OR($D84="",$F84=""),0,$F84*VLOOKUP($D84,'Malzeme Kartları'!$B$5:$G$204,6,FALSE)),0)</f>
      </c>
    </row>
    <row r="85" spans="2:8" x14ac:dyDescent="0.25">
      <c r="B85" s="8"/>
      <c r="C85" s="15">
        <f>IFERROR(IF($B85="","",VLOOKUP($B85,'Menü Kartları'!$B$5:$C$154,2,FALSE)),"")</f>
      </c>
      <c r="D85" s="8"/>
      <c r="E85" s="15">
        <f>IFERROR(IF($D85="","",VLOOKUP($D85,'Malzeme Kartları'!$B$5:$C$204,2,FALSE)),"— tanımsız —")</f>
      </c>
      <c r="F85" s="16"/>
      <c r="G85" s="15">
        <f>IFERROR(IF($D85="","",VLOOKUP($D85,'Malzeme Kartları'!$B$5:$D$204,3,FALSE)),"")</f>
      </c>
      <c r="H85" s="17">
        <f>IFERROR(IF(OR($D85="",$F85=""),0,$F85*VLOOKUP($D85,'Malzeme Kartları'!$B$5:$G$204,6,FALSE)),0)</f>
      </c>
    </row>
    <row r="86" spans="2:8" x14ac:dyDescent="0.25">
      <c r="B86" s="12"/>
      <c r="C86" s="15">
        <f>IFERROR(IF($B86="","",VLOOKUP($B86,'Menü Kartları'!$B$5:$C$154,2,FALSE)),"")</f>
      </c>
      <c r="D86" s="12"/>
      <c r="E86" s="15">
        <f>IFERROR(IF($D86="","",VLOOKUP($D86,'Malzeme Kartları'!$B$5:$C$204,2,FALSE)),"— tanımsız —")</f>
      </c>
      <c r="F86" s="18"/>
      <c r="G86" s="15">
        <f>IFERROR(IF($D86="","",VLOOKUP($D86,'Malzeme Kartları'!$B$5:$D$204,3,FALSE)),"")</f>
      </c>
      <c r="H86" s="17">
        <f>IFERROR(IF(OR($D86="",$F86=""),0,$F86*VLOOKUP($D86,'Malzeme Kartları'!$B$5:$G$204,6,FALSE)),0)</f>
      </c>
    </row>
    <row r="87" spans="2:8" x14ac:dyDescent="0.25">
      <c r="B87" s="8"/>
      <c r="C87" s="15">
        <f>IFERROR(IF($B87="","",VLOOKUP($B87,'Menü Kartları'!$B$5:$C$154,2,FALSE)),"")</f>
      </c>
      <c r="D87" s="8"/>
      <c r="E87" s="15">
        <f>IFERROR(IF($D87="","",VLOOKUP($D87,'Malzeme Kartları'!$B$5:$C$204,2,FALSE)),"— tanımsız —")</f>
      </c>
      <c r="F87" s="16"/>
      <c r="G87" s="15">
        <f>IFERROR(IF($D87="","",VLOOKUP($D87,'Malzeme Kartları'!$B$5:$D$204,3,FALSE)),"")</f>
      </c>
      <c r="H87" s="17">
        <f>IFERROR(IF(OR($D87="",$F87=""),0,$F87*VLOOKUP($D87,'Malzeme Kartları'!$B$5:$G$204,6,FALSE)),0)</f>
      </c>
    </row>
    <row r="88" spans="2:8" x14ac:dyDescent="0.25">
      <c r="B88" s="12"/>
      <c r="C88" s="15">
        <f>IFERROR(IF($B88="","",VLOOKUP($B88,'Menü Kartları'!$B$5:$C$154,2,FALSE)),"")</f>
      </c>
      <c r="D88" s="12"/>
      <c r="E88" s="15">
        <f>IFERROR(IF($D88="","",VLOOKUP($D88,'Malzeme Kartları'!$B$5:$C$204,2,FALSE)),"— tanımsız —")</f>
      </c>
      <c r="F88" s="18"/>
      <c r="G88" s="15">
        <f>IFERROR(IF($D88="","",VLOOKUP($D88,'Malzeme Kartları'!$B$5:$D$204,3,FALSE)),"")</f>
      </c>
      <c r="H88" s="17">
        <f>IFERROR(IF(OR($D88="",$F88=""),0,$F88*VLOOKUP($D88,'Malzeme Kartları'!$B$5:$G$204,6,FALSE)),0)</f>
      </c>
    </row>
    <row r="89" spans="2:8" x14ac:dyDescent="0.25">
      <c r="B89" s="8"/>
      <c r="C89" s="15">
        <f>IFERROR(IF($B89="","",VLOOKUP($B89,'Menü Kartları'!$B$5:$C$154,2,FALSE)),"")</f>
      </c>
      <c r="D89" s="8"/>
      <c r="E89" s="15">
        <f>IFERROR(IF($D89="","",VLOOKUP($D89,'Malzeme Kartları'!$B$5:$C$204,2,FALSE)),"— tanımsız —")</f>
      </c>
      <c r="F89" s="16"/>
      <c r="G89" s="15">
        <f>IFERROR(IF($D89="","",VLOOKUP($D89,'Malzeme Kartları'!$B$5:$D$204,3,FALSE)),"")</f>
      </c>
      <c r="H89" s="17">
        <f>IFERROR(IF(OR($D89="",$F89=""),0,$F89*VLOOKUP($D89,'Malzeme Kartları'!$B$5:$G$204,6,FALSE)),0)</f>
      </c>
    </row>
    <row r="90" spans="2:8" x14ac:dyDescent="0.25">
      <c r="B90" s="12"/>
      <c r="C90" s="15">
        <f>IFERROR(IF($B90="","",VLOOKUP($B90,'Menü Kartları'!$B$5:$C$154,2,FALSE)),"")</f>
      </c>
      <c r="D90" s="12"/>
      <c r="E90" s="15">
        <f>IFERROR(IF($D90="","",VLOOKUP($D90,'Malzeme Kartları'!$B$5:$C$204,2,FALSE)),"— tanımsız —")</f>
      </c>
      <c r="F90" s="18"/>
      <c r="G90" s="15">
        <f>IFERROR(IF($D90="","",VLOOKUP($D90,'Malzeme Kartları'!$B$5:$D$204,3,FALSE)),"")</f>
      </c>
      <c r="H90" s="17">
        <f>IFERROR(IF(OR($D90="",$F90=""),0,$F90*VLOOKUP($D90,'Malzeme Kartları'!$B$5:$G$204,6,FALSE)),0)</f>
      </c>
    </row>
    <row r="91" spans="2:8" x14ac:dyDescent="0.25">
      <c r="B91" s="8"/>
      <c r="C91" s="15">
        <f>IFERROR(IF($B91="","",VLOOKUP($B91,'Menü Kartları'!$B$5:$C$154,2,FALSE)),"")</f>
      </c>
      <c r="D91" s="8"/>
      <c r="E91" s="15">
        <f>IFERROR(IF($D91="","",VLOOKUP($D91,'Malzeme Kartları'!$B$5:$C$204,2,FALSE)),"— tanımsız —")</f>
      </c>
      <c r="F91" s="16"/>
      <c r="G91" s="15">
        <f>IFERROR(IF($D91="","",VLOOKUP($D91,'Malzeme Kartları'!$B$5:$D$204,3,FALSE)),"")</f>
      </c>
      <c r="H91" s="17">
        <f>IFERROR(IF(OR($D91="",$F91=""),0,$F91*VLOOKUP($D91,'Malzeme Kartları'!$B$5:$G$204,6,FALSE)),0)</f>
      </c>
    </row>
    <row r="92" spans="2:8" x14ac:dyDescent="0.25">
      <c r="B92" s="12"/>
      <c r="C92" s="15">
        <f>IFERROR(IF($B92="","",VLOOKUP($B92,'Menü Kartları'!$B$5:$C$154,2,FALSE)),"")</f>
      </c>
      <c r="D92" s="12"/>
      <c r="E92" s="15">
        <f>IFERROR(IF($D92="","",VLOOKUP($D92,'Malzeme Kartları'!$B$5:$C$204,2,FALSE)),"— tanımsız —")</f>
      </c>
      <c r="F92" s="18"/>
      <c r="G92" s="15">
        <f>IFERROR(IF($D92="","",VLOOKUP($D92,'Malzeme Kartları'!$B$5:$D$204,3,FALSE)),"")</f>
      </c>
      <c r="H92" s="17">
        <f>IFERROR(IF(OR($D92="",$F92=""),0,$F92*VLOOKUP($D92,'Malzeme Kartları'!$B$5:$G$204,6,FALSE)),0)</f>
      </c>
    </row>
    <row r="93" spans="2:8" x14ac:dyDescent="0.25">
      <c r="B93" s="8"/>
      <c r="C93" s="15">
        <f>IFERROR(IF($B93="","",VLOOKUP($B93,'Menü Kartları'!$B$5:$C$154,2,FALSE)),"")</f>
      </c>
      <c r="D93" s="8"/>
      <c r="E93" s="15">
        <f>IFERROR(IF($D93="","",VLOOKUP($D93,'Malzeme Kartları'!$B$5:$C$204,2,FALSE)),"— tanımsız —")</f>
      </c>
      <c r="F93" s="16"/>
      <c r="G93" s="15">
        <f>IFERROR(IF($D93="","",VLOOKUP($D93,'Malzeme Kartları'!$B$5:$D$204,3,FALSE)),"")</f>
      </c>
      <c r="H93" s="17">
        <f>IFERROR(IF(OR($D93="",$F93=""),0,$F93*VLOOKUP($D93,'Malzeme Kartları'!$B$5:$G$204,6,FALSE)),0)</f>
      </c>
    </row>
    <row r="94" spans="2:8" x14ac:dyDescent="0.25">
      <c r="B94" s="12"/>
      <c r="C94" s="15">
        <f>IFERROR(IF($B94="","",VLOOKUP($B94,'Menü Kartları'!$B$5:$C$154,2,FALSE)),"")</f>
      </c>
      <c r="D94" s="12"/>
      <c r="E94" s="15">
        <f>IFERROR(IF($D94="","",VLOOKUP($D94,'Malzeme Kartları'!$B$5:$C$204,2,FALSE)),"— tanımsız —")</f>
      </c>
      <c r="F94" s="18"/>
      <c r="G94" s="15">
        <f>IFERROR(IF($D94="","",VLOOKUP($D94,'Malzeme Kartları'!$B$5:$D$204,3,FALSE)),"")</f>
      </c>
      <c r="H94" s="17">
        <f>IFERROR(IF(OR($D94="",$F94=""),0,$F94*VLOOKUP($D94,'Malzeme Kartları'!$B$5:$G$204,6,FALSE)),0)</f>
      </c>
    </row>
    <row r="95" spans="2:8" x14ac:dyDescent="0.25">
      <c r="B95" s="8"/>
      <c r="C95" s="15">
        <f>IFERROR(IF($B95="","",VLOOKUP($B95,'Menü Kartları'!$B$5:$C$154,2,FALSE)),"")</f>
      </c>
      <c r="D95" s="8"/>
      <c r="E95" s="15">
        <f>IFERROR(IF($D95="","",VLOOKUP($D95,'Malzeme Kartları'!$B$5:$C$204,2,FALSE)),"— tanımsız —")</f>
      </c>
      <c r="F95" s="16"/>
      <c r="G95" s="15">
        <f>IFERROR(IF($D95="","",VLOOKUP($D95,'Malzeme Kartları'!$B$5:$D$204,3,FALSE)),"")</f>
      </c>
      <c r="H95" s="17">
        <f>IFERROR(IF(OR($D95="",$F95=""),0,$F95*VLOOKUP($D95,'Malzeme Kartları'!$B$5:$G$204,6,FALSE)),0)</f>
      </c>
    </row>
    <row r="96" spans="2:8" x14ac:dyDescent="0.25">
      <c r="B96" s="12"/>
      <c r="C96" s="15">
        <f>IFERROR(IF($B96="","",VLOOKUP($B96,'Menü Kartları'!$B$5:$C$154,2,FALSE)),"")</f>
      </c>
      <c r="D96" s="12"/>
      <c r="E96" s="15">
        <f>IFERROR(IF($D96="","",VLOOKUP($D96,'Malzeme Kartları'!$B$5:$C$204,2,FALSE)),"— tanımsız —")</f>
      </c>
      <c r="F96" s="18"/>
      <c r="G96" s="15">
        <f>IFERROR(IF($D96="","",VLOOKUP($D96,'Malzeme Kartları'!$B$5:$D$204,3,FALSE)),"")</f>
      </c>
      <c r="H96" s="17">
        <f>IFERROR(IF(OR($D96="",$F96=""),0,$F96*VLOOKUP($D96,'Malzeme Kartları'!$B$5:$G$204,6,FALSE)),0)</f>
      </c>
    </row>
    <row r="97" spans="2:8" x14ac:dyDescent="0.25">
      <c r="B97" s="8"/>
      <c r="C97" s="15">
        <f>IFERROR(IF($B97="","",VLOOKUP($B97,'Menü Kartları'!$B$5:$C$154,2,FALSE)),"")</f>
      </c>
      <c r="D97" s="8"/>
      <c r="E97" s="15">
        <f>IFERROR(IF($D97="","",VLOOKUP($D97,'Malzeme Kartları'!$B$5:$C$204,2,FALSE)),"— tanımsız —")</f>
      </c>
      <c r="F97" s="16"/>
      <c r="G97" s="15">
        <f>IFERROR(IF($D97="","",VLOOKUP($D97,'Malzeme Kartları'!$B$5:$D$204,3,FALSE)),"")</f>
      </c>
      <c r="H97" s="17">
        <f>IFERROR(IF(OR($D97="",$F97=""),0,$F97*VLOOKUP($D97,'Malzeme Kartları'!$B$5:$G$204,6,FALSE)),0)</f>
      </c>
    </row>
    <row r="98" spans="2:8" x14ac:dyDescent="0.25">
      <c r="B98" s="12"/>
      <c r="C98" s="15">
        <f>IFERROR(IF($B98="","",VLOOKUP($B98,'Menü Kartları'!$B$5:$C$154,2,FALSE)),"")</f>
      </c>
      <c r="D98" s="12"/>
      <c r="E98" s="15">
        <f>IFERROR(IF($D98="","",VLOOKUP($D98,'Malzeme Kartları'!$B$5:$C$204,2,FALSE)),"— tanımsız —")</f>
      </c>
      <c r="F98" s="18"/>
      <c r="G98" s="15">
        <f>IFERROR(IF($D98="","",VLOOKUP($D98,'Malzeme Kartları'!$B$5:$D$204,3,FALSE)),"")</f>
      </c>
      <c r="H98" s="17">
        <f>IFERROR(IF(OR($D98="",$F98=""),0,$F98*VLOOKUP($D98,'Malzeme Kartları'!$B$5:$G$204,6,FALSE)),0)</f>
      </c>
    </row>
    <row r="99" spans="2:8" x14ac:dyDescent="0.25">
      <c r="B99" s="8"/>
      <c r="C99" s="15">
        <f>IFERROR(IF($B99="","",VLOOKUP($B99,'Menü Kartları'!$B$5:$C$154,2,FALSE)),"")</f>
      </c>
      <c r="D99" s="8"/>
      <c r="E99" s="15">
        <f>IFERROR(IF($D99="","",VLOOKUP($D99,'Malzeme Kartları'!$B$5:$C$204,2,FALSE)),"— tanımsız —")</f>
      </c>
      <c r="F99" s="16"/>
      <c r="G99" s="15">
        <f>IFERROR(IF($D99="","",VLOOKUP($D99,'Malzeme Kartları'!$B$5:$D$204,3,FALSE)),"")</f>
      </c>
      <c r="H99" s="17">
        <f>IFERROR(IF(OR($D99="",$F99=""),0,$F99*VLOOKUP($D99,'Malzeme Kartları'!$B$5:$G$204,6,FALSE)),0)</f>
      </c>
    </row>
    <row r="100" spans="2:8" x14ac:dyDescent="0.25">
      <c r="B100" s="12"/>
      <c r="C100" s="15">
        <f>IFERROR(IF($B100="","",VLOOKUP($B100,'Menü Kartları'!$B$5:$C$154,2,FALSE)),"")</f>
      </c>
      <c r="D100" s="12"/>
      <c r="E100" s="15">
        <f>IFERROR(IF($D100="","",VLOOKUP($D100,'Malzeme Kartları'!$B$5:$C$204,2,FALSE)),"— tanımsız —")</f>
      </c>
      <c r="F100" s="18"/>
      <c r="G100" s="15">
        <f>IFERROR(IF($D100="","",VLOOKUP($D100,'Malzeme Kartları'!$B$5:$D$204,3,FALSE)),"")</f>
      </c>
      <c r="H100" s="17">
        <f>IFERROR(IF(OR($D100="",$F100=""),0,$F100*VLOOKUP($D100,'Malzeme Kartları'!$B$5:$G$204,6,FALSE)),0)</f>
      </c>
    </row>
    <row r="101" spans="2:8" x14ac:dyDescent="0.25">
      <c r="B101" s="8"/>
      <c r="C101" s="15">
        <f>IFERROR(IF($B101="","",VLOOKUP($B101,'Menü Kartları'!$B$5:$C$154,2,FALSE)),"")</f>
      </c>
      <c r="D101" s="8"/>
      <c r="E101" s="15">
        <f>IFERROR(IF($D101="","",VLOOKUP($D101,'Malzeme Kartları'!$B$5:$C$204,2,FALSE)),"— tanımsız —")</f>
      </c>
      <c r="F101" s="16"/>
      <c r="G101" s="15">
        <f>IFERROR(IF($D101="","",VLOOKUP($D101,'Malzeme Kartları'!$B$5:$D$204,3,FALSE)),"")</f>
      </c>
      <c r="H101" s="17">
        <f>IFERROR(IF(OR($D101="",$F101=""),0,$F101*VLOOKUP($D101,'Malzeme Kartları'!$B$5:$G$204,6,FALSE)),0)</f>
      </c>
    </row>
    <row r="102" spans="2:8" x14ac:dyDescent="0.25">
      <c r="B102" s="12"/>
      <c r="C102" s="15">
        <f>IFERROR(IF($B102="","",VLOOKUP($B102,'Menü Kartları'!$B$5:$C$154,2,FALSE)),"")</f>
      </c>
      <c r="D102" s="12"/>
      <c r="E102" s="15">
        <f>IFERROR(IF($D102="","",VLOOKUP($D102,'Malzeme Kartları'!$B$5:$C$204,2,FALSE)),"— tanımsız —")</f>
      </c>
      <c r="F102" s="18"/>
      <c r="G102" s="15">
        <f>IFERROR(IF($D102="","",VLOOKUP($D102,'Malzeme Kartları'!$B$5:$D$204,3,FALSE)),"")</f>
      </c>
      <c r="H102" s="17">
        <f>IFERROR(IF(OR($D102="",$F102=""),0,$F102*VLOOKUP($D102,'Malzeme Kartları'!$B$5:$G$204,6,FALSE)),0)</f>
      </c>
    </row>
    <row r="103" spans="2:8" x14ac:dyDescent="0.25">
      <c r="B103" s="8"/>
      <c r="C103" s="15">
        <f>IFERROR(IF($B103="","",VLOOKUP($B103,'Menü Kartları'!$B$5:$C$154,2,FALSE)),"")</f>
      </c>
      <c r="D103" s="8"/>
      <c r="E103" s="15">
        <f>IFERROR(IF($D103="","",VLOOKUP($D103,'Malzeme Kartları'!$B$5:$C$204,2,FALSE)),"— tanımsız —")</f>
      </c>
      <c r="F103" s="16"/>
      <c r="G103" s="15">
        <f>IFERROR(IF($D103="","",VLOOKUP($D103,'Malzeme Kartları'!$B$5:$D$204,3,FALSE)),"")</f>
      </c>
      <c r="H103" s="17">
        <f>IFERROR(IF(OR($D103="",$F103=""),0,$F103*VLOOKUP($D103,'Malzeme Kartları'!$B$5:$G$204,6,FALSE)),0)</f>
      </c>
    </row>
    <row r="104" spans="2:8" x14ac:dyDescent="0.25">
      <c r="B104" s="12"/>
      <c r="C104" s="15">
        <f>IFERROR(IF($B104="","",VLOOKUP($B104,'Menü Kartları'!$B$5:$C$154,2,FALSE)),"")</f>
      </c>
      <c r="D104" s="12"/>
      <c r="E104" s="15">
        <f>IFERROR(IF($D104="","",VLOOKUP($D104,'Malzeme Kartları'!$B$5:$C$204,2,FALSE)),"— tanımsız —")</f>
      </c>
      <c r="F104" s="18"/>
      <c r="G104" s="15">
        <f>IFERROR(IF($D104="","",VLOOKUP($D104,'Malzeme Kartları'!$B$5:$D$204,3,FALSE)),"")</f>
      </c>
      <c r="H104" s="17">
        <f>IFERROR(IF(OR($D104="",$F104=""),0,$F104*VLOOKUP($D104,'Malzeme Kartları'!$B$5:$G$204,6,FALSE)),0)</f>
      </c>
    </row>
    <row r="105" spans="2:8" x14ac:dyDescent="0.25">
      <c r="B105" s="8"/>
      <c r="C105" s="15">
        <f>IFERROR(IF($B105="","",VLOOKUP($B105,'Menü Kartları'!$B$5:$C$154,2,FALSE)),"")</f>
      </c>
      <c r="D105" s="8"/>
      <c r="E105" s="15">
        <f>IFERROR(IF($D105="","",VLOOKUP($D105,'Malzeme Kartları'!$B$5:$C$204,2,FALSE)),"— tanımsız —")</f>
      </c>
      <c r="F105" s="16"/>
      <c r="G105" s="15">
        <f>IFERROR(IF($D105="","",VLOOKUP($D105,'Malzeme Kartları'!$B$5:$D$204,3,FALSE)),"")</f>
      </c>
      <c r="H105" s="17">
        <f>IFERROR(IF(OR($D105="",$F105=""),0,$F105*VLOOKUP($D105,'Malzeme Kartları'!$B$5:$G$204,6,FALSE)),0)</f>
      </c>
    </row>
    <row r="106" spans="2:8" x14ac:dyDescent="0.25">
      <c r="B106" s="12"/>
      <c r="C106" s="15">
        <f>IFERROR(IF($B106="","",VLOOKUP($B106,'Menü Kartları'!$B$5:$C$154,2,FALSE)),"")</f>
      </c>
      <c r="D106" s="12"/>
      <c r="E106" s="15">
        <f>IFERROR(IF($D106="","",VLOOKUP($D106,'Malzeme Kartları'!$B$5:$C$204,2,FALSE)),"— tanımsız —")</f>
      </c>
      <c r="F106" s="18"/>
      <c r="G106" s="15">
        <f>IFERROR(IF($D106="","",VLOOKUP($D106,'Malzeme Kartları'!$B$5:$D$204,3,FALSE)),"")</f>
      </c>
      <c r="H106" s="17">
        <f>IFERROR(IF(OR($D106="",$F106=""),0,$F106*VLOOKUP($D106,'Malzeme Kartları'!$B$5:$G$204,6,FALSE)),0)</f>
      </c>
    </row>
    <row r="107" spans="2:8" x14ac:dyDescent="0.25">
      <c r="B107" s="8"/>
      <c r="C107" s="15">
        <f>IFERROR(IF($B107="","",VLOOKUP($B107,'Menü Kartları'!$B$5:$C$154,2,FALSE)),"")</f>
      </c>
      <c r="D107" s="8"/>
      <c r="E107" s="15">
        <f>IFERROR(IF($D107="","",VLOOKUP($D107,'Malzeme Kartları'!$B$5:$C$204,2,FALSE)),"— tanımsız —")</f>
      </c>
      <c r="F107" s="16"/>
      <c r="G107" s="15">
        <f>IFERROR(IF($D107="","",VLOOKUP($D107,'Malzeme Kartları'!$B$5:$D$204,3,FALSE)),"")</f>
      </c>
      <c r="H107" s="17">
        <f>IFERROR(IF(OR($D107="",$F107=""),0,$F107*VLOOKUP($D107,'Malzeme Kartları'!$B$5:$G$204,6,FALSE)),0)</f>
      </c>
    </row>
    <row r="108" spans="2:8" x14ac:dyDescent="0.25">
      <c r="B108" s="12"/>
      <c r="C108" s="15">
        <f>IFERROR(IF($B108="","",VLOOKUP($B108,'Menü Kartları'!$B$5:$C$154,2,FALSE)),"")</f>
      </c>
      <c r="D108" s="12"/>
      <c r="E108" s="15">
        <f>IFERROR(IF($D108="","",VLOOKUP($D108,'Malzeme Kartları'!$B$5:$C$204,2,FALSE)),"— tanımsız —")</f>
      </c>
      <c r="F108" s="18"/>
      <c r="G108" s="15">
        <f>IFERROR(IF($D108="","",VLOOKUP($D108,'Malzeme Kartları'!$B$5:$D$204,3,FALSE)),"")</f>
      </c>
      <c r="H108" s="17">
        <f>IFERROR(IF(OR($D108="",$F108=""),0,$F108*VLOOKUP($D108,'Malzeme Kartları'!$B$5:$G$204,6,FALSE)),0)</f>
      </c>
    </row>
    <row r="109" spans="2:8" x14ac:dyDescent="0.25">
      <c r="B109" s="8"/>
      <c r="C109" s="15">
        <f>IFERROR(IF($B109="","",VLOOKUP($B109,'Menü Kartları'!$B$5:$C$154,2,FALSE)),"")</f>
      </c>
      <c r="D109" s="8"/>
      <c r="E109" s="15">
        <f>IFERROR(IF($D109="","",VLOOKUP($D109,'Malzeme Kartları'!$B$5:$C$204,2,FALSE)),"— tanımsız —")</f>
      </c>
      <c r="F109" s="16"/>
      <c r="G109" s="15">
        <f>IFERROR(IF($D109="","",VLOOKUP($D109,'Malzeme Kartları'!$B$5:$D$204,3,FALSE)),"")</f>
      </c>
      <c r="H109" s="17">
        <f>IFERROR(IF(OR($D109="",$F109=""),0,$F109*VLOOKUP($D109,'Malzeme Kartları'!$B$5:$G$204,6,FALSE)),0)</f>
      </c>
    </row>
    <row r="110" spans="2:8" x14ac:dyDescent="0.25">
      <c r="B110" s="12"/>
      <c r="C110" s="15">
        <f>IFERROR(IF($B110="","",VLOOKUP($B110,'Menü Kartları'!$B$5:$C$154,2,FALSE)),"")</f>
      </c>
      <c r="D110" s="12"/>
      <c r="E110" s="15">
        <f>IFERROR(IF($D110="","",VLOOKUP($D110,'Malzeme Kartları'!$B$5:$C$204,2,FALSE)),"— tanımsız —")</f>
      </c>
      <c r="F110" s="18"/>
      <c r="G110" s="15">
        <f>IFERROR(IF($D110="","",VLOOKUP($D110,'Malzeme Kartları'!$B$5:$D$204,3,FALSE)),"")</f>
      </c>
      <c r="H110" s="17">
        <f>IFERROR(IF(OR($D110="",$F110=""),0,$F110*VLOOKUP($D110,'Malzeme Kartları'!$B$5:$G$204,6,FALSE)),0)</f>
      </c>
    </row>
    <row r="111" spans="2:8" x14ac:dyDescent="0.25">
      <c r="B111" s="8"/>
      <c r="C111" s="15">
        <f>IFERROR(IF($B111="","",VLOOKUP($B111,'Menü Kartları'!$B$5:$C$154,2,FALSE)),"")</f>
      </c>
      <c r="D111" s="8"/>
      <c r="E111" s="15">
        <f>IFERROR(IF($D111="","",VLOOKUP($D111,'Malzeme Kartları'!$B$5:$C$204,2,FALSE)),"— tanımsız —")</f>
      </c>
      <c r="F111" s="16"/>
      <c r="G111" s="15">
        <f>IFERROR(IF($D111="","",VLOOKUP($D111,'Malzeme Kartları'!$B$5:$D$204,3,FALSE)),"")</f>
      </c>
      <c r="H111" s="17">
        <f>IFERROR(IF(OR($D111="",$F111=""),0,$F111*VLOOKUP($D111,'Malzeme Kartları'!$B$5:$G$204,6,FALSE)),0)</f>
      </c>
    </row>
    <row r="112" spans="2:8" x14ac:dyDescent="0.25">
      <c r="B112" s="12"/>
      <c r="C112" s="15">
        <f>IFERROR(IF($B112="","",VLOOKUP($B112,'Menü Kartları'!$B$5:$C$154,2,FALSE)),"")</f>
      </c>
      <c r="D112" s="12"/>
      <c r="E112" s="15">
        <f>IFERROR(IF($D112="","",VLOOKUP($D112,'Malzeme Kartları'!$B$5:$C$204,2,FALSE)),"— tanımsız —")</f>
      </c>
      <c r="F112" s="18"/>
      <c r="G112" s="15">
        <f>IFERROR(IF($D112="","",VLOOKUP($D112,'Malzeme Kartları'!$B$5:$D$204,3,FALSE)),"")</f>
      </c>
      <c r="H112" s="17">
        <f>IFERROR(IF(OR($D112="",$F112=""),0,$F112*VLOOKUP($D112,'Malzeme Kartları'!$B$5:$G$204,6,FALSE)),0)</f>
      </c>
    </row>
    <row r="113" spans="2:8" x14ac:dyDescent="0.25">
      <c r="B113" s="8"/>
      <c r="C113" s="15">
        <f>IFERROR(IF($B113="","",VLOOKUP($B113,'Menü Kartları'!$B$5:$C$154,2,FALSE)),"")</f>
      </c>
      <c r="D113" s="8"/>
      <c r="E113" s="15">
        <f>IFERROR(IF($D113="","",VLOOKUP($D113,'Malzeme Kartları'!$B$5:$C$204,2,FALSE)),"— tanımsız —")</f>
      </c>
      <c r="F113" s="16"/>
      <c r="G113" s="15">
        <f>IFERROR(IF($D113="","",VLOOKUP($D113,'Malzeme Kartları'!$B$5:$D$204,3,FALSE)),"")</f>
      </c>
      <c r="H113" s="17">
        <f>IFERROR(IF(OR($D113="",$F113=""),0,$F113*VLOOKUP($D113,'Malzeme Kartları'!$B$5:$G$204,6,FALSE)),0)</f>
      </c>
    </row>
    <row r="114" spans="2:8" x14ac:dyDescent="0.25">
      <c r="B114" s="12"/>
      <c r="C114" s="15">
        <f>IFERROR(IF($B114="","",VLOOKUP($B114,'Menü Kartları'!$B$5:$C$154,2,FALSE)),"")</f>
      </c>
      <c r="D114" s="12"/>
      <c r="E114" s="15">
        <f>IFERROR(IF($D114="","",VLOOKUP($D114,'Malzeme Kartları'!$B$5:$C$204,2,FALSE)),"— tanımsız —")</f>
      </c>
      <c r="F114" s="18"/>
      <c r="G114" s="15">
        <f>IFERROR(IF($D114="","",VLOOKUP($D114,'Malzeme Kartları'!$B$5:$D$204,3,FALSE)),"")</f>
      </c>
      <c r="H114" s="17">
        <f>IFERROR(IF(OR($D114="",$F114=""),0,$F114*VLOOKUP($D114,'Malzeme Kartları'!$B$5:$G$204,6,FALSE)),0)</f>
      </c>
    </row>
    <row r="115" spans="2:8" x14ac:dyDescent="0.25">
      <c r="B115" s="8"/>
      <c r="C115" s="15">
        <f>IFERROR(IF($B115="","",VLOOKUP($B115,'Menü Kartları'!$B$5:$C$154,2,FALSE)),"")</f>
      </c>
      <c r="D115" s="8"/>
      <c r="E115" s="15">
        <f>IFERROR(IF($D115="","",VLOOKUP($D115,'Malzeme Kartları'!$B$5:$C$204,2,FALSE)),"— tanımsız —")</f>
      </c>
      <c r="F115" s="16"/>
      <c r="G115" s="15">
        <f>IFERROR(IF($D115="","",VLOOKUP($D115,'Malzeme Kartları'!$B$5:$D$204,3,FALSE)),"")</f>
      </c>
      <c r="H115" s="17">
        <f>IFERROR(IF(OR($D115="",$F115=""),0,$F115*VLOOKUP($D115,'Malzeme Kartları'!$B$5:$G$204,6,FALSE)),0)</f>
      </c>
    </row>
    <row r="116" spans="2:8" x14ac:dyDescent="0.25">
      <c r="B116" s="12"/>
      <c r="C116" s="15">
        <f>IFERROR(IF($B116="","",VLOOKUP($B116,'Menü Kartları'!$B$5:$C$154,2,FALSE)),"")</f>
      </c>
      <c r="D116" s="12"/>
      <c r="E116" s="15">
        <f>IFERROR(IF($D116="","",VLOOKUP($D116,'Malzeme Kartları'!$B$5:$C$204,2,FALSE)),"— tanımsız —")</f>
      </c>
      <c r="F116" s="18"/>
      <c r="G116" s="15">
        <f>IFERROR(IF($D116="","",VLOOKUP($D116,'Malzeme Kartları'!$B$5:$D$204,3,FALSE)),"")</f>
      </c>
      <c r="H116" s="17">
        <f>IFERROR(IF(OR($D116="",$F116=""),0,$F116*VLOOKUP($D116,'Malzeme Kartları'!$B$5:$G$204,6,FALSE)),0)</f>
      </c>
    </row>
    <row r="117" spans="2:8" x14ac:dyDescent="0.25">
      <c r="B117" s="8"/>
      <c r="C117" s="15">
        <f>IFERROR(IF($B117="","",VLOOKUP($B117,'Menü Kartları'!$B$5:$C$154,2,FALSE)),"")</f>
      </c>
      <c r="D117" s="8"/>
      <c r="E117" s="15">
        <f>IFERROR(IF($D117="","",VLOOKUP($D117,'Malzeme Kartları'!$B$5:$C$204,2,FALSE)),"— tanımsız —")</f>
      </c>
      <c r="F117" s="16"/>
      <c r="G117" s="15">
        <f>IFERROR(IF($D117="","",VLOOKUP($D117,'Malzeme Kartları'!$B$5:$D$204,3,FALSE)),"")</f>
      </c>
      <c r="H117" s="17">
        <f>IFERROR(IF(OR($D117="",$F117=""),0,$F117*VLOOKUP($D117,'Malzeme Kartları'!$B$5:$G$204,6,FALSE)),0)</f>
      </c>
    </row>
    <row r="118" spans="2:8" x14ac:dyDescent="0.25">
      <c r="B118" s="12"/>
      <c r="C118" s="15">
        <f>IFERROR(IF($B118="","",VLOOKUP($B118,'Menü Kartları'!$B$5:$C$154,2,FALSE)),"")</f>
      </c>
      <c r="D118" s="12"/>
      <c r="E118" s="15">
        <f>IFERROR(IF($D118="","",VLOOKUP($D118,'Malzeme Kartları'!$B$5:$C$204,2,FALSE)),"— tanımsız —")</f>
      </c>
      <c r="F118" s="18"/>
      <c r="G118" s="15">
        <f>IFERROR(IF($D118="","",VLOOKUP($D118,'Malzeme Kartları'!$B$5:$D$204,3,FALSE)),"")</f>
      </c>
      <c r="H118" s="17">
        <f>IFERROR(IF(OR($D118="",$F118=""),0,$F118*VLOOKUP($D118,'Malzeme Kartları'!$B$5:$G$204,6,FALSE)),0)</f>
      </c>
    </row>
    <row r="119" spans="2:8" x14ac:dyDescent="0.25">
      <c r="B119" s="8"/>
      <c r="C119" s="15">
        <f>IFERROR(IF($B119="","",VLOOKUP($B119,'Menü Kartları'!$B$5:$C$154,2,FALSE)),"")</f>
      </c>
      <c r="D119" s="8"/>
      <c r="E119" s="15">
        <f>IFERROR(IF($D119="","",VLOOKUP($D119,'Malzeme Kartları'!$B$5:$C$204,2,FALSE)),"— tanımsız —")</f>
      </c>
      <c r="F119" s="16"/>
      <c r="G119" s="15">
        <f>IFERROR(IF($D119="","",VLOOKUP($D119,'Malzeme Kartları'!$B$5:$D$204,3,FALSE)),"")</f>
      </c>
      <c r="H119" s="17">
        <f>IFERROR(IF(OR($D119="",$F119=""),0,$F119*VLOOKUP($D119,'Malzeme Kartları'!$B$5:$G$204,6,FALSE)),0)</f>
      </c>
    </row>
    <row r="120" spans="2:8" x14ac:dyDescent="0.25">
      <c r="B120" s="12"/>
      <c r="C120" s="15">
        <f>IFERROR(IF($B120="","",VLOOKUP($B120,'Menü Kartları'!$B$5:$C$154,2,FALSE)),"")</f>
      </c>
      <c r="D120" s="12"/>
      <c r="E120" s="15">
        <f>IFERROR(IF($D120="","",VLOOKUP($D120,'Malzeme Kartları'!$B$5:$C$204,2,FALSE)),"— tanımsız —")</f>
      </c>
      <c r="F120" s="18"/>
      <c r="G120" s="15">
        <f>IFERROR(IF($D120="","",VLOOKUP($D120,'Malzeme Kartları'!$B$5:$D$204,3,FALSE)),"")</f>
      </c>
      <c r="H120" s="17">
        <f>IFERROR(IF(OR($D120="",$F120=""),0,$F120*VLOOKUP($D120,'Malzeme Kartları'!$B$5:$G$204,6,FALSE)),0)</f>
      </c>
    </row>
    <row r="121" spans="2:8" x14ac:dyDescent="0.25">
      <c r="B121" s="8"/>
      <c r="C121" s="15">
        <f>IFERROR(IF($B121="","",VLOOKUP($B121,'Menü Kartları'!$B$5:$C$154,2,FALSE)),"")</f>
      </c>
      <c r="D121" s="8"/>
      <c r="E121" s="15">
        <f>IFERROR(IF($D121="","",VLOOKUP($D121,'Malzeme Kartları'!$B$5:$C$204,2,FALSE)),"— tanımsız —")</f>
      </c>
      <c r="F121" s="16"/>
      <c r="G121" s="15">
        <f>IFERROR(IF($D121="","",VLOOKUP($D121,'Malzeme Kartları'!$B$5:$D$204,3,FALSE)),"")</f>
      </c>
      <c r="H121" s="17">
        <f>IFERROR(IF(OR($D121="",$F121=""),0,$F121*VLOOKUP($D121,'Malzeme Kartları'!$B$5:$G$204,6,FALSE)),0)</f>
      </c>
    </row>
    <row r="122" spans="2:8" x14ac:dyDescent="0.25">
      <c r="B122" s="12"/>
      <c r="C122" s="15">
        <f>IFERROR(IF($B122="","",VLOOKUP($B122,'Menü Kartları'!$B$5:$C$154,2,FALSE)),"")</f>
      </c>
      <c r="D122" s="12"/>
      <c r="E122" s="15">
        <f>IFERROR(IF($D122="","",VLOOKUP($D122,'Malzeme Kartları'!$B$5:$C$204,2,FALSE)),"— tanımsız —")</f>
      </c>
      <c r="F122" s="18"/>
      <c r="G122" s="15">
        <f>IFERROR(IF($D122="","",VLOOKUP($D122,'Malzeme Kartları'!$B$5:$D$204,3,FALSE)),"")</f>
      </c>
      <c r="H122" s="17">
        <f>IFERROR(IF(OR($D122="",$F122=""),0,$F122*VLOOKUP($D122,'Malzeme Kartları'!$B$5:$G$204,6,FALSE)),0)</f>
      </c>
    </row>
    <row r="123" spans="2:8" x14ac:dyDescent="0.25">
      <c r="B123" s="8"/>
      <c r="C123" s="15">
        <f>IFERROR(IF($B123="","",VLOOKUP($B123,'Menü Kartları'!$B$5:$C$154,2,FALSE)),"")</f>
      </c>
      <c r="D123" s="8"/>
      <c r="E123" s="15">
        <f>IFERROR(IF($D123="","",VLOOKUP($D123,'Malzeme Kartları'!$B$5:$C$204,2,FALSE)),"— tanımsız —")</f>
      </c>
      <c r="F123" s="16"/>
      <c r="G123" s="15">
        <f>IFERROR(IF($D123="","",VLOOKUP($D123,'Malzeme Kartları'!$B$5:$D$204,3,FALSE)),"")</f>
      </c>
      <c r="H123" s="17">
        <f>IFERROR(IF(OR($D123="",$F123=""),0,$F123*VLOOKUP($D123,'Malzeme Kartları'!$B$5:$G$204,6,FALSE)),0)</f>
      </c>
    </row>
    <row r="124" spans="2:8" x14ac:dyDescent="0.25">
      <c r="B124" s="12"/>
      <c r="C124" s="15">
        <f>IFERROR(IF($B124="","",VLOOKUP($B124,'Menü Kartları'!$B$5:$C$154,2,FALSE)),"")</f>
      </c>
      <c r="D124" s="12"/>
      <c r="E124" s="15">
        <f>IFERROR(IF($D124="","",VLOOKUP($D124,'Malzeme Kartları'!$B$5:$C$204,2,FALSE)),"— tanımsız —")</f>
      </c>
      <c r="F124" s="18"/>
      <c r="G124" s="15">
        <f>IFERROR(IF($D124="","",VLOOKUP($D124,'Malzeme Kartları'!$B$5:$D$204,3,FALSE)),"")</f>
      </c>
      <c r="H124" s="17">
        <f>IFERROR(IF(OR($D124="",$F124=""),0,$F124*VLOOKUP($D124,'Malzeme Kartları'!$B$5:$G$204,6,FALSE)),0)</f>
      </c>
    </row>
    <row r="125" spans="2:8" x14ac:dyDescent="0.25">
      <c r="B125" s="8"/>
      <c r="C125" s="15">
        <f>IFERROR(IF($B125="","",VLOOKUP($B125,'Menü Kartları'!$B$5:$C$154,2,FALSE)),"")</f>
      </c>
      <c r="D125" s="8"/>
      <c r="E125" s="15">
        <f>IFERROR(IF($D125="","",VLOOKUP($D125,'Malzeme Kartları'!$B$5:$C$204,2,FALSE)),"— tanımsız —")</f>
      </c>
      <c r="F125" s="16"/>
      <c r="G125" s="15">
        <f>IFERROR(IF($D125="","",VLOOKUP($D125,'Malzeme Kartları'!$B$5:$D$204,3,FALSE)),"")</f>
      </c>
      <c r="H125" s="17">
        <f>IFERROR(IF(OR($D125="",$F125=""),0,$F125*VLOOKUP($D125,'Malzeme Kartları'!$B$5:$G$204,6,FALSE)),0)</f>
      </c>
    </row>
    <row r="126" spans="2:8" x14ac:dyDescent="0.25">
      <c r="B126" s="12"/>
      <c r="C126" s="15">
        <f>IFERROR(IF($B126="","",VLOOKUP($B126,'Menü Kartları'!$B$5:$C$154,2,FALSE)),"")</f>
      </c>
      <c r="D126" s="12"/>
      <c r="E126" s="15">
        <f>IFERROR(IF($D126="","",VLOOKUP($D126,'Malzeme Kartları'!$B$5:$C$204,2,FALSE)),"— tanımsız —")</f>
      </c>
      <c r="F126" s="18"/>
      <c r="G126" s="15">
        <f>IFERROR(IF($D126="","",VLOOKUP($D126,'Malzeme Kartları'!$B$5:$D$204,3,FALSE)),"")</f>
      </c>
      <c r="H126" s="17">
        <f>IFERROR(IF(OR($D126="",$F126=""),0,$F126*VLOOKUP($D126,'Malzeme Kartları'!$B$5:$G$204,6,FALSE)),0)</f>
      </c>
    </row>
    <row r="127" spans="2:8" x14ac:dyDescent="0.25">
      <c r="B127" s="8"/>
      <c r="C127" s="15">
        <f>IFERROR(IF($B127="","",VLOOKUP($B127,'Menü Kartları'!$B$5:$C$154,2,FALSE)),"")</f>
      </c>
      <c r="D127" s="8"/>
      <c r="E127" s="15">
        <f>IFERROR(IF($D127="","",VLOOKUP($D127,'Malzeme Kartları'!$B$5:$C$204,2,FALSE)),"— tanımsız —")</f>
      </c>
      <c r="F127" s="16"/>
      <c r="G127" s="15">
        <f>IFERROR(IF($D127="","",VLOOKUP($D127,'Malzeme Kartları'!$B$5:$D$204,3,FALSE)),"")</f>
      </c>
      <c r="H127" s="17">
        <f>IFERROR(IF(OR($D127="",$F127=""),0,$F127*VLOOKUP($D127,'Malzeme Kartları'!$B$5:$G$204,6,FALSE)),0)</f>
      </c>
    </row>
    <row r="128" spans="2:8" x14ac:dyDescent="0.25">
      <c r="B128" s="12"/>
      <c r="C128" s="15">
        <f>IFERROR(IF($B128="","",VLOOKUP($B128,'Menü Kartları'!$B$5:$C$154,2,FALSE)),"")</f>
      </c>
      <c r="D128" s="12"/>
      <c r="E128" s="15">
        <f>IFERROR(IF($D128="","",VLOOKUP($D128,'Malzeme Kartları'!$B$5:$C$204,2,FALSE)),"— tanımsız —")</f>
      </c>
      <c r="F128" s="18"/>
      <c r="G128" s="15">
        <f>IFERROR(IF($D128="","",VLOOKUP($D128,'Malzeme Kartları'!$B$5:$D$204,3,FALSE)),"")</f>
      </c>
      <c r="H128" s="17">
        <f>IFERROR(IF(OR($D128="",$F128=""),0,$F128*VLOOKUP($D128,'Malzeme Kartları'!$B$5:$G$204,6,FALSE)),0)</f>
      </c>
    </row>
    <row r="129" spans="2:8" x14ac:dyDescent="0.25">
      <c r="B129" s="8"/>
      <c r="C129" s="15">
        <f>IFERROR(IF($B129="","",VLOOKUP($B129,'Menü Kartları'!$B$5:$C$154,2,FALSE)),"")</f>
      </c>
      <c r="D129" s="8"/>
      <c r="E129" s="15">
        <f>IFERROR(IF($D129="","",VLOOKUP($D129,'Malzeme Kartları'!$B$5:$C$204,2,FALSE)),"— tanımsız —")</f>
      </c>
      <c r="F129" s="16"/>
      <c r="G129" s="15">
        <f>IFERROR(IF($D129="","",VLOOKUP($D129,'Malzeme Kartları'!$B$5:$D$204,3,FALSE)),"")</f>
      </c>
      <c r="H129" s="17">
        <f>IFERROR(IF(OR($D129="",$F129=""),0,$F129*VLOOKUP($D129,'Malzeme Kartları'!$B$5:$G$204,6,FALSE)),0)</f>
      </c>
    </row>
    <row r="130" spans="2:8" x14ac:dyDescent="0.25">
      <c r="B130" s="12"/>
      <c r="C130" s="15">
        <f>IFERROR(IF($B130="","",VLOOKUP($B130,'Menü Kartları'!$B$5:$C$154,2,FALSE)),"")</f>
      </c>
      <c r="D130" s="12"/>
      <c r="E130" s="15">
        <f>IFERROR(IF($D130="","",VLOOKUP($D130,'Malzeme Kartları'!$B$5:$C$204,2,FALSE)),"— tanımsız —")</f>
      </c>
      <c r="F130" s="18"/>
      <c r="G130" s="15">
        <f>IFERROR(IF($D130="","",VLOOKUP($D130,'Malzeme Kartları'!$B$5:$D$204,3,FALSE)),"")</f>
      </c>
      <c r="H130" s="17">
        <f>IFERROR(IF(OR($D130="",$F130=""),0,$F130*VLOOKUP($D130,'Malzeme Kartları'!$B$5:$G$204,6,FALSE)),0)</f>
      </c>
    </row>
    <row r="131" spans="2:8" x14ac:dyDescent="0.25">
      <c r="B131" s="8"/>
      <c r="C131" s="15">
        <f>IFERROR(IF($B131="","",VLOOKUP($B131,'Menü Kartları'!$B$5:$C$154,2,FALSE)),"")</f>
      </c>
      <c r="D131" s="8"/>
      <c r="E131" s="15">
        <f>IFERROR(IF($D131="","",VLOOKUP($D131,'Malzeme Kartları'!$B$5:$C$204,2,FALSE)),"— tanımsız —")</f>
      </c>
      <c r="F131" s="16"/>
      <c r="G131" s="15">
        <f>IFERROR(IF($D131="","",VLOOKUP($D131,'Malzeme Kartları'!$B$5:$D$204,3,FALSE)),"")</f>
      </c>
      <c r="H131" s="17">
        <f>IFERROR(IF(OR($D131="",$F131=""),0,$F131*VLOOKUP($D131,'Malzeme Kartları'!$B$5:$G$204,6,FALSE)),0)</f>
      </c>
    </row>
    <row r="132" spans="2:8" x14ac:dyDescent="0.25">
      <c r="B132" s="12"/>
      <c r="C132" s="15">
        <f>IFERROR(IF($B132="","",VLOOKUP($B132,'Menü Kartları'!$B$5:$C$154,2,FALSE)),"")</f>
      </c>
      <c r="D132" s="12"/>
      <c r="E132" s="15">
        <f>IFERROR(IF($D132="","",VLOOKUP($D132,'Malzeme Kartları'!$B$5:$C$204,2,FALSE)),"— tanımsız —")</f>
      </c>
      <c r="F132" s="18"/>
      <c r="G132" s="15">
        <f>IFERROR(IF($D132="","",VLOOKUP($D132,'Malzeme Kartları'!$B$5:$D$204,3,FALSE)),"")</f>
      </c>
      <c r="H132" s="17">
        <f>IFERROR(IF(OR($D132="",$F132=""),0,$F132*VLOOKUP($D132,'Malzeme Kartları'!$B$5:$G$204,6,FALSE)),0)</f>
      </c>
    </row>
    <row r="133" spans="2:8" x14ac:dyDescent="0.25">
      <c r="B133" s="8"/>
      <c r="C133" s="15">
        <f>IFERROR(IF($B133="","",VLOOKUP($B133,'Menü Kartları'!$B$5:$C$154,2,FALSE)),"")</f>
      </c>
      <c r="D133" s="8"/>
      <c r="E133" s="15">
        <f>IFERROR(IF($D133="","",VLOOKUP($D133,'Malzeme Kartları'!$B$5:$C$204,2,FALSE)),"— tanımsız —")</f>
      </c>
      <c r="F133" s="16"/>
      <c r="G133" s="15">
        <f>IFERROR(IF($D133="","",VLOOKUP($D133,'Malzeme Kartları'!$B$5:$D$204,3,FALSE)),"")</f>
      </c>
      <c r="H133" s="17">
        <f>IFERROR(IF(OR($D133="",$F133=""),0,$F133*VLOOKUP($D133,'Malzeme Kartları'!$B$5:$G$204,6,FALSE)),0)</f>
      </c>
    </row>
    <row r="134" spans="2:8" x14ac:dyDescent="0.25">
      <c r="B134" s="12"/>
      <c r="C134" s="15">
        <f>IFERROR(IF($B134="","",VLOOKUP($B134,'Menü Kartları'!$B$5:$C$154,2,FALSE)),"")</f>
      </c>
      <c r="D134" s="12"/>
      <c r="E134" s="15">
        <f>IFERROR(IF($D134="","",VLOOKUP($D134,'Malzeme Kartları'!$B$5:$C$204,2,FALSE)),"— tanımsız —")</f>
      </c>
      <c r="F134" s="18"/>
      <c r="G134" s="15">
        <f>IFERROR(IF($D134="","",VLOOKUP($D134,'Malzeme Kartları'!$B$5:$D$204,3,FALSE)),"")</f>
      </c>
      <c r="H134" s="17">
        <f>IFERROR(IF(OR($D134="",$F134=""),0,$F134*VLOOKUP($D134,'Malzeme Kartları'!$B$5:$G$204,6,FALSE)),0)</f>
      </c>
    </row>
    <row r="135" spans="2:8" x14ac:dyDescent="0.25">
      <c r="B135" s="8"/>
      <c r="C135" s="15">
        <f>IFERROR(IF($B135="","",VLOOKUP($B135,'Menü Kartları'!$B$5:$C$154,2,FALSE)),"")</f>
      </c>
      <c r="D135" s="8"/>
      <c r="E135" s="15">
        <f>IFERROR(IF($D135="","",VLOOKUP($D135,'Malzeme Kartları'!$B$5:$C$204,2,FALSE)),"— tanımsız —")</f>
      </c>
      <c r="F135" s="16"/>
      <c r="G135" s="15">
        <f>IFERROR(IF($D135="","",VLOOKUP($D135,'Malzeme Kartları'!$B$5:$D$204,3,FALSE)),"")</f>
      </c>
      <c r="H135" s="17">
        <f>IFERROR(IF(OR($D135="",$F135=""),0,$F135*VLOOKUP($D135,'Malzeme Kartları'!$B$5:$G$204,6,FALSE)),0)</f>
      </c>
    </row>
    <row r="136" spans="2:8" x14ac:dyDescent="0.25">
      <c r="B136" s="12"/>
      <c r="C136" s="15">
        <f>IFERROR(IF($B136="","",VLOOKUP($B136,'Menü Kartları'!$B$5:$C$154,2,FALSE)),"")</f>
      </c>
      <c r="D136" s="12"/>
      <c r="E136" s="15">
        <f>IFERROR(IF($D136="","",VLOOKUP($D136,'Malzeme Kartları'!$B$5:$C$204,2,FALSE)),"— tanımsız —")</f>
      </c>
      <c r="F136" s="18"/>
      <c r="G136" s="15">
        <f>IFERROR(IF($D136="","",VLOOKUP($D136,'Malzeme Kartları'!$B$5:$D$204,3,FALSE)),"")</f>
      </c>
      <c r="H136" s="17">
        <f>IFERROR(IF(OR($D136="",$F136=""),0,$F136*VLOOKUP($D136,'Malzeme Kartları'!$B$5:$G$204,6,FALSE)),0)</f>
      </c>
    </row>
    <row r="137" spans="2:8" x14ac:dyDescent="0.25">
      <c r="B137" s="8"/>
      <c r="C137" s="15">
        <f>IFERROR(IF($B137="","",VLOOKUP($B137,'Menü Kartları'!$B$5:$C$154,2,FALSE)),"")</f>
      </c>
      <c r="D137" s="8"/>
      <c r="E137" s="15">
        <f>IFERROR(IF($D137="","",VLOOKUP($D137,'Malzeme Kartları'!$B$5:$C$204,2,FALSE)),"— tanımsız —")</f>
      </c>
      <c r="F137" s="16"/>
      <c r="G137" s="15">
        <f>IFERROR(IF($D137="","",VLOOKUP($D137,'Malzeme Kartları'!$B$5:$D$204,3,FALSE)),"")</f>
      </c>
      <c r="H137" s="17">
        <f>IFERROR(IF(OR($D137="",$F137=""),0,$F137*VLOOKUP($D137,'Malzeme Kartları'!$B$5:$G$204,6,FALSE)),0)</f>
      </c>
    </row>
    <row r="138" spans="2:8" x14ac:dyDescent="0.25">
      <c r="B138" s="12"/>
      <c r="C138" s="15">
        <f>IFERROR(IF($B138="","",VLOOKUP($B138,'Menü Kartları'!$B$5:$C$154,2,FALSE)),"")</f>
      </c>
      <c r="D138" s="12"/>
      <c r="E138" s="15">
        <f>IFERROR(IF($D138="","",VLOOKUP($D138,'Malzeme Kartları'!$B$5:$C$204,2,FALSE)),"— tanımsız —")</f>
      </c>
      <c r="F138" s="18"/>
      <c r="G138" s="15">
        <f>IFERROR(IF($D138="","",VLOOKUP($D138,'Malzeme Kartları'!$B$5:$D$204,3,FALSE)),"")</f>
      </c>
      <c r="H138" s="17">
        <f>IFERROR(IF(OR($D138="",$F138=""),0,$F138*VLOOKUP($D138,'Malzeme Kartları'!$B$5:$G$204,6,FALSE)),0)</f>
      </c>
    </row>
    <row r="139" spans="2:8" x14ac:dyDescent="0.25">
      <c r="B139" s="8"/>
      <c r="C139" s="15">
        <f>IFERROR(IF($B139="","",VLOOKUP($B139,'Menü Kartları'!$B$5:$C$154,2,FALSE)),"")</f>
      </c>
      <c r="D139" s="8"/>
      <c r="E139" s="15">
        <f>IFERROR(IF($D139="","",VLOOKUP($D139,'Malzeme Kartları'!$B$5:$C$204,2,FALSE)),"— tanımsız —")</f>
      </c>
      <c r="F139" s="16"/>
      <c r="G139" s="15">
        <f>IFERROR(IF($D139="","",VLOOKUP($D139,'Malzeme Kartları'!$B$5:$D$204,3,FALSE)),"")</f>
      </c>
      <c r="H139" s="17">
        <f>IFERROR(IF(OR($D139="",$F139=""),0,$F139*VLOOKUP($D139,'Malzeme Kartları'!$B$5:$G$204,6,FALSE)),0)</f>
      </c>
    </row>
    <row r="140" spans="2:8" x14ac:dyDescent="0.25">
      <c r="B140" s="12"/>
      <c r="C140" s="15">
        <f>IFERROR(IF($B140="","",VLOOKUP($B140,'Menü Kartları'!$B$5:$C$154,2,FALSE)),"")</f>
      </c>
      <c r="D140" s="12"/>
      <c r="E140" s="15">
        <f>IFERROR(IF($D140="","",VLOOKUP($D140,'Malzeme Kartları'!$B$5:$C$204,2,FALSE)),"— tanımsız —")</f>
      </c>
      <c r="F140" s="18"/>
      <c r="G140" s="15">
        <f>IFERROR(IF($D140="","",VLOOKUP($D140,'Malzeme Kartları'!$B$5:$D$204,3,FALSE)),"")</f>
      </c>
      <c r="H140" s="17">
        <f>IFERROR(IF(OR($D140="",$F140=""),0,$F140*VLOOKUP($D140,'Malzeme Kartları'!$B$5:$G$204,6,FALSE)),0)</f>
      </c>
    </row>
    <row r="141" spans="2:8" x14ac:dyDescent="0.25">
      <c r="B141" s="8"/>
      <c r="C141" s="15">
        <f>IFERROR(IF($B141="","",VLOOKUP($B141,'Menü Kartları'!$B$5:$C$154,2,FALSE)),"")</f>
      </c>
      <c r="D141" s="8"/>
      <c r="E141" s="15">
        <f>IFERROR(IF($D141="","",VLOOKUP($D141,'Malzeme Kartları'!$B$5:$C$204,2,FALSE)),"— tanımsız —")</f>
      </c>
      <c r="F141" s="16"/>
      <c r="G141" s="15">
        <f>IFERROR(IF($D141="","",VLOOKUP($D141,'Malzeme Kartları'!$B$5:$D$204,3,FALSE)),"")</f>
      </c>
      <c r="H141" s="17">
        <f>IFERROR(IF(OR($D141="",$F141=""),0,$F141*VLOOKUP($D141,'Malzeme Kartları'!$B$5:$G$204,6,FALSE)),0)</f>
      </c>
    </row>
    <row r="142" spans="2:8" x14ac:dyDescent="0.25">
      <c r="B142" s="12"/>
      <c r="C142" s="15">
        <f>IFERROR(IF($B142="","",VLOOKUP($B142,'Menü Kartları'!$B$5:$C$154,2,FALSE)),"")</f>
      </c>
      <c r="D142" s="12"/>
      <c r="E142" s="15">
        <f>IFERROR(IF($D142="","",VLOOKUP($D142,'Malzeme Kartları'!$B$5:$C$204,2,FALSE)),"— tanımsız —")</f>
      </c>
      <c r="F142" s="18"/>
      <c r="G142" s="15">
        <f>IFERROR(IF($D142="","",VLOOKUP($D142,'Malzeme Kartları'!$B$5:$D$204,3,FALSE)),"")</f>
      </c>
      <c r="H142" s="17">
        <f>IFERROR(IF(OR($D142="",$F142=""),0,$F142*VLOOKUP($D142,'Malzeme Kartları'!$B$5:$G$204,6,FALSE)),0)</f>
      </c>
    </row>
    <row r="143" spans="2:8" x14ac:dyDescent="0.25">
      <c r="B143" s="8"/>
      <c r="C143" s="15">
        <f>IFERROR(IF($B143="","",VLOOKUP($B143,'Menü Kartları'!$B$5:$C$154,2,FALSE)),"")</f>
      </c>
      <c r="D143" s="8"/>
      <c r="E143" s="15">
        <f>IFERROR(IF($D143="","",VLOOKUP($D143,'Malzeme Kartları'!$B$5:$C$204,2,FALSE)),"— tanımsız —")</f>
      </c>
      <c r="F143" s="16"/>
      <c r="G143" s="15">
        <f>IFERROR(IF($D143="","",VLOOKUP($D143,'Malzeme Kartları'!$B$5:$D$204,3,FALSE)),"")</f>
      </c>
      <c r="H143" s="17">
        <f>IFERROR(IF(OR($D143="",$F143=""),0,$F143*VLOOKUP($D143,'Malzeme Kartları'!$B$5:$G$204,6,FALSE)),0)</f>
      </c>
    </row>
    <row r="144" spans="2:8" x14ac:dyDescent="0.25">
      <c r="B144" s="12"/>
      <c r="C144" s="15">
        <f>IFERROR(IF($B144="","",VLOOKUP($B144,'Menü Kartları'!$B$5:$C$154,2,FALSE)),"")</f>
      </c>
      <c r="D144" s="12"/>
      <c r="E144" s="15">
        <f>IFERROR(IF($D144="","",VLOOKUP($D144,'Malzeme Kartları'!$B$5:$C$204,2,FALSE)),"— tanımsız —")</f>
      </c>
      <c r="F144" s="18"/>
      <c r="G144" s="15">
        <f>IFERROR(IF($D144="","",VLOOKUP($D144,'Malzeme Kartları'!$B$5:$D$204,3,FALSE)),"")</f>
      </c>
      <c r="H144" s="17">
        <f>IFERROR(IF(OR($D144="",$F144=""),0,$F144*VLOOKUP($D144,'Malzeme Kartları'!$B$5:$G$204,6,FALSE)),0)</f>
      </c>
    </row>
    <row r="145" spans="2:8" x14ac:dyDescent="0.25">
      <c r="B145" s="8"/>
      <c r="C145" s="15">
        <f>IFERROR(IF($B145="","",VLOOKUP($B145,'Menü Kartları'!$B$5:$C$154,2,FALSE)),"")</f>
      </c>
      <c r="D145" s="8"/>
      <c r="E145" s="15">
        <f>IFERROR(IF($D145="","",VLOOKUP($D145,'Malzeme Kartları'!$B$5:$C$204,2,FALSE)),"— tanımsız —")</f>
      </c>
      <c r="F145" s="16"/>
      <c r="G145" s="15">
        <f>IFERROR(IF($D145="","",VLOOKUP($D145,'Malzeme Kartları'!$B$5:$D$204,3,FALSE)),"")</f>
      </c>
      <c r="H145" s="17">
        <f>IFERROR(IF(OR($D145="",$F145=""),0,$F145*VLOOKUP($D145,'Malzeme Kartları'!$B$5:$G$204,6,FALSE)),0)</f>
      </c>
    </row>
    <row r="146" spans="2:8" x14ac:dyDescent="0.25">
      <c r="B146" s="12"/>
      <c r="C146" s="15">
        <f>IFERROR(IF($B146="","",VLOOKUP($B146,'Menü Kartları'!$B$5:$C$154,2,FALSE)),"")</f>
      </c>
      <c r="D146" s="12"/>
      <c r="E146" s="15">
        <f>IFERROR(IF($D146="","",VLOOKUP($D146,'Malzeme Kartları'!$B$5:$C$204,2,FALSE)),"— tanımsız —")</f>
      </c>
      <c r="F146" s="18"/>
      <c r="G146" s="15">
        <f>IFERROR(IF($D146="","",VLOOKUP($D146,'Malzeme Kartları'!$B$5:$D$204,3,FALSE)),"")</f>
      </c>
      <c r="H146" s="17">
        <f>IFERROR(IF(OR($D146="",$F146=""),0,$F146*VLOOKUP($D146,'Malzeme Kartları'!$B$5:$G$204,6,FALSE)),0)</f>
      </c>
    </row>
    <row r="147" spans="2:8" x14ac:dyDescent="0.25">
      <c r="B147" s="8"/>
      <c r="C147" s="15">
        <f>IFERROR(IF($B147="","",VLOOKUP($B147,'Menü Kartları'!$B$5:$C$154,2,FALSE)),"")</f>
      </c>
      <c r="D147" s="8"/>
      <c r="E147" s="15">
        <f>IFERROR(IF($D147="","",VLOOKUP($D147,'Malzeme Kartları'!$B$5:$C$204,2,FALSE)),"— tanımsız —")</f>
      </c>
      <c r="F147" s="16"/>
      <c r="G147" s="15">
        <f>IFERROR(IF($D147="","",VLOOKUP($D147,'Malzeme Kartları'!$B$5:$D$204,3,FALSE)),"")</f>
      </c>
      <c r="H147" s="17">
        <f>IFERROR(IF(OR($D147="",$F147=""),0,$F147*VLOOKUP($D147,'Malzeme Kartları'!$B$5:$G$204,6,FALSE)),0)</f>
      </c>
    </row>
    <row r="148" spans="2:8" x14ac:dyDescent="0.25">
      <c r="B148" s="12"/>
      <c r="C148" s="15">
        <f>IFERROR(IF($B148="","",VLOOKUP($B148,'Menü Kartları'!$B$5:$C$154,2,FALSE)),"")</f>
      </c>
      <c r="D148" s="12"/>
      <c r="E148" s="15">
        <f>IFERROR(IF($D148="","",VLOOKUP($D148,'Malzeme Kartları'!$B$5:$C$204,2,FALSE)),"— tanımsız —")</f>
      </c>
      <c r="F148" s="18"/>
      <c r="G148" s="15">
        <f>IFERROR(IF($D148="","",VLOOKUP($D148,'Malzeme Kartları'!$B$5:$D$204,3,FALSE)),"")</f>
      </c>
      <c r="H148" s="17">
        <f>IFERROR(IF(OR($D148="",$F148=""),0,$F148*VLOOKUP($D148,'Malzeme Kartları'!$B$5:$G$204,6,FALSE)),0)</f>
      </c>
    </row>
    <row r="149" spans="2:8" x14ac:dyDescent="0.25">
      <c r="B149" s="8"/>
      <c r="C149" s="15">
        <f>IFERROR(IF($B149="","",VLOOKUP($B149,'Menü Kartları'!$B$5:$C$154,2,FALSE)),"")</f>
      </c>
      <c r="D149" s="8"/>
      <c r="E149" s="15">
        <f>IFERROR(IF($D149="","",VLOOKUP($D149,'Malzeme Kartları'!$B$5:$C$204,2,FALSE)),"— tanımsız —")</f>
      </c>
      <c r="F149" s="16"/>
      <c r="G149" s="15">
        <f>IFERROR(IF($D149="","",VLOOKUP($D149,'Malzeme Kartları'!$B$5:$D$204,3,FALSE)),"")</f>
      </c>
      <c r="H149" s="17">
        <f>IFERROR(IF(OR($D149="",$F149=""),0,$F149*VLOOKUP($D149,'Malzeme Kartları'!$B$5:$G$204,6,FALSE)),0)</f>
      </c>
    </row>
    <row r="150" spans="2:8" x14ac:dyDescent="0.25">
      <c r="B150" s="12"/>
      <c r="C150" s="15">
        <f>IFERROR(IF($B150="","",VLOOKUP($B150,'Menü Kartları'!$B$5:$C$154,2,FALSE)),"")</f>
      </c>
      <c r="D150" s="12"/>
      <c r="E150" s="15">
        <f>IFERROR(IF($D150="","",VLOOKUP($D150,'Malzeme Kartları'!$B$5:$C$204,2,FALSE)),"— tanımsız —")</f>
      </c>
      <c r="F150" s="18"/>
      <c r="G150" s="15">
        <f>IFERROR(IF($D150="","",VLOOKUP($D150,'Malzeme Kartları'!$B$5:$D$204,3,FALSE)),"")</f>
      </c>
      <c r="H150" s="17">
        <f>IFERROR(IF(OR($D150="",$F150=""),0,$F150*VLOOKUP($D150,'Malzeme Kartları'!$B$5:$G$204,6,FALSE)),0)</f>
      </c>
    </row>
    <row r="151" spans="2:8" x14ac:dyDescent="0.25">
      <c r="B151" s="8"/>
      <c r="C151" s="15">
        <f>IFERROR(IF($B151="","",VLOOKUP($B151,'Menü Kartları'!$B$5:$C$154,2,FALSE)),"")</f>
      </c>
      <c r="D151" s="8"/>
      <c r="E151" s="15">
        <f>IFERROR(IF($D151="","",VLOOKUP($D151,'Malzeme Kartları'!$B$5:$C$204,2,FALSE)),"— tanımsız —")</f>
      </c>
      <c r="F151" s="16"/>
      <c r="G151" s="15">
        <f>IFERROR(IF($D151="","",VLOOKUP($D151,'Malzeme Kartları'!$B$5:$D$204,3,FALSE)),"")</f>
      </c>
      <c r="H151" s="17">
        <f>IFERROR(IF(OR($D151="",$F151=""),0,$F151*VLOOKUP($D151,'Malzeme Kartları'!$B$5:$G$204,6,FALSE)),0)</f>
      </c>
    </row>
    <row r="152" spans="2:8" x14ac:dyDescent="0.25">
      <c r="B152" s="12"/>
      <c r="C152" s="15">
        <f>IFERROR(IF($B152="","",VLOOKUP($B152,'Menü Kartları'!$B$5:$C$154,2,FALSE)),"")</f>
      </c>
      <c r="D152" s="12"/>
      <c r="E152" s="15">
        <f>IFERROR(IF($D152="","",VLOOKUP($D152,'Malzeme Kartları'!$B$5:$C$204,2,FALSE)),"— tanımsız —")</f>
      </c>
      <c r="F152" s="18"/>
      <c r="G152" s="15">
        <f>IFERROR(IF($D152="","",VLOOKUP($D152,'Malzeme Kartları'!$B$5:$D$204,3,FALSE)),"")</f>
      </c>
      <c r="H152" s="17">
        <f>IFERROR(IF(OR($D152="",$F152=""),0,$F152*VLOOKUP($D152,'Malzeme Kartları'!$B$5:$G$204,6,FALSE)),0)</f>
      </c>
    </row>
    <row r="153" spans="2:8" x14ac:dyDescent="0.25">
      <c r="B153" s="8"/>
      <c r="C153" s="15">
        <f>IFERROR(IF($B153="","",VLOOKUP($B153,'Menü Kartları'!$B$5:$C$154,2,FALSE)),"")</f>
      </c>
      <c r="D153" s="8"/>
      <c r="E153" s="15">
        <f>IFERROR(IF($D153="","",VLOOKUP($D153,'Malzeme Kartları'!$B$5:$C$204,2,FALSE)),"— tanımsız —")</f>
      </c>
      <c r="F153" s="16"/>
      <c r="G153" s="15">
        <f>IFERROR(IF($D153="","",VLOOKUP($D153,'Malzeme Kartları'!$B$5:$D$204,3,FALSE)),"")</f>
      </c>
      <c r="H153" s="17">
        <f>IFERROR(IF(OR($D153="",$F153=""),0,$F153*VLOOKUP($D153,'Malzeme Kartları'!$B$5:$G$204,6,FALSE)),0)</f>
      </c>
    </row>
    <row r="154" spans="2:8" x14ac:dyDescent="0.25">
      <c r="B154" s="12"/>
      <c r="C154" s="15">
        <f>IFERROR(IF($B154="","",VLOOKUP($B154,'Menü Kartları'!$B$5:$C$154,2,FALSE)),"")</f>
      </c>
      <c r="D154" s="12"/>
      <c r="E154" s="15">
        <f>IFERROR(IF($D154="","",VLOOKUP($D154,'Malzeme Kartları'!$B$5:$C$204,2,FALSE)),"— tanımsız —")</f>
      </c>
      <c r="F154" s="18"/>
      <c r="G154" s="15">
        <f>IFERROR(IF($D154="","",VLOOKUP($D154,'Malzeme Kartları'!$B$5:$D$204,3,FALSE)),"")</f>
      </c>
      <c r="H154" s="17">
        <f>IFERROR(IF(OR($D154="",$F154=""),0,$F154*VLOOKUP($D154,'Malzeme Kartları'!$B$5:$G$204,6,FALSE)),0)</f>
      </c>
    </row>
    <row r="155" spans="2:8" x14ac:dyDescent="0.25">
      <c r="B155" s="8"/>
      <c r="C155" s="15">
        <f>IFERROR(IF($B155="","",VLOOKUP($B155,'Menü Kartları'!$B$5:$C$154,2,FALSE)),"")</f>
      </c>
      <c r="D155" s="8"/>
      <c r="E155" s="15">
        <f>IFERROR(IF($D155="","",VLOOKUP($D155,'Malzeme Kartları'!$B$5:$C$204,2,FALSE)),"— tanımsız —")</f>
      </c>
      <c r="F155" s="16"/>
      <c r="G155" s="15">
        <f>IFERROR(IF($D155="","",VLOOKUP($D155,'Malzeme Kartları'!$B$5:$D$204,3,FALSE)),"")</f>
      </c>
      <c r="H155" s="17">
        <f>IFERROR(IF(OR($D155="",$F155=""),0,$F155*VLOOKUP($D155,'Malzeme Kartları'!$B$5:$G$204,6,FALSE)),0)</f>
      </c>
    </row>
    <row r="156" spans="2:8" x14ac:dyDescent="0.25">
      <c r="B156" s="12"/>
      <c r="C156" s="15">
        <f>IFERROR(IF($B156="","",VLOOKUP($B156,'Menü Kartları'!$B$5:$C$154,2,FALSE)),"")</f>
      </c>
      <c r="D156" s="12"/>
      <c r="E156" s="15">
        <f>IFERROR(IF($D156="","",VLOOKUP($D156,'Malzeme Kartları'!$B$5:$C$204,2,FALSE)),"— tanımsız —")</f>
      </c>
      <c r="F156" s="18"/>
      <c r="G156" s="15">
        <f>IFERROR(IF($D156="","",VLOOKUP($D156,'Malzeme Kartları'!$B$5:$D$204,3,FALSE)),"")</f>
      </c>
      <c r="H156" s="17">
        <f>IFERROR(IF(OR($D156="",$F156=""),0,$F156*VLOOKUP($D156,'Malzeme Kartları'!$B$5:$G$204,6,FALSE)),0)</f>
      </c>
    </row>
    <row r="157" spans="2:8" x14ac:dyDescent="0.25">
      <c r="B157" s="8"/>
      <c r="C157" s="15">
        <f>IFERROR(IF($B157="","",VLOOKUP($B157,'Menü Kartları'!$B$5:$C$154,2,FALSE)),"")</f>
      </c>
      <c r="D157" s="8"/>
      <c r="E157" s="15">
        <f>IFERROR(IF($D157="","",VLOOKUP($D157,'Malzeme Kartları'!$B$5:$C$204,2,FALSE)),"— tanımsız —")</f>
      </c>
      <c r="F157" s="16"/>
      <c r="G157" s="15">
        <f>IFERROR(IF($D157="","",VLOOKUP($D157,'Malzeme Kartları'!$B$5:$D$204,3,FALSE)),"")</f>
      </c>
      <c r="H157" s="17">
        <f>IFERROR(IF(OR($D157="",$F157=""),0,$F157*VLOOKUP($D157,'Malzeme Kartları'!$B$5:$G$204,6,FALSE)),0)</f>
      </c>
    </row>
    <row r="158" spans="2:8" x14ac:dyDescent="0.25">
      <c r="B158" s="12"/>
      <c r="C158" s="15">
        <f>IFERROR(IF($B158="","",VLOOKUP($B158,'Menü Kartları'!$B$5:$C$154,2,FALSE)),"")</f>
      </c>
      <c r="D158" s="12"/>
      <c r="E158" s="15">
        <f>IFERROR(IF($D158="","",VLOOKUP($D158,'Malzeme Kartları'!$B$5:$C$204,2,FALSE)),"— tanımsız —")</f>
      </c>
      <c r="F158" s="18"/>
      <c r="G158" s="15">
        <f>IFERROR(IF($D158="","",VLOOKUP($D158,'Malzeme Kartları'!$B$5:$D$204,3,FALSE)),"")</f>
      </c>
      <c r="H158" s="17">
        <f>IFERROR(IF(OR($D158="",$F158=""),0,$F158*VLOOKUP($D158,'Malzeme Kartları'!$B$5:$G$204,6,FALSE)),0)</f>
      </c>
    </row>
    <row r="159" spans="2:8" x14ac:dyDescent="0.25">
      <c r="B159" s="8"/>
      <c r="C159" s="15">
        <f>IFERROR(IF($B159="","",VLOOKUP($B159,'Menü Kartları'!$B$5:$C$154,2,FALSE)),"")</f>
      </c>
      <c r="D159" s="8"/>
      <c r="E159" s="15">
        <f>IFERROR(IF($D159="","",VLOOKUP($D159,'Malzeme Kartları'!$B$5:$C$204,2,FALSE)),"— tanımsız —")</f>
      </c>
      <c r="F159" s="16"/>
      <c r="G159" s="15">
        <f>IFERROR(IF($D159="","",VLOOKUP($D159,'Malzeme Kartları'!$B$5:$D$204,3,FALSE)),"")</f>
      </c>
      <c r="H159" s="17">
        <f>IFERROR(IF(OR($D159="",$F159=""),0,$F159*VLOOKUP($D159,'Malzeme Kartları'!$B$5:$G$204,6,FALSE)),0)</f>
      </c>
    </row>
    <row r="160" spans="2:8" x14ac:dyDescent="0.25">
      <c r="B160" s="12"/>
      <c r="C160" s="15">
        <f>IFERROR(IF($B160="","",VLOOKUP($B160,'Menü Kartları'!$B$5:$C$154,2,FALSE)),"")</f>
      </c>
      <c r="D160" s="12"/>
      <c r="E160" s="15">
        <f>IFERROR(IF($D160="","",VLOOKUP($D160,'Malzeme Kartları'!$B$5:$C$204,2,FALSE)),"— tanımsız —")</f>
      </c>
      <c r="F160" s="18"/>
      <c r="G160" s="15">
        <f>IFERROR(IF($D160="","",VLOOKUP($D160,'Malzeme Kartları'!$B$5:$D$204,3,FALSE)),"")</f>
      </c>
      <c r="H160" s="17">
        <f>IFERROR(IF(OR($D160="",$F160=""),0,$F160*VLOOKUP($D160,'Malzeme Kartları'!$B$5:$G$204,6,FALSE)),0)</f>
      </c>
    </row>
    <row r="161" spans="2:8" x14ac:dyDescent="0.25">
      <c r="B161" s="8"/>
      <c r="C161" s="15">
        <f>IFERROR(IF($B161="","",VLOOKUP($B161,'Menü Kartları'!$B$5:$C$154,2,FALSE)),"")</f>
      </c>
      <c r="D161" s="8"/>
      <c r="E161" s="15">
        <f>IFERROR(IF($D161="","",VLOOKUP($D161,'Malzeme Kartları'!$B$5:$C$204,2,FALSE)),"— tanımsız —")</f>
      </c>
      <c r="F161" s="16"/>
      <c r="G161" s="15">
        <f>IFERROR(IF($D161="","",VLOOKUP($D161,'Malzeme Kartları'!$B$5:$D$204,3,FALSE)),"")</f>
      </c>
      <c r="H161" s="17">
        <f>IFERROR(IF(OR($D161="",$F161=""),0,$F161*VLOOKUP($D161,'Malzeme Kartları'!$B$5:$G$204,6,FALSE)),0)</f>
      </c>
    </row>
    <row r="162" spans="2:8" x14ac:dyDescent="0.25">
      <c r="B162" s="12"/>
      <c r="C162" s="15">
        <f>IFERROR(IF($B162="","",VLOOKUP($B162,'Menü Kartları'!$B$5:$C$154,2,FALSE)),"")</f>
      </c>
      <c r="D162" s="12"/>
      <c r="E162" s="15">
        <f>IFERROR(IF($D162="","",VLOOKUP($D162,'Malzeme Kartları'!$B$5:$C$204,2,FALSE)),"— tanımsız —")</f>
      </c>
      <c r="F162" s="18"/>
      <c r="G162" s="15">
        <f>IFERROR(IF($D162="","",VLOOKUP($D162,'Malzeme Kartları'!$B$5:$D$204,3,FALSE)),"")</f>
      </c>
      <c r="H162" s="17">
        <f>IFERROR(IF(OR($D162="",$F162=""),0,$F162*VLOOKUP($D162,'Malzeme Kartları'!$B$5:$G$204,6,FALSE)),0)</f>
      </c>
    </row>
    <row r="163" spans="2:8" x14ac:dyDescent="0.25">
      <c r="B163" s="8"/>
      <c r="C163" s="15">
        <f>IFERROR(IF($B163="","",VLOOKUP($B163,'Menü Kartları'!$B$5:$C$154,2,FALSE)),"")</f>
      </c>
      <c r="D163" s="8"/>
      <c r="E163" s="15">
        <f>IFERROR(IF($D163="","",VLOOKUP($D163,'Malzeme Kartları'!$B$5:$C$204,2,FALSE)),"— tanımsız —")</f>
      </c>
      <c r="F163" s="16"/>
      <c r="G163" s="15">
        <f>IFERROR(IF($D163="","",VLOOKUP($D163,'Malzeme Kartları'!$B$5:$D$204,3,FALSE)),"")</f>
      </c>
      <c r="H163" s="17">
        <f>IFERROR(IF(OR($D163="",$F163=""),0,$F163*VLOOKUP($D163,'Malzeme Kartları'!$B$5:$G$204,6,FALSE)),0)</f>
      </c>
    </row>
    <row r="164" spans="2:8" x14ac:dyDescent="0.25">
      <c r="B164" s="12"/>
      <c r="C164" s="15">
        <f>IFERROR(IF($B164="","",VLOOKUP($B164,'Menü Kartları'!$B$5:$C$154,2,FALSE)),"")</f>
      </c>
      <c r="D164" s="12"/>
      <c r="E164" s="15">
        <f>IFERROR(IF($D164="","",VLOOKUP($D164,'Malzeme Kartları'!$B$5:$C$204,2,FALSE)),"— tanımsız —")</f>
      </c>
      <c r="F164" s="18"/>
      <c r="G164" s="15">
        <f>IFERROR(IF($D164="","",VLOOKUP($D164,'Malzeme Kartları'!$B$5:$D$204,3,FALSE)),"")</f>
      </c>
      <c r="H164" s="17">
        <f>IFERROR(IF(OR($D164="",$F164=""),0,$F164*VLOOKUP($D164,'Malzeme Kartları'!$B$5:$G$204,6,FALSE)),0)</f>
      </c>
    </row>
    <row r="165" spans="2:8" x14ac:dyDescent="0.25">
      <c r="B165" s="8"/>
      <c r="C165" s="15">
        <f>IFERROR(IF($B165="","",VLOOKUP($B165,'Menü Kartları'!$B$5:$C$154,2,FALSE)),"")</f>
      </c>
      <c r="D165" s="8"/>
      <c r="E165" s="15">
        <f>IFERROR(IF($D165="","",VLOOKUP($D165,'Malzeme Kartları'!$B$5:$C$204,2,FALSE)),"— tanımsız —")</f>
      </c>
      <c r="F165" s="16"/>
      <c r="G165" s="15">
        <f>IFERROR(IF($D165="","",VLOOKUP($D165,'Malzeme Kartları'!$B$5:$D$204,3,FALSE)),"")</f>
      </c>
      <c r="H165" s="17">
        <f>IFERROR(IF(OR($D165="",$F165=""),0,$F165*VLOOKUP($D165,'Malzeme Kartları'!$B$5:$G$204,6,FALSE)),0)</f>
      </c>
    </row>
    <row r="166" spans="2:8" x14ac:dyDescent="0.25">
      <c r="B166" s="12"/>
      <c r="C166" s="15">
        <f>IFERROR(IF($B166="","",VLOOKUP($B166,'Menü Kartları'!$B$5:$C$154,2,FALSE)),"")</f>
      </c>
      <c r="D166" s="12"/>
      <c r="E166" s="15">
        <f>IFERROR(IF($D166="","",VLOOKUP($D166,'Malzeme Kartları'!$B$5:$C$204,2,FALSE)),"— tanımsız —")</f>
      </c>
      <c r="F166" s="18"/>
      <c r="G166" s="15">
        <f>IFERROR(IF($D166="","",VLOOKUP($D166,'Malzeme Kartları'!$B$5:$D$204,3,FALSE)),"")</f>
      </c>
      <c r="H166" s="17">
        <f>IFERROR(IF(OR($D166="",$F166=""),0,$F166*VLOOKUP($D166,'Malzeme Kartları'!$B$5:$G$204,6,FALSE)),0)</f>
      </c>
    </row>
    <row r="167" spans="2:8" x14ac:dyDescent="0.25">
      <c r="B167" s="8"/>
      <c r="C167" s="15">
        <f>IFERROR(IF($B167="","",VLOOKUP($B167,'Menü Kartları'!$B$5:$C$154,2,FALSE)),"")</f>
      </c>
      <c r="D167" s="8"/>
      <c r="E167" s="15">
        <f>IFERROR(IF($D167="","",VLOOKUP($D167,'Malzeme Kartları'!$B$5:$C$204,2,FALSE)),"— tanımsız —")</f>
      </c>
      <c r="F167" s="16"/>
      <c r="G167" s="15">
        <f>IFERROR(IF($D167="","",VLOOKUP($D167,'Malzeme Kartları'!$B$5:$D$204,3,FALSE)),"")</f>
      </c>
      <c r="H167" s="17">
        <f>IFERROR(IF(OR($D167="",$F167=""),0,$F167*VLOOKUP($D167,'Malzeme Kartları'!$B$5:$G$204,6,FALSE)),0)</f>
      </c>
    </row>
    <row r="168" spans="2:8" x14ac:dyDescent="0.25">
      <c r="B168" s="12"/>
      <c r="C168" s="15">
        <f>IFERROR(IF($B168="","",VLOOKUP($B168,'Menü Kartları'!$B$5:$C$154,2,FALSE)),"")</f>
      </c>
      <c r="D168" s="12"/>
      <c r="E168" s="15">
        <f>IFERROR(IF($D168="","",VLOOKUP($D168,'Malzeme Kartları'!$B$5:$C$204,2,FALSE)),"— tanımsız —")</f>
      </c>
      <c r="F168" s="18"/>
      <c r="G168" s="15">
        <f>IFERROR(IF($D168="","",VLOOKUP($D168,'Malzeme Kartları'!$B$5:$D$204,3,FALSE)),"")</f>
      </c>
      <c r="H168" s="17">
        <f>IFERROR(IF(OR($D168="",$F168=""),0,$F168*VLOOKUP($D168,'Malzeme Kartları'!$B$5:$G$204,6,FALSE)),0)</f>
      </c>
    </row>
    <row r="169" spans="2:8" x14ac:dyDescent="0.25">
      <c r="B169" s="8"/>
      <c r="C169" s="15">
        <f>IFERROR(IF($B169="","",VLOOKUP($B169,'Menü Kartları'!$B$5:$C$154,2,FALSE)),"")</f>
      </c>
      <c r="D169" s="8"/>
      <c r="E169" s="15">
        <f>IFERROR(IF($D169="","",VLOOKUP($D169,'Malzeme Kartları'!$B$5:$C$204,2,FALSE)),"— tanımsız —")</f>
      </c>
      <c r="F169" s="16"/>
      <c r="G169" s="15">
        <f>IFERROR(IF($D169="","",VLOOKUP($D169,'Malzeme Kartları'!$B$5:$D$204,3,FALSE)),"")</f>
      </c>
      <c r="H169" s="17">
        <f>IFERROR(IF(OR($D169="",$F169=""),0,$F169*VLOOKUP($D169,'Malzeme Kartları'!$B$5:$G$204,6,FALSE)),0)</f>
      </c>
    </row>
    <row r="170" spans="2:8" x14ac:dyDescent="0.25">
      <c r="B170" s="12"/>
      <c r="C170" s="15">
        <f>IFERROR(IF($B170="","",VLOOKUP($B170,'Menü Kartları'!$B$5:$C$154,2,FALSE)),"")</f>
      </c>
      <c r="D170" s="12"/>
      <c r="E170" s="15">
        <f>IFERROR(IF($D170="","",VLOOKUP($D170,'Malzeme Kartları'!$B$5:$C$204,2,FALSE)),"— tanımsız —")</f>
      </c>
      <c r="F170" s="18"/>
      <c r="G170" s="15">
        <f>IFERROR(IF($D170="","",VLOOKUP($D170,'Malzeme Kartları'!$B$5:$D$204,3,FALSE)),"")</f>
      </c>
      <c r="H170" s="17">
        <f>IFERROR(IF(OR($D170="",$F170=""),0,$F170*VLOOKUP($D170,'Malzeme Kartları'!$B$5:$G$204,6,FALSE)),0)</f>
      </c>
    </row>
    <row r="171" spans="2:8" x14ac:dyDescent="0.25">
      <c r="B171" s="8"/>
      <c r="C171" s="15">
        <f>IFERROR(IF($B171="","",VLOOKUP($B171,'Menü Kartları'!$B$5:$C$154,2,FALSE)),"")</f>
      </c>
      <c r="D171" s="8"/>
      <c r="E171" s="15">
        <f>IFERROR(IF($D171="","",VLOOKUP($D171,'Malzeme Kartları'!$B$5:$C$204,2,FALSE)),"— tanımsız —")</f>
      </c>
      <c r="F171" s="16"/>
      <c r="G171" s="15">
        <f>IFERROR(IF($D171="","",VLOOKUP($D171,'Malzeme Kartları'!$B$5:$D$204,3,FALSE)),"")</f>
      </c>
      <c r="H171" s="17">
        <f>IFERROR(IF(OR($D171="",$F171=""),0,$F171*VLOOKUP($D171,'Malzeme Kartları'!$B$5:$G$204,6,FALSE)),0)</f>
      </c>
    </row>
    <row r="172" spans="2:8" x14ac:dyDescent="0.25">
      <c r="B172" s="12"/>
      <c r="C172" s="15">
        <f>IFERROR(IF($B172="","",VLOOKUP($B172,'Menü Kartları'!$B$5:$C$154,2,FALSE)),"")</f>
      </c>
      <c r="D172" s="12"/>
      <c r="E172" s="15">
        <f>IFERROR(IF($D172="","",VLOOKUP($D172,'Malzeme Kartları'!$B$5:$C$204,2,FALSE)),"— tanımsız —")</f>
      </c>
      <c r="F172" s="18"/>
      <c r="G172" s="15">
        <f>IFERROR(IF($D172="","",VLOOKUP($D172,'Malzeme Kartları'!$B$5:$D$204,3,FALSE)),"")</f>
      </c>
      <c r="H172" s="17">
        <f>IFERROR(IF(OR($D172="",$F172=""),0,$F172*VLOOKUP($D172,'Malzeme Kartları'!$B$5:$G$204,6,FALSE)),0)</f>
      </c>
    </row>
    <row r="173" spans="2:8" x14ac:dyDescent="0.25">
      <c r="B173" s="8"/>
      <c r="C173" s="15">
        <f>IFERROR(IF($B173="","",VLOOKUP($B173,'Menü Kartları'!$B$5:$C$154,2,FALSE)),"")</f>
      </c>
      <c r="D173" s="8"/>
      <c r="E173" s="15">
        <f>IFERROR(IF($D173="","",VLOOKUP($D173,'Malzeme Kartları'!$B$5:$C$204,2,FALSE)),"— tanımsız —")</f>
      </c>
      <c r="F173" s="16"/>
      <c r="G173" s="15">
        <f>IFERROR(IF($D173="","",VLOOKUP($D173,'Malzeme Kartları'!$B$5:$D$204,3,FALSE)),"")</f>
      </c>
      <c r="H173" s="17">
        <f>IFERROR(IF(OR($D173="",$F173=""),0,$F173*VLOOKUP($D173,'Malzeme Kartları'!$B$5:$G$204,6,FALSE)),0)</f>
      </c>
    </row>
    <row r="174" spans="2:8" x14ac:dyDescent="0.25">
      <c r="B174" s="12"/>
      <c r="C174" s="15">
        <f>IFERROR(IF($B174="","",VLOOKUP($B174,'Menü Kartları'!$B$5:$C$154,2,FALSE)),"")</f>
      </c>
      <c r="D174" s="12"/>
      <c r="E174" s="15">
        <f>IFERROR(IF($D174="","",VLOOKUP($D174,'Malzeme Kartları'!$B$5:$C$204,2,FALSE)),"— tanımsız —")</f>
      </c>
      <c r="F174" s="18"/>
      <c r="G174" s="15">
        <f>IFERROR(IF($D174="","",VLOOKUP($D174,'Malzeme Kartları'!$B$5:$D$204,3,FALSE)),"")</f>
      </c>
      <c r="H174" s="17">
        <f>IFERROR(IF(OR($D174="",$F174=""),0,$F174*VLOOKUP($D174,'Malzeme Kartları'!$B$5:$G$204,6,FALSE)),0)</f>
      </c>
    </row>
    <row r="175" spans="2:8" x14ac:dyDescent="0.25">
      <c r="B175" s="8"/>
      <c r="C175" s="15">
        <f>IFERROR(IF($B175="","",VLOOKUP($B175,'Menü Kartları'!$B$5:$C$154,2,FALSE)),"")</f>
      </c>
      <c r="D175" s="8"/>
      <c r="E175" s="15">
        <f>IFERROR(IF($D175="","",VLOOKUP($D175,'Malzeme Kartları'!$B$5:$C$204,2,FALSE)),"— tanımsız —")</f>
      </c>
      <c r="F175" s="16"/>
      <c r="G175" s="15">
        <f>IFERROR(IF($D175="","",VLOOKUP($D175,'Malzeme Kartları'!$B$5:$D$204,3,FALSE)),"")</f>
      </c>
      <c r="H175" s="17">
        <f>IFERROR(IF(OR($D175="",$F175=""),0,$F175*VLOOKUP($D175,'Malzeme Kartları'!$B$5:$G$204,6,FALSE)),0)</f>
      </c>
    </row>
    <row r="176" spans="2:8" x14ac:dyDescent="0.25">
      <c r="B176" s="12"/>
      <c r="C176" s="15">
        <f>IFERROR(IF($B176="","",VLOOKUP($B176,'Menü Kartları'!$B$5:$C$154,2,FALSE)),"")</f>
      </c>
      <c r="D176" s="12"/>
      <c r="E176" s="15">
        <f>IFERROR(IF($D176="","",VLOOKUP($D176,'Malzeme Kartları'!$B$5:$C$204,2,FALSE)),"— tanımsız —")</f>
      </c>
      <c r="F176" s="18"/>
      <c r="G176" s="15">
        <f>IFERROR(IF($D176="","",VLOOKUP($D176,'Malzeme Kartları'!$B$5:$D$204,3,FALSE)),"")</f>
      </c>
      <c r="H176" s="17">
        <f>IFERROR(IF(OR($D176="",$F176=""),0,$F176*VLOOKUP($D176,'Malzeme Kartları'!$B$5:$G$204,6,FALSE)),0)</f>
      </c>
    </row>
    <row r="177" spans="2:8" x14ac:dyDescent="0.25">
      <c r="B177" s="8"/>
      <c r="C177" s="15">
        <f>IFERROR(IF($B177="","",VLOOKUP($B177,'Menü Kartları'!$B$5:$C$154,2,FALSE)),"")</f>
      </c>
      <c r="D177" s="8"/>
      <c r="E177" s="15">
        <f>IFERROR(IF($D177="","",VLOOKUP($D177,'Malzeme Kartları'!$B$5:$C$204,2,FALSE)),"— tanımsız —")</f>
      </c>
      <c r="F177" s="16"/>
      <c r="G177" s="15">
        <f>IFERROR(IF($D177="","",VLOOKUP($D177,'Malzeme Kartları'!$B$5:$D$204,3,FALSE)),"")</f>
      </c>
      <c r="H177" s="17">
        <f>IFERROR(IF(OR($D177="",$F177=""),0,$F177*VLOOKUP($D177,'Malzeme Kartları'!$B$5:$G$204,6,FALSE)),0)</f>
      </c>
    </row>
    <row r="178" spans="2:8" x14ac:dyDescent="0.25">
      <c r="B178" s="12"/>
      <c r="C178" s="15">
        <f>IFERROR(IF($B178="","",VLOOKUP($B178,'Menü Kartları'!$B$5:$C$154,2,FALSE)),"")</f>
      </c>
      <c r="D178" s="12"/>
      <c r="E178" s="15">
        <f>IFERROR(IF($D178="","",VLOOKUP($D178,'Malzeme Kartları'!$B$5:$C$204,2,FALSE)),"— tanımsız —")</f>
      </c>
      <c r="F178" s="18"/>
      <c r="G178" s="15">
        <f>IFERROR(IF($D178="","",VLOOKUP($D178,'Malzeme Kartları'!$B$5:$D$204,3,FALSE)),"")</f>
      </c>
      <c r="H178" s="17">
        <f>IFERROR(IF(OR($D178="",$F178=""),0,$F178*VLOOKUP($D178,'Malzeme Kartları'!$B$5:$G$204,6,FALSE)),0)</f>
      </c>
    </row>
    <row r="179" spans="2:8" x14ac:dyDescent="0.25">
      <c r="B179" s="8"/>
      <c r="C179" s="15">
        <f>IFERROR(IF($B179="","",VLOOKUP($B179,'Menü Kartları'!$B$5:$C$154,2,FALSE)),"")</f>
      </c>
      <c r="D179" s="8"/>
      <c r="E179" s="15">
        <f>IFERROR(IF($D179="","",VLOOKUP($D179,'Malzeme Kartları'!$B$5:$C$204,2,FALSE)),"— tanımsız —")</f>
      </c>
      <c r="F179" s="16"/>
      <c r="G179" s="15">
        <f>IFERROR(IF($D179="","",VLOOKUP($D179,'Malzeme Kartları'!$B$5:$D$204,3,FALSE)),"")</f>
      </c>
      <c r="H179" s="17">
        <f>IFERROR(IF(OR($D179="",$F179=""),0,$F179*VLOOKUP($D179,'Malzeme Kartları'!$B$5:$G$204,6,FALSE)),0)</f>
      </c>
    </row>
    <row r="180" spans="2:8" x14ac:dyDescent="0.25">
      <c r="B180" s="12"/>
      <c r="C180" s="15">
        <f>IFERROR(IF($B180="","",VLOOKUP($B180,'Menü Kartları'!$B$5:$C$154,2,FALSE)),"")</f>
      </c>
      <c r="D180" s="12"/>
      <c r="E180" s="15">
        <f>IFERROR(IF($D180="","",VLOOKUP($D180,'Malzeme Kartları'!$B$5:$C$204,2,FALSE)),"— tanımsız —")</f>
      </c>
      <c r="F180" s="18"/>
      <c r="G180" s="15">
        <f>IFERROR(IF($D180="","",VLOOKUP($D180,'Malzeme Kartları'!$B$5:$D$204,3,FALSE)),"")</f>
      </c>
      <c r="H180" s="17">
        <f>IFERROR(IF(OR($D180="",$F180=""),0,$F180*VLOOKUP($D180,'Malzeme Kartları'!$B$5:$G$204,6,FALSE)),0)</f>
      </c>
    </row>
    <row r="181" spans="2:8" x14ac:dyDescent="0.25">
      <c r="B181" s="8"/>
      <c r="C181" s="15">
        <f>IFERROR(IF($B181="","",VLOOKUP($B181,'Menü Kartları'!$B$5:$C$154,2,FALSE)),"")</f>
      </c>
      <c r="D181" s="8"/>
      <c r="E181" s="15">
        <f>IFERROR(IF($D181="","",VLOOKUP($D181,'Malzeme Kartları'!$B$5:$C$204,2,FALSE)),"— tanımsız —")</f>
      </c>
      <c r="F181" s="16"/>
      <c r="G181" s="15">
        <f>IFERROR(IF($D181="","",VLOOKUP($D181,'Malzeme Kartları'!$B$5:$D$204,3,FALSE)),"")</f>
      </c>
      <c r="H181" s="17">
        <f>IFERROR(IF(OR($D181="",$F181=""),0,$F181*VLOOKUP($D181,'Malzeme Kartları'!$B$5:$G$204,6,FALSE)),0)</f>
      </c>
    </row>
    <row r="182" spans="2:8" x14ac:dyDescent="0.25">
      <c r="B182" s="12"/>
      <c r="C182" s="15">
        <f>IFERROR(IF($B182="","",VLOOKUP($B182,'Menü Kartları'!$B$5:$C$154,2,FALSE)),"")</f>
      </c>
      <c r="D182" s="12"/>
      <c r="E182" s="15">
        <f>IFERROR(IF($D182="","",VLOOKUP($D182,'Malzeme Kartları'!$B$5:$C$204,2,FALSE)),"— tanımsız —")</f>
      </c>
      <c r="F182" s="18"/>
      <c r="G182" s="15">
        <f>IFERROR(IF($D182="","",VLOOKUP($D182,'Malzeme Kartları'!$B$5:$D$204,3,FALSE)),"")</f>
      </c>
      <c r="H182" s="17">
        <f>IFERROR(IF(OR($D182="",$F182=""),0,$F182*VLOOKUP($D182,'Malzeme Kartları'!$B$5:$G$204,6,FALSE)),0)</f>
      </c>
    </row>
    <row r="183" spans="2:8" x14ac:dyDescent="0.25">
      <c r="B183" s="8"/>
      <c r="C183" s="15">
        <f>IFERROR(IF($B183="","",VLOOKUP($B183,'Menü Kartları'!$B$5:$C$154,2,FALSE)),"")</f>
      </c>
      <c r="D183" s="8"/>
      <c r="E183" s="15">
        <f>IFERROR(IF($D183="","",VLOOKUP($D183,'Malzeme Kartları'!$B$5:$C$204,2,FALSE)),"— tanımsız —")</f>
      </c>
      <c r="F183" s="16"/>
      <c r="G183" s="15">
        <f>IFERROR(IF($D183="","",VLOOKUP($D183,'Malzeme Kartları'!$B$5:$D$204,3,FALSE)),"")</f>
      </c>
      <c r="H183" s="17">
        <f>IFERROR(IF(OR($D183="",$F183=""),0,$F183*VLOOKUP($D183,'Malzeme Kartları'!$B$5:$G$204,6,FALSE)),0)</f>
      </c>
    </row>
    <row r="184" spans="2:8" x14ac:dyDescent="0.25">
      <c r="B184" s="12"/>
      <c r="C184" s="15">
        <f>IFERROR(IF($B184="","",VLOOKUP($B184,'Menü Kartları'!$B$5:$C$154,2,FALSE)),"")</f>
      </c>
      <c r="D184" s="12"/>
      <c r="E184" s="15">
        <f>IFERROR(IF($D184="","",VLOOKUP($D184,'Malzeme Kartları'!$B$5:$C$204,2,FALSE)),"— tanımsız —")</f>
      </c>
      <c r="F184" s="18"/>
      <c r="G184" s="15">
        <f>IFERROR(IF($D184="","",VLOOKUP($D184,'Malzeme Kartları'!$B$5:$D$204,3,FALSE)),"")</f>
      </c>
      <c r="H184" s="17">
        <f>IFERROR(IF(OR($D184="",$F184=""),0,$F184*VLOOKUP($D184,'Malzeme Kartları'!$B$5:$G$204,6,FALSE)),0)</f>
      </c>
    </row>
    <row r="185" spans="2:8" x14ac:dyDescent="0.25">
      <c r="B185" s="8"/>
      <c r="C185" s="15">
        <f>IFERROR(IF($B185="","",VLOOKUP($B185,'Menü Kartları'!$B$5:$C$154,2,FALSE)),"")</f>
      </c>
      <c r="D185" s="8"/>
      <c r="E185" s="15">
        <f>IFERROR(IF($D185="","",VLOOKUP($D185,'Malzeme Kartları'!$B$5:$C$204,2,FALSE)),"— tanımsız —")</f>
      </c>
      <c r="F185" s="16"/>
      <c r="G185" s="15">
        <f>IFERROR(IF($D185="","",VLOOKUP($D185,'Malzeme Kartları'!$B$5:$D$204,3,FALSE)),"")</f>
      </c>
      <c r="H185" s="17">
        <f>IFERROR(IF(OR($D185="",$F185=""),0,$F185*VLOOKUP($D185,'Malzeme Kartları'!$B$5:$G$204,6,FALSE)),0)</f>
      </c>
    </row>
    <row r="186" spans="2:8" x14ac:dyDescent="0.25">
      <c r="B186" s="12"/>
      <c r="C186" s="15">
        <f>IFERROR(IF($B186="","",VLOOKUP($B186,'Menü Kartları'!$B$5:$C$154,2,FALSE)),"")</f>
      </c>
      <c r="D186" s="12"/>
      <c r="E186" s="15">
        <f>IFERROR(IF($D186="","",VLOOKUP($D186,'Malzeme Kartları'!$B$5:$C$204,2,FALSE)),"— tanımsız —")</f>
      </c>
      <c r="F186" s="18"/>
      <c r="G186" s="15">
        <f>IFERROR(IF($D186="","",VLOOKUP($D186,'Malzeme Kartları'!$B$5:$D$204,3,FALSE)),"")</f>
      </c>
      <c r="H186" s="17">
        <f>IFERROR(IF(OR($D186="",$F186=""),0,$F186*VLOOKUP($D186,'Malzeme Kartları'!$B$5:$G$204,6,FALSE)),0)</f>
      </c>
    </row>
    <row r="187" spans="2:8" x14ac:dyDescent="0.25">
      <c r="B187" s="8"/>
      <c r="C187" s="15">
        <f>IFERROR(IF($B187="","",VLOOKUP($B187,'Menü Kartları'!$B$5:$C$154,2,FALSE)),"")</f>
      </c>
      <c r="D187" s="8"/>
      <c r="E187" s="15">
        <f>IFERROR(IF($D187="","",VLOOKUP($D187,'Malzeme Kartları'!$B$5:$C$204,2,FALSE)),"— tanımsız —")</f>
      </c>
      <c r="F187" s="16"/>
      <c r="G187" s="15">
        <f>IFERROR(IF($D187="","",VLOOKUP($D187,'Malzeme Kartları'!$B$5:$D$204,3,FALSE)),"")</f>
      </c>
      <c r="H187" s="17">
        <f>IFERROR(IF(OR($D187="",$F187=""),0,$F187*VLOOKUP($D187,'Malzeme Kartları'!$B$5:$G$204,6,FALSE)),0)</f>
      </c>
    </row>
    <row r="188" spans="2:8" x14ac:dyDescent="0.25">
      <c r="B188" s="12"/>
      <c r="C188" s="15">
        <f>IFERROR(IF($B188="","",VLOOKUP($B188,'Menü Kartları'!$B$5:$C$154,2,FALSE)),"")</f>
      </c>
      <c r="D188" s="12"/>
      <c r="E188" s="15">
        <f>IFERROR(IF($D188="","",VLOOKUP($D188,'Malzeme Kartları'!$B$5:$C$204,2,FALSE)),"— tanımsız —")</f>
      </c>
      <c r="F188" s="18"/>
      <c r="G188" s="15">
        <f>IFERROR(IF($D188="","",VLOOKUP($D188,'Malzeme Kartları'!$B$5:$D$204,3,FALSE)),"")</f>
      </c>
      <c r="H188" s="17">
        <f>IFERROR(IF(OR($D188="",$F188=""),0,$F188*VLOOKUP($D188,'Malzeme Kartları'!$B$5:$G$204,6,FALSE)),0)</f>
      </c>
    </row>
    <row r="189" spans="2:8" x14ac:dyDescent="0.25">
      <c r="B189" s="8"/>
      <c r="C189" s="15">
        <f>IFERROR(IF($B189="","",VLOOKUP($B189,'Menü Kartları'!$B$5:$C$154,2,FALSE)),"")</f>
      </c>
      <c r="D189" s="8"/>
      <c r="E189" s="15">
        <f>IFERROR(IF($D189="","",VLOOKUP($D189,'Malzeme Kartları'!$B$5:$C$204,2,FALSE)),"— tanımsız —")</f>
      </c>
      <c r="F189" s="16"/>
      <c r="G189" s="15">
        <f>IFERROR(IF($D189="","",VLOOKUP($D189,'Malzeme Kartları'!$B$5:$D$204,3,FALSE)),"")</f>
      </c>
      <c r="H189" s="17">
        <f>IFERROR(IF(OR($D189="",$F189=""),0,$F189*VLOOKUP($D189,'Malzeme Kartları'!$B$5:$G$204,6,FALSE)),0)</f>
      </c>
    </row>
    <row r="190" spans="2:8" x14ac:dyDescent="0.25">
      <c r="B190" s="12"/>
      <c r="C190" s="15">
        <f>IFERROR(IF($B190="","",VLOOKUP($B190,'Menü Kartları'!$B$5:$C$154,2,FALSE)),"")</f>
      </c>
      <c r="D190" s="12"/>
      <c r="E190" s="15">
        <f>IFERROR(IF($D190="","",VLOOKUP($D190,'Malzeme Kartları'!$B$5:$C$204,2,FALSE)),"— tanımsız —")</f>
      </c>
      <c r="F190" s="18"/>
      <c r="G190" s="15">
        <f>IFERROR(IF($D190="","",VLOOKUP($D190,'Malzeme Kartları'!$B$5:$D$204,3,FALSE)),"")</f>
      </c>
      <c r="H190" s="17">
        <f>IFERROR(IF(OR($D190="",$F190=""),0,$F190*VLOOKUP($D190,'Malzeme Kartları'!$B$5:$G$204,6,FALSE)),0)</f>
      </c>
    </row>
    <row r="191" spans="2:8" x14ac:dyDescent="0.25">
      <c r="B191" s="8"/>
      <c r="C191" s="15">
        <f>IFERROR(IF($B191="","",VLOOKUP($B191,'Menü Kartları'!$B$5:$C$154,2,FALSE)),"")</f>
      </c>
      <c r="D191" s="8"/>
      <c r="E191" s="15">
        <f>IFERROR(IF($D191="","",VLOOKUP($D191,'Malzeme Kartları'!$B$5:$C$204,2,FALSE)),"— tanımsız —")</f>
      </c>
      <c r="F191" s="16"/>
      <c r="G191" s="15">
        <f>IFERROR(IF($D191="","",VLOOKUP($D191,'Malzeme Kartları'!$B$5:$D$204,3,FALSE)),"")</f>
      </c>
      <c r="H191" s="17">
        <f>IFERROR(IF(OR($D191="",$F191=""),0,$F191*VLOOKUP($D191,'Malzeme Kartları'!$B$5:$G$204,6,FALSE)),0)</f>
      </c>
    </row>
    <row r="192" spans="2:8" x14ac:dyDescent="0.25">
      <c r="B192" s="12"/>
      <c r="C192" s="15">
        <f>IFERROR(IF($B192="","",VLOOKUP($B192,'Menü Kartları'!$B$5:$C$154,2,FALSE)),"")</f>
      </c>
      <c r="D192" s="12"/>
      <c r="E192" s="15">
        <f>IFERROR(IF($D192="","",VLOOKUP($D192,'Malzeme Kartları'!$B$5:$C$204,2,FALSE)),"— tanımsız —")</f>
      </c>
      <c r="F192" s="18"/>
      <c r="G192" s="15">
        <f>IFERROR(IF($D192="","",VLOOKUP($D192,'Malzeme Kartları'!$B$5:$D$204,3,FALSE)),"")</f>
      </c>
      <c r="H192" s="17">
        <f>IFERROR(IF(OR($D192="",$F192=""),0,$F192*VLOOKUP($D192,'Malzeme Kartları'!$B$5:$G$204,6,FALSE)),0)</f>
      </c>
    </row>
    <row r="193" spans="2:8" x14ac:dyDescent="0.25">
      <c r="B193" s="8"/>
      <c r="C193" s="15">
        <f>IFERROR(IF($B193="","",VLOOKUP($B193,'Menü Kartları'!$B$5:$C$154,2,FALSE)),"")</f>
      </c>
      <c r="D193" s="8"/>
      <c r="E193" s="15">
        <f>IFERROR(IF($D193="","",VLOOKUP($D193,'Malzeme Kartları'!$B$5:$C$204,2,FALSE)),"— tanımsız —")</f>
      </c>
      <c r="F193" s="16"/>
      <c r="G193" s="15">
        <f>IFERROR(IF($D193="","",VLOOKUP($D193,'Malzeme Kartları'!$B$5:$D$204,3,FALSE)),"")</f>
      </c>
      <c r="H193" s="17">
        <f>IFERROR(IF(OR($D193="",$F193=""),0,$F193*VLOOKUP($D193,'Malzeme Kartları'!$B$5:$G$204,6,FALSE)),0)</f>
      </c>
    </row>
    <row r="194" spans="2:8" x14ac:dyDescent="0.25">
      <c r="B194" s="12"/>
      <c r="C194" s="15">
        <f>IFERROR(IF($B194="","",VLOOKUP($B194,'Menü Kartları'!$B$5:$C$154,2,FALSE)),"")</f>
      </c>
      <c r="D194" s="12"/>
      <c r="E194" s="15">
        <f>IFERROR(IF($D194="","",VLOOKUP($D194,'Malzeme Kartları'!$B$5:$C$204,2,FALSE)),"— tanımsız —")</f>
      </c>
      <c r="F194" s="18"/>
      <c r="G194" s="15">
        <f>IFERROR(IF($D194="","",VLOOKUP($D194,'Malzeme Kartları'!$B$5:$D$204,3,FALSE)),"")</f>
      </c>
      <c r="H194" s="17">
        <f>IFERROR(IF(OR($D194="",$F194=""),0,$F194*VLOOKUP($D194,'Malzeme Kartları'!$B$5:$G$204,6,FALSE)),0)</f>
      </c>
    </row>
    <row r="195" spans="2:8" x14ac:dyDescent="0.25">
      <c r="B195" s="8"/>
      <c r="C195" s="15">
        <f>IFERROR(IF($B195="","",VLOOKUP($B195,'Menü Kartları'!$B$5:$C$154,2,FALSE)),"")</f>
      </c>
      <c r="D195" s="8"/>
      <c r="E195" s="15">
        <f>IFERROR(IF($D195="","",VLOOKUP($D195,'Malzeme Kartları'!$B$5:$C$204,2,FALSE)),"— tanımsız —")</f>
      </c>
      <c r="F195" s="16"/>
      <c r="G195" s="15">
        <f>IFERROR(IF($D195="","",VLOOKUP($D195,'Malzeme Kartları'!$B$5:$D$204,3,FALSE)),"")</f>
      </c>
      <c r="H195" s="17">
        <f>IFERROR(IF(OR($D195="",$F195=""),0,$F195*VLOOKUP($D195,'Malzeme Kartları'!$B$5:$G$204,6,FALSE)),0)</f>
      </c>
    </row>
    <row r="196" spans="2:8" x14ac:dyDescent="0.25">
      <c r="B196" s="12"/>
      <c r="C196" s="15">
        <f>IFERROR(IF($B196="","",VLOOKUP($B196,'Menü Kartları'!$B$5:$C$154,2,FALSE)),"")</f>
      </c>
      <c r="D196" s="12"/>
      <c r="E196" s="15">
        <f>IFERROR(IF($D196="","",VLOOKUP($D196,'Malzeme Kartları'!$B$5:$C$204,2,FALSE)),"— tanımsız —")</f>
      </c>
      <c r="F196" s="18"/>
      <c r="G196" s="15">
        <f>IFERROR(IF($D196="","",VLOOKUP($D196,'Malzeme Kartları'!$B$5:$D$204,3,FALSE)),"")</f>
      </c>
      <c r="H196" s="17">
        <f>IFERROR(IF(OR($D196="",$F196=""),0,$F196*VLOOKUP($D196,'Malzeme Kartları'!$B$5:$G$204,6,FALSE)),0)</f>
      </c>
    </row>
    <row r="197" spans="2:8" x14ac:dyDescent="0.25">
      <c r="B197" s="8"/>
      <c r="C197" s="15">
        <f>IFERROR(IF($B197="","",VLOOKUP($B197,'Menü Kartları'!$B$5:$C$154,2,FALSE)),"")</f>
      </c>
      <c r="D197" s="8"/>
      <c r="E197" s="15">
        <f>IFERROR(IF($D197="","",VLOOKUP($D197,'Malzeme Kartları'!$B$5:$C$204,2,FALSE)),"— tanımsız —")</f>
      </c>
      <c r="F197" s="16"/>
      <c r="G197" s="15">
        <f>IFERROR(IF($D197="","",VLOOKUP($D197,'Malzeme Kartları'!$B$5:$D$204,3,FALSE)),"")</f>
      </c>
      <c r="H197" s="17">
        <f>IFERROR(IF(OR($D197="",$F197=""),0,$F197*VLOOKUP($D197,'Malzeme Kartları'!$B$5:$G$204,6,FALSE)),0)</f>
      </c>
    </row>
    <row r="198" spans="2:8" x14ac:dyDescent="0.25">
      <c r="B198" s="12"/>
      <c r="C198" s="15">
        <f>IFERROR(IF($B198="","",VLOOKUP($B198,'Menü Kartları'!$B$5:$C$154,2,FALSE)),"")</f>
      </c>
      <c r="D198" s="12"/>
      <c r="E198" s="15">
        <f>IFERROR(IF($D198="","",VLOOKUP($D198,'Malzeme Kartları'!$B$5:$C$204,2,FALSE)),"— tanımsız —")</f>
      </c>
      <c r="F198" s="18"/>
      <c r="G198" s="15">
        <f>IFERROR(IF($D198="","",VLOOKUP($D198,'Malzeme Kartları'!$B$5:$D$204,3,FALSE)),"")</f>
      </c>
      <c r="H198" s="17">
        <f>IFERROR(IF(OR($D198="",$F198=""),0,$F198*VLOOKUP($D198,'Malzeme Kartları'!$B$5:$G$204,6,FALSE)),0)</f>
      </c>
    </row>
    <row r="199" spans="2:8" x14ac:dyDescent="0.25">
      <c r="B199" s="8"/>
      <c r="C199" s="15">
        <f>IFERROR(IF($B199="","",VLOOKUP($B199,'Menü Kartları'!$B$5:$C$154,2,FALSE)),"")</f>
      </c>
      <c r="D199" s="8"/>
      <c r="E199" s="15">
        <f>IFERROR(IF($D199="","",VLOOKUP($D199,'Malzeme Kartları'!$B$5:$C$204,2,FALSE)),"— tanımsız —")</f>
      </c>
      <c r="F199" s="16"/>
      <c r="G199" s="15">
        <f>IFERROR(IF($D199="","",VLOOKUP($D199,'Malzeme Kartları'!$B$5:$D$204,3,FALSE)),"")</f>
      </c>
      <c r="H199" s="17">
        <f>IFERROR(IF(OR($D199="",$F199=""),0,$F199*VLOOKUP($D199,'Malzeme Kartları'!$B$5:$G$204,6,FALSE)),0)</f>
      </c>
    </row>
    <row r="200" spans="2:8" x14ac:dyDescent="0.25">
      <c r="B200" s="12"/>
      <c r="C200" s="15">
        <f>IFERROR(IF($B200="","",VLOOKUP($B200,'Menü Kartları'!$B$5:$C$154,2,FALSE)),"")</f>
      </c>
      <c r="D200" s="12"/>
      <c r="E200" s="15">
        <f>IFERROR(IF($D200="","",VLOOKUP($D200,'Malzeme Kartları'!$B$5:$C$204,2,FALSE)),"— tanımsız —")</f>
      </c>
      <c r="F200" s="18"/>
      <c r="G200" s="15">
        <f>IFERROR(IF($D200="","",VLOOKUP($D200,'Malzeme Kartları'!$B$5:$D$204,3,FALSE)),"")</f>
      </c>
      <c r="H200" s="17">
        <f>IFERROR(IF(OR($D200="",$F200=""),0,$F200*VLOOKUP($D200,'Malzeme Kartları'!$B$5:$G$204,6,FALSE)),0)</f>
      </c>
    </row>
    <row r="201" spans="2:8" x14ac:dyDescent="0.25">
      <c r="B201" s="8"/>
      <c r="C201" s="15">
        <f>IFERROR(IF($B201="","",VLOOKUP($B201,'Menü Kartları'!$B$5:$C$154,2,FALSE)),"")</f>
      </c>
      <c r="D201" s="8"/>
      <c r="E201" s="15">
        <f>IFERROR(IF($D201="","",VLOOKUP($D201,'Malzeme Kartları'!$B$5:$C$204,2,FALSE)),"— tanımsız —")</f>
      </c>
      <c r="F201" s="16"/>
      <c r="G201" s="15">
        <f>IFERROR(IF($D201="","",VLOOKUP($D201,'Malzeme Kartları'!$B$5:$D$204,3,FALSE)),"")</f>
      </c>
      <c r="H201" s="17">
        <f>IFERROR(IF(OR($D201="",$F201=""),0,$F201*VLOOKUP($D201,'Malzeme Kartları'!$B$5:$G$204,6,FALSE)),0)</f>
      </c>
    </row>
    <row r="202" spans="2:8" x14ac:dyDescent="0.25">
      <c r="B202" s="12"/>
      <c r="C202" s="15">
        <f>IFERROR(IF($B202="","",VLOOKUP($B202,'Menü Kartları'!$B$5:$C$154,2,FALSE)),"")</f>
      </c>
      <c r="D202" s="12"/>
      <c r="E202" s="15">
        <f>IFERROR(IF($D202="","",VLOOKUP($D202,'Malzeme Kartları'!$B$5:$C$204,2,FALSE)),"— tanımsız —")</f>
      </c>
      <c r="F202" s="18"/>
      <c r="G202" s="15">
        <f>IFERROR(IF($D202="","",VLOOKUP($D202,'Malzeme Kartları'!$B$5:$D$204,3,FALSE)),"")</f>
      </c>
      <c r="H202" s="17">
        <f>IFERROR(IF(OR($D202="",$F202=""),0,$F202*VLOOKUP($D202,'Malzeme Kartları'!$B$5:$G$204,6,FALSE)),0)</f>
      </c>
    </row>
    <row r="203" spans="2:8" x14ac:dyDescent="0.25">
      <c r="B203" s="8"/>
      <c r="C203" s="15">
        <f>IFERROR(IF($B203="","",VLOOKUP($B203,'Menü Kartları'!$B$5:$C$154,2,FALSE)),"")</f>
      </c>
      <c r="D203" s="8"/>
      <c r="E203" s="15">
        <f>IFERROR(IF($D203="","",VLOOKUP($D203,'Malzeme Kartları'!$B$5:$C$204,2,FALSE)),"— tanımsız —")</f>
      </c>
      <c r="F203" s="16"/>
      <c r="G203" s="15">
        <f>IFERROR(IF($D203="","",VLOOKUP($D203,'Malzeme Kartları'!$B$5:$D$204,3,FALSE)),"")</f>
      </c>
      <c r="H203" s="17">
        <f>IFERROR(IF(OR($D203="",$F203=""),0,$F203*VLOOKUP($D203,'Malzeme Kartları'!$B$5:$G$204,6,FALSE)),0)</f>
      </c>
    </row>
    <row r="204" spans="2:8" x14ac:dyDescent="0.25">
      <c r="B204" s="12"/>
      <c r="C204" s="15">
        <f>IFERROR(IF($B204="","",VLOOKUP($B204,'Menü Kartları'!$B$5:$C$154,2,FALSE)),"")</f>
      </c>
      <c r="D204" s="12"/>
      <c r="E204" s="15">
        <f>IFERROR(IF($D204="","",VLOOKUP($D204,'Malzeme Kartları'!$B$5:$C$204,2,FALSE)),"— tanımsız —")</f>
      </c>
      <c r="F204" s="18"/>
      <c r="G204" s="15">
        <f>IFERROR(IF($D204="","",VLOOKUP($D204,'Malzeme Kartları'!$B$5:$D$204,3,FALSE)),"")</f>
      </c>
      <c r="H204" s="17">
        <f>IFERROR(IF(OR($D204="",$F204=""),0,$F204*VLOOKUP($D204,'Malzeme Kartları'!$B$5:$G$204,6,FALSE)),0)</f>
      </c>
    </row>
    <row r="205" spans="2:8" x14ac:dyDescent="0.25">
      <c r="B205" s="8"/>
      <c r="C205" s="15">
        <f>IFERROR(IF($B205="","",VLOOKUP($B205,'Menü Kartları'!$B$5:$C$154,2,FALSE)),"")</f>
      </c>
      <c r="D205" s="8"/>
      <c r="E205" s="15">
        <f>IFERROR(IF($D205="","",VLOOKUP($D205,'Malzeme Kartları'!$B$5:$C$204,2,FALSE)),"— tanımsız —")</f>
      </c>
      <c r="F205" s="16"/>
      <c r="G205" s="15">
        <f>IFERROR(IF($D205="","",VLOOKUP($D205,'Malzeme Kartları'!$B$5:$D$204,3,FALSE)),"")</f>
      </c>
      <c r="H205" s="17">
        <f>IFERROR(IF(OR($D205="",$F205=""),0,$F205*VLOOKUP($D205,'Malzeme Kartları'!$B$5:$G$204,6,FALSE)),0)</f>
      </c>
    </row>
    <row r="206" spans="2:8" x14ac:dyDescent="0.25">
      <c r="B206" s="12"/>
      <c r="C206" s="15">
        <f>IFERROR(IF($B206="","",VLOOKUP($B206,'Menü Kartları'!$B$5:$C$154,2,FALSE)),"")</f>
      </c>
      <c r="D206" s="12"/>
      <c r="E206" s="15">
        <f>IFERROR(IF($D206="","",VLOOKUP($D206,'Malzeme Kartları'!$B$5:$C$204,2,FALSE)),"— tanımsız —")</f>
      </c>
      <c r="F206" s="18"/>
      <c r="G206" s="15">
        <f>IFERROR(IF($D206="","",VLOOKUP($D206,'Malzeme Kartları'!$B$5:$D$204,3,FALSE)),"")</f>
      </c>
      <c r="H206" s="17">
        <f>IFERROR(IF(OR($D206="",$F206=""),0,$F206*VLOOKUP($D206,'Malzeme Kartları'!$B$5:$G$204,6,FALSE)),0)</f>
      </c>
    </row>
    <row r="207" spans="2:8" x14ac:dyDescent="0.25">
      <c r="B207" s="8"/>
      <c r="C207" s="15">
        <f>IFERROR(IF($B207="","",VLOOKUP($B207,'Menü Kartları'!$B$5:$C$154,2,FALSE)),"")</f>
      </c>
      <c r="D207" s="8"/>
      <c r="E207" s="15">
        <f>IFERROR(IF($D207="","",VLOOKUP($D207,'Malzeme Kartları'!$B$5:$C$204,2,FALSE)),"— tanımsız —")</f>
      </c>
      <c r="F207" s="16"/>
      <c r="G207" s="15">
        <f>IFERROR(IF($D207="","",VLOOKUP($D207,'Malzeme Kartları'!$B$5:$D$204,3,FALSE)),"")</f>
      </c>
      <c r="H207" s="17">
        <f>IFERROR(IF(OR($D207="",$F207=""),0,$F207*VLOOKUP($D207,'Malzeme Kartları'!$B$5:$G$204,6,FALSE)),0)</f>
      </c>
    </row>
    <row r="208" spans="2:8" x14ac:dyDescent="0.25">
      <c r="B208" s="12"/>
      <c r="C208" s="15">
        <f>IFERROR(IF($B208="","",VLOOKUP($B208,'Menü Kartları'!$B$5:$C$154,2,FALSE)),"")</f>
      </c>
      <c r="D208" s="12"/>
      <c r="E208" s="15">
        <f>IFERROR(IF($D208="","",VLOOKUP($D208,'Malzeme Kartları'!$B$5:$C$204,2,FALSE)),"— tanımsız —")</f>
      </c>
      <c r="F208" s="18"/>
      <c r="G208" s="15">
        <f>IFERROR(IF($D208="","",VLOOKUP($D208,'Malzeme Kartları'!$B$5:$D$204,3,FALSE)),"")</f>
      </c>
      <c r="H208" s="17">
        <f>IFERROR(IF(OR($D208="",$F208=""),0,$F208*VLOOKUP($D208,'Malzeme Kartları'!$B$5:$G$204,6,FALSE)),0)</f>
      </c>
    </row>
    <row r="209" spans="2:8" x14ac:dyDescent="0.25">
      <c r="B209" s="8"/>
      <c r="C209" s="15">
        <f>IFERROR(IF($B209="","",VLOOKUP($B209,'Menü Kartları'!$B$5:$C$154,2,FALSE)),"")</f>
      </c>
      <c r="D209" s="8"/>
      <c r="E209" s="15">
        <f>IFERROR(IF($D209="","",VLOOKUP($D209,'Malzeme Kartları'!$B$5:$C$204,2,FALSE)),"— tanımsız —")</f>
      </c>
      <c r="F209" s="16"/>
      <c r="G209" s="15">
        <f>IFERROR(IF($D209="","",VLOOKUP($D209,'Malzeme Kartları'!$B$5:$D$204,3,FALSE)),"")</f>
      </c>
      <c r="H209" s="17">
        <f>IFERROR(IF(OR($D209="",$F209=""),0,$F209*VLOOKUP($D209,'Malzeme Kartları'!$B$5:$G$204,6,FALSE)),0)</f>
      </c>
    </row>
    <row r="210" spans="2:8" x14ac:dyDescent="0.25">
      <c r="B210" s="12"/>
      <c r="C210" s="15">
        <f>IFERROR(IF($B210="","",VLOOKUP($B210,'Menü Kartları'!$B$5:$C$154,2,FALSE)),"")</f>
      </c>
      <c r="D210" s="12"/>
      <c r="E210" s="15">
        <f>IFERROR(IF($D210="","",VLOOKUP($D210,'Malzeme Kartları'!$B$5:$C$204,2,FALSE)),"— tanımsız —")</f>
      </c>
      <c r="F210" s="18"/>
      <c r="G210" s="15">
        <f>IFERROR(IF($D210="","",VLOOKUP($D210,'Malzeme Kartları'!$B$5:$D$204,3,FALSE)),"")</f>
      </c>
      <c r="H210" s="17">
        <f>IFERROR(IF(OR($D210="",$F210=""),0,$F210*VLOOKUP($D210,'Malzeme Kartları'!$B$5:$G$204,6,FALSE)),0)</f>
      </c>
    </row>
    <row r="211" spans="2:8" x14ac:dyDescent="0.25">
      <c r="B211" s="8"/>
      <c r="C211" s="15">
        <f>IFERROR(IF($B211="","",VLOOKUP($B211,'Menü Kartları'!$B$5:$C$154,2,FALSE)),"")</f>
      </c>
      <c r="D211" s="8"/>
      <c r="E211" s="15">
        <f>IFERROR(IF($D211="","",VLOOKUP($D211,'Malzeme Kartları'!$B$5:$C$204,2,FALSE)),"— tanımsız —")</f>
      </c>
      <c r="F211" s="16"/>
      <c r="G211" s="15">
        <f>IFERROR(IF($D211="","",VLOOKUP($D211,'Malzeme Kartları'!$B$5:$D$204,3,FALSE)),"")</f>
      </c>
      <c r="H211" s="17">
        <f>IFERROR(IF(OR($D211="",$F211=""),0,$F211*VLOOKUP($D211,'Malzeme Kartları'!$B$5:$G$204,6,FALSE)),0)</f>
      </c>
    </row>
    <row r="212" spans="2:8" x14ac:dyDescent="0.25">
      <c r="B212" s="12"/>
      <c r="C212" s="15">
        <f>IFERROR(IF($B212="","",VLOOKUP($B212,'Menü Kartları'!$B$5:$C$154,2,FALSE)),"")</f>
      </c>
      <c r="D212" s="12"/>
      <c r="E212" s="15">
        <f>IFERROR(IF($D212="","",VLOOKUP($D212,'Malzeme Kartları'!$B$5:$C$204,2,FALSE)),"— tanımsız —")</f>
      </c>
      <c r="F212" s="18"/>
      <c r="G212" s="15">
        <f>IFERROR(IF($D212="","",VLOOKUP($D212,'Malzeme Kartları'!$B$5:$D$204,3,FALSE)),"")</f>
      </c>
      <c r="H212" s="17">
        <f>IFERROR(IF(OR($D212="",$F212=""),0,$F212*VLOOKUP($D212,'Malzeme Kartları'!$B$5:$G$204,6,FALSE)),0)</f>
      </c>
    </row>
    <row r="213" spans="2:8" x14ac:dyDescent="0.25">
      <c r="B213" s="8"/>
      <c r="C213" s="15">
        <f>IFERROR(IF($B213="","",VLOOKUP($B213,'Menü Kartları'!$B$5:$C$154,2,FALSE)),"")</f>
      </c>
      <c r="D213" s="8"/>
      <c r="E213" s="15">
        <f>IFERROR(IF($D213="","",VLOOKUP($D213,'Malzeme Kartları'!$B$5:$C$204,2,FALSE)),"— tanımsız —")</f>
      </c>
      <c r="F213" s="16"/>
      <c r="G213" s="15">
        <f>IFERROR(IF($D213="","",VLOOKUP($D213,'Malzeme Kartları'!$B$5:$D$204,3,FALSE)),"")</f>
      </c>
      <c r="H213" s="17">
        <f>IFERROR(IF(OR($D213="",$F213=""),0,$F213*VLOOKUP($D213,'Malzeme Kartları'!$B$5:$G$204,6,FALSE)),0)</f>
      </c>
    </row>
    <row r="214" spans="2:8" x14ac:dyDescent="0.25">
      <c r="B214" s="12"/>
      <c r="C214" s="15">
        <f>IFERROR(IF($B214="","",VLOOKUP($B214,'Menü Kartları'!$B$5:$C$154,2,FALSE)),"")</f>
      </c>
      <c r="D214" s="12"/>
      <c r="E214" s="15">
        <f>IFERROR(IF($D214="","",VLOOKUP($D214,'Malzeme Kartları'!$B$5:$C$204,2,FALSE)),"— tanımsız —")</f>
      </c>
      <c r="F214" s="18"/>
      <c r="G214" s="15">
        <f>IFERROR(IF($D214="","",VLOOKUP($D214,'Malzeme Kartları'!$B$5:$D$204,3,FALSE)),"")</f>
      </c>
      <c r="H214" s="17">
        <f>IFERROR(IF(OR($D214="",$F214=""),0,$F214*VLOOKUP($D214,'Malzeme Kartları'!$B$5:$G$204,6,FALSE)),0)</f>
      </c>
    </row>
    <row r="215" spans="2:8" x14ac:dyDescent="0.25">
      <c r="B215" s="8"/>
      <c r="C215" s="15">
        <f>IFERROR(IF($B215="","",VLOOKUP($B215,'Menü Kartları'!$B$5:$C$154,2,FALSE)),"")</f>
      </c>
      <c r="D215" s="8"/>
      <c r="E215" s="15">
        <f>IFERROR(IF($D215="","",VLOOKUP($D215,'Malzeme Kartları'!$B$5:$C$204,2,FALSE)),"— tanımsız —")</f>
      </c>
      <c r="F215" s="16"/>
      <c r="G215" s="15">
        <f>IFERROR(IF($D215="","",VLOOKUP($D215,'Malzeme Kartları'!$B$5:$D$204,3,FALSE)),"")</f>
      </c>
      <c r="H215" s="17">
        <f>IFERROR(IF(OR($D215="",$F215=""),0,$F215*VLOOKUP($D215,'Malzeme Kartları'!$B$5:$G$204,6,FALSE)),0)</f>
      </c>
    </row>
    <row r="216" spans="2:8" x14ac:dyDescent="0.25">
      <c r="B216" s="12"/>
      <c r="C216" s="15">
        <f>IFERROR(IF($B216="","",VLOOKUP($B216,'Menü Kartları'!$B$5:$C$154,2,FALSE)),"")</f>
      </c>
      <c r="D216" s="12"/>
      <c r="E216" s="15">
        <f>IFERROR(IF($D216="","",VLOOKUP($D216,'Malzeme Kartları'!$B$5:$C$204,2,FALSE)),"— tanımsız —")</f>
      </c>
      <c r="F216" s="18"/>
      <c r="G216" s="15">
        <f>IFERROR(IF($D216="","",VLOOKUP($D216,'Malzeme Kartları'!$B$5:$D$204,3,FALSE)),"")</f>
      </c>
      <c r="H216" s="17">
        <f>IFERROR(IF(OR($D216="",$F216=""),0,$F216*VLOOKUP($D216,'Malzeme Kartları'!$B$5:$G$204,6,FALSE)),0)</f>
      </c>
    </row>
    <row r="217" spans="2:8" x14ac:dyDescent="0.25">
      <c r="B217" s="8"/>
      <c r="C217" s="15">
        <f>IFERROR(IF($B217="","",VLOOKUP($B217,'Menü Kartları'!$B$5:$C$154,2,FALSE)),"")</f>
      </c>
      <c r="D217" s="8"/>
      <c r="E217" s="15">
        <f>IFERROR(IF($D217="","",VLOOKUP($D217,'Malzeme Kartları'!$B$5:$C$204,2,FALSE)),"— tanımsız —")</f>
      </c>
      <c r="F217" s="16"/>
      <c r="G217" s="15">
        <f>IFERROR(IF($D217="","",VLOOKUP($D217,'Malzeme Kartları'!$B$5:$D$204,3,FALSE)),"")</f>
      </c>
      <c r="H217" s="17">
        <f>IFERROR(IF(OR($D217="",$F217=""),0,$F217*VLOOKUP($D217,'Malzeme Kartları'!$B$5:$G$204,6,FALSE)),0)</f>
      </c>
    </row>
    <row r="218" spans="2:8" x14ac:dyDescent="0.25">
      <c r="B218" s="12"/>
      <c r="C218" s="15">
        <f>IFERROR(IF($B218="","",VLOOKUP($B218,'Menü Kartları'!$B$5:$C$154,2,FALSE)),"")</f>
      </c>
      <c r="D218" s="12"/>
      <c r="E218" s="15">
        <f>IFERROR(IF($D218="","",VLOOKUP($D218,'Malzeme Kartları'!$B$5:$C$204,2,FALSE)),"— tanımsız —")</f>
      </c>
      <c r="F218" s="18"/>
      <c r="G218" s="15">
        <f>IFERROR(IF($D218="","",VLOOKUP($D218,'Malzeme Kartları'!$B$5:$D$204,3,FALSE)),"")</f>
      </c>
      <c r="H218" s="17">
        <f>IFERROR(IF(OR($D218="",$F218=""),0,$F218*VLOOKUP($D218,'Malzeme Kartları'!$B$5:$G$204,6,FALSE)),0)</f>
      </c>
    </row>
    <row r="219" spans="2:8" x14ac:dyDescent="0.25">
      <c r="B219" s="8"/>
      <c r="C219" s="15">
        <f>IFERROR(IF($B219="","",VLOOKUP($B219,'Menü Kartları'!$B$5:$C$154,2,FALSE)),"")</f>
      </c>
      <c r="D219" s="8"/>
      <c r="E219" s="15">
        <f>IFERROR(IF($D219="","",VLOOKUP($D219,'Malzeme Kartları'!$B$5:$C$204,2,FALSE)),"— tanımsız —")</f>
      </c>
      <c r="F219" s="16"/>
      <c r="G219" s="15">
        <f>IFERROR(IF($D219="","",VLOOKUP($D219,'Malzeme Kartları'!$B$5:$D$204,3,FALSE)),"")</f>
      </c>
      <c r="H219" s="17">
        <f>IFERROR(IF(OR($D219="",$F219=""),0,$F219*VLOOKUP($D219,'Malzeme Kartları'!$B$5:$G$204,6,FALSE)),0)</f>
      </c>
    </row>
    <row r="220" spans="2:8" x14ac:dyDescent="0.25">
      <c r="B220" s="12"/>
      <c r="C220" s="15">
        <f>IFERROR(IF($B220="","",VLOOKUP($B220,'Menü Kartları'!$B$5:$C$154,2,FALSE)),"")</f>
      </c>
      <c r="D220" s="12"/>
      <c r="E220" s="15">
        <f>IFERROR(IF($D220="","",VLOOKUP($D220,'Malzeme Kartları'!$B$5:$C$204,2,FALSE)),"— tanımsız —")</f>
      </c>
      <c r="F220" s="18"/>
      <c r="G220" s="15">
        <f>IFERROR(IF($D220="","",VLOOKUP($D220,'Malzeme Kartları'!$B$5:$D$204,3,FALSE)),"")</f>
      </c>
      <c r="H220" s="17">
        <f>IFERROR(IF(OR($D220="",$F220=""),0,$F220*VLOOKUP($D220,'Malzeme Kartları'!$B$5:$G$204,6,FALSE)),0)</f>
      </c>
    </row>
    <row r="221" spans="2:8" x14ac:dyDescent="0.25">
      <c r="B221" s="8"/>
      <c r="C221" s="15">
        <f>IFERROR(IF($B221="","",VLOOKUP($B221,'Menü Kartları'!$B$5:$C$154,2,FALSE)),"")</f>
      </c>
      <c r="D221" s="8"/>
      <c r="E221" s="15">
        <f>IFERROR(IF($D221="","",VLOOKUP($D221,'Malzeme Kartları'!$B$5:$C$204,2,FALSE)),"— tanımsız —")</f>
      </c>
      <c r="F221" s="16"/>
      <c r="G221" s="15">
        <f>IFERROR(IF($D221="","",VLOOKUP($D221,'Malzeme Kartları'!$B$5:$D$204,3,FALSE)),"")</f>
      </c>
      <c r="H221" s="17">
        <f>IFERROR(IF(OR($D221="",$F221=""),0,$F221*VLOOKUP($D221,'Malzeme Kartları'!$B$5:$G$204,6,FALSE)),0)</f>
      </c>
    </row>
    <row r="222" spans="2:8" x14ac:dyDescent="0.25">
      <c r="B222" s="12"/>
      <c r="C222" s="15">
        <f>IFERROR(IF($B222="","",VLOOKUP($B222,'Menü Kartları'!$B$5:$C$154,2,FALSE)),"")</f>
      </c>
      <c r="D222" s="12"/>
      <c r="E222" s="15">
        <f>IFERROR(IF($D222="","",VLOOKUP($D222,'Malzeme Kartları'!$B$5:$C$204,2,FALSE)),"— tanımsız —")</f>
      </c>
      <c r="F222" s="18"/>
      <c r="G222" s="15">
        <f>IFERROR(IF($D222="","",VLOOKUP($D222,'Malzeme Kartları'!$B$5:$D$204,3,FALSE)),"")</f>
      </c>
      <c r="H222" s="17">
        <f>IFERROR(IF(OR($D222="",$F222=""),0,$F222*VLOOKUP($D222,'Malzeme Kartları'!$B$5:$G$204,6,FALSE)),0)</f>
      </c>
    </row>
    <row r="223" spans="2:8" x14ac:dyDescent="0.25">
      <c r="B223" s="8"/>
      <c r="C223" s="15">
        <f>IFERROR(IF($B223="","",VLOOKUP($B223,'Menü Kartları'!$B$5:$C$154,2,FALSE)),"")</f>
      </c>
      <c r="D223" s="8"/>
      <c r="E223" s="15">
        <f>IFERROR(IF($D223="","",VLOOKUP($D223,'Malzeme Kartları'!$B$5:$C$204,2,FALSE)),"— tanımsız —")</f>
      </c>
      <c r="F223" s="16"/>
      <c r="G223" s="15">
        <f>IFERROR(IF($D223="","",VLOOKUP($D223,'Malzeme Kartları'!$B$5:$D$204,3,FALSE)),"")</f>
      </c>
      <c r="H223" s="17">
        <f>IFERROR(IF(OR($D223="",$F223=""),0,$F223*VLOOKUP($D223,'Malzeme Kartları'!$B$5:$G$204,6,FALSE)),0)</f>
      </c>
    </row>
    <row r="224" spans="2:8" x14ac:dyDescent="0.25">
      <c r="B224" s="12"/>
      <c r="C224" s="15">
        <f>IFERROR(IF($B224="","",VLOOKUP($B224,'Menü Kartları'!$B$5:$C$154,2,FALSE)),"")</f>
      </c>
      <c r="D224" s="12"/>
      <c r="E224" s="15">
        <f>IFERROR(IF($D224="","",VLOOKUP($D224,'Malzeme Kartları'!$B$5:$C$204,2,FALSE)),"— tanımsız —")</f>
      </c>
      <c r="F224" s="18"/>
      <c r="G224" s="15">
        <f>IFERROR(IF($D224="","",VLOOKUP($D224,'Malzeme Kartları'!$B$5:$D$204,3,FALSE)),"")</f>
      </c>
      <c r="H224" s="17">
        <f>IFERROR(IF(OR($D224="",$F224=""),0,$F224*VLOOKUP($D224,'Malzeme Kartları'!$B$5:$G$204,6,FALSE)),0)</f>
      </c>
    </row>
    <row r="225" spans="2:8" x14ac:dyDescent="0.25">
      <c r="B225" s="8"/>
      <c r="C225" s="15">
        <f>IFERROR(IF($B225="","",VLOOKUP($B225,'Menü Kartları'!$B$5:$C$154,2,FALSE)),"")</f>
      </c>
      <c r="D225" s="8"/>
      <c r="E225" s="15">
        <f>IFERROR(IF($D225="","",VLOOKUP($D225,'Malzeme Kartları'!$B$5:$C$204,2,FALSE)),"— tanımsız —")</f>
      </c>
      <c r="F225" s="16"/>
      <c r="G225" s="15">
        <f>IFERROR(IF($D225="","",VLOOKUP($D225,'Malzeme Kartları'!$B$5:$D$204,3,FALSE)),"")</f>
      </c>
      <c r="H225" s="17">
        <f>IFERROR(IF(OR($D225="",$F225=""),0,$F225*VLOOKUP($D225,'Malzeme Kartları'!$B$5:$G$204,6,FALSE)),0)</f>
      </c>
    </row>
    <row r="226" spans="2:8" x14ac:dyDescent="0.25">
      <c r="B226" s="12"/>
      <c r="C226" s="15">
        <f>IFERROR(IF($B226="","",VLOOKUP($B226,'Menü Kartları'!$B$5:$C$154,2,FALSE)),"")</f>
      </c>
      <c r="D226" s="12"/>
      <c r="E226" s="15">
        <f>IFERROR(IF($D226="","",VLOOKUP($D226,'Malzeme Kartları'!$B$5:$C$204,2,FALSE)),"— tanımsız —")</f>
      </c>
      <c r="F226" s="18"/>
      <c r="G226" s="15">
        <f>IFERROR(IF($D226="","",VLOOKUP($D226,'Malzeme Kartları'!$B$5:$D$204,3,FALSE)),"")</f>
      </c>
      <c r="H226" s="17">
        <f>IFERROR(IF(OR($D226="",$F226=""),0,$F226*VLOOKUP($D226,'Malzeme Kartları'!$B$5:$G$204,6,FALSE)),0)</f>
      </c>
    </row>
    <row r="227" spans="2:8" x14ac:dyDescent="0.25">
      <c r="B227" s="8"/>
      <c r="C227" s="15">
        <f>IFERROR(IF($B227="","",VLOOKUP($B227,'Menü Kartları'!$B$5:$C$154,2,FALSE)),"")</f>
      </c>
      <c r="D227" s="8"/>
      <c r="E227" s="15">
        <f>IFERROR(IF($D227="","",VLOOKUP($D227,'Malzeme Kartları'!$B$5:$C$204,2,FALSE)),"— tanımsız —")</f>
      </c>
      <c r="F227" s="16"/>
      <c r="G227" s="15">
        <f>IFERROR(IF($D227="","",VLOOKUP($D227,'Malzeme Kartları'!$B$5:$D$204,3,FALSE)),"")</f>
      </c>
      <c r="H227" s="17">
        <f>IFERROR(IF(OR($D227="",$F227=""),0,$F227*VLOOKUP($D227,'Malzeme Kartları'!$B$5:$G$204,6,FALSE)),0)</f>
      </c>
    </row>
    <row r="228" spans="2:8" x14ac:dyDescent="0.25">
      <c r="B228" s="12"/>
      <c r="C228" s="15">
        <f>IFERROR(IF($B228="","",VLOOKUP($B228,'Menü Kartları'!$B$5:$C$154,2,FALSE)),"")</f>
      </c>
      <c r="D228" s="12"/>
      <c r="E228" s="15">
        <f>IFERROR(IF($D228="","",VLOOKUP($D228,'Malzeme Kartları'!$B$5:$C$204,2,FALSE)),"— tanımsız —")</f>
      </c>
      <c r="F228" s="18"/>
      <c r="G228" s="15">
        <f>IFERROR(IF($D228="","",VLOOKUP($D228,'Malzeme Kartları'!$B$5:$D$204,3,FALSE)),"")</f>
      </c>
      <c r="H228" s="17">
        <f>IFERROR(IF(OR($D228="",$F228=""),0,$F228*VLOOKUP($D228,'Malzeme Kartları'!$B$5:$G$204,6,FALSE)),0)</f>
      </c>
    </row>
    <row r="229" spans="2:8" x14ac:dyDescent="0.25">
      <c r="B229" s="8"/>
      <c r="C229" s="15">
        <f>IFERROR(IF($B229="","",VLOOKUP($B229,'Menü Kartları'!$B$5:$C$154,2,FALSE)),"")</f>
      </c>
      <c r="D229" s="8"/>
      <c r="E229" s="15">
        <f>IFERROR(IF($D229="","",VLOOKUP($D229,'Malzeme Kartları'!$B$5:$C$204,2,FALSE)),"— tanımsız —")</f>
      </c>
      <c r="F229" s="16"/>
      <c r="G229" s="15">
        <f>IFERROR(IF($D229="","",VLOOKUP($D229,'Malzeme Kartları'!$B$5:$D$204,3,FALSE)),"")</f>
      </c>
      <c r="H229" s="17">
        <f>IFERROR(IF(OR($D229="",$F229=""),0,$F229*VLOOKUP($D229,'Malzeme Kartları'!$B$5:$G$204,6,FALSE)),0)</f>
      </c>
    </row>
    <row r="230" spans="2:8" x14ac:dyDescent="0.25">
      <c r="B230" s="12"/>
      <c r="C230" s="15">
        <f>IFERROR(IF($B230="","",VLOOKUP($B230,'Menü Kartları'!$B$5:$C$154,2,FALSE)),"")</f>
      </c>
      <c r="D230" s="12"/>
      <c r="E230" s="15">
        <f>IFERROR(IF($D230="","",VLOOKUP($D230,'Malzeme Kartları'!$B$5:$C$204,2,FALSE)),"— tanımsız —")</f>
      </c>
      <c r="F230" s="18"/>
      <c r="G230" s="15">
        <f>IFERROR(IF($D230="","",VLOOKUP($D230,'Malzeme Kartları'!$B$5:$D$204,3,FALSE)),"")</f>
      </c>
      <c r="H230" s="17">
        <f>IFERROR(IF(OR($D230="",$F230=""),0,$F230*VLOOKUP($D230,'Malzeme Kartları'!$B$5:$G$204,6,FALSE)),0)</f>
      </c>
    </row>
    <row r="231" spans="2:8" x14ac:dyDescent="0.25">
      <c r="B231" s="8"/>
      <c r="C231" s="15">
        <f>IFERROR(IF($B231="","",VLOOKUP($B231,'Menü Kartları'!$B$5:$C$154,2,FALSE)),"")</f>
      </c>
      <c r="D231" s="8"/>
      <c r="E231" s="15">
        <f>IFERROR(IF($D231="","",VLOOKUP($D231,'Malzeme Kartları'!$B$5:$C$204,2,FALSE)),"— tanımsız —")</f>
      </c>
      <c r="F231" s="16"/>
      <c r="G231" s="15">
        <f>IFERROR(IF($D231="","",VLOOKUP($D231,'Malzeme Kartları'!$B$5:$D$204,3,FALSE)),"")</f>
      </c>
      <c r="H231" s="17">
        <f>IFERROR(IF(OR($D231="",$F231=""),0,$F231*VLOOKUP($D231,'Malzeme Kartları'!$B$5:$G$204,6,FALSE)),0)</f>
      </c>
    </row>
    <row r="232" spans="2:8" x14ac:dyDescent="0.25">
      <c r="B232" s="12"/>
      <c r="C232" s="15">
        <f>IFERROR(IF($B232="","",VLOOKUP($B232,'Menü Kartları'!$B$5:$C$154,2,FALSE)),"")</f>
      </c>
      <c r="D232" s="12"/>
      <c r="E232" s="15">
        <f>IFERROR(IF($D232="","",VLOOKUP($D232,'Malzeme Kartları'!$B$5:$C$204,2,FALSE)),"— tanımsız —")</f>
      </c>
      <c r="F232" s="18"/>
      <c r="G232" s="15">
        <f>IFERROR(IF($D232="","",VLOOKUP($D232,'Malzeme Kartları'!$B$5:$D$204,3,FALSE)),"")</f>
      </c>
      <c r="H232" s="17">
        <f>IFERROR(IF(OR($D232="",$F232=""),0,$F232*VLOOKUP($D232,'Malzeme Kartları'!$B$5:$G$204,6,FALSE)),0)</f>
      </c>
    </row>
    <row r="233" spans="2:8" x14ac:dyDescent="0.25">
      <c r="B233" s="8"/>
      <c r="C233" s="15">
        <f>IFERROR(IF($B233="","",VLOOKUP($B233,'Menü Kartları'!$B$5:$C$154,2,FALSE)),"")</f>
      </c>
      <c r="D233" s="8"/>
      <c r="E233" s="15">
        <f>IFERROR(IF($D233="","",VLOOKUP($D233,'Malzeme Kartları'!$B$5:$C$204,2,FALSE)),"— tanımsız —")</f>
      </c>
      <c r="F233" s="16"/>
      <c r="G233" s="15">
        <f>IFERROR(IF($D233="","",VLOOKUP($D233,'Malzeme Kartları'!$B$5:$D$204,3,FALSE)),"")</f>
      </c>
      <c r="H233" s="17">
        <f>IFERROR(IF(OR($D233="",$F233=""),0,$F233*VLOOKUP($D233,'Malzeme Kartları'!$B$5:$G$204,6,FALSE)),0)</f>
      </c>
    </row>
    <row r="234" spans="2:8" x14ac:dyDescent="0.25">
      <c r="B234" s="12"/>
      <c r="C234" s="15">
        <f>IFERROR(IF($B234="","",VLOOKUP($B234,'Menü Kartları'!$B$5:$C$154,2,FALSE)),"")</f>
      </c>
      <c r="D234" s="12"/>
      <c r="E234" s="15">
        <f>IFERROR(IF($D234="","",VLOOKUP($D234,'Malzeme Kartları'!$B$5:$C$204,2,FALSE)),"— tanımsız —")</f>
      </c>
      <c r="F234" s="18"/>
      <c r="G234" s="15">
        <f>IFERROR(IF($D234="","",VLOOKUP($D234,'Malzeme Kartları'!$B$5:$D$204,3,FALSE)),"")</f>
      </c>
      <c r="H234" s="17">
        <f>IFERROR(IF(OR($D234="",$F234=""),0,$F234*VLOOKUP($D234,'Malzeme Kartları'!$B$5:$G$204,6,FALSE)),0)</f>
      </c>
    </row>
    <row r="235" spans="2:8" x14ac:dyDescent="0.25">
      <c r="B235" s="8"/>
      <c r="C235" s="15">
        <f>IFERROR(IF($B235="","",VLOOKUP($B235,'Menü Kartları'!$B$5:$C$154,2,FALSE)),"")</f>
      </c>
      <c r="D235" s="8"/>
      <c r="E235" s="15">
        <f>IFERROR(IF($D235="","",VLOOKUP($D235,'Malzeme Kartları'!$B$5:$C$204,2,FALSE)),"— tanımsız —")</f>
      </c>
      <c r="F235" s="16"/>
      <c r="G235" s="15">
        <f>IFERROR(IF($D235="","",VLOOKUP($D235,'Malzeme Kartları'!$B$5:$D$204,3,FALSE)),"")</f>
      </c>
      <c r="H235" s="17">
        <f>IFERROR(IF(OR($D235="",$F235=""),0,$F235*VLOOKUP($D235,'Malzeme Kartları'!$B$5:$G$204,6,FALSE)),0)</f>
      </c>
    </row>
    <row r="236" spans="2:8" x14ac:dyDescent="0.25">
      <c r="B236" s="12"/>
      <c r="C236" s="15">
        <f>IFERROR(IF($B236="","",VLOOKUP($B236,'Menü Kartları'!$B$5:$C$154,2,FALSE)),"")</f>
      </c>
      <c r="D236" s="12"/>
      <c r="E236" s="15">
        <f>IFERROR(IF($D236="","",VLOOKUP($D236,'Malzeme Kartları'!$B$5:$C$204,2,FALSE)),"— tanımsız —")</f>
      </c>
      <c r="F236" s="18"/>
      <c r="G236" s="15">
        <f>IFERROR(IF($D236="","",VLOOKUP($D236,'Malzeme Kartları'!$B$5:$D$204,3,FALSE)),"")</f>
      </c>
      <c r="H236" s="17">
        <f>IFERROR(IF(OR($D236="",$F236=""),0,$F236*VLOOKUP($D236,'Malzeme Kartları'!$B$5:$G$204,6,FALSE)),0)</f>
      </c>
    </row>
    <row r="237" spans="2:8" x14ac:dyDescent="0.25">
      <c r="B237" s="8"/>
      <c r="C237" s="15">
        <f>IFERROR(IF($B237="","",VLOOKUP($B237,'Menü Kartları'!$B$5:$C$154,2,FALSE)),"")</f>
      </c>
      <c r="D237" s="8"/>
      <c r="E237" s="15">
        <f>IFERROR(IF($D237="","",VLOOKUP($D237,'Malzeme Kartları'!$B$5:$C$204,2,FALSE)),"— tanımsız —")</f>
      </c>
      <c r="F237" s="16"/>
      <c r="G237" s="15">
        <f>IFERROR(IF($D237="","",VLOOKUP($D237,'Malzeme Kartları'!$B$5:$D$204,3,FALSE)),"")</f>
      </c>
      <c r="H237" s="17">
        <f>IFERROR(IF(OR($D237="",$F237=""),0,$F237*VLOOKUP($D237,'Malzeme Kartları'!$B$5:$G$204,6,FALSE)),0)</f>
      </c>
    </row>
    <row r="238" spans="2:8" x14ac:dyDescent="0.25">
      <c r="B238" s="12"/>
      <c r="C238" s="15">
        <f>IFERROR(IF($B238="","",VLOOKUP($B238,'Menü Kartları'!$B$5:$C$154,2,FALSE)),"")</f>
      </c>
      <c r="D238" s="12"/>
      <c r="E238" s="15">
        <f>IFERROR(IF($D238="","",VLOOKUP($D238,'Malzeme Kartları'!$B$5:$C$204,2,FALSE)),"— tanımsız —")</f>
      </c>
      <c r="F238" s="18"/>
      <c r="G238" s="15">
        <f>IFERROR(IF($D238="","",VLOOKUP($D238,'Malzeme Kartları'!$B$5:$D$204,3,FALSE)),"")</f>
      </c>
      <c r="H238" s="17">
        <f>IFERROR(IF(OR($D238="",$F238=""),0,$F238*VLOOKUP($D238,'Malzeme Kartları'!$B$5:$G$204,6,FALSE)),0)</f>
      </c>
    </row>
    <row r="239" spans="2:8" x14ac:dyDescent="0.25">
      <c r="B239" s="8"/>
      <c r="C239" s="15">
        <f>IFERROR(IF($B239="","",VLOOKUP($B239,'Menü Kartları'!$B$5:$C$154,2,FALSE)),"")</f>
      </c>
      <c r="D239" s="8"/>
      <c r="E239" s="15">
        <f>IFERROR(IF($D239="","",VLOOKUP($D239,'Malzeme Kartları'!$B$5:$C$204,2,FALSE)),"— tanımsız —")</f>
      </c>
      <c r="F239" s="16"/>
      <c r="G239" s="15">
        <f>IFERROR(IF($D239="","",VLOOKUP($D239,'Malzeme Kartları'!$B$5:$D$204,3,FALSE)),"")</f>
      </c>
      <c r="H239" s="17">
        <f>IFERROR(IF(OR($D239="",$F239=""),0,$F239*VLOOKUP($D239,'Malzeme Kartları'!$B$5:$G$204,6,FALSE)),0)</f>
      </c>
    </row>
    <row r="240" spans="2:8" x14ac:dyDescent="0.25">
      <c r="B240" s="12"/>
      <c r="C240" s="15">
        <f>IFERROR(IF($B240="","",VLOOKUP($B240,'Menü Kartları'!$B$5:$C$154,2,FALSE)),"")</f>
      </c>
      <c r="D240" s="12"/>
      <c r="E240" s="15">
        <f>IFERROR(IF($D240="","",VLOOKUP($D240,'Malzeme Kartları'!$B$5:$C$204,2,FALSE)),"— tanımsız —")</f>
      </c>
      <c r="F240" s="18"/>
      <c r="G240" s="15">
        <f>IFERROR(IF($D240="","",VLOOKUP($D240,'Malzeme Kartları'!$B$5:$D$204,3,FALSE)),"")</f>
      </c>
      <c r="H240" s="17">
        <f>IFERROR(IF(OR($D240="",$F240=""),0,$F240*VLOOKUP($D240,'Malzeme Kartları'!$B$5:$G$204,6,FALSE)),0)</f>
      </c>
    </row>
    <row r="241" spans="2:8" x14ac:dyDescent="0.25">
      <c r="B241" s="8"/>
      <c r="C241" s="15">
        <f>IFERROR(IF($B241="","",VLOOKUP($B241,'Menü Kartları'!$B$5:$C$154,2,FALSE)),"")</f>
      </c>
      <c r="D241" s="8"/>
      <c r="E241" s="15">
        <f>IFERROR(IF($D241="","",VLOOKUP($D241,'Malzeme Kartları'!$B$5:$C$204,2,FALSE)),"— tanımsız —")</f>
      </c>
      <c r="F241" s="16"/>
      <c r="G241" s="15">
        <f>IFERROR(IF($D241="","",VLOOKUP($D241,'Malzeme Kartları'!$B$5:$D$204,3,FALSE)),"")</f>
      </c>
      <c r="H241" s="17">
        <f>IFERROR(IF(OR($D241="",$F241=""),0,$F241*VLOOKUP($D241,'Malzeme Kartları'!$B$5:$G$204,6,FALSE)),0)</f>
      </c>
    </row>
    <row r="242" spans="2:8" x14ac:dyDescent="0.25">
      <c r="B242" s="12"/>
      <c r="C242" s="15">
        <f>IFERROR(IF($B242="","",VLOOKUP($B242,'Menü Kartları'!$B$5:$C$154,2,FALSE)),"")</f>
      </c>
      <c r="D242" s="12"/>
      <c r="E242" s="15">
        <f>IFERROR(IF($D242="","",VLOOKUP($D242,'Malzeme Kartları'!$B$5:$C$204,2,FALSE)),"— tanımsız —")</f>
      </c>
      <c r="F242" s="18"/>
      <c r="G242" s="15">
        <f>IFERROR(IF($D242="","",VLOOKUP($D242,'Malzeme Kartları'!$B$5:$D$204,3,FALSE)),"")</f>
      </c>
      <c r="H242" s="17">
        <f>IFERROR(IF(OR($D242="",$F242=""),0,$F242*VLOOKUP($D242,'Malzeme Kartları'!$B$5:$G$204,6,FALSE)),0)</f>
      </c>
    </row>
    <row r="243" spans="2:8" x14ac:dyDescent="0.25">
      <c r="B243" s="8"/>
      <c r="C243" s="15">
        <f>IFERROR(IF($B243="","",VLOOKUP($B243,'Menü Kartları'!$B$5:$C$154,2,FALSE)),"")</f>
      </c>
      <c r="D243" s="8"/>
      <c r="E243" s="15">
        <f>IFERROR(IF($D243="","",VLOOKUP($D243,'Malzeme Kartları'!$B$5:$C$204,2,FALSE)),"— tanımsız —")</f>
      </c>
      <c r="F243" s="16"/>
      <c r="G243" s="15">
        <f>IFERROR(IF($D243="","",VLOOKUP($D243,'Malzeme Kartları'!$B$5:$D$204,3,FALSE)),"")</f>
      </c>
      <c r="H243" s="17">
        <f>IFERROR(IF(OR($D243="",$F243=""),0,$F243*VLOOKUP($D243,'Malzeme Kartları'!$B$5:$G$204,6,FALSE)),0)</f>
      </c>
    </row>
    <row r="244" spans="2:8" x14ac:dyDescent="0.25">
      <c r="B244" s="12"/>
      <c r="C244" s="15">
        <f>IFERROR(IF($B244="","",VLOOKUP($B244,'Menü Kartları'!$B$5:$C$154,2,FALSE)),"")</f>
      </c>
      <c r="D244" s="12"/>
      <c r="E244" s="15">
        <f>IFERROR(IF($D244="","",VLOOKUP($D244,'Malzeme Kartları'!$B$5:$C$204,2,FALSE)),"— tanımsız —")</f>
      </c>
      <c r="F244" s="18"/>
      <c r="G244" s="15">
        <f>IFERROR(IF($D244="","",VLOOKUP($D244,'Malzeme Kartları'!$B$5:$D$204,3,FALSE)),"")</f>
      </c>
      <c r="H244" s="17">
        <f>IFERROR(IF(OR($D244="",$F244=""),0,$F244*VLOOKUP($D244,'Malzeme Kartları'!$B$5:$G$204,6,FALSE)),0)</f>
      </c>
    </row>
    <row r="245" spans="2:8" x14ac:dyDescent="0.25">
      <c r="B245" s="8"/>
      <c r="C245" s="15">
        <f>IFERROR(IF($B245="","",VLOOKUP($B245,'Menü Kartları'!$B$5:$C$154,2,FALSE)),"")</f>
      </c>
      <c r="D245" s="8"/>
      <c r="E245" s="15">
        <f>IFERROR(IF($D245="","",VLOOKUP($D245,'Malzeme Kartları'!$B$5:$C$204,2,FALSE)),"— tanımsız —")</f>
      </c>
      <c r="F245" s="16"/>
      <c r="G245" s="15">
        <f>IFERROR(IF($D245="","",VLOOKUP($D245,'Malzeme Kartları'!$B$5:$D$204,3,FALSE)),"")</f>
      </c>
      <c r="H245" s="17">
        <f>IFERROR(IF(OR($D245="",$F245=""),0,$F245*VLOOKUP($D245,'Malzeme Kartları'!$B$5:$G$204,6,FALSE)),0)</f>
      </c>
    </row>
    <row r="246" spans="2:8" x14ac:dyDescent="0.25">
      <c r="B246" s="12"/>
      <c r="C246" s="15">
        <f>IFERROR(IF($B246="","",VLOOKUP($B246,'Menü Kartları'!$B$5:$C$154,2,FALSE)),"")</f>
      </c>
      <c r="D246" s="12"/>
      <c r="E246" s="15">
        <f>IFERROR(IF($D246="","",VLOOKUP($D246,'Malzeme Kartları'!$B$5:$C$204,2,FALSE)),"— tanımsız —")</f>
      </c>
      <c r="F246" s="18"/>
      <c r="G246" s="15">
        <f>IFERROR(IF($D246="","",VLOOKUP($D246,'Malzeme Kartları'!$B$5:$D$204,3,FALSE)),"")</f>
      </c>
      <c r="H246" s="17">
        <f>IFERROR(IF(OR($D246="",$F246=""),0,$F246*VLOOKUP($D246,'Malzeme Kartları'!$B$5:$G$204,6,FALSE)),0)</f>
      </c>
    </row>
    <row r="247" spans="2:8" x14ac:dyDescent="0.25">
      <c r="B247" s="8"/>
      <c r="C247" s="15">
        <f>IFERROR(IF($B247="","",VLOOKUP($B247,'Menü Kartları'!$B$5:$C$154,2,FALSE)),"")</f>
      </c>
      <c r="D247" s="8"/>
      <c r="E247" s="15">
        <f>IFERROR(IF($D247="","",VLOOKUP($D247,'Malzeme Kartları'!$B$5:$C$204,2,FALSE)),"— tanımsız —")</f>
      </c>
      <c r="F247" s="16"/>
      <c r="G247" s="15">
        <f>IFERROR(IF($D247="","",VLOOKUP($D247,'Malzeme Kartları'!$B$5:$D$204,3,FALSE)),"")</f>
      </c>
      <c r="H247" s="17">
        <f>IFERROR(IF(OR($D247="",$F247=""),0,$F247*VLOOKUP($D247,'Malzeme Kartları'!$B$5:$G$204,6,FALSE)),0)</f>
      </c>
    </row>
    <row r="248" spans="2:8" x14ac:dyDescent="0.25">
      <c r="B248" s="12"/>
      <c r="C248" s="15">
        <f>IFERROR(IF($B248="","",VLOOKUP($B248,'Menü Kartları'!$B$5:$C$154,2,FALSE)),"")</f>
      </c>
      <c r="D248" s="12"/>
      <c r="E248" s="15">
        <f>IFERROR(IF($D248="","",VLOOKUP($D248,'Malzeme Kartları'!$B$5:$C$204,2,FALSE)),"— tanımsız —")</f>
      </c>
      <c r="F248" s="18"/>
      <c r="G248" s="15">
        <f>IFERROR(IF($D248="","",VLOOKUP($D248,'Malzeme Kartları'!$B$5:$D$204,3,FALSE)),"")</f>
      </c>
      <c r="H248" s="17">
        <f>IFERROR(IF(OR($D248="",$F248=""),0,$F248*VLOOKUP($D248,'Malzeme Kartları'!$B$5:$G$204,6,FALSE)),0)</f>
      </c>
    </row>
    <row r="249" spans="2:8" x14ac:dyDescent="0.25">
      <c r="B249" s="8"/>
      <c r="C249" s="15">
        <f>IFERROR(IF($B249="","",VLOOKUP($B249,'Menü Kartları'!$B$5:$C$154,2,FALSE)),"")</f>
      </c>
      <c r="D249" s="8"/>
      <c r="E249" s="15">
        <f>IFERROR(IF($D249="","",VLOOKUP($D249,'Malzeme Kartları'!$B$5:$C$204,2,FALSE)),"— tanımsız —")</f>
      </c>
      <c r="F249" s="16"/>
      <c r="G249" s="15">
        <f>IFERROR(IF($D249="","",VLOOKUP($D249,'Malzeme Kartları'!$B$5:$D$204,3,FALSE)),"")</f>
      </c>
      <c r="H249" s="17">
        <f>IFERROR(IF(OR($D249="",$F249=""),0,$F249*VLOOKUP($D249,'Malzeme Kartları'!$B$5:$G$204,6,FALSE)),0)</f>
      </c>
    </row>
    <row r="250" spans="2:8" x14ac:dyDescent="0.25">
      <c r="B250" s="12"/>
      <c r="C250" s="15">
        <f>IFERROR(IF($B250="","",VLOOKUP($B250,'Menü Kartları'!$B$5:$C$154,2,FALSE)),"")</f>
      </c>
      <c r="D250" s="12"/>
      <c r="E250" s="15">
        <f>IFERROR(IF($D250="","",VLOOKUP($D250,'Malzeme Kartları'!$B$5:$C$204,2,FALSE)),"— tanımsız —")</f>
      </c>
      <c r="F250" s="18"/>
      <c r="G250" s="15">
        <f>IFERROR(IF($D250="","",VLOOKUP($D250,'Malzeme Kartları'!$B$5:$D$204,3,FALSE)),"")</f>
      </c>
      <c r="H250" s="17">
        <f>IFERROR(IF(OR($D250="",$F250=""),0,$F250*VLOOKUP($D250,'Malzeme Kartları'!$B$5:$G$204,6,FALSE)),0)</f>
      </c>
    </row>
    <row r="251" spans="2:8" x14ac:dyDescent="0.25">
      <c r="B251" s="8"/>
      <c r="C251" s="15">
        <f>IFERROR(IF($B251="","",VLOOKUP($B251,'Menü Kartları'!$B$5:$C$154,2,FALSE)),"")</f>
      </c>
      <c r="D251" s="8"/>
      <c r="E251" s="15">
        <f>IFERROR(IF($D251="","",VLOOKUP($D251,'Malzeme Kartları'!$B$5:$C$204,2,FALSE)),"— tanımsız —")</f>
      </c>
      <c r="F251" s="16"/>
      <c r="G251" s="15">
        <f>IFERROR(IF($D251="","",VLOOKUP($D251,'Malzeme Kartları'!$B$5:$D$204,3,FALSE)),"")</f>
      </c>
      <c r="H251" s="17">
        <f>IFERROR(IF(OR($D251="",$F251=""),0,$F251*VLOOKUP($D251,'Malzeme Kartları'!$B$5:$G$204,6,FALSE)),0)</f>
      </c>
    </row>
    <row r="252" spans="2:8" x14ac:dyDescent="0.25">
      <c r="B252" s="12"/>
      <c r="C252" s="15">
        <f>IFERROR(IF($B252="","",VLOOKUP($B252,'Menü Kartları'!$B$5:$C$154,2,FALSE)),"")</f>
      </c>
      <c r="D252" s="12"/>
      <c r="E252" s="15">
        <f>IFERROR(IF($D252="","",VLOOKUP($D252,'Malzeme Kartları'!$B$5:$C$204,2,FALSE)),"— tanımsız —")</f>
      </c>
      <c r="F252" s="18"/>
      <c r="G252" s="15">
        <f>IFERROR(IF($D252="","",VLOOKUP($D252,'Malzeme Kartları'!$B$5:$D$204,3,FALSE)),"")</f>
      </c>
      <c r="H252" s="17">
        <f>IFERROR(IF(OR($D252="",$F252=""),0,$F252*VLOOKUP($D252,'Malzeme Kartları'!$B$5:$G$204,6,FALSE)),0)</f>
      </c>
    </row>
    <row r="253" spans="2:8" x14ac:dyDescent="0.25">
      <c r="B253" s="8"/>
      <c r="C253" s="15">
        <f>IFERROR(IF($B253="","",VLOOKUP($B253,'Menü Kartları'!$B$5:$C$154,2,FALSE)),"")</f>
      </c>
      <c r="D253" s="8"/>
      <c r="E253" s="15">
        <f>IFERROR(IF($D253="","",VLOOKUP($D253,'Malzeme Kartları'!$B$5:$C$204,2,FALSE)),"— tanımsız —")</f>
      </c>
      <c r="F253" s="16"/>
      <c r="G253" s="15">
        <f>IFERROR(IF($D253="","",VLOOKUP($D253,'Malzeme Kartları'!$B$5:$D$204,3,FALSE)),"")</f>
      </c>
      <c r="H253" s="17">
        <f>IFERROR(IF(OR($D253="",$F253=""),0,$F253*VLOOKUP($D253,'Malzeme Kartları'!$B$5:$G$204,6,FALSE)),0)</f>
      </c>
    </row>
    <row r="254" spans="2:8" x14ac:dyDescent="0.25">
      <c r="B254" s="12"/>
      <c r="C254" s="15">
        <f>IFERROR(IF($B254="","",VLOOKUP($B254,'Menü Kartları'!$B$5:$C$154,2,FALSE)),"")</f>
      </c>
      <c r="D254" s="12"/>
      <c r="E254" s="15">
        <f>IFERROR(IF($D254="","",VLOOKUP($D254,'Malzeme Kartları'!$B$5:$C$204,2,FALSE)),"— tanımsız —")</f>
      </c>
      <c r="F254" s="18"/>
      <c r="G254" s="15">
        <f>IFERROR(IF($D254="","",VLOOKUP($D254,'Malzeme Kartları'!$B$5:$D$204,3,FALSE)),"")</f>
      </c>
      <c r="H254" s="17">
        <f>IFERROR(IF(OR($D254="",$F254=""),0,$F254*VLOOKUP($D254,'Malzeme Kartları'!$B$5:$G$204,6,FALSE)),0)</f>
      </c>
    </row>
    <row r="255" spans="2:8" x14ac:dyDescent="0.25">
      <c r="B255" s="8"/>
      <c r="C255" s="15">
        <f>IFERROR(IF($B255="","",VLOOKUP($B255,'Menü Kartları'!$B$5:$C$154,2,FALSE)),"")</f>
      </c>
      <c r="D255" s="8"/>
      <c r="E255" s="15">
        <f>IFERROR(IF($D255="","",VLOOKUP($D255,'Malzeme Kartları'!$B$5:$C$204,2,FALSE)),"— tanımsız —")</f>
      </c>
      <c r="F255" s="16"/>
      <c r="G255" s="15">
        <f>IFERROR(IF($D255="","",VLOOKUP($D255,'Malzeme Kartları'!$B$5:$D$204,3,FALSE)),"")</f>
      </c>
      <c r="H255" s="17">
        <f>IFERROR(IF(OR($D255="",$F255=""),0,$F255*VLOOKUP($D255,'Malzeme Kartları'!$B$5:$G$204,6,FALSE)),0)</f>
      </c>
    </row>
    <row r="256" spans="2:8" x14ac:dyDescent="0.25">
      <c r="B256" s="12"/>
      <c r="C256" s="15">
        <f>IFERROR(IF($B256="","",VLOOKUP($B256,'Menü Kartları'!$B$5:$C$154,2,FALSE)),"")</f>
      </c>
      <c r="D256" s="12"/>
      <c r="E256" s="15">
        <f>IFERROR(IF($D256="","",VLOOKUP($D256,'Malzeme Kartları'!$B$5:$C$204,2,FALSE)),"— tanımsız —")</f>
      </c>
      <c r="F256" s="18"/>
      <c r="G256" s="15">
        <f>IFERROR(IF($D256="","",VLOOKUP($D256,'Malzeme Kartları'!$B$5:$D$204,3,FALSE)),"")</f>
      </c>
      <c r="H256" s="17">
        <f>IFERROR(IF(OR($D256="",$F256=""),0,$F256*VLOOKUP($D256,'Malzeme Kartları'!$B$5:$G$204,6,FALSE)),0)</f>
      </c>
    </row>
    <row r="257" spans="2:8" x14ac:dyDescent="0.25">
      <c r="B257" s="8"/>
      <c r="C257" s="15">
        <f>IFERROR(IF($B257="","",VLOOKUP($B257,'Menü Kartları'!$B$5:$C$154,2,FALSE)),"")</f>
      </c>
      <c r="D257" s="8"/>
      <c r="E257" s="15">
        <f>IFERROR(IF($D257="","",VLOOKUP($D257,'Malzeme Kartları'!$B$5:$C$204,2,FALSE)),"— tanımsız —")</f>
      </c>
      <c r="F257" s="16"/>
      <c r="G257" s="15">
        <f>IFERROR(IF($D257="","",VLOOKUP($D257,'Malzeme Kartları'!$B$5:$D$204,3,FALSE)),"")</f>
      </c>
      <c r="H257" s="17">
        <f>IFERROR(IF(OR($D257="",$F257=""),0,$F257*VLOOKUP($D257,'Malzeme Kartları'!$B$5:$G$204,6,FALSE)),0)</f>
      </c>
    </row>
    <row r="258" spans="2:8" x14ac:dyDescent="0.25">
      <c r="B258" s="12"/>
      <c r="C258" s="15">
        <f>IFERROR(IF($B258="","",VLOOKUP($B258,'Menü Kartları'!$B$5:$C$154,2,FALSE)),"")</f>
      </c>
      <c r="D258" s="12"/>
      <c r="E258" s="15">
        <f>IFERROR(IF($D258="","",VLOOKUP($D258,'Malzeme Kartları'!$B$5:$C$204,2,FALSE)),"— tanımsız —")</f>
      </c>
      <c r="F258" s="18"/>
      <c r="G258" s="15">
        <f>IFERROR(IF($D258="","",VLOOKUP($D258,'Malzeme Kartları'!$B$5:$D$204,3,FALSE)),"")</f>
      </c>
      <c r="H258" s="17">
        <f>IFERROR(IF(OR($D258="",$F258=""),0,$F258*VLOOKUP($D258,'Malzeme Kartları'!$B$5:$G$204,6,FALSE)),0)</f>
      </c>
    </row>
    <row r="259" spans="2:8" x14ac:dyDescent="0.25">
      <c r="B259" s="8"/>
      <c r="C259" s="15">
        <f>IFERROR(IF($B259="","",VLOOKUP($B259,'Menü Kartları'!$B$5:$C$154,2,FALSE)),"")</f>
      </c>
      <c r="D259" s="8"/>
      <c r="E259" s="15">
        <f>IFERROR(IF($D259="","",VLOOKUP($D259,'Malzeme Kartları'!$B$5:$C$204,2,FALSE)),"— tanımsız —")</f>
      </c>
      <c r="F259" s="16"/>
      <c r="G259" s="15">
        <f>IFERROR(IF($D259="","",VLOOKUP($D259,'Malzeme Kartları'!$B$5:$D$204,3,FALSE)),"")</f>
      </c>
      <c r="H259" s="17">
        <f>IFERROR(IF(OR($D259="",$F259=""),0,$F259*VLOOKUP($D259,'Malzeme Kartları'!$B$5:$G$204,6,FALSE)),0)</f>
      </c>
    </row>
    <row r="260" spans="2:8" x14ac:dyDescent="0.25">
      <c r="B260" s="12"/>
      <c r="C260" s="15">
        <f>IFERROR(IF($B260="","",VLOOKUP($B260,'Menü Kartları'!$B$5:$C$154,2,FALSE)),"")</f>
      </c>
      <c r="D260" s="12"/>
      <c r="E260" s="15">
        <f>IFERROR(IF($D260="","",VLOOKUP($D260,'Malzeme Kartları'!$B$5:$C$204,2,FALSE)),"— tanımsız —")</f>
      </c>
      <c r="F260" s="18"/>
      <c r="G260" s="15">
        <f>IFERROR(IF($D260="","",VLOOKUP($D260,'Malzeme Kartları'!$B$5:$D$204,3,FALSE)),"")</f>
      </c>
      <c r="H260" s="17">
        <f>IFERROR(IF(OR($D260="",$F260=""),0,$F260*VLOOKUP($D260,'Malzeme Kartları'!$B$5:$G$204,6,FALSE)),0)</f>
      </c>
    </row>
    <row r="261" spans="2:8" x14ac:dyDescent="0.25">
      <c r="B261" s="8"/>
      <c r="C261" s="15">
        <f>IFERROR(IF($B261="","",VLOOKUP($B261,'Menü Kartları'!$B$5:$C$154,2,FALSE)),"")</f>
      </c>
      <c r="D261" s="8"/>
      <c r="E261" s="15">
        <f>IFERROR(IF($D261="","",VLOOKUP($D261,'Malzeme Kartları'!$B$5:$C$204,2,FALSE)),"— tanımsız —")</f>
      </c>
      <c r="F261" s="16"/>
      <c r="G261" s="15">
        <f>IFERROR(IF($D261="","",VLOOKUP($D261,'Malzeme Kartları'!$B$5:$D$204,3,FALSE)),"")</f>
      </c>
      <c r="H261" s="17">
        <f>IFERROR(IF(OR($D261="",$F261=""),0,$F261*VLOOKUP($D261,'Malzeme Kartları'!$B$5:$G$204,6,FALSE)),0)</f>
      </c>
    </row>
    <row r="262" spans="2:8" x14ac:dyDescent="0.25">
      <c r="B262" s="12"/>
      <c r="C262" s="15">
        <f>IFERROR(IF($B262="","",VLOOKUP($B262,'Menü Kartları'!$B$5:$C$154,2,FALSE)),"")</f>
      </c>
      <c r="D262" s="12"/>
      <c r="E262" s="15">
        <f>IFERROR(IF($D262="","",VLOOKUP($D262,'Malzeme Kartları'!$B$5:$C$204,2,FALSE)),"— tanımsız —")</f>
      </c>
      <c r="F262" s="18"/>
      <c r="G262" s="15">
        <f>IFERROR(IF($D262="","",VLOOKUP($D262,'Malzeme Kartları'!$B$5:$D$204,3,FALSE)),"")</f>
      </c>
      <c r="H262" s="17">
        <f>IFERROR(IF(OR($D262="",$F262=""),0,$F262*VLOOKUP($D262,'Malzeme Kartları'!$B$5:$G$204,6,FALSE)),0)</f>
      </c>
    </row>
    <row r="263" spans="2:8" x14ac:dyDescent="0.25">
      <c r="B263" s="8"/>
      <c r="C263" s="15">
        <f>IFERROR(IF($B263="","",VLOOKUP($B263,'Menü Kartları'!$B$5:$C$154,2,FALSE)),"")</f>
      </c>
      <c r="D263" s="8"/>
      <c r="E263" s="15">
        <f>IFERROR(IF($D263="","",VLOOKUP($D263,'Malzeme Kartları'!$B$5:$C$204,2,FALSE)),"— tanımsız —")</f>
      </c>
      <c r="F263" s="16"/>
      <c r="G263" s="15">
        <f>IFERROR(IF($D263="","",VLOOKUP($D263,'Malzeme Kartları'!$B$5:$D$204,3,FALSE)),"")</f>
      </c>
      <c r="H263" s="17">
        <f>IFERROR(IF(OR($D263="",$F263=""),0,$F263*VLOOKUP($D263,'Malzeme Kartları'!$B$5:$G$204,6,FALSE)),0)</f>
      </c>
    </row>
    <row r="264" spans="2:8" x14ac:dyDescent="0.25">
      <c r="B264" s="12"/>
      <c r="C264" s="15">
        <f>IFERROR(IF($B264="","",VLOOKUP($B264,'Menü Kartları'!$B$5:$C$154,2,FALSE)),"")</f>
      </c>
      <c r="D264" s="12"/>
      <c r="E264" s="15">
        <f>IFERROR(IF($D264="","",VLOOKUP($D264,'Malzeme Kartları'!$B$5:$C$204,2,FALSE)),"— tanımsız —")</f>
      </c>
      <c r="F264" s="18"/>
      <c r="G264" s="15">
        <f>IFERROR(IF($D264="","",VLOOKUP($D264,'Malzeme Kartları'!$B$5:$D$204,3,FALSE)),"")</f>
      </c>
      <c r="H264" s="17">
        <f>IFERROR(IF(OR($D264="",$F264=""),0,$F264*VLOOKUP($D264,'Malzeme Kartları'!$B$5:$G$204,6,FALSE)),0)</f>
      </c>
    </row>
    <row r="265" spans="2:8" x14ac:dyDescent="0.25">
      <c r="B265" s="8"/>
      <c r="C265" s="15">
        <f>IFERROR(IF($B265="","",VLOOKUP($B265,'Menü Kartları'!$B$5:$C$154,2,FALSE)),"")</f>
      </c>
      <c r="D265" s="8"/>
      <c r="E265" s="15">
        <f>IFERROR(IF($D265="","",VLOOKUP($D265,'Malzeme Kartları'!$B$5:$C$204,2,FALSE)),"— tanımsız —")</f>
      </c>
      <c r="F265" s="16"/>
      <c r="G265" s="15">
        <f>IFERROR(IF($D265="","",VLOOKUP($D265,'Malzeme Kartları'!$B$5:$D$204,3,FALSE)),"")</f>
      </c>
      <c r="H265" s="17">
        <f>IFERROR(IF(OR($D265="",$F265=""),0,$F265*VLOOKUP($D265,'Malzeme Kartları'!$B$5:$G$204,6,FALSE)),0)</f>
      </c>
    </row>
    <row r="266" spans="2:8" x14ac:dyDescent="0.25">
      <c r="B266" s="12"/>
      <c r="C266" s="15">
        <f>IFERROR(IF($B266="","",VLOOKUP($B266,'Menü Kartları'!$B$5:$C$154,2,FALSE)),"")</f>
      </c>
      <c r="D266" s="12"/>
      <c r="E266" s="15">
        <f>IFERROR(IF($D266="","",VLOOKUP($D266,'Malzeme Kartları'!$B$5:$C$204,2,FALSE)),"— tanımsız —")</f>
      </c>
      <c r="F266" s="18"/>
      <c r="G266" s="15">
        <f>IFERROR(IF($D266="","",VLOOKUP($D266,'Malzeme Kartları'!$B$5:$D$204,3,FALSE)),"")</f>
      </c>
      <c r="H266" s="17">
        <f>IFERROR(IF(OR($D266="",$F266=""),0,$F266*VLOOKUP($D266,'Malzeme Kartları'!$B$5:$G$204,6,FALSE)),0)</f>
      </c>
    </row>
    <row r="267" spans="2:8" x14ac:dyDescent="0.25">
      <c r="B267" s="8"/>
      <c r="C267" s="15">
        <f>IFERROR(IF($B267="","",VLOOKUP($B267,'Menü Kartları'!$B$5:$C$154,2,FALSE)),"")</f>
      </c>
      <c r="D267" s="8"/>
      <c r="E267" s="15">
        <f>IFERROR(IF($D267="","",VLOOKUP($D267,'Malzeme Kartları'!$B$5:$C$204,2,FALSE)),"— tanımsız —")</f>
      </c>
      <c r="F267" s="16"/>
      <c r="G267" s="15">
        <f>IFERROR(IF($D267="","",VLOOKUP($D267,'Malzeme Kartları'!$B$5:$D$204,3,FALSE)),"")</f>
      </c>
      <c r="H267" s="17">
        <f>IFERROR(IF(OR($D267="",$F267=""),0,$F267*VLOOKUP($D267,'Malzeme Kartları'!$B$5:$G$204,6,FALSE)),0)</f>
      </c>
    </row>
    <row r="268" spans="2:8" x14ac:dyDescent="0.25">
      <c r="B268" s="12"/>
      <c r="C268" s="15">
        <f>IFERROR(IF($B268="","",VLOOKUP($B268,'Menü Kartları'!$B$5:$C$154,2,FALSE)),"")</f>
      </c>
      <c r="D268" s="12"/>
      <c r="E268" s="15">
        <f>IFERROR(IF($D268="","",VLOOKUP($D268,'Malzeme Kartları'!$B$5:$C$204,2,FALSE)),"— tanımsız —")</f>
      </c>
      <c r="F268" s="18"/>
      <c r="G268" s="15">
        <f>IFERROR(IF($D268="","",VLOOKUP($D268,'Malzeme Kartları'!$B$5:$D$204,3,FALSE)),"")</f>
      </c>
      <c r="H268" s="17">
        <f>IFERROR(IF(OR($D268="",$F268=""),0,$F268*VLOOKUP($D268,'Malzeme Kartları'!$B$5:$G$204,6,FALSE)),0)</f>
      </c>
    </row>
    <row r="269" spans="2:8" x14ac:dyDescent="0.25">
      <c r="B269" s="8"/>
      <c r="C269" s="15">
        <f>IFERROR(IF($B269="","",VLOOKUP($B269,'Menü Kartları'!$B$5:$C$154,2,FALSE)),"")</f>
      </c>
      <c r="D269" s="8"/>
      <c r="E269" s="15">
        <f>IFERROR(IF($D269="","",VLOOKUP($D269,'Malzeme Kartları'!$B$5:$C$204,2,FALSE)),"— tanımsız —")</f>
      </c>
      <c r="F269" s="16"/>
      <c r="G269" s="15">
        <f>IFERROR(IF($D269="","",VLOOKUP($D269,'Malzeme Kartları'!$B$5:$D$204,3,FALSE)),"")</f>
      </c>
      <c r="H269" s="17">
        <f>IFERROR(IF(OR($D269="",$F269=""),0,$F269*VLOOKUP($D269,'Malzeme Kartları'!$B$5:$G$204,6,FALSE)),0)</f>
      </c>
    </row>
    <row r="270" spans="2:8" x14ac:dyDescent="0.25">
      <c r="B270" s="12"/>
      <c r="C270" s="15">
        <f>IFERROR(IF($B270="","",VLOOKUP($B270,'Menü Kartları'!$B$5:$C$154,2,FALSE)),"")</f>
      </c>
      <c r="D270" s="12"/>
      <c r="E270" s="15">
        <f>IFERROR(IF($D270="","",VLOOKUP($D270,'Malzeme Kartları'!$B$5:$C$204,2,FALSE)),"— tanımsız —")</f>
      </c>
      <c r="F270" s="18"/>
      <c r="G270" s="15">
        <f>IFERROR(IF($D270="","",VLOOKUP($D270,'Malzeme Kartları'!$B$5:$D$204,3,FALSE)),"")</f>
      </c>
      <c r="H270" s="17">
        <f>IFERROR(IF(OR($D270="",$F270=""),0,$F270*VLOOKUP($D270,'Malzeme Kartları'!$B$5:$G$204,6,FALSE)),0)</f>
      </c>
    </row>
    <row r="271" spans="2:8" x14ac:dyDescent="0.25">
      <c r="B271" s="8"/>
      <c r="C271" s="15">
        <f>IFERROR(IF($B271="","",VLOOKUP($B271,'Menü Kartları'!$B$5:$C$154,2,FALSE)),"")</f>
      </c>
      <c r="D271" s="8"/>
      <c r="E271" s="15">
        <f>IFERROR(IF($D271="","",VLOOKUP($D271,'Malzeme Kartları'!$B$5:$C$204,2,FALSE)),"— tanımsız —")</f>
      </c>
      <c r="F271" s="16"/>
      <c r="G271" s="15">
        <f>IFERROR(IF($D271="","",VLOOKUP($D271,'Malzeme Kartları'!$B$5:$D$204,3,FALSE)),"")</f>
      </c>
      <c r="H271" s="17">
        <f>IFERROR(IF(OR($D271="",$F271=""),0,$F271*VLOOKUP($D271,'Malzeme Kartları'!$B$5:$G$204,6,FALSE)),0)</f>
      </c>
    </row>
    <row r="272" spans="2:8" x14ac:dyDescent="0.25">
      <c r="B272" s="12"/>
      <c r="C272" s="15">
        <f>IFERROR(IF($B272="","",VLOOKUP($B272,'Menü Kartları'!$B$5:$C$154,2,FALSE)),"")</f>
      </c>
      <c r="D272" s="12"/>
      <c r="E272" s="15">
        <f>IFERROR(IF($D272="","",VLOOKUP($D272,'Malzeme Kartları'!$B$5:$C$204,2,FALSE)),"— tanımsız —")</f>
      </c>
      <c r="F272" s="18"/>
      <c r="G272" s="15">
        <f>IFERROR(IF($D272="","",VLOOKUP($D272,'Malzeme Kartları'!$B$5:$D$204,3,FALSE)),"")</f>
      </c>
      <c r="H272" s="17">
        <f>IFERROR(IF(OR($D272="",$F272=""),0,$F272*VLOOKUP($D272,'Malzeme Kartları'!$B$5:$G$204,6,FALSE)),0)</f>
      </c>
    </row>
    <row r="273" spans="2:8" x14ac:dyDescent="0.25">
      <c r="B273" s="8"/>
      <c r="C273" s="15">
        <f>IFERROR(IF($B273="","",VLOOKUP($B273,'Menü Kartları'!$B$5:$C$154,2,FALSE)),"")</f>
      </c>
      <c r="D273" s="8"/>
      <c r="E273" s="15">
        <f>IFERROR(IF($D273="","",VLOOKUP($D273,'Malzeme Kartları'!$B$5:$C$204,2,FALSE)),"— tanımsız —")</f>
      </c>
      <c r="F273" s="16"/>
      <c r="G273" s="15">
        <f>IFERROR(IF($D273="","",VLOOKUP($D273,'Malzeme Kartları'!$B$5:$D$204,3,FALSE)),"")</f>
      </c>
      <c r="H273" s="17">
        <f>IFERROR(IF(OR($D273="",$F273=""),0,$F273*VLOOKUP($D273,'Malzeme Kartları'!$B$5:$G$204,6,FALSE)),0)</f>
      </c>
    </row>
    <row r="274" spans="2:8" x14ac:dyDescent="0.25">
      <c r="B274" s="12"/>
      <c r="C274" s="15">
        <f>IFERROR(IF($B274="","",VLOOKUP($B274,'Menü Kartları'!$B$5:$C$154,2,FALSE)),"")</f>
      </c>
      <c r="D274" s="12"/>
      <c r="E274" s="15">
        <f>IFERROR(IF($D274="","",VLOOKUP($D274,'Malzeme Kartları'!$B$5:$C$204,2,FALSE)),"— tanımsız —")</f>
      </c>
      <c r="F274" s="18"/>
      <c r="G274" s="15">
        <f>IFERROR(IF($D274="","",VLOOKUP($D274,'Malzeme Kartları'!$B$5:$D$204,3,FALSE)),"")</f>
      </c>
      <c r="H274" s="17">
        <f>IFERROR(IF(OR($D274="",$F274=""),0,$F274*VLOOKUP($D274,'Malzeme Kartları'!$B$5:$G$204,6,FALSE)),0)</f>
      </c>
    </row>
    <row r="275" spans="2:8" x14ac:dyDescent="0.25">
      <c r="B275" s="8"/>
      <c r="C275" s="15">
        <f>IFERROR(IF($B275="","",VLOOKUP($B275,'Menü Kartları'!$B$5:$C$154,2,FALSE)),"")</f>
      </c>
      <c r="D275" s="8"/>
      <c r="E275" s="15">
        <f>IFERROR(IF($D275="","",VLOOKUP($D275,'Malzeme Kartları'!$B$5:$C$204,2,FALSE)),"— tanımsız —")</f>
      </c>
      <c r="F275" s="16"/>
      <c r="G275" s="15">
        <f>IFERROR(IF($D275="","",VLOOKUP($D275,'Malzeme Kartları'!$B$5:$D$204,3,FALSE)),"")</f>
      </c>
      <c r="H275" s="17">
        <f>IFERROR(IF(OR($D275="",$F275=""),0,$F275*VLOOKUP($D275,'Malzeme Kartları'!$B$5:$G$204,6,FALSE)),0)</f>
      </c>
    </row>
    <row r="276" spans="2:8" x14ac:dyDescent="0.25">
      <c r="B276" s="12"/>
      <c r="C276" s="15">
        <f>IFERROR(IF($B276="","",VLOOKUP($B276,'Menü Kartları'!$B$5:$C$154,2,FALSE)),"")</f>
      </c>
      <c r="D276" s="12"/>
      <c r="E276" s="15">
        <f>IFERROR(IF($D276="","",VLOOKUP($D276,'Malzeme Kartları'!$B$5:$C$204,2,FALSE)),"— tanımsız —")</f>
      </c>
      <c r="F276" s="18"/>
      <c r="G276" s="15">
        <f>IFERROR(IF($D276="","",VLOOKUP($D276,'Malzeme Kartları'!$B$5:$D$204,3,FALSE)),"")</f>
      </c>
      <c r="H276" s="17">
        <f>IFERROR(IF(OR($D276="",$F276=""),0,$F276*VLOOKUP($D276,'Malzeme Kartları'!$B$5:$G$204,6,FALSE)),0)</f>
      </c>
    </row>
    <row r="277" spans="2:8" x14ac:dyDescent="0.25">
      <c r="B277" s="8"/>
      <c r="C277" s="15">
        <f>IFERROR(IF($B277="","",VLOOKUP($B277,'Menü Kartları'!$B$5:$C$154,2,FALSE)),"")</f>
      </c>
      <c r="D277" s="8"/>
      <c r="E277" s="15">
        <f>IFERROR(IF($D277="","",VLOOKUP($D277,'Malzeme Kartları'!$B$5:$C$204,2,FALSE)),"— tanımsız —")</f>
      </c>
      <c r="F277" s="16"/>
      <c r="G277" s="15">
        <f>IFERROR(IF($D277="","",VLOOKUP($D277,'Malzeme Kartları'!$B$5:$D$204,3,FALSE)),"")</f>
      </c>
      <c r="H277" s="17">
        <f>IFERROR(IF(OR($D277="",$F277=""),0,$F277*VLOOKUP($D277,'Malzeme Kartları'!$B$5:$G$204,6,FALSE)),0)</f>
      </c>
    </row>
    <row r="278" spans="2:8" x14ac:dyDescent="0.25">
      <c r="B278" s="12"/>
      <c r="C278" s="15">
        <f>IFERROR(IF($B278="","",VLOOKUP($B278,'Menü Kartları'!$B$5:$C$154,2,FALSE)),"")</f>
      </c>
      <c r="D278" s="12"/>
      <c r="E278" s="15">
        <f>IFERROR(IF($D278="","",VLOOKUP($D278,'Malzeme Kartları'!$B$5:$C$204,2,FALSE)),"— tanımsız —")</f>
      </c>
      <c r="F278" s="18"/>
      <c r="G278" s="15">
        <f>IFERROR(IF($D278="","",VLOOKUP($D278,'Malzeme Kartları'!$B$5:$D$204,3,FALSE)),"")</f>
      </c>
      <c r="H278" s="17">
        <f>IFERROR(IF(OR($D278="",$F278=""),0,$F278*VLOOKUP($D278,'Malzeme Kartları'!$B$5:$G$204,6,FALSE)),0)</f>
      </c>
    </row>
    <row r="279" spans="2:8" x14ac:dyDescent="0.25">
      <c r="B279" s="8"/>
      <c r="C279" s="15">
        <f>IFERROR(IF($B279="","",VLOOKUP($B279,'Menü Kartları'!$B$5:$C$154,2,FALSE)),"")</f>
      </c>
      <c r="D279" s="8"/>
      <c r="E279" s="15">
        <f>IFERROR(IF($D279="","",VLOOKUP($D279,'Malzeme Kartları'!$B$5:$C$204,2,FALSE)),"— tanımsız —")</f>
      </c>
      <c r="F279" s="16"/>
      <c r="G279" s="15">
        <f>IFERROR(IF($D279="","",VLOOKUP($D279,'Malzeme Kartları'!$B$5:$D$204,3,FALSE)),"")</f>
      </c>
      <c r="H279" s="17">
        <f>IFERROR(IF(OR($D279="",$F279=""),0,$F279*VLOOKUP($D279,'Malzeme Kartları'!$B$5:$G$204,6,FALSE)),0)</f>
      </c>
    </row>
    <row r="280" spans="2:8" x14ac:dyDescent="0.25">
      <c r="B280" s="12"/>
      <c r="C280" s="15">
        <f>IFERROR(IF($B280="","",VLOOKUP($B280,'Menü Kartları'!$B$5:$C$154,2,FALSE)),"")</f>
      </c>
      <c r="D280" s="12"/>
      <c r="E280" s="15">
        <f>IFERROR(IF($D280="","",VLOOKUP($D280,'Malzeme Kartları'!$B$5:$C$204,2,FALSE)),"— tanımsız —")</f>
      </c>
      <c r="F280" s="18"/>
      <c r="G280" s="15">
        <f>IFERROR(IF($D280="","",VLOOKUP($D280,'Malzeme Kartları'!$B$5:$D$204,3,FALSE)),"")</f>
      </c>
      <c r="H280" s="17">
        <f>IFERROR(IF(OR($D280="",$F280=""),0,$F280*VLOOKUP($D280,'Malzeme Kartları'!$B$5:$G$204,6,FALSE)),0)</f>
      </c>
    </row>
    <row r="281" spans="2:8" x14ac:dyDescent="0.25">
      <c r="B281" s="8"/>
      <c r="C281" s="15">
        <f>IFERROR(IF($B281="","",VLOOKUP($B281,'Menü Kartları'!$B$5:$C$154,2,FALSE)),"")</f>
      </c>
      <c r="D281" s="8"/>
      <c r="E281" s="15">
        <f>IFERROR(IF($D281="","",VLOOKUP($D281,'Malzeme Kartları'!$B$5:$C$204,2,FALSE)),"— tanımsız —")</f>
      </c>
      <c r="F281" s="16"/>
      <c r="G281" s="15">
        <f>IFERROR(IF($D281="","",VLOOKUP($D281,'Malzeme Kartları'!$B$5:$D$204,3,FALSE)),"")</f>
      </c>
      <c r="H281" s="17">
        <f>IFERROR(IF(OR($D281="",$F281=""),0,$F281*VLOOKUP($D281,'Malzeme Kartları'!$B$5:$G$204,6,FALSE)),0)</f>
      </c>
    </row>
    <row r="282" spans="2:8" x14ac:dyDescent="0.25">
      <c r="B282" s="12"/>
      <c r="C282" s="15">
        <f>IFERROR(IF($B282="","",VLOOKUP($B282,'Menü Kartları'!$B$5:$C$154,2,FALSE)),"")</f>
      </c>
      <c r="D282" s="12"/>
      <c r="E282" s="15">
        <f>IFERROR(IF($D282="","",VLOOKUP($D282,'Malzeme Kartları'!$B$5:$C$204,2,FALSE)),"— tanımsız —")</f>
      </c>
      <c r="F282" s="18"/>
      <c r="G282" s="15">
        <f>IFERROR(IF($D282="","",VLOOKUP($D282,'Malzeme Kartları'!$B$5:$D$204,3,FALSE)),"")</f>
      </c>
      <c r="H282" s="17">
        <f>IFERROR(IF(OR($D282="",$F282=""),0,$F282*VLOOKUP($D282,'Malzeme Kartları'!$B$5:$G$204,6,FALSE)),0)</f>
      </c>
    </row>
    <row r="283" spans="2:8" x14ac:dyDescent="0.25">
      <c r="B283" s="8"/>
      <c r="C283" s="15">
        <f>IFERROR(IF($B283="","",VLOOKUP($B283,'Menü Kartları'!$B$5:$C$154,2,FALSE)),"")</f>
      </c>
      <c r="D283" s="8"/>
      <c r="E283" s="15">
        <f>IFERROR(IF($D283="","",VLOOKUP($D283,'Malzeme Kartları'!$B$5:$C$204,2,FALSE)),"— tanımsız —")</f>
      </c>
      <c r="F283" s="16"/>
      <c r="G283" s="15">
        <f>IFERROR(IF($D283="","",VLOOKUP($D283,'Malzeme Kartları'!$B$5:$D$204,3,FALSE)),"")</f>
      </c>
      <c r="H283" s="17">
        <f>IFERROR(IF(OR($D283="",$F283=""),0,$F283*VLOOKUP($D283,'Malzeme Kartları'!$B$5:$G$204,6,FALSE)),0)</f>
      </c>
    </row>
    <row r="284" spans="2:8" x14ac:dyDescent="0.25">
      <c r="B284" s="12"/>
      <c r="C284" s="15">
        <f>IFERROR(IF($B284="","",VLOOKUP($B284,'Menü Kartları'!$B$5:$C$154,2,FALSE)),"")</f>
      </c>
      <c r="D284" s="12"/>
      <c r="E284" s="15">
        <f>IFERROR(IF($D284="","",VLOOKUP($D284,'Malzeme Kartları'!$B$5:$C$204,2,FALSE)),"— tanımsız —")</f>
      </c>
      <c r="F284" s="18"/>
      <c r="G284" s="15">
        <f>IFERROR(IF($D284="","",VLOOKUP($D284,'Malzeme Kartları'!$B$5:$D$204,3,FALSE)),"")</f>
      </c>
      <c r="H284" s="17">
        <f>IFERROR(IF(OR($D284="",$F284=""),0,$F284*VLOOKUP($D284,'Malzeme Kartları'!$B$5:$G$204,6,FALSE)),0)</f>
      </c>
    </row>
    <row r="285" spans="2:8" x14ac:dyDescent="0.25">
      <c r="B285" s="8"/>
      <c r="C285" s="15">
        <f>IFERROR(IF($B285="","",VLOOKUP($B285,'Menü Kartları'!$B$5:$C$154,2,FALSE)),"")</f>
      </c>
      <c r="D285" s="8"/>
      <c r="E285" s="15">
        <f>IFERROR(IF($D285="","",VLOOKUP($D285,'Malzeme Kartları'!$B$5:$C$204,2,FALSE)),"— tanımsız —")</f>
      </c>
      <c r="F285" s="16"/>
      <c r="G285" s="15">
        <f>IFERROR(IF($D285="","",VLOOKUP($D285,'Malzeme Kartları'!$B$5:$D$204,3,FALSE)),"")</f>
      </c>
      <c r="H285" s="17">
        <f>IFERROR(IF(OR($D285="",$F285=""),0,$F285*VLOOKUP($D285,'Malzeme Kartları'!$B$5:$G$204,6,FALSE)),0)</f>
      </c>
    </row>
    <row r="286" spans="2:8" x14ac:dyDescent="0.25">
      <c r="B286" s="12"/>
      <c r="C286" s="15">
        <f>IFERROR(IF($B286="","",VLOOKUP($B286,'Menü Kartları'!$B$5:$C$154,2,FALSE)),"")</f>
      </c>
      <c r="D286" s="12"/>
      <c r="E286" s="15">
        <f>IFERROR(IF($D286="","",VLOOKUP($D286,'Malzeme Kartları'!$B$5:$C$204,2,FALSE)),"— tanımsız —")</f>
      </c>
      <c r="F286" s="18"/>
      <c r="G286" s="15">
        <f>IFERROR(IF($D286="","",VLOOKUP($D286,'Malzeme Kartları'!$B$5:$D$204,3,FALSE)),"")</f>
      </c>
      <c r="H286" s="17">
        <f>IFERROR(IF(OR($D286="",$F286=""),0,$F286*VLOOKUP($D286,'Malzeme Kartları'!$B$5:$G$204,6,FALSE)),0)</f>
      </c>
    </row>
    <row r="287" spans="2:8" x14ac:dyDescent="0.25">
      <c r="B287" s="8"/>
      <c r="C287" s="15">
        <f>IFERROR(IF($B287="","",VLOOKUP($B287,'Menü Kartları'!$B$5:$C$154,2,FALSE)),"")</f>
      </c>
      <c r="D287" s="8"/>
      <c r="E287" s="15">
        <f>IFERROR(IF($D287="","",VLOOKUP($D287,'Malzeme Kartları'!$B$5:$C$204,2,FALSE)),"— tanımsız —")</f>
      </c>
      <c r="F287" s="16"/>
      <c r="G287" s="15">
        <f>IFERROR(IF($D287="","",VLOOKUP($D287,'Malzeme Kartları'!$B$5:$D$204,3,FALSE)),"")</f>
      </c>
      <c r="H287" s="17">
        <f>IFERROR(IF(OR($D287="",$F287=""),0,$F287*VLOOKUP($D287,'Malzeme Kartları'!$B$5:$G$204,6,FALSE)),0)</f>
      </c>
    </row>
    <row r="288" spans="2:8" x14ac:dyDescent="0.25">
      <c r="B288" s="12"/>
      <c r="C288" s="15">
        <f>IFERROR(IF($B288="","",VLOOKUP($B288,'Menü Kartları'!$B$5:$C$154,2,FALSE)),"")</f>
      </c>
      <c r="D288" s="12"/>
      <c r="E288" s="15">
        <f>IFERROR(IF($D288="","",VLOOKUP($D288,'Malzeme Kartları'!$B$5:$C$204,2,FALSE)),"— tanımsız —")</f>
      </c>
      <c r="F288" s="18"/>
      <c r="G288" s="15">
        <f>IFERROR(IF($D288="","",VLOOKUP($D288,'Malzeme Kartları'!$B$5:$D$204,3,FALSE)),"")</f>
      </c>
      <c r="H288" s="17">
        <f>IFERROR(IF(OR($D288="",$F288=""),0,$F288*VLOOKUP($D288,'Malzeme Kartları'!$B$5:$G$204,6,FALSE)),0)</f>
      </c>
    </row>
    <row r="289" spans="2:8" x14ac:dyDescent="0.25">
      <c r="B289" s="8"/>
      <c r="C289" s="15">
        <f>IFERROR(IF($B289="","",VLOOKUP($B289,'Menü Kartları'!$B$5:$C$154,2,FALSE)),"")</f>
      </c>
      <c r="D289" s="8"/>
      <c r="E289" s="15">
        <f>IFERROR(IF($D289="","",VLOOKUP($D289,'Malzeme Kartları'!$B$5:$C$204,2,FALSE)),"— tanımsız —")</f>
      </c>
      <c r="F289" s="16"/>
      <c r="G289" s="15">
        <f>IFERROR(IF($D289="","",VLOOKUP($D289,'Malzeme Kartları'!$B$5:$D$204,3,FALSE)),"")</f>
      </c>
      <c r="H289" s="17">
        <f>IFERROR(IF(OR($D289="",$F289=""),0,$F289*VLOOKUP($D289,'Malzeme Kartları'!$B$5:$G$204,6,FALSE)),0)</f>
      </c>
    </row>
    <row r="290" spans="2:8" x14ac:dyDescent="0.25">
      <c r="B290" s="12"/>
      <c r="C290" s="15">
        <f>IFERROR(IF($B290="","",VLOOKUP($B290,'Menü Kartları'!$B$5:$C$154,2,FALSE)),"")</f>
      </c>
      <c r="D290" s="12"/>
      <c r="E290" s="15">
        <f>IFERROR(IF($D290="","",VLOOKUP($D290,'Malzeme Kartları'!$B$5:$C$204,2,FALSE)),"— tanımsız —")</f>
      </c>
      <c r="F290" s="18"/>
      <c r="G290" s="15">
        <f>IFERROR(IF($D290="","",VLOOKUP($D290,'Malzeme Kartları'!$B$5:$D$204,3,FALSE)),"")</f>
      </c>
      <c r="H290" s="17">
        <f>IFERROR(IF(OR($D290="",$F290=""),0,$F290*VLOOKUP($D290,'Malzeme Kartları'!$B$5:$G$204,6,FALSE)),0)</f>
      </c>
    </row>
    <row r="291" spans="2:8" x14ac:dyDescent="0.25">
      <c r="B291" s="8"/>
      <c r="C291" s="15">
        <f>IFERROR(IF($B291="","",VLOOKUP($B291,'Menü Kartları'!$B$5:$C$154,2,FALSE)),"")</f>
      </c>
      <c r="D291" s="8"/>
      <c r="E291" s="15">
        <f>IFERROR(IF($D291="","",VLOOKUP($D291,'Malzeme Kartları'!$B$5:$C$204,2,FALSE)),"— tanımsız —")</f>
      </c>
      <c r="F291" s="16"/>
      <c r="G291" s="15">
        <f>IFERROR(IF($D291="","",VLOOKUP($D291,'Malzeme Kartları'!$B$5:$D$204,3,FALSE)),"")</f>
      </c>
      <c r="H291" s="17">
        <f>IFERROR(IF(OR($D291="",$F291=""),0,$F291*VLOOKUP($D291,'Malzeme Kartları'!$B$5:$G$204,6,FALSE)),0)</f>
      </c>
    </row>
    <row r="292" spans="2:8" x14ac:dyDescent="0.25">
      <c r="B292" s="12"/>
      <c r="C292" s="15">
        <f>IFERROR(IF($B292="","",VLOOKUP($B292,'Menü Kartları'!$B$5:$C$154,2,FALSE)),"")</f>
      </c>
      <c r="D292" s="12"/>
      <c r="E292" s="15">
        <f>IFERROR(IF($D292="","",VLOOKUP($D292,'Malzeme Kartları'!$B$5:$C$204,2,FALSE)),"— tanımsız —")</f>
      </c>
      <c r="F292" s="18"/>
      <c r="G292" s="15">
        <f>IFERROR(IF($D292="","",VLOOKUP($D292,'Malzeme Kartları'!$B$5:$D$204,3,FALSE)),"")</f>
      </c>
      <c r="H292" s="17">
        <f>IFERROR(IF(OR($D292="",$F292=""),0,$F292*VLOOKUP($D292,'Malzeme Kartları'!$B$5:$G$204,6,FALSE)),0)</f>
      </c>
    </row>
    <row r="293" spans="2:8" x14ac:dyDescent="0.25">
      <c r="B293" s="8"/>
      <c r="C293" s="15">
        <f>IFERROR(IF($B293="","",VLOOKUP($B293,'Menü Kartları'!$B$5:$C$154,2,FALSE)),"")</f>
      </c>
      <c r="D293" s="8"/>
      <c r="E293" s="15">
        <f>IFERROR(IF($D293="","",VLOOKUP($D293,'Malzeme Kartları'!$B$5:$C$204,2,FALSE)),"— tanımsız —")</f>
      </c>
      <c r="F293" s="16"/>
      <c r="G293" s="15">
        <f>IFERROR(IF($D293="","",VLOOKUP($D293,'Malzeme Kartları'!$B$5:$D$204,3,FALSE)),"")</f>
      </c>
      <c r="H293" s="17">
        <f>IFERROR(IF(OR($D293="",$F293=""),0,$F293*VLOOKUP($D293,'Malzeme Kartları'!$B$5:$G$204,6,FALSE)),0)</f>
      </c>
    </row>
    <row r="294" spans="2:8" x14ac:dyDescent="0.25">
      <c r="B294" s="12"/>
      <c r="C294" s="15">
        <f>IFERROR(IF($B294="","",VLOOKUP($B294,'Menü Kartları'!$B$5:$C$154,2,FALSE)),"")</f>
      </c>
      <c r="D294" s="12"/>
      <c r="E294" s="15">
        <f>IFERROR(IF($D294="","",VLOOKUP($D294,'Malzeme Kartları'!$B$5:$C$204,2,FALSE)),"— tanımsız —")</f>
      </c>
      <c r="F294" s="18"/>
      <c r="G294" s="15">
        <f>IFERROR(IF($D294="","",VLOOKUP($D294,'Malzeme Kartları'!$B$5:$D$204,3,FALSE)),"")</f>
      </c>
      <c r="H294" s="17">
        <f>IFERROR(IF(OR($D294="",$F294=""),0,$F294*VLOOKUP($D294,'Malzeme Kartları'!$B$5:$G$204,6,FALSE)),0)</f>
      </c>
    </row>
    <row r="295" spans="2:8" x14ac:dyDescent="0.25">
      <c r="B295" s="8"/>
      <c r="C295" s="15">
        <f>IFERROR(IF($B295="","",VLOOKUP($B295,'Menü Kartları'!$B$5:$C$154,2,FALSE)),"")</f>
      </c>
      <c r="D295" s="8"/>
      <c r="E295" s="15">
        <f>IFERROR(IF($D295="","",VLOOKUP($D295,'Malzeme Kartları'!$B$5:$C$204,2,FALSE)),"— tanımsız —")</f>
      </c>
      <c r="F295" s="16"/>
      <c r="G295" s="15">
        <f>IFERROR(IF($D295="","",VLOOKUP($D295,'Malzeme Kartları'!$B$5:$D$204,3,FALSE)),"")</f>
      </c>
      <c r="H295" s="17">
        <f>IFERROR(IF(OR($D295="",$F295=""),0,$F295*VLOOKUP($D295,'Malzeme Kartları'!$B$5:$G$204,6,FALSE)),0)</f>
      </c>
    </row>
    <row r="296" spans="2:8" x14ac:dyDescent="0.25">
      <c r="B296" s="12"/>
      <c r="C296" s="15">
        <f>IFERROR(IF($B296="","",VLOOKUP($B296,'Menü Kartları'!$B$5:$C$154,2,FALSE)),"")</f>
      </c>
      <c r="D296" s="12"/>
      <c r="E296" s="15">
        <f>IFERROR(IF($D296="","",VLOOKUP($D296,'Malzeme Kartları'!$B$5:$C$204,2,FALSE)),"— tanımsız —")</f>
      </c>
      <c r="F296" s="18"/>
      <c r="G296" s="15">
        <f>IFERROR(IF($D296="","",VLOOKUP($D296,'Malzeme Kartları'!$B$5:$D$204,3,FALSE)),"")</f>
      </c>
      <c r="H296" s="17">
        <f>IFERROR(IF(OR($D296="",$F296=""),0,$F296*VLOOKUP($D296,'Malzeme Kartları'!$B$5:$G$204,6,FALSE)),0)</f>
      </c>
    </row>
    <row r="297" spans="2:8" x14ac:dyDescent="0.25">
      <c r="B297" s="8"/>
      <c r="C297" s="15">
        <f>IFERROR(IF($B297="","",VLOOKUP($B297,'Menü Kartları'!$B$5:$C$154,2,FALSE)),"")</f>
      </c>
      <c r="D297" s="8"/>
      <c r="E297" s="15">
        <f>IFERROR(IF($D297="","",VLOOKUP($D297,'Malzeme Kartları'!$B$5:$C$204,2,FALSE)),"— tanımsız —")</f>
      </c>
      <c r="F297" s="16"/>
      <c r="G297" s="15">
        <f>IFERROR(IF($D297="","",VLOOKUP($D297,'Malzeme Kartları'!$B$5:$D$204,3,FALSE)),"")</f>
      </c>
      <c r="H297" s="17">
        <f>IFERROR(IF(OR($D297="",$F297=""),0,$F297*VLOOKUP($D297,'Malzeme Kartları'!$B$5:$G$204,6,FALSE)),0)</f>
      </c>
    </row>
    <row r="298" spans="2:8" x14ac:dyDescent="0.25">
      <c r="B298" s="12"/>
      <c r="C298" s="15">
        <f>IFERROR(IF($B298="","",VLOOKUP($B298,'Menü Kartları'!$B$5:$C$154,2,FALSE)),"")</f>
      </c>
      <c r="D298" s="12"/>
      <c r="E298" s="15">
        <f>IFERROR(IF($D298="","",VLOOKUP($D298,'Malzeme Kartları'!$B$5:$C$204,2,FALSE)),"— tanımsız —")</f>
      </c>
      <c r="F298" s="18"/>
      <c r="G298" s="15">
        <f>IFERROR(IF($D298="","",VLOOKUP($D298,'Malzeme Kartları'!$B$5:$D$204,3,FALSE)),"")</f>
      </c>
      <c r="H298" s="17">
        <f>IFERROR(IF(OR($D298="",$F298=""),0,$F298*VLOOKUP($D298,'Malzeme Kartları'!$B$5:$G$204,6,FALSE)),0)</f>
      </c>
    </row>
    <row r="299" spans="2:8" x14ac:dyDescent="0.25">
      <c r="B299" s="8"/>
      <c r="C299" s="15">
        <f>IFERROR(IF($B299="","",VLOOKUP($B299,'Menü Kartları'!$B$5:$C$154,2,FALSE)),"")</f>
      </c>
      <c r="D299" s="8"/>
      <c r="E299" s="15">
        <f>IFERROR(IF($D299="","",VLOOKUP($D299,'Malzeme Kartları'!$B$5:$C$204,2,FALSE)),"— tanımsız —")</f>
      </c>
      <c r="F299" s="16"/>
      <c r="G299" s="15">
        <f>IFERROR(IF($D299="","",VLOOKUP($D299,'Malzeme Kartları'!$B$5:$D$204,3,FALSE)),"")</f>
      </c>
      <c r="H299" s="17">
        <f>IFERROR(IF(OR($D299="",$F299=""),0,$F299*VLOOKUP($D299,'Malzeme Kartları'!$B$5:$G$204,6,FALSE)),0)</f>
      </c>
    </row>
    <row r="300" spans="2:8" x14ac:dyDescent="0.25">
      <c r="B300" s="12"/>
      <c r="C300" s="15">
        <f>IFERROR(IF($B300="","",VLOOKUP($B300,'Menü Kartları'!$B$5:$C$154,2,FALSE)),"")</f>
      </c>
      <c r="D300" s="12"/>
      <c r="E300" s="15">
        <f>IFERROR(IF($D300="","",VLOOKUP($D300,'Malzeme Kartları'!$B$5:$C$204,2,FALSE)),"— tanımsız —")</f>
      </c>
      <c r="F300" s="18"/>
      <c r="G300" s="15">
        <f>IFERROR(IF($D300="","",VLOOKUP($D300,'Malzeme Kartları'!$B$5:$D$204,3,FALSE)),"")</f>
      </c>
      <c r="H300" s="17">
        <f>IFERROR(IF(OR($D300="",$F300=""),0,$F300*VLOOKUP($D300,'Malzeme Kartları'!$B$5:$G$204,6,FALSE)),0)</f>
      </c>
    </row>
    <row r="301" spans="2:8" x14ac:dyDescent="0.25">
      <c r="B301" s="8"/>
      <c r="C301" s="15">
        <f>IFERROR(IF($B301="","",VLOOKUP($B301,'Menü Kartları'!$B$5:$C$154,2,FALSE)),"")</f>
      </c>
      <c r="D301" s="8"/>
      <c r="E301" s="15">
        <f>IFERROR(IF($D301="","",VLOOKUP($D301,'Malzeme Kartları'!$B$5:$C$204,2,FALSE)),"— tanımsız —")</f>
      </c>
      <c r="F301" s="16"/>
      <c r="G301" s="15">
        <f>IFERROR(IF($D301="","",VLOOKUP($D301,'Malzeme Kartları'!$B$5:$D$204,3,FALSE)),"")</f>
      </c>
      <c r="H301" s="17">
        <f>IFERROR(IF(OR($D301="",$F301=""),0,$F301*VLOOKUP($D301,'Malzeme Kartları'!$B$5:$G$204,6,FALSE)),0)</f>
      </c>
    </row>
    <row r="302" spans="2:8" x14ac:dyDescent="0.25">
      <c r="B302" s="12"/>
      <c r="C302" s="15">
        <f>IFERROR(IF($B302="","",VLOOKUP($B302,'Menü Kartları'!$B$5:$C$154,2,FALSE)),"")</f>
      </c>
      <c r="D302" s="12"/>
      <c r="E302" s="15">
        <f>IFERROR(IF($D302="","",VLOOKUP($D302,'Malzeme Kartları'!$B$5:$C$204,2,FALSE)),"— tanımsız —")</f>
      </c>
      <c r="F302" s="18"/>
      <c r="G302" s="15">
        <f>IFERROR(IF($D302="","",VLOOKUP($D302,'Malzeme Kartları'!$B$5:$D$204,3,FALSE)),"")</f>
      </c>
      <c r="H302" s="17">
        <f>IFERROR(IF(OR($D302="",$F302=""),0,$F302*VLOOKUP($D302,'Malzeme Kartları'!$B$5:$G$204,6,FALSE)),0)</f>
      </c>
    </row>
    <row r="303" spans="2:8" x14ac:dyDescent="0.25">
      <c r="B303" s="8"/>
      <c r="C303" s="15">
        <f>IFERROR(IF($B303="","",VLOOKUP($B303,'Menü Kartları'!$B$5:$C$154,2,FALSE)),"")</f>
      </c>
      <c r="D303" s="8"/>
      <c r="E303" s="15">
        <f>IFERROR(IF($D303="","",VLOOKUP($D303,'Malzeme Kartları'!$B$5:$C$204,2,FALSE)),"— tanımsız —")</f>
      </c>
      <c r="F303" s="16"/>
      <c r="G303" s="15">
        <f>IFERROR(IF($D303="","",VLOOKUP($D303,'Malzeme Kartları'!$B$5:$D$204,3,FALSE)),"")</f>
      </c>
      <c r="H303" s="17">
        <f>IFERROR(IF(OR($D303="",$F303=""),0,$F303*VLOOKUP($D303,'Malzeme Kartları'!$B$5:$G$204,6,FALSE)),0)</f>
      </c>
    </row>
    <row r="304" spans="2:8" x14ac:dyDescent="0.25">
      <c r="B304" s="12"/>
      <c r="C304" s="15">
        <f>IFERROR(IF($B304="","",VLOOKUP($B304,'Menü Kartları'!$B$5:$C$154,2,FALSE)),"")</f>
      </c>
      <c r="D304" s="12"/>
      <c r="E304" s="15">
        <f>IFERROR(IF($D304="","",VLOOKUP($D304,'Malzeme Kartları'!$B$5:$C$204,2,FALSE)),"— tanımsız —")</f>
      </c>
      <c r="F304" s="18"/>
      <c r="G304" s="15">
        <f>IFERROR(IF($D304="","",VLOOKUP($D304,'Malzeme Kartları'!$B$5:$D$204,3,FALSE)),"")</f>
      </c>
      <c r="H304" s="17">
        <f>IFERROR(IF(OR($D304="",$F304=""),0,$F304*VLOOKUP($D304,'Malzeme Kartları'!$B$5:$G$204,6,FALSE)),0)</f>
      </c>
    </row>
    <row r="305" spans="2:8" x14ac:dyDescent="0.25">
      <c r="B305" s="8"/>
      <c r="C305" s="15">
        <f>IFERROR(IF($B305="","",VLOOKUP($B305,'Menü Kartları'!$B$5:$C$154,2,FALSE)),"")</f>
      </c>
      <c r="D305" s="8"/>
      <c r="E305" s="15">
        <f>IFERROR(IF($D305="","",VLOOKUP($D305,'Malzeme Kartları'!$B$5:$C$204,2,FALSE)),"— tanımsız —")</f>
      </c>
      <c r="F305" s="16"/>
      <c r="G305" s="15">
        <f>IFERROR(IF($D305="","",VLOOKUP($D305,'Malzeme Kartları'!$B$5:$D$204,3,FALSE)),"")</f>
      </c>
      <c r="H305" s="17">
        <f>IFERROR(IF(OR($D305="",$F305=""),0,$F305*VLOOKUP($D305,'Malzeme Kartları'!$B$5:$G$204,6,FALSE)),0)</f>
      </c>
    </row>
    <row r="306" spans="2:8" x14ac:dyDescent="0.25">
      <c r="B306" s="12"/>
      <c r="C306" s="15">
        <f>IFERROR(IF($B306="","",VLOOKUP($B306,'Menü Kartları'!$B$5:$C$154,2,FALSE)),"")</f>
      </c>
      <c r="D306" s="12"/>
      <c r="E306" s="15">
        <f>IFERROR(IF($D306="","",VLOOKUP($D306,'Malzeme Kartları'!$B$5:$C$204,2,FALSE)),"— tanımsız —")</f>
      </c>
      <c r="F306" s="18"/>
      <c r="G306" s="15">
        <f>IFERROR(IF($D306="","",VLOOKUP($D306,'Malzeme Kartları'!$B$5:$D$204,3,FALSE)),"")</f>
      </c>
      <c r="H306" s="17">
        <f>IFERROR(IF(OR($D306="",$F306=""),0,$F306*VLOOKUP($D306,'Malzeme Kartları'!$B$5:$G$204,6,FALSE)),0)</f>
      </c>
    </row>
    <row r="307" spans="2:8" x14ac:dyDescent="0.25">
      <c r="B307" s="8"/>
      <c r="C307" s="15">
        <f>IFERROR(IF($B307="","",VLOOKUP($B307,'Menü Kartları'!$B$5:$C$154,2,FALSE)),"")</f>
      </c>
      <c r="D307" s="8"/>
      <c r="E307" s="15">
        <f>IFERROR(IF($D307="","",VLOOKUP($D307,'Malzeme Kartları'!$B$5:$C$204,2,FALSE)),"— tanımsız —")</f>
      </c>
      <c r="F307" s="16"/>
      <c r="G307" s="15">
        <f>IFERROR(IF($D307="","",VLOOKUP($D307,'Malzeme Kartları'!$B$5:$D$204,3,FALSE)),"")</f>
      </c>
      <c r="H307" s="17">
        <f>IFERROR(IF(OR($D307="",$F307=""),0,$F307*VLOOKUP($D307,'Malzeme Kartları'!$B$5:$G$204,6,FALSE)),0)</f>
      </c>
    </row>
    <row r="308" spans="2:8" x14ac:dyDescent="0.25">
      <c r="B308" s="12"/>
      <c r="C308" s="15">
        <f>IFERROR(IF($B308="","",VLOOKUP($B308,'Menü Kartları'!$B$5:$C$154,2,FALSE)),"")</f>
      </c>
      <c r="D308" s="12"/>
      <c r="E308" s="15">
        <f>IFERROR(IF($D308="","",VLOOKUP($D308,'Malzeme Kartları'!$B$5:$C$204,2,FALSE)),"— tanımsız —")</f>
      </c>
      <c r="F308" s="18"/>
      <c r="G308" s="15">
        <f>IFERROR(IF($D308="","",VLOOKUP($D308,'Malzeme Kartları'!$B$5:$D$204,3,FALSE)),"")</f>
      </c>
      <c r="H308" s="17">
        <f>IFERROR(IF(OR($D308="",$F308=""),0,$F308*VLOOKUP($D308,'Malzeme Kartları'!$B$5:$G$204,6,FALSE)),0)</f>
      </c>
    </row>
    <row r="309" spans="2:8" x14ac:dyDescent="0.25">
      <c r="B309" s="8"/>
      <c r="C309" s="15">
        <f>IFERROR(IF($B309="","",VLOOKUP($B309,'Menü Kartları'!$B$5:$C$154,2,FALSE)),"")</f>
      </c>
      <c r="D309" s="8"/>
      <c r="E309" s="15">
        <f>IFERROR(IF($D309="","",VLOOKUP($D309,'Malzeme Kartları'!$B$5:$C$204,2,FALSE)),"— tanımsız —")</f>
      </c>
      <c r="F309" s="16"/>
      <c r="G309" s="15">
        <f>IFERROR(IF($D309="","",VLOOKUP($D309,'Malzeme Kartları'!$B$5:$D$204,3,FALSE)),"")</f>
      </c>
      <c r="H309" s="17">
        <f>IFERROR(IF(OR($D309="",$F309=""),0,$F309*VLOOKUP($D309,'Malzeme Kartları'!$B$5:$G$204,6,FALSE)),0)</f>
      </c>
    </row>
    <row r="310" spans="2:8" x14ac:dyDescent="0.25">
      <c r="B310" s="12"/>
      <c r="C310" s="15">
        <f>IFERROR(IF($B310="","",VLOOKUP($B310,'Menü Kartları'!$B$5:$C$154,2,FALSE)),"")</f>
      </c>
      <c r="D310" s="12"/>
      <c r="E310" s="15">
        <f>IFERROR(IF($D310="","",VLOOKUP($D310,'Malzeme Kartları'!$B$5:$C$204,2,FALSE)),"— tanımsız —")</f>
      </c>
      <c r="F310" s="18"/>
      <c r="G310" s="15">
        <f>IFERROR(IF($D310="","",VLOOKUP($D310,'Malzeme Kartları'!$B$5:$D$204,3,FALSE)),"")</f>
      </c>
      <c r="H310" s="17">
        <f>IFERROR(IF(OR($D310="",$F310=""),0,$F310*VLOOKUP($D310,'Malzeme Kartları'!$B$5:$G$204,6,FALSE)),0)</f>
      </c>
    </row>
    <row r="311" spans="2:8" x14ac:dyDescent="0.25">
      <c r="B311" s="8"/>
      <c r="C311" s="15">
        <f>IFERROR(IF($B311="","",VLOOKUP($B311,'Menü Kartları'!$B$5:$C$154,2,FALSE)),"")</f>
      </c>
      <c r="D311" s="8"/>
      <c r="E311" s="15">
        <f>IFERROR(IF($D311="","",VLOOKUP($D311,'Malzeme Kartları'!$B$5:$C$204,2,FALSE)),"— tanımsız —")</f>
      </c>
      <c r="F311" s="16"/>
      <c r="G311" s="15">
        <f>IFERROR(IF($D311="","",VLOOKUP($D311,'Malzeme Kartları'!$B$5:$D$204,3,FALSE)),"")</f>
      </c>
      <c r="H311" s="17">
        <f>IFERROR(IF(OR($D311="",$F311=""),0,$F311*VLOOKUP($D311,'Malzeme Kartları'!$B$5:$G$204,6,FALSE)),0)</f>
      </c>
    </row>
    <row r="312" spans="2:8" x14ac:dyDescent="0.25">
      <c r="B312" s="12"/>
      <c r="C312" s="15">
        <f>IFERROR(IF($B312="","",VLOOKUP($B312,'Menü Kartları'!$B$5:$C$154,2,FALSE)),"")</f>
      </c>
      <c r="D312" s="12"/>
      <c r="E312" s="15">
        <f>IFERROR(IF($D312="","",VLOOKUP($D312,'Malzeme Kartları'!$B$5:$C$204,2,FALSE)),"— tanımsız —")</f>
      </c>
      <c r="F312" s="18"/>
      <c r="G312" s="15">
        <f>IFERROR(IF($D312="","",VLOOKUP($D312,'Malzeme Kartları'!$B$5:$D$204,3,FALSE)),"")</f>
      </c>
      <c r="H312" s="17">
        <f>IFERROR(IF(OR($D312="",$F312=""),0,$F312*VLOOKUP($D312,'Malzeme Kartları'!$B$5:$G$204,6,FALSE)),0)</f>
      </c>
    </row>
    <row r="313" spans="2:8" x14ac:dyDescent="0.25">
      <c r="B313" s="8"/>
      <c r="C313" s="15">
        <f>IFERROR(IF($B313="","",VLOOKUP($B313,'Menü Kartları'!$B$5:$C$154,2,FALSE)),"")</f>
      </c>
      <c r="D313" s="8"/>
      <c r="E313" s="15">
        <f>IFERROR(IF($D313="","",VLOOKUP($D313,'Malzeme Kartları'!$B$5:$C$204,2,FALSE)),"— tanımsız —")</f>
      </c>
      <c r="F313" s="16"/>
      <c r="G313" s="15">
        <f>IFERROR(IF($D313="","",VLOOKUP($D313,'Malzeme Kartları'!$B$5:$D$204,3,FALSE)),"")</f>
      </c>
      <c r="H313" s="17">
        <f>IFERROR(IF(OR($D313="",$F313=""),0,$F313*VLOOKUP($D313,'Malzeme Kartları'!$B$5:$G$204,6,FALSE)),0)</f>
      </c>
    </row>
    <row r="314" spans="2:8" x14ac:dyDescent="0.25">
      <c r="B314" s="12"/>
      <c r="C314" s="15">
        <f>IFERROR(IF($B314="","",VLOOKUP($B314,'Menü Kartları'!$B$5:$C$154,2,FALSE)),"")</f>
      </c>
      <c r="D314" s="12"/>
      <c r="E314" s="15">
        <f>IFERROR(IF($D314="","",VLOOKUP($D314,'Malzeme Kartları'!$B$5:$C$204,2,FALSE)),"— tanımsız —")</f>
      </c>
      <c r="F314" s="18"/>
      <c r="G314" s="15">
        <f>IFERROR(IF($D314="","",VLOOKUP($D314,'Malzeme Kartları'!$B$5:$D$204,3,FALSE)),"")</f>
      </c>
      <c r="H314" s="17">
        <f>IFERROR(IF(OR($D314="",$F314=""),0,$F314*VLOOKUP($D314,'Malzeme Kartları'!$B$5:$G$204,6,FALSE)),0)</f>
      </c>
    </row>
    <row r="315" spans="2:8" x14ac:dyDescent="0.25">
      <c r="B315" s="8"/>
      <c r="C315" s="15">
        <f>IFERROR(IF($B315="","",VLOOKUP($B315,'Menü Kartları'!$B$5:$C$154,2,FALSE)),"")</f>
      </c>
      <c r="D315" s="8"/>
      <c r="E315" s="15">
        <f>IFERROR(IF($D315="","",VLOOKUP($D315,'Malzeme Kartları'!$B$5:$C$204,2,FALSE)),"— tanımsız —")</f>
      </c>
      <c r="F315" s="16"/>
      <c r="G315" s="15">
        <f>IFERROR(IF($D315="","",VLOOKUP($D315,'Malzeme Kartları'!$B$5:$D$204,3,FALSE)),"")</f>
      </c>
      <c r="H315" s="17">
        <f>IFERROR(IF(OR($D315="",$F315=""),0,$F315*VLOOKUP($D315,'Malzeme Kartları'!$B$5:$G$204,6,FALSE)),0)</f>
      </c>
    </row>
    <row r="316" spans="2:8" x14ac:dyDescent="0.25">
      <c r="B316" s="12"/>
      <c r="C316" s="15">
        <f>IFERROR(IF($B316="","",VLOOKUP($B316,'Menü Kartları'!$B$5:$C$154,2,FALSE)),"")</f>
      </c>
      <c r="D316" s="12"/>
      <c r="E316" s="15">
        <f>IFERROR(IF($D316="","",VLOOKUP($D316,'Malzeme Kartları'!$B$5:$C$204,2,FALSE)),"— tanımsız —")</f>
      </c>
      <c r="F316" s="18"/>
      <c r="G316" s="15">
        <f>IFERROR(IF($D316="","",VLOOKUP($D316,'Malzeme Kartları'!$B$5:$D$204,3,FALSE)),"")</f>
      </c>
      <c r="H316" s="17">
        <f>IFERROR(IF(OR($D316="",$F316=""),0,$F316*VLOOKUP($D316,'Malzeme Kartları'!$B$5:$G$204,6,FALSE)),0)</f>
      </c>
    </row>
    <row r="317" spans="2:8" x14ac:dyDescent="0.25">
      <c r="B317" s="8"/>
      <c r="C317" s="15">
        <f>IFERROR(IF($B317="","",VLOOKUP($B317,'Menü Kartları'!$B$5:$C$154,2,FALSE)),"")</f>
      </c>
      <c r="D317" s="8"/>
      <c r="E317" s="15">
        <f>IFERROR(IF($D317="","",VLOOKUP($D317,'Malzeme Kartları'!$B$5:$C$204,2,FALSE)),"— tanımsız —")</f>
      </c>
      <c r="F317" s="16"/>
      <c r="G317" s="15">
        <f>IFERROR(IF($D317="","",VLOOKUP($D317,'Malzeme Kartları'!$B$5:$D$204,3,FALSE)),"")</f>
      </c>
      <c r="H317" s="17">
        <f>IFERROR(IF(OR($D317="",$F317=""),0,$F317*VLOOKUP($D317,'Malzeme Kartları'!$B$5:$G$204,6,FALSE)),0)</f>
      </c>
    </row>
    <row r="318" spans="2:8" x14ac:dyDescent="0.25">
      <c r="B318" s="12"/>
      <c r="C318" s="15">
        <f>IFERROR(IF($B318="","",VLOOKUP($B318,'Menü Kartları'!$B$5:$C$154,2,FALSE)),"")</f>
      </c>
      <c r="D318" s="12"/>
      <c r="E318" s="15">
        <f>IFERROR(IF($D318="","",VLOOKUP($D318,'Malzeme Kartları'!$B$5:$C$204,2,FALSE)),"— tanımsız —")</f>
      </c>
      <c r="F318" s="18"/>
      <c r="G318" s="15">
        <f>IFERROR(IF($D318="","",VLOOKUP($D318,'Malzeme Kartları'!$B$5:$D$204,3,FALSE)),"")</f>
      </c>
      <c r="H318" s="17">
        <f>IFERROR(IF(OR($D318="",$F318=""),0,$F318*VLOOKUP($D318,'Malzeme Kartları'!$B$5:$G$204,6,FALSE)),0)</f>
      </c>
    </row>
    <row r="319" spans="2:8" x14ac:dyDescent="0.25">
      <c r="B319" s="8"/>
      <c r="C319" s="15">
        <f>IFERROR(IF($B319="","",VLOOKUP($B319,'Menü Kartları'!$B$5:$C$154,2,FALSE)),"")</f>
      </c>
      <c r="D319" s="8"/>
      <c r="E319" s="15">
        <f>IFERROR(IF($D319="","",VLOOKUP($D319,'Malzeme Kartları'!$B$5:$C$204,2,FALSE)),"— tanımsız —")</f>
      </c>
      <c r="F319" s="16"/>
      <c r="G319" s="15">
        <f>IFERROR(IF($D319="","",VLOOKUP($D319,'Malzeme Kartları'!$B$5:$D$204,3,FALSE)),"")</f>
      </c>
      <c r="H319" s="17">
        <f>IFERROR(IF(OR($D319="",$F319=""),0,$F319*VLOOKUP($D319,'Malzeme Kartları'!$B$5:$G$204,6,FALSE)),0)</f>
      </c>
    </row>
    <row r="320" spans="2:8" x14ac:dyDescent="0.25">
      <c r="B320" s="12"/>
      <c r="C320" s="15">
        <f>IFERROR(IF($B320="","",VLOOKUP($B320,'Menü Kartları'!$B$5:$C$154,2,FALSE)),"")</f>
      </c>
      <c r="D320" s="12"/>
      <c r="E320" s="15">
        <f>IFERROR(IF($D320="","",VLOOKUP($D320,'Malzeme Kartları'!$B$5:$C$204,2,FALSE)),"— tanımsız —")</f>
      </c>
      <c r="F320" s="18"/>
      <c r="G320" s="15">
        <f>IFERROR(IF($D320="","",VLOOKUP($D320,'Malzeme Kartları'!$B$5:$D$204,3,FALSE)),"")</f>
      </c>
      <c r="H320" s="17">
        <f>IFERROR(IF(OR($D320="",$F320=""),0,$F320*VLOOKUP($D320,'Malzeme Kartları'!$B$5:$G$204,6,FALSE)),0)</f>
      </c>
    </row>
    <row r="321" spans="2:8" x14ac:dyDescent="0.25">
      <c r="B321" s="8"/>
      <c r="C321" s="15">
        <f>IFERROR(IF($B321="","",VLOOKUP($B321,'Menü Kartları'!$B$5:$C$154,2,FALSE)),"")</f>
      </c>
      <c r="D321" s="8"/>
      <c r="E321" s="15">
        <f>IFERROR(IF($D321="","",VLOOKUP($D321,'Malzeme Kartları'!$B$5:$C$204,2,FALSE)),"— tanımsız —")</f>
      </c>
      <c r="F321" s="16"/>
      <c r="G321" s="15">
        <f>IFERROR(IF($D321="","",VLOOKUP($D321,'Malzeme Kartları'!$B$5:$D$204,3,FALSE)),"")</f>
      </c>
      <c r="H321" s="17">
        <f>IFERROR(IF(OR($D321="",$F321=""),0,$F321*VLOOKUP($D321,'Malzeme Kartları'!$B$5:$G$204,6,FALSE)),0)</f>
      </c>
    </row>
    <row r="322" spans="2:8" x14ac:dyDescent="0.25">
      <c r="B322" s="12"/>
      <c r="C322" s="15">
        <f>IFERROR(IF($B322="","",VLOOKUP($B322,'Menü Kartları'!$B$5:$C$154,2,FALSE)),"")</f>
      </c>
      <c r="D322" s="12"/>
      <c r="E322" s="15">
        <f>IFERROR(IF($D322="","",VLOOKUP($D322,'Malzeme Kartları'!$B$5:$C$204,2,FALSE)),"— tanımsız —")</f>
      </c>
      <c r="F322" s="18"/>
      <c r="G322" s="15">
        <f>IFERROR(IF($D322="","",VLOOKUP($D322,'Malzeme Kartları'!$B$5:$D$204,3,FALSE)),"")</f>
      </c>
      <c r="H322" s="17">
        <f>IFERROR(IF(OR($D322="",$F322=""),0,$F322*VLOOKUP($D322,'Malzeme Kartları'!$B$5:$G$204,6,FALSE)),0)</f>
      </c>
    </row>
    <row r="323" spans="2:8" x14ac:dyDescent="0.25">
      <c r="B323" s="8"/>
      <c r="C323" s="15">
        <f>IFERROR(IF($B323="","",VLOOKUP($B323,'Menü Kartları'!$B$5:$C$154,2,FALSE)),"")</f>
      </c>
      <c r="D323" s="8"/>
      <c r="E323" s="15">
        <f>IFERROR(IF($D323="","",VLOOKUP($D323,'Malzeme Kartları'!$B$5:$C$204,2,FALSE)),"— tanımsız —")</f>
      </c>
      <c r="F323" s="16"/>
      <c r="G323" s="15">
        <f>IFERROR(IF($D323="","",VLOOKUP($D323,'Malzeme Kartları'!$B$5:$D$204,3,FALSE)),"")</f>
      </c>
      <c r="H323" s="17">
        <f>IFERROR(IF(OR($D323="",$F323=""),0,$F323*VLOOKUP($D323,'Malzeme Kartları'!$B$5:$G$204,6,FALSE)),0)</f>
      </c>
    </row>
    <row r="324" spans="2:8" x14ac:dyDescent="0.25">
      <c r="B324" s="12"/>
      <c r="C324" s="15">
        <f>IFERROR(IF($B324="","",VLOOKUP($B324,'Menü Kartları'!$B$5:$C$154,2,FALSE)),"")</f>
      </c>
      <c r="D324" s="12"/>
      <c r="E324" s="15">
        <f>IFERROR(IF($D324="","",VLOOKUP($D324,'Malzeme Kartları'!$B$5:$C$204,2,FALSE)),"— tanımsız —")</f>
      </c>
      <c r="F324" s="18"/>
      <c r="G324" s="15">
        <f>IFERROR(IF($D324="","",VLOOKUP($D324,'Malzeme Kartları'!$B$5:$D$204,3,FALSE)),"")</f>
      </c>
      <c r="H324" s="17">
        <f>IFERROR(IF(OR($D324="",$F324=""),0,$F324*VLOOKUP($D324,'Malzeme Kartları'!$B$5:$G$204,6,FALSE)),0)</f>
      </c>
    </row>
    <row r="325" spans="2:8" x14ac:dyDescent="0.25">
      <c r="B325" s="8"/>
      <c r="C325" s="15">
        <f>IFERROR(IF($B325="","",VLOOKUP($B325,'Menü Kartları'!$B$5:$C$154,2,FALSE)),"")</f>
      </c>
      <c r="D325" s="8"/>
      <c r="E325" s="15">
        <f>IFERROR(IF($D325="","",VLOOKUP($D325,'Malzeme Kartları'!$B$5:$C$204,2,FALSE)),"— tanımsız —")</f>
      </c>
      <c r="F325" s="16"/>
      <c r="G325" s="15">
        <f>IFERROR(IF($D325="","",VLOOKUP($D325,'Malzeme Kartları'!$B$5:$D$204,3,FALSE)),"")</f>
      </c>
      <c r="H325" s="17">
        <f>IFERROR(IF(OR($D325="",$F325=""),0,$F325*VLOOKUP($D325,'Malzeme Kartları'!$B$5:$G$204,6,FALSE)),0)</f>
      </c>
    </row>
    <row r="326" spans="2:8" x14ac:dyDescent="0.25">
      <c r="B326" s="12"/>
      <c r="C326" s="15">
        <f>IFERROR(IF($B326="","",VLOOKUP($B326,'Menü Kartları'!$B$5:$C$154,2,FALSE)),"")</f>
      </c>
      <c r="D326" s="12"/>
      <c r="E326" s="15">
        <f>IFERROR(IF($D326="","",VLOOKUP($D326,'Malzeme Kartları'!$B$5:$C$204,2,FALSE)),"— tanımsız —")</f>
      </c>
      <c r="F326" s="18"/>
      <c r="G326" s="15">
        <f>IFERROR(IF($D326="","",VLOOKUP($D326,'Malzeme Kartları'!$B$5:$D$204,3,FALSE)),"")</f>
      </c>
      <c r="H326" s="17">
        <f>IFERROR(IF(OR($D326="",$F326=""),0,$F326*VLOOKUP($D326,'Malzeme Kartları'!$B$5:$G$204,6,FALSE)),0)</f>
      </c>
    </row>
    <row r="327" spans="2:8" x14ac:dyDescent="0.25">
      <c r="B327" s="8"/>
      <c r="C327" s="15">
        <f>IFERROR(IF($B327="","",VLOOKUP($B327,'Menü Kartları'!$B$5:$C$154,2,FALSE)),"")</f>
      </c>
      <c r="D327" s="8"/>
      <c r="E327" s="15">
        <f>IFERROR(IF($D327="","",VLOOKUP($D327,'Malzeme Kartları'!$B$5:$C$204,2,FALSE)),"— tanımsız —")</f>
      </c>
      <c r="F327" s="16"/>
      <c r="G327" s="15">
        <f>IFERROR(IF($D327="","",VLOOKUP($D327,'Malzeme Kartları'!$B$5:$D$204,3,FALSE)),"")</f>
      </c>
      <c r="H327" s="17">
        <f>IFERROR(IF(OR($D327="",$F327=""),0,$F327*VLOOKUP($D327,'Malzeme Kartları'!$B$5:$G$204,6,FALSE)),0)</f>
      </c>
    </row>
    <row r="328" spans="2:8" x14ac:dyDescent="0.25">
      <c r="B328" s="12"/>
      <c r="C328" s="15">
        <f>IFERROR(IF($B328="","",VLOOKUP($B328,'Menü Kartları'!$B$5:$C$154,2,FALSE)),"")</f>
      </c>
      <c r="D328" s="12"/>
      <c r="E328" s="15">
        <f>IFERROR(IF($D328="","",VLOOKUP($D328,'Malzeme Kartları'!$B$5:$C$204,2,FALSE)),"— tanımsız —")</f>
      </c>
      <c r="F328" s="18"/>
      <c r="G328" s="15">
        <f>IFERROR(IF($D328="","",VLOOKUP($D328,'Malzeme Kartları'!$B$5:$D$204,3,FALSE)),"")</f>
      </c>
      <c r="H328" s="17">
        <f>IFERROR(IF(OR($D328="",$F328=""),0,$F328*VLOOKUP($D328,'Malzeme Kartları'!$B$5:$G$204,6,FALSE)),0)</f>
      </c>
    </row>
    <row r="329" spans="2:8" x14ac:dyDescent="0.25">
      <c r="B329" s="8"/>
      <c r="C329" s="15">
        <f>IFERROR(IF($B329="","",VLOOKUP($B329,'Menü Kartları'!$B$5:$C$154,2,FALSE)),"")</f>
      </c>
      <c r="D329" s="8"/>
      <c r="E329" s="15">
        <f>IFERROR(IF($D329="","",VLOOKUP($D329,'Malzeme Kartları'!$B$5:$C$204,2,FALSE)),"— tanımsız —")</f>
      </c>
      <c r="F329" s="16"/>
      <c r="G329" s="15">
        <f>IFERROR(IF($D329="","",VLOOKUP($D329,'Malzeme Kartları'!$B$5:$D$204,3,FALSE)),"")</f>
      </c>
      <c r="H329" s="17">
        <f>IFERROR(IF(OR($D329="",$F329=""),0,$F329*VLOOKUP($D329,'Malzeme Kartları'!$B$5:$G$204,6,FALSE)),0)</f>
      </c>
    </row>
    <row r="330" spans="2:8" x14ac:dyDescent="0.25">
      <c r="B330" s="12"/>
      <c r="C330" s="15">
        <f>IFERROR(IF($B330="","",VLOOKUP($B330,'Menü Kartları'!$B$5:$C$154,2,FALSE)),"")</f>
      </c>
      <c r="D330" s="12"/>
      <c r="E330" s="15">
        <f>IFERROR(IF($D330="","",VLOOKUP($D330,'Malzeme Kartları'!$B$5:$C$204,2,FALSE)),"— tanımsız —")</f>
      </c>
      <c r="F330" s="18"/>
      <c r="G330" s="15">
        <f>IFERROR(IF($D330="","",VLOOKUP($D330,'Malzeme Kartları'!$B$5:$D$204,3,FALSE)),"")</f>
      </c>
      <c r="H330" s="17">
        <f>IFERROR(IF(OR($D330="",$F330=""),0,$F330*VLOOKUP($D330,'Malzeme Kartları'!$B$5:$G$204,6,FALSE)),0)</f>
      </c>
    </row>
    <row r="331" spans="2:8" x14ac:dyDescent="0.25">
      <c r="B331" s="8"/>
      <c r="C331" s="15">
        <f>IFERROR(IF($B331="","",VLOOKUP($B331,'Menü Kartları'!$B$5:$C$154,2,FALSE)),"")</f>
      </c>
      <c r="D331" s="8"/>
      <c r="E331" s="15">
        <f>IFERROR(IF($D331="","",VLOOKUP($D331,'Malzeme Kartları'!$B$5:$C$204,2,FALSE)),"— tanımsız —")</f>
      </c>
      <c r="F331" s="16"/>
      <c r="G331" s="15">
        <f>IFERROR(IF($D331="","",VLOOKUP($D331,'Malzeme Kartları'!$B$5:$D$204,3,FALSE)),"")</f>
      </c>
      <c r="H331" s="17">
        <f>IFERROR(IF(OR($D331="",$F331=""),0,$F331*VLOOKUP($D331,'Malzeme Kartları'!$B$5:$G$204,6,FALSE)),0)</f>
      </c>
    </row>
    <row r="332" spans="2:8" x14ac:dyDescent="0.25">
      <c r="B332" s="12"/>
      <c r="C332" s="15">
        <f>IFERROR(IF($B332="","",VLOOKUP($B332,'Menü Kartları'!$B$5:$C$154,2,FALSE)),"")</f>
      </c>
      <c r="D332" s="12"/>
      <c r="E332" s="15">
        <f>IFERROR(IF($D332="","",VLOOKUP($D332,'Malzeme Kartları'!$B$5:$C$204,2,FALSE)),"— tanımsız —")</f>
      </c>
      <c r="F332" s="18"/>
      <c r="G332" s="15">
        <f>IFERROR(IF($D332="","",VLOOKUP($D332,'Malzeme Kartları'!$B$5:$D$204,3,FALSE)),"")</f>
      </c>
      <c r="H332" s="17">
        <f>IFERROR(IF(OR($D332="",$F332=""),0,$F332*VLOOKUP($D332,'Malzeme Kartları'!$B$5:$G$204,6,FALSE)),0)</f>
      </c>
    </row>
    <row r="333" spans="2:8" x14ac:dyDescent="0.25">
      <c r="B333" s="8"/>
      <c r="C333" s="15">
        <f>IFERROR(IF($B333="","",VLOOKUP($B333,'Menü Kartları'!$B$5:$C$154,2,FALSE)),"")</f>
      </c>
      <c r="D333" s="8"/>
      <c r="E333" s="15">
        <f>IFERROR(IF($D333="","",VLOOKUP($D333,'Malzeme Kartları'!$B$5:$C$204,2,FALSE)),"— tanımsız —")</f>
      </c>
      <c r="F333" s="16"/>
      <c r="G333" s="15">
        <f>IFERROR(IF($D333="","",VLOOKUP($D333,'Malzeme Kartları'!$B$5:$D$204,3,FALSE)),"")</f>
      </c>
      <c r="H333" s="17">
        <f>IFERROR(IF(OR($D333="",$F333=""),0,$F333*VLOOKUP($D333,'Malzeme Kartları'!$B$5:$G$204,6,FALSE)),0)</f>
      </c>
    </row>
    <row r="334" spans="2:8" x14ac:dyDescent="0.25">
      <c r="B334" s="12"/>
      <c r="C334" s="15">
        <f>IFERROR(IF($B334="","",VLOOKUP($B334,'Menü Kartları'!$B$5:$C$154,2,FALSE)),"")</f>
      </c>
      <c r="D334" s="12"/>
      <c r="E334" s="15">
        <f>IFERROR(IF($D334="","",VLOOKUP($D334,'Malzeme Kartları'!$B$5:$C$204,2,FALSE)),"— tanımsız —")</f>
      </c>
      <c r="F334" s="18"/>
      <c r="G334" s="15">
        <f>IFERROR(IF($D334="","",VLOOKUP($D334,'Malzeme Kartları'!$B$5:$D$204,3,FALSE)),"")</f>
      </c>
      <c r="H334" s="17">
        <f>IFERROR(IF(OR($D334="",$F334=""),0,$F334*VLOOKUP($D334,'Malzeme Kartları'!$B$5:$G$204,6,FALSE)),0)</f>
      </c>
    </row>
    <row r="335" spans="2:8" x14ac:dyDescent="0.25">
      <c r="B335" s="8"/>
      <c r="C335" s="15">
        <f>IFERROR(IF($B335="","",VLOOKUP($B335,'Menü Kartları'!$B$5:$C$154,2,FALSE)),"")</f>
      </c>
      <c r="D335" s="8"/>
      <c r="E335" s="15">
        <f>IFERROR(IF($D335="","",VLOOKUP($D335,'Malzeme Kartları'!$B$5:$C$204,2,FALSE)),"— tanımsız —")</f>
      </c>
      <c r="F335" s="16"/>
      <c r="G335" s="15">
        <f>IFERROR(IF($D335="","",VLOOKUP($D335,'Malzeme Kartları'!$B$5:$D$204,3,FALSE)),"")</f>
      </c>
      <c r="H335" s="17">
        <f>IFERROR(IF(OR($D335="",$F335=""),0,$F335*VLOOKUP($D335,'Malzeme Kartları'!$B$5:$G$204,6,FALSE)),0)</f>
      </c>
    </row>
    <row r="336" spans="2:8" x14ac:dyDescent="0.25">
      <c r="B336" s="12"/>
      <c r="C336" s="15">
        <f>IFERROR(IF($B336="","",VLOOKUP($B336,'Menü Kartları'!$B$5:$C$154,2,FALSE)),"")</f>
      </c>
      <c r="D336" s="12"/>
      <c r="E336" s="15">
        <f>IFERROR(IF($D336="","",VLOOKUP($D336,'Malzeme Kartları'!$B$5:$C$204,2,FALSE)),"— tanımsız —")</f>
      </c>
      <c r="F336" s="18"/>
      <c r="G336" s="15">
        <f>IFERROR(IF($D336="","",VLOOKUP($D336,'Malzeme Kartları'!$B$5:$D$204,3,FALSE)),"")</f>
      </c>
      <c r="H336" s="17">
        <f>IFERROR(IF(OR($D336="",$F336=""),0,$F336*VLOOKUP($D336,'Malzeme Kartları'!$B$5:$G$204,6,FALSE)),0)</f>
      </c>
    </row>
    <row r="337" spans="2:8" x14ac:dyDescent="0.25">
      <c r="B337" s="8"/>
      <c r="C337" s="15">
        <f>IFERROR(IF($B337="","",VLOOKUP($B337,'Menü Kartları'!$B$5:$C$154,2,FALSE)),"")</f>
      </c>
      <c r="D337" s="8"/>
      <c r="E337" s="15">
        <f>IFERROR(IF($D337="","",VLOOKUP($D337,'Malzeme Kartları'!$B$5:$C$204,2,FALSE)),"— tanımsız —")</f>
      </c>
      <c r="F337" s="16"/>
      <c r="G337" s="15">
        <f>IFERROR(IF($D337="","",VLOOKUP($D337,'Malzeme Kartları'!$B$5:$D$204,3,FALSE)),"")</f>
      </c>
      <c r="H337" s="17">
        <f>IFERROR(IF(OR($D337="",$F337=""),0,$F337*VLOOKUP($D337,'Malzeme Kartları'!$B$5:$G$204,6,FALSE)),0)</f>
      </c>
    </row>
    <row r="338" spans="2:8" x14ac:dyDescent="0.25">
      <c r="B338" s="12"/>
      <c r="C338" s="15">
        <f>IFERROR(IF($B338="","",VLOOKUP($B338,'Menü Kartları'!$B$5:$C$154,2,FALSE)),"")</f>
      </c>
      <c r="D338" s="12"/>
      <c r="E338" s="15">
        <f>IFERROR(IF($D338="","",VLOOKUP($D338,'Malzeme Kartları'!$B$5:$C$204,2,FALSE)),"— tanımsız —")</f>
      </c>
      <c r="F338" s="18"/>
      <c r="G338" s="15">
        <f>IFERROR(IF($D338="","",VLOOKUP($D338,'Malzeme Kartları'!$B$5:$D$204,3,FALSE)),"")</f>
      </c>
      <c r="H338" s="17">
        <f>IFERROR(IF(OR($D338="",$F338=""),0,$F338*VLOOKUP($D338,'Malzeme Kartları'!$B$5:$G$204,6,FALSE)),0)</f>
      </c>
    </row>
    <row r="339" spans="2:8" x14ac:dyDescent="0.25">
      <c r="B339" s="8"/>
      <c r="C339" s="15">
        <f>IFERROR(IF($B339="","",VLOOKUP($B339,'Menü Kartları'!$B$5:$C$154,2,FALSE)),"")</f>
      </c>
      <c r="D339" s="8"/>
      <c r="E339" s="15">
        <f>IFERROR(IF($D339="","",VLOOKUP($D339,'Malzeme Kartları'!$B$5:$C$204,2,FALSE)),"— tanımsız —")</f>
      </c>
      <c r="F339" s="16"/>
      <c r="G339" s="15">
        <f>IFERROR(IF($D339="","",VLOOKUP($D339,'Malzeme Kartları'!$B$5:$D$204,3,FALSE)),"")</f>
      </c>
      <c r="H339" s="17">
        <f>IFERROR(IF(OR($D339="",$F339=""),0,$F339*VLOOKUP($D339,'Malzeme Kartları'!$B$5:$G$204,6,FALSE)),0)</f>
      </c>
    </row>
    <row r="340" spans="2:8" x14ac:dyDescent="0.25">
      <c r="B340" s="12"/>
      <c r="C340" s="15">
        <f>IFERROR(IF($B340="","",VLOOKUP($B340,'Menü Kartları'!$B$5:$C$154,2,FALSE)),"")</f>
      </c>
      <c r="D340" s="12"/>
      <c r="E340" s="15">
        <f>IFERROR(IF($D340="","",VLOOKUP($D340,'Malzeme Kartları'!$B$5:$C$204,2,FALSE)),"— tanımsız —")</f>
      </c>
      <c r="F340" s="18"/>
      <c r="G340" s="15">
        <f>IFERROR(IF($D340="","",VLOOKUP($D340,'Malzeme Kartları'!$B$5:$D$204,3,FALSE)),"")</f>
      </c>
      <c r="H340" s="17">
        <f>IFERROR(IF(OR($D340="",$F340=""),0,$F340*VLOOKUP($D340,'Malzeme Kartları'!$B$5:$G$204,6,FALSE)),0)</f>
      </c>
    </row>
    <row r="341" spans="2:8" x14ac:dyDescent="0.25">
      <c r="B341" s="8"/>
      <c r="C341" s="15">
        <f>IFERROR(IF($B341="","",VLOOKUP($B341,'Menü Kartları'!$B$5:$C$154,2,FALSE)),"")</f>
      </c>
      <c r="D341" s="8"/>
      <c r="E341" s="15">
        <f>IFERROR(IF($D341="","",VLOOKUP($D341,'Malzeme Kartları'!$B$5:$C$204,2,FALSE)),"— tanımsız —")</f>
      </c>
      <c r="F341" s="16"/>
      <c r="G341" s="15">
        <f>IFERROR(IF($D341="","",VLOOKUP($D341,'Malzeme Kartları'!$B$5:$D$204,3,FALSE)),"")</f>
      </c>
      <c r="H341" s="17">
        <f>IFERROR(IF(OR($D341="",$F341=""),0,$F341*VLOOKUP($D341,'Malzeme Kartları'!$B$5:$G$204,6,FALSE)),0)</f>
      </c>
    </row>
    <row r="342" spans="2:8" x14ac:dyDescent="0.25">
      <c r="B342" s="12"/>
      <c r="C342" s="15">
        <f>IFERROR(IF($B342="","",VLOOKUP($B342,'Menü Kartları'!$B$5:$C$154,2,FALSE)),"")</f>
      </c>
      <c r="D342" s="12"/>
      <c r="E342" s="15">
        <f>IFERROR(IF($D342="","",VLOOKUP($D342,'Malzeme Kartları'!$B$5:$C$204,2,FALSE)),"— tanımsız —")</f>
      </c>
      <c r="F342" s="18"/>
      <c r="G342" s="15">
        <f>IFERROR(IF($D342="","",VLOOKUP($D342,'Malzeme Kartları'!$B$5:$D$204,3,FALSE)),"")</f>
      </c>
      <c r="H342" s="17">
        <f>IFERROR(IF(OR($D342="",$F342=""),0,$F342*VLOOKUP($D342,'Malzeme Kartları'!$B$5:$G$204,6,FALSE)),0)</f>
      </c>
    </row>
    <row r="343" spans="2:8" x14ac:dyDescent="0.25">
      <c r="B343" s="8"/>
      <c r="C343" s="15">
        <f>IFERROR(IF($B343="","",VLOOKUP($B343,'Menü Kartları'!$B$5:$C$154,2,FALSE)),"")</f>
      </c>
      <c r="D343" s="8"/>
      <c r="E343" s="15">
        <f>IFERROR(IF($D343="","",VLOOKUP($D343,'Malzeme Kartları'!$B$5:$C$204,2,FALSE)),"— tanımsız —")</f>
      </c>
      <c r="F343" s="16"/>
      <c r="G343" s="15">
        <f>IFERROR(IF($D343="","",VLOOKUP($D343,'Malzeme Kartları'!$B$5:$D$204,3,FALSE)),"")</f>
      </c>
      <c r="H343" s="17">
        <f>IFERROR(IF(OR($D343="",$F343=""),0,$F343*VLOOKUP($D343,'Malzeme Kartları'!$B$5:$G$204,6,FALSE)),0)</f>
      </c>
    </row>
    <row r="344" spans="2:8" x14ac:dyDescent="0.25">
      <c r="B344" s="12"/>
      <c r="C344" s="15">
        <f>IFERROR(IF($B344="","",VLOOKUP($B344,'Menü Kartları'!$B$5:$C$154,2,FALSE)),"")</f>
      </c>
      <c r="D344" s="12"/>
      <c r="E344" s="15">
        <f>IFERROR(IF($D344="","",VLOOKUP($D344,'Malzeme Kartları'!$B$5:$C$204,2,FALSE)),"— tanımsız —")</f>
      </c>
      <c r="F344" s="18"/>
      <c r="G344" s="15">
        <f>IFERROR(IF($D344="","",VLOOKUP($D344,'Malzeme Kartları'!$B$5:$D$204,3,FALSE)),"")</f>
      </c>
      <c r="H344" s="17">
        <f>IFERROR(IF(OR($D344="",$F344=""),0,$F344*VLOOKUP($D344,'Malzeme Kartları'!$B$5:$G$204,6,FALSE)),0)</f>
      </c>
    </row>
    <row r="345" spans="2:8" x14ac:dyDescent="0.25">
      <c r="B345" s="8"/>
      <c r="C345" s="15">
        <f>IFERROR(IF($B345="","",VLOOKUP($B345,'Menü Kartları'!$B$5:$C$154,2,FALSE)),"")</f>
      </c>
      <c r="D345" s="8"/>
      <c r="E345" s="15">
        <f>IFERROR(IF($D345="","",VLOOKUP($D345,'Malzeme Kartları'!$B$5:$C$204,2,FALSE)),"— tanımsız —")</f>
      </c>
      <c r="F345" s="16"/>
      <c r="G345" s="15">
        <f>IFERROR(IF($D345="","",VLOOKUP($D345,'Malzeme Kartları'!$B$5:$D$204,3,FALSE)),"")</f>
      </c>
      <c r="H345" s="17">
        <f>IFERROR(IF(OR($D345="",$F345=""),0,$F345*VLOOKUP($D345,'Malzeme Kartları'!$B$5:$G$204,6,FALSE)),0)</f>
      </c>
    </row>
    <row r="346" spans="2:8" x14ac:dyDescent="0.25">
      <c r="B346" s="12"/>
      <c r="C346" s="15">
        <f>IFERROR(IF($B346="","",VLOOKUP($B346,'Menü Kartları'!$B$5:$C$154,2,FALSE)),"")</f>
      </c>
      <c r="D346" s="12"/>
      <c r="E346" s="15">
        <f>IFERROR(IF($D346="","",VLOOKUP($D346,'Malzeme Kartları'!$B$5:$C$204,2,FALSE)),"— tanımsız —")</f>
      </c>
      <c r="F346" s="18"/>
      <c r="G346" s="15">
        <f>IFERROR(IF($D346="","",VLOOKUP($D346,'Malzeme Kartları'!$B$5:$D$204,3,FALSE)),"")</f>
      </c>
      <c r="H346" s="17">
        <f>IFERROR(IF(OR($D346="",$F346=""),0,$F346*VLOOKUP($D346,'Malzeme Kartları'!$B$5:$G$204,6,FALSE)),0)</f>
      </c>
    </row>
    <row r="347" spans="2:8" x14ac:dyDescent="0.25">
      <c r="B347" s="8"/>
      <c r="C347" s="15">
        <f>IFERROR(IF($B347="","",VLOOKUP($B347,'Menü Kartları'!$B$5:$C$154,2,FALSE)),"")</f>
      </c>
      <c r="D347" s="8"/>
      <c r="E347" s="15">
        <f>IFERROR(IF($D347="","",VLOOKUP($D347,'Malzeme Kartları'!$B$5:$C$204,2,FALSE)),"— tanımsız —")</f>
      </c>
      <c r="F347" s="16"/>
      <c r="G347" s="15">
        <f>IFERROR(IF($D347="","",VLOOKUP($D347,'Malzeme Kartları'!$B$5:$D$204,3,FALSE)),"")</f>
      </c>
      <c r="H347" s="17">
        <f>IFERROR(IF(OR($D347="",$F347=""),0,$F347*VLOOKUP($D347,'Malzeme Kartları'!$B$5:$G$204,6,FALSE)),0)</f>
      </c>
    </row>
    <row r="348" spans="2:8" x14ac:dyDescent="0.25">
      <c r="B348" s="12"/>
      <c r="C348" s="15">
        <f>IFERROR(IF($B348="","",VLOOKUP($B348,'Menü Kartları'!$B$5:$C$154,2,FALSE)),"")</f>
      </c>
      <c r="D348" s="12"/>
      <c r="E348" s="15">
        <f>IFERROR(IF($D348="","",VLOOKUP($D348,'Malzeme Kartları'!$B$5:$C$204,2,FALSE)),"— tanımsız —")</f>
      </c>
      <c r="F348" s="18"/>
      <c r="G348" s="15">
        <f>IFERROR(IF($D348="","",VLOOKUP($D348,'Malzeme Kartları'!$B$5:$D$204,3,FALSE)),"")</f>
      </c>
      <c r="H348" s="17">
        <f>IFERROR(IF(OR($D348="",$F348=""),0,$F348*VLOOKUP($D348,'Malzeme Kartları'!$B$5:$G$204,6,FALSE)),0)</f>
      </c>
    </row>
    <row r="349" spans="2:8" x14ac:dyDescent="0.25">
      <c r="B349" s="8"/>
      <c r="C349" s="15">
        <f>IFERROR(IF($B349="","",VLOOKUP($B349,'Menü Kartları'!$B$5:$C$154,2,FALSE)),"")</f>
      </c>
      <c r="D349" s="8"/>
      <c r="E349" s="15">
        <f>IFERROR(IF($D349="","",VLOOKUP($D349,'Malzeme Kartları'!$B$5:$C$204,2,FALSE)),"— tanımsız —")</f>
      </c>
      <c r="F349" s="16"/>
      <c r="G349" s="15">
        <f>IFERROR(IF($D349="","",VLOOKUP($D349,'Malzeme Kartları'!$B$5:$D$204,3,FALSE)),"")</f>
      </c>
      <c r="H349" s="17">
        <f>IFERROR(IF(OR($D349="",$F349=""),0,$F349*VLOOKUP($D349,'Malzeme Kartları'!$B$5:$G$204,6,FALSE)),0)</f>
      </c>
    </row>
    <row r="350" spans="2:8" x14ac:dyDescent="0.25">
      <c r="B350" s="12"/>
      <c r="C350" s="15">
        <f>IFERROR(IF($B350="","",VLOOKUP($B350,'Menü Kartları'!$B$5:$C$154,2,FALSE)),"")</f>
      </c>
      <c r="D350" s="12"/>
      <c r="E350" s="15">
        <f>IFERROR(IF($D350="","",VLOOKUP($D350,'Malzeme Kartları'!$B$5:$C$204,2,FALSE)),"— tanımsız —")</f>
      </c>
      <c r="F350" s="18"/>
      <c r="G350" s="15">
        <f>IFERROR(IF($D350="","",VLOOKUP($D350,'Malzeme Kartları'!$B$5:$D$204,3,FALSE)),"")</f>
      </c>
      <c r="H350" s="17">
        <f>IFERROR(IF(OR($D350="",$F350=""),0,$F350*VLOOKUP($D350,'Malzeme Kartları'!$B$5:$G$204,6,FALSE)),0)</f>
      </c>
    </row>
    <row r="351" spans="2:8" x14ac:dyDescent="0.25">
      <c r="B351" s="8"/>
      <c r="C351" s="15">
        <f>IFERROR(IF($B351="","",VLOOKUP($B351,'Menü Kartları'!$B$5:$C$154,2,FALSE)),"")</f>
      </c>
      <c r="D351" s="8"/>
      <c r="E351" s="15">
        <f>IFERROR(IF($D351="","",VLOOKUP($D351,'Malzeme Kartları'!$B$5:$C$204,2,FALSE)),"— tanımsız —")</f>
      </c>
      <c r="F351" s="16"/>
      <c r="G351" s="15">
        <f>IFERROR(IF($D351="","",VLOOKUP($D351,'Malzeme Kartları'!$B$5:$D$204,3,FALSE)),"")</f>
      </c>
      <c r="H351" s="17">
        <f>IFERROR(IF(OR($D351="",$F351=""),0,$F351*VLOOKUP($D351,'Malzeme Kartları'!$B$5:$G$204,6,FALSE)),0)</f>
      </c>
    </row>
    <row r="352" spans="2:8" x14ac:dyDescent="0.25">
      <c r="B352" s="12"/>
      <c r="C352" s="15">
        <f>IFERROR(IF($B352="","",VLOOKUP($B352,'Menü Kartları'!$B$5:$C$154,2,FALSE)),"")</f>
      </c>
      <c r="D352" s="12"/>
      <c r="E352" s="15">
        <f>IFERROR(IF($D352="","",VLOOKUP($D352,'Malzeme Kartları'!$B$5:$C$204,2,FALSE)),"— tanımsız —")</f>
      </c>
      <c r="F352" s="18"/>
      <c r="G352" s="15">
        <f>IFERROR(IF($D352="","",VLOOKUP($D352,'Malzeme Kartları'!$B$5:$D$204,3,FALSE)),"")</f>
      </c>
      <c r="H352" s="17">
        <f>IFERROR(IF(OR($D352="",$F352=""),0,$F352*VLOOKUP($D352,'Malzeme Kartları'!$B$5:$G$204,6,FALSE)),0)</f>
      </c>
    </row>
    <row r="353" spans="2:8" x14ac:dyDescent="0.25">
      <c r="B353" s="8"/>
      <c r="C353" s="15">
        <f>IFERROR(IF($B353="","",VLOOKUP($B353,'Menü Kartları'!$B$5:$C$154,2,FALSE)),"")</f>
      </c>
      <c r="D353" s="8"/>
      <c r="E353" s="15">
        <f>IFERROR(IF($D353="","",VLOOKUP($D353,'Malzeme Kartları'!$B$5:$C$204,2,FALSE)),"— tanımsız —")</f>
      </c>
      <c r="F353" s="16"/>
      <c r="G353" s="15">
        <f>IFERROR(IF($D353="","",VLOOKUP($D353,'Malzeme Kartları'!$B$5:$D$204,3,FALSE)),"")</f>
      </c>
      <c r="H353" s="17">
        <f>IFERROR(IF(OR($D353="",$F353=""),0,$F353*VLOOKUP($D353,'Malzeme Kartları'!$B$5:$G$204,6,FALSE)),0)</f>
      </c>
    </row>
    <row r="354" spans="2:8" x14ac:dyDescent="0.25">
      <c r="B354" s="12"/>
      <c r="C354" s="15">
        <f>IFERROR(IF($B354="","",VLOOKUP($B354,'Menü Kartları'!$B$5:$C$154,2,FALSE)),"")</f>
      </c>
      <c r="D354" s="12"/>
      <c r="E354" s="15">
        <f>IFERROR(IF($D354="","",VLOOKUP($D354,'Malzeme Kartları'!$B$5:$C$204,2,FALSE)),"— tanımsız —")</f>
      </c>
      <c r="F354" s="18"/>
      <c r="G354" s="15">
        <f>IFERROR(IF($D354="","",VLOOKUP($D354,'Malzeme Kartları'!$B$5:$D$204,3,FALSE)),"")</f>
      </c>
      <c r="H354" s="17">
        <f>IFERROR(IF(OR($D354="",$F354=""),0,$F354*VLOOKUP($D354,'Malzeme Kartları'!$B$5:$G$204,6,FALSE)),0)</f>
      </c>
    </row>
    <row r="355" spans="2:8" x14ac:dyDescent="0.25">
      <c r="B355" s="8"/>
      <c r="C355" s="15">
        <f>IFERROR(IF($B355="","",VLOOKUP($B355,'Menü Kartları'!$B$5:$C$154,2,FALSE)),"")</f>
      </c>
      <c r="D355" s="8"/>
      <c r="E355" s="15">
        <f>IFERROR(IF($D355="","",VLOOKUP($D355,'Malzeme Kartları'!$B$5:$C$204,2,FALSE)),"— tanımsız —")</f>
      </c>
      <c r="F355" s="16"/>
      <c r="G355" s="15">
        <f>IFERROR(IF($D355="","",VLOOKUP($D355,'Malzeme Kartları'!$B$5:$D$204,3,FALSE)),"")</f>
      </c>
      <c r="H355" s="17">
        <f>IFERROR(IF(OR($D355="",$F355=""),0,$F355*VLOOKUP($D355,'Malzeme Kartları'!$B$5:$G$204,6,FALSE)),0)</f>
      </c>
    </row>
    <row r="356" spans="2:8" x14ac:dyDescent="0.25">
      <c r="B356" s="12"/>
      <c r="C356" s="15">
        <f>IFERROR(IF($B356="","",VLOOKUP($B356,'Menü Kartları'!$B$5:$C$154,2,FALSE)),"")</f>
      </c>
      <c r="D356" s="12"/>
      <c r="E356" s="15">
        <f>IFERROR(IF($D356="","",VLOOKUP($D356,'Malzeme Kartları'!$B$5:$C$204,2,FALSE)),"— tanımsız —")</f>
      </c>
      <c r="F356" s="18"/>
      <c r="G356" s="15">
        <f>IFERROR(IF($D356="","",VLOOKUP($D356,'Malzeme Kartları'!$B$5:$D$204,3,FALSE)),"")</f>
      </c>
      <c r="H356" s="17">
        <f>IFERROR(IF(OR($D356="",$F356=""),0,$F356*VLOOKUP($D356,'Malzeme Kartları'!$B$5:$G$204,6,FALSE)),0)</f>
      </c>
    </row>
    <row r="357" spans="2:8" x14ac:dyDescent="0.25">
      <c r="B357" s="8"/>
      <c r="C357" s="15">
        <f>IFERROR(IF($B357="","",VLOOKUP($B357,'Menü Kartları'!$B$5:$C$154,2,FALSE)),"")</f>
      </c>
      <c r="D357" s="8"/>
      <c r="E357" s="15">
        <f>IFERROR(IF($D357="","",VLOOKUP($D357,'Malzeme Kartları'!$B$5:$C$204,2,FALSE)),"— tanımsız —")</f>
      </c>
      <c r="F357" s="16"/>
      <c r="G357" s="15">
        <f>IFERROR(IF($D357="","",VLOOKUP($D357,'Malzeme Kartları'!$B$5:$D$204,3,FALSE)),"")</f>
      </c>
      <c r="H357" s="17">
        <f>IFERROR(IF(OR($D357="",$F357=""),0,$F357*VLOOKUP($D357,'Malzeme Kartları'!$B$5:$G$204,6,FALSE)),0)</f>
      </c>
    </row>
    <row r="358" spans="2:8" x14ac:dyDescent="0.25">
      <c r="B358" s="12"/>
      <c r="C358" s="15">
        <f>IFERROR(IF($B358="","",VLOOKUP($B358,'Menü Kartları'!$B$5:$C$154,2,FALSE)),"")</f>
      </c>
      <c r="D358" s="12"/>
      <c r="E358" s="15">
        <f>IFERROR(IF($D358="","",VLOOKUP($D358,'Malzeme Kartları'!$B$5:$C$204,2,FALSE)),"— tanımsız —")</f>
      </c>
      <c r="F358" s="18"/>
      <c r="G358" s="15">
        <f>IFERROR(IF($D358="","",VLOOKUP($D358,'Malzeme Kartları'!$B$5:$D$204,3,FALSE)),"")</f>
      </c>
      <c r="H358" s="17">
        <f>IFERROR(IF(OR($D358="",$F358=""),0,$F358*VLOOKUP($D358,'Malzeme Kartları'!$B$5:$G$204,6,FALSE)),0)</f>
      </c>
    </row>
    <row r="359" spans="2:8" x14ac:dyDescent="0.25">
      <c r="B359" s="8"/>
      <c r="C359" s="15">
        <f>IFERROR(IF($B359="","",VLOOKUP($B359,'Menü Kartları'!$B$5:$C$154,2,FALSE)),"")</f>
      </c>
      <c r="D359" s="8"/>
      <c r="E359" s="15">
        <f>IFERROR(IF($D359="","",VLOOKUP($D359,'Malzeme Kartları'!$B$5:$C$204,2,FALSE)),"— tanımsız —")</f>
      </c>
      <c r="F359" s="16"/>
      <c r="G359" s="15">
        <f>IFERROR(IF($D359="","",VLOOKUP($D359,'Malzeme Kartları'!$B$5:$D$204,3,FALSE)),"")</f>
      </c>
      <c r="H359" s="17">
        <f>IFERROR(IF(OR($D359="",$F359=""),0,$F359*VLOOKUP($D359,'Malzeme Kartları'!$B$5:$G$204,6,FALSE)),0)</f>
      </c>
    </row>
    <row r="360" spans="2:8" x14ac:dyDescent="0.25">
      <c r="B360" s="12"/>
      <c r="C360" s="15">
        <f>IFERROR(IF($B360="","",VLOOKUP($B360,'Menü Kartları'!$B$5:$C$154,2,FALSE)),"")</f>
      </c>
      <c r="D360" s="12"/>
      <c r="E360" s="15">
        <f>IFERROR(IF($D360="","",VLOOKUP($D360,'Malzeme Kartları'!$B$5:$C$204,2,FALSE)),"— tanımsız —")</f>
      </c>
      <c r="F360" s="18"/>
      <c r="G360" s="15">
        <f>IFERROR(IF($D360="","",VLOOKUP($D360,'Malzeme Kartları'!$B$5:$D$204,3,FALSE)),"")</f>
      </c>
      <c r="H360" s="17">
        <f>IFERROR(IF(OR($D360="",$F360=""),0,$F360*VLOOKUP($D360,'Malzeme Kartları'!$B$5:$G$204,6,FALSE)),0)</f>
      </c>
    </row>
    <row r="361" spans="2:8" x14ac:dyDescent="0.25">
      <c r="B361" s="8"/>
      <c r="C361" s="15">
        <f>IFERROR(IF($B361="","",VLOOKUP($B361,'Menü Kartları'!$B$5:$C$154,2,FALSE)),"")</f>
      </c>
      <c r="D361" s="8"/>
      <c r="E361" s="15">
        <f>IFERROR(IF($D361="","",VLOOKUP($D361,'Malzeme Kartları'!$B$5:$C$204,2,FALSE)),"— tanımsız —")</f>
      </c>
      <c r="F361" s="16"/>
      <c r="G361" s="15">
        <f>IFERROR(IF($D361="","",VLOOKUP($D361,'Malzeme Kartları'!$B$5:$D$204,3,FALSE)),"")</f>
      </c>
      <c r="H361" s="17">
        <f>IFERROR(IF(OR($D361="",$F361=""),0,$F361*VLOOKUP($D361,'Malzeme Kartları'!$B$5:$G$204,6,FALSE)),0)</f>
      </c>
    </row>
    <row r="362" spans="2:8" x14ac:dyDescent="0.25">
      <c r="B362" s="12"/>
      <c r="C362" s="15">
        <f>IFERROR(IF($B362="","",VLOOKUP($B362,'Menü Kartları'!$B$5:$C$154,2,FALSE)),"")</f>
      </c>
      <c r="D362" s="12"/>
      <c r="E362" s="15">
        <f>IFERROR(IF($D362="","",VLOOKUP($D362,'Malzeme Kartları'!$B$5:$C$204,2,FALSE)),"— tanımsız —")</f>
      </c>
      <c r="F362" s="18"/>
      <c r="G362" s="15">
        <f>IFERROR(IF($D362="","",VLOOKUP($D362,'Malzeme Kartları'!$B$5:$D$204,3,FALSE)),"")</f>
      </c>
      <c r="H362" s="17">
        <f>IFERROR(IF(OR($D362="",$F362=""),0,$F362*VLOOKUP($D362,'Malzeme Kartları'!$B$5:$G$204,6,FALSE)),0)</f>
      </c>
    </row>
    <row r="363" spans="2:8" x14ac:dyDescent="0.25">
      <c r="B363" s="8"/>
      <c r="C363" s="15">
        <f>IFERROR(IF($B363="","",VLOOKUP($B363,'Menü Kartları'!$B$5:$C$154,2,FALSE)),"")</f>
      </c>
      <c r="D363" s="8"/>
      <c r="E363" s="15">
        <f>IFERROR(IF($D363="","",VLOOKUP($D363,'Malzeme Kartları'!$B$5:$C$204,2,FALSE)),"— tanımsız —")</f>
      </c>
      <c r="F363" s="16"/>
      <c r="G363" s="15">
        <f>IFERROR(IF($D363="","",VLOOKUP($D363,'Malzeme Kartları'!$B$5:$D$204,3,FALSE)),"")</f>
      </c>
      <c r="H363" s="17">
        <f>IFERROR(IF(OR($D363="",$F363=""),0,$F363*VLOOKUP($D363,'Malzeme Kartları'!$B$5:$G$204,6,FALSE)),0)</f>
      </c>
    </row>
    <row r="364" spans="2:8" x14ac:dyDescent="0.25">
      <c r="B364" s="12"/>
      <c r="C364" s="15">
        <f>IFERROR(IF($B364="","",VLOOKUP($B364,'Menü Kartları'!$B$5:$C$154,2,FALSE)),"")</f>
      </c>
      <c r="D364" s="12"/>
      <c r="E364" s="15">
        <f>IFERROR(IF($D364="","",VLOOKUP($D364,'Malzeme Kartları'!$B$5:$C$204,2,FALSE)),"— tanımsız —")</f>
      </c>
      <c r="F364" s="18"/>
      <c r="G364" s="15">
        <f>IFERROR(IF($D364="","",VLOOKUP($D364,'Malzeme Kartları'!$B$5:$D$204,3,FALSE)),"")</f>
      </c>
      <c r="H364" s="17">
        <f>IFERROR(IF(OR($D364="",$F364=""),0,$F364*VLOOKUP($D364,'Malzeme Kartları'!$B$5:$G$204,6,FALSE)),0)</f>
      </c>
    </row>
    <row r="365" spans="2:8" x14ac:dyDescent="0.25">
      <c r="B365" s="8"/>
      <c r="C365" s="15">
        <f>IFERROR(IF($B365="","",VLOOKUP($B365,'Menü Kartları'!$B$5:$C$154,2,FALSE)),"")</f>
      </c>
      <c r="D365" s="8"/>
      <c r="E365" s="15">
        <f>IFERROR(IF($D365="","",VLOOKUP($D365,'Malzeme Kartları'!$B$5:$C$204,2,FALSE)),"— tanımsız —")</f>
      </c>
      <c r="F365" s="16"/>
      <c r="G365" s="15">
        <f>IFERROR(IF($D365="","",VLOOKUP($D365,'Malzeme Kartları'!$B$5:$D$204,3,FALSE)),"")</f>
      </c>
      <c r="H365" s="17">
        <f>IFERROR(IF(OR($D365="",$F365=""),0,$F365*VLOOKUP($D365,'Malzeme Kartları'!$B$5:$G$204,6,FALSE)),0)</f>
      </c>
    </row>
    <row r="366" spans="2:8" x14ac:dyDescent="0.25">
      <c r="B366" s="12"/>
      <c r="C366" s="15">
        <f>IFERROR(IF($B366="","",VLOOKUP($B366,'Menü Kartları'!$B$5:$C$154,2,FALSE)),"")</f>
      </c>
      <c r="D366" s="12"/>
      <c r="E366" s="15">
        <f>IFERROR(IF($D366="","",VLOOKUP($D366,'Malzeme Kartları'!$B$5:$C$204,2,FALSE)),"— tanımsız —")</f>
      </c>
      <c r="F366" s="18"/>
      <c r="G366" s="15">
        <f>IFERROR(IF($D366="","",VLOOKUP($D366,'Malzeme Kartları'!$B$5:$D$204,3,FALSE)),"")</f>
      </c>
      <c r="H366" s="17">
        <f>IFERROR(IF(OR($D366="",$F366=""),0,$F366*VLOOKUP($D366,'Malzeme Kartları'!$B$5:$G$204,6,FALSE)),0)</f>
      </c>
    </row>
    <row r="367" spans="2:8" x14ac:dyDescent="0.25">
      <c r="B367" s="8"/>
      <c r="C367" s="15">
        <f>IFERROR(IF($B367="","",VLOOKUP($B367,'Menü Kartları'!$B$5:$C$154,2,FALSE)),"")</f>
      </c>
      <c r="D367" s="8"/>
      <c r="E367" s="15">
        <f>IFERROR(IF($D367="","",VLOOKUP($D367,'Malzeme Kartları'!$B$5:$C$204,2,FALSE)),"— tanımsız —")</f>
      </c>
      <c r="F367" s="16"/>
      <c r="G367" s="15">
        <f>IFERROR(IF($D367="","",VLOOKUP($D367,'Malzeme Kartları'!$B$5:$D$204,3,FALSE)),"")</f>
      </c>
      <c r="H367" s="17">
        <f>IFERROR(IF(OR($D367="",$F367=""),0,$F367*VLOOKUP($D367,'Malzeme Kartları'!$B$5:$G$204,6,FALSE)),0)</f>
      </c>
    </row>
    <row r="368" spans="2:8" x14ac:dyDescent="0.25">
      <c r="B368" s="12"/>
      <c r="C368" s="15">
        <f>IFERROR(IF($B368="","",VLOOKUP($B368,'Menü Kartları'!$B$5:$C$154,2,FALSE)),"")</f>
      </c>
      <c r="D368" s="12"/>
      <c r="E368" s="15">
        <f>IFERROR(IF($D368="","",VLOOKUP($D368,'Malzeme Kartları'!$B$5:$C$204,2,FALSE)),"— tanımsız —")</f>
      </c>
      <c r="F368" s="18"/>
      <c r="G368" s="15">
        <f>IFERROR(IF($D368="","",VLOOKUP($D368,'Malzeme Kartları'!$B$5:$D$204,3,FALSE)),"")</f>
      </c>
      <c r="H368" s="17">
        <f>IFERROR(IF(OR($D368="",$F368=""),0,$F368*VLOOKUP($D368,'Malzeme Kartları'!$B$5:$G$204,6,FALSE)),0)</f>
      </c>
    </row>
    <row r="369" spans="2:8" x14ac:dyDescent="0.25">
      <c r="B369" s="8"/>
      <c r="C369" s="15">
        <f>IFERROR(IF($B369="","",VLOOKUP($B369,'Menü Kartları'!$B$5:$C$154,2,FALSE)),"")</f>
      </c>
      <c r="D369" s="8"/>
      <c r="E369" s="15">
        <f>IFERROR(IF($D369="","",VLOOKUP($D369,'Malzeme Kartları'!$B$5:$C$204,2,FALSE)),"— tanımsız —")</f>
      </c>
      <c r="F369" s="16"/>
      <c r="G369" s="15">
        <f>IFERROR(IF($D369="","",VLOOKUP($D369,'Malzeme Kartları'!$B$5:$D$204,3,FALSE)),"")</f>
      </c>
      <c r="H369" s="17">
        <f>IFERROR(IF(OR($D369="",$F369=""),0,$F369*VLOOKUP($D369,'Malzeme Kartları'!$B$5:$G$204,6,FALSE)),0)</f>
      </c>
    </row>
    <row r="370" spans="2:8" x14ac:dyDescent="0.25">
      <c r="B370" s="12"/>
      <c r="C370" s="15">
        <f>IFERROR(IF($B370="","",VLOOKUP($B370,'Menü Kartları'!$B$5:$C$154,2,FALSE)),"")</f>
      </c>
      <c r="D370" s="12"/>
      <c r="E370" s="15">
        <f>IFERROR(IF($D370="","",VLOOKUP($D370,'Malzeme Kartları'!$B$5:$C$204,2,FALSE)),"— tanımsız —")</f>
      </c>
      <c r="F370" s="18"/>
      <c r="G370" s="15">
        <f>IFERROR(IF($D370="","",VLOOKUP($D370,'Malzeme Kartları'!$B$5:$D$204,3,FALSE)),"")</f>
      </c>
      <c r="H370" s="17">
        <f>IFERROR(IF(OR($D370="",$F370=""),0,$F370*VLOOKUP($D370,'Malzeme Kartları'!$B$5:$G$204,6,FALSE)),0)</f>
      </c>
    </row>
    <row r="371" spans="2:8" x14ac:dyDescent="0.25">
      <c r="B371" s="8"/>
      <c r="C371" s="15">
        <f>IFERROR(IF($B371="","",VLOOKUP($B371,'Menü Kartları'!$B$5:$C$154,2,FALSE)),"")</f>
      </c>
      <c r="D371" s="8"/>
      <c r="E371" s="15">
        <f>IFERROR(IF($D371="","",VLOOKUP($D371,'Malzeme Kartları'!$B$5:$C$204,2,FALSE)),"— tanımsız —")</f>
      </c>
      <c r="F371" s="16"/>
      <c r="G371" s="15">
        <f>IFERROR(IF($D371="","",VLOOKUP($D371,'Malzeme Kartları'!$B$5:$D$204,3,FALSE)),"")</f>
      </c>
      <c r="H371" s="17">
        <f>IFERROR(IF(OR($D371="",$F371=""),0,$F371*VLOOKUP($D371,'Malzeme Kartları'!$B$5:$G$204,6,FALSE)),0)</f>
      </c>
    </row>
    <row r="372" spans="2:8" x14ac:dyDescent="0.25">
      <c r="B372" s="12"/>
      <c r="C372" s="15">
        <f>IFERROR(IF($B372="","",VLOOKUP($B372,'Menü Kartları'!$B$5:$C$154,2,FALSE)),"")</f>
      </c>
      <c r="D372" s="12"/>
      <c r="E372" s="15">
        <f>IFERROR(IF($D372="","",VLOOKUP($D372,'Malzeme Kartları'!$B$5:$C$204,2,FALSE)),"— tanımsız —")</f>
      </c>
      <c r="F372" s="18"/>
      <c r="G372" s="15">
        <f>IFERROR(IF($D372="","",VLOOKUP($D372,'Malzeme Kartları'!$B$5:$D$204,3,FALSE)),"")</f>
      </c>
      <c r="H372" s="17">
        <f>IFERROR(IF(OR($D372="",$F372=""),0,$F372*VLOOKUP($D372,'Malzeme Kartları'!$B$5:$G$204,6,FALSE)),0)</f>
      </c>
    </row>
    <row r="373" spans="2:8" x14ac:dyDescent="0.25">
      <c r="B373" s="8"/>
      <c r="C373" s="15">
        <f>IFERROR(IF($B373="","",VLOOKUP($B373,'Menü Kartları'!$B$5:$C$154,2,FALSE)),"")</f>
      </c>
      <c r="D373" s="8"/>
      <c r="E373" s="15">
        <f>IFERROR(IF($D373="","",VLOOKUP($D373,'Malzeme Kartları'!$B$5:$C$204,2,FALSE)),"— tanımsız —")</f>
      </c>
      <c r="F373" s="16"/>
      <c r="G373" s="15">
        <f>IFERROR(IF($D373="","",VLOOKUP($D373,'Malzeme Kartları'!$B$5:$D$204,3,FALSE)),"")</f>
      </c>
      <c r="H373" s="17">
        <f>IFERROR(IF(OR($D373="",$F373=""),0,$F373*VLOOKUP($D373,'Malzeme Kartları'!$B$5:$G$204,6,FALSE)),0)</f>
      </c>
    </row>
    <row r="374" spans="2:8" x14ac:dyDescent="0.25">
      <c r="B374" s="12"/>
      <c r="C374" s="15">
        <f>IFERROR(IF($B374="","",VLOOKUP($B374,'Menü Kartları'!$B$5:$C$154,2,FALSE)),"")</f>
      </c>
      <c r="D374" s="12"/>
      <c r="E374" s="15">
        <f>IFERROR(IF($D374="","",VLOOKUP($D374,'Malzeme Kartları'!$B$5:$C$204,2,FALSE)),"— tanımsız —")</f>
      </c>
      <c r="F374" s="18"/>
      <c r="G374" s="15">
        <f>IFERROR(IF($D374="","",VLOOKUP($D374,'Malzeme Kartları'!$B$5:$D$204,3,FALSE)),"")</f>
      </c>
      <c r="H374" s="17">
        <f>IFERROR(IF(OR($D374="",$F374=""),0,$F374*VLOOKUP($D374,'Malzeme Kartları'!$B$5:$G$204,6,FALSE)),0)</f>
      </c>
    </row>
    <row r="375" spans="2:8" x14ac:dyDescent="0.25">
      <c r="B375" s="8"/>
      <c r="C375" s="15">
        <f>IFERROR(IF($B375="","",VLOOKUP($B375,'Menü Kartları'!$B$5:$C$154,2,FALSE)),"")</f>
      </c>
      <c r="D375" s="8"/>
      <c r="E375" s="15">
        <f>IFERROR(IF($D375="","",VLOOKUP($D375,'Malzeme Kartları'!$B$5:$C$204,2,FALSE)),"— tanımsız —")</f>
      </c>
      <c r="F375" s="16"/>
      <c r="G375" s="15">
        <f>IFERROR(IF($D375="","",VLOOKUP($D375,'Malzeme Kartları'!$B$5:$D$204,3,FALSE)),"")</f>
      </c>
      <c r="H375" s="17">
        <f>IFERROR(IF(OR($D375="",$F375=""),0,$F375*VLOOKUP($D375,'Malzeme Kartları'!$B$5:$G$204,6,FALSE)),0)</f>
      </c>
    </row>
    <row r="376" spans="2:8" x14ac:dyDescent="0.25">
      <c r="B376" s="12"/>
      <c r="C376" s="15">
        <f>IFERROR(IF($B376="","",VLOOKUP($B376,'Menü Kartları'!$B$5:$C$154,2,FALSE)),"")</f>
      </c>
      <c r="D376" s="12"/>
      <c r="E376" s="15">
        <f>IFERROR(IF($D376="","",VLOOKUP($D376,'Malzeme Kartları'!$B$5:$C$204,2,FALSE)),"— tanımsız —")</f>
      </c>
      <c r="F376" s="18"/>
      <c r="G376" s="15">
        <f>IFERROR(IF($D376="","",VLOOKUP($D376,'Malzeme Kartları'!$B$5:$D$204,3,FALSE)),"")</f>
      </c>
      <c r="H376" s="17">
        <f>IFERROR(IF(OR($D376="",$F376=""),0,$F376*VLOOKUP($D376,'Malzeme Kartları'!$B$5:$G$204,6,FALSE)),0)</f>
      </c>
    </row>
    <row r="377" spans="2:8" x14ac:dyDescent="0.25">
      <c r="B377" s="8"/>
      <c r="C377" s="15">
        <f>IFERROR(IF($B377="","",VLOOKUP($B377,'Menü Kartları'!$B$5:$C$154,2,FALSE)),"")</f>
      </c>
      <c r="D377" s="8"/>
      <c r="E377" s="15">
        <f>IFERROR(IF($D377="","",VLOOKUP($D377,'Malzeme Kartları'!$B$5:$C$204,2,FALSE)),"— tanımsız —")</f>
      </c>
      <c r="F377" s="16"/>
      <c r="G377" s="15">
        <f>IFERROR(IF($D377="","",VLOOKUP($D377,'Malzeme Kartları'!$B$5:$D$204,3,FALSE)),"")</f>
      </c>
      <c r="H377" s="17">
        <f>IFERROR(IF(OR($D377="",$F377=""),0,$F377*VLOOKUP($D377,'Malzeme Kartları'!$B$5:$G$204,6,FALSE)),0)</f>
      </c>
    </row>
    <row r="378" spans="2:8" x14ac:dyDescent="0.25">
      <c r="B378" s="12"/>
      <c r="C378" s="15">
        <f>IFERROR(IF($B378="","",VLOOKUP($B378,'Menü Kartları'!$B$5:$C$154,2,FALSE)),"")</f>
      </c>
      <c r="D378" s="12"/>
      <c r="E378" s="15">
        <f>IFERROR(IF($D378="","",VLOOKUP($D378,'Malzeme Kartları'!$B$5:$C$204,2,FALSE)),"— tanımsız —")</f>
      </c>
      <c r="F378" s="18"/>
      <c r="G378" s="15">
        <f>IFERROR(IF($D378="","",VLOOKUP($D378,'Malzeme Kartları'!$B$5:$D$204,3,FALSE)),"")</f>
      </c>
      <c r="H378" s="17">
        <f>IFERROR(IF(OR($D378="",$F378=""),0,$F378*VLOOKUP($D378,'Malzeme Kartları'!$B$5:$G$204,6,FALSE)),0)</f>
      </c>
    </row>
    <row r="379" spans="2:8" x14ac:dyDescent="0.25">
      <c r="B379" s="8"/>
      <c r="C379" s="15">
        <f>IFERROR(IF($B379="","",VLOOKUP($B379,'Menü Kartları'!$B$5:$C$154,2,FALSE)),"")</f>
      </c>
      <c r="D379" s="8"/>
      <c r="E379" s="15">
        <f>IFERROR(IF($D379="","",VLOOKUP($D379,'Malzeme Kartları'!$B$5:$C$204,2,FALSE)),"— tanımsız —")</f>
      </c>
      <c r="F379" s="16"/>
      <c r="G379" s="15">
        <f>IFERROR(IF($D379="","",VLOOKUP($D379,'Malzeme Kartları'!$B$5:$D$204,3,FALSE)),"")</f>
      </c>
      <c r="H379" s="17">
        <f>IFERROR(IF(OR($D379="",$F379=""),0,$F379*VLOOKUP($D379,'Malzeme Kartları'!$B$5:$G$204,6,FALSE)),0)</f>
      </c>
    </row>
    <row r="380" spans="2:8" x14ac:dyDescent="0.25">
      <c r="B380" s="12"/>
      <c r="C380" s="15">
        <f>IFERROR(IF($B380="","",VLOOKUP($B380,'Menü Kartları'!$B$5:$C$154,2,FALSE)),"")</f>
      </c>
      <c r="D380" s="12"/>
      <c r="E380" s="15">
        <f>IFERROR(IF($D380="","",VLOOKUP($D380,'Malzeme Kartları'!$B$5:$C$204,2,FALSE)),"— tanımsız —")</f>
      </c>
      <c r="F380" s="18"/>
      <c r="G380" s="15">
        <f>IFERROR(IF($D380="","",VLOOKUP($D380,'Malzeme Kartları'!$B$5:$D$204,3,FALSE)),"")</f>
      </c>
      <c r="H380" s="17">
        <f>IFERROR(IF(OR($D380="",$F380=""),0,$F380*VLOOKUP($D380,'Malzeme Kartları'!$B$5:$G$204,6,FALSE)),0)</f>
      </c>
    </row>
    <row r="381" spans="2:8" x14ac:dyDescent="0.25">
      <c r="B381" s="8"/>
      <c r="C381" s="15">
        <f>IFERROR(IF($B381="","",VLOOKUP($B381,'Menü Kartları'!$B$5:$C$154,2,FALSE)),"")</f>
      </c>
      <c r="D381" s="8"/>
      <c r="E381" s="15">
        <f>IFERROR(IF($D381="","",VLOOKUP($D381,'Malzeme Kartları'!$B$5:$C$204,2,FALSE)),"— tanımsız —")</f>
      </c>
      <c r="F381" s="16"/>
      <c r="G381" s="15">
        <f>IFERROR(IF($D381="","",VLOOKUP($D381,'Malzeme Kartları'!$B$5:$D$204,3,FALSE)),"")</f>
      </c>
      <c r="H381" s="17">
        <f>IFERROR(IF(OR($D381="",$F381=""),0,$F381*VLOOKUP($D381,'Malzeme Kartları'!$B$5:$G$204,6,FALSE)),0)</f>
      </c>
    </row>
    <row r="382" spans="2:8" x14ac:dyDescent="0.25">
      <c r="B382" s="12"/>
      <c r="C382" s="15">
        <f>IFERROR(IF($B382="","",VLOOKUP($B382,'Menü Kartları'!$B$5:$C$154,2,FALSE)),"")</f>
      </c>
      <c r="D382" s="12"/>
      <c r="E382" s="15">
        <f>IFERROR(IF($D382="","",VLOOKUP($D382,'Malzeme Kartları'!$B$5:$C$204,2,FALSE)),"— tanımsız —")</f>
      </c>
      <c r="F382" s="18"/>
      <c r="G382" s="15">
        <f>IFERROR(IF($D382="","",VLOOKUP($D382,'Malzeme Kartları'!$B$5:$D$204,3,FALSE)),"")</f>
      </c>
      <c r="H382" s="17">
        <f>IFERROR(IF(OR($D382="",$F382=""),0,$F382*VLOOKUP($D382,'Malzeme Kartları'!$B$5:$G$204,6,FALSE)),0)</f>
      </c>
    </row>
    <row r="383" spans="2:8" x14ac:dyDescent="0.25">
      <c r="B383" s="8"/>
      <c r="C383" s="15">
        <f>IFERROR(IF($B383="","",VLOOKUP($B383,'Menü Kartları'!$B$5:$C$154,2,FALSE)),"")</f>
      </c>
      <c r="D383" s="8"/>
      <c r="E383" s="15">
        <f>IFERROR(IF($D383="","",VLOOKUP($D383,'Malzeme Kartları'!$B$5:$C$204,2,FALSE)),"— tanımsız —")</f>
      </c>
      <c r="F383" s="16"/>
      <c r="G383" s="15">
        <f>IFERROR(IF($D383="","",VLOOKUP($D383,'Malzeme Kartları'!$B$5:$D$204,3,FALSE)),"")</f>
      </c>
      <c r="H383" s="17">
        <f>IFERROR(IF(OR($D383="",$F383=""),0,$F383*VLOOKUP($D383,'Malzeme Kartları'!$B$5:$G$204,6,FALSE)),0)</f>
      </c>
    </row>
    <row r="384" spans="2:8" x14ac:dyDescent="0.25">
      <c r="B384" s="12"/>
      <c r="C384" s="15">
        <f>IFERROR(IF($B384="","",VLOOKUP($B384,'Menü Kartları'!$B$5:$C$154,2,FALSE)),"")</f>
      </c>
      <c r="D384" s="12"/>
      <c r="E384" s="15">
        <f>IFERROR(IF($D384="","",VLOOKUP($D384,'Malzeme Kartları'!$B$5:$C$204,2,FALSE)),"— tanımsız —")</f>
      </c>
      <c r="F384" s="18"/>
      <c r="G384" s="15">
        <f>IFERROR(IF($D384="","",VLOOKUP($D384,'Malzeme Kartları'!$B$5:$D$204,3,FALSE)),"")</f>
      </c>
      <c r="H384" s="17">
        <f>IFERROR(IF(OR($D384="",$F384=""),0,$F384*VLOOKUP($D384,'Malzeme Kartları'!$B$5:$G$204,6,FALSE)),0)</f>
      </c>
    </row>
    <row r="385" spans="2:8" x14ac:dyDescent="0.25">
      <c r="B385" s="8"/>
      <c r="C385" s="15">
        <f>IFERROR(IF($B385="","",VLOOKUP($B385,'Menü Kartları'!$B$5:$C$154,2,FALSE)),"")</f>
      </c>
      <c r="D385" s="8"/>
      <c r="E385" s="15">
        <f>IFERROR(IF($D385="","",VLOOKUP($D385,'Malzeme Kartları'!$B$5:$C$204,2,FALSE)),"— tanımsız —")</f>
      </c>
      <c r="F385" s="16"/>
      <c r="G385" s="15">
        <f>IFERROR(IF($D385="","",VLOOKUP($D385,'Malzeme Kartları'!$B$5:$D$204,3,FALSE)),"")</f>
      </c>
      <c r="H385" s="17">
        <f>IFERROR(IF(OR($D385="",$F385=""),0,$F385*VLOOKUP($D385,'Malzeme Kartları'!$B$5:$G$204,6,FALSE)),0)</f>
      </c>
    </row>
    <row r="386" spans="2:8" x14ac:dyDescent="0.25">
      <c r="B386" s="12"/>
      <c r="C386" s="15">
        <f>IFERROR(IF($B386="","",VLOOKUP($B386,'Menü Kartları'!$B$5:$C$154,2,FALSE)),"")</f>
      </c>
      <c r="D386" s="12"/>
      <c r="E386" s="15">
        <f>IFERROR(IF($D386="","",VLOOKUP($D386,'Malzeme Kartları'!$B$5:$C$204,2,FALSE)),"— tanımsız —")</f>
      </c>
      <c r="F386" s="18"/>
      <c r="G386" s="15">
        <f>IFERROR(IF($D386="","",VLOOKUP($D386,'Malzeme Kartları'!$B$5:$D$204,3,FALSE)),"")</f>
      </c>
      <c r="H386" s="17">
        <f>IFERROR(IF(OR($D386="",$F386=""),0,$F386*VLOOKUP($D386,'Malzeme Kartları'!$B$5:$G$204,6,FALSE)),0)</f>
      </c>
    </row>
    <row r="387" spans="2:8" x14ac:dyDescent="0.25">
      <c r="B387" s="8"/>
      <c r="C387" s="15">
        <f>IFERROR(IF($B387="","",VLOOKUP($B387,'Menü Kartları'!$B$5:$C$154,2,FALSE)),"")</f>
      </c>
      <c r="D387" s="8"/>
      <c r="E387" s="15">
        <f>IFERROR(IF($D387="","",VLOOKUP($D387,'Malzeme Kartları'!$B$5:$C$204,2,FALSE)),"— tanımsız —")</f>
      </c>
      <c r="F387" s="16"/>
      <c r="G387" s="15">
        <f>IFERROR(IF($D387="","",VLOOKUP($D387,'Malzeme Kartları'!$B$5:$D$204,3,FALSE)),"")</f>
      </c>
      <c r="H387" s="17">
        <f>IFERROR(IF(OR($D387="",$F387=""),0,$F387*VLOOKUP($D387,'Malzeme Kartları'!$B$5:$G$204,6,FALSE)),0)</f>
      </c>
    </row>
    <row r="388" spans="2:8" x14ac:dyDescent="0.25">
      <c r="B388" s="12"/>
      <c r="C388" s="15">
        <f>IFERROR(IF($B388="","",VLOOKUP($B388,'Menü Kartları'!$B$5:$C$154,2,FALSE)),"")</f>
      </c>
      <c r="D388" s="12"/>
      <c r="E388" s="15">
        <f>IFERROR(IF($D388="","",VLOOKUP($D388,'Malzeme Kartları'!$B$5:$C$204,2,FALSE)),"— tanımsız —")</f>
      </c>
      <c r="F388" s="18"/>
      <c r="G388" s="15">
        <f>IFERROR(IF($D388="","",VLOOKUP($D388,'Malzeme Kartları'!$B$5:$D$204,3,FALSE)),"")</f>
      </c>
      <c r="H388" s="17">
        <f>IFERROR(IF(OR($D388="",$F388=""),0,$F388*VLOOKUP($D388,'Malzeme Kartları'!$B$5:$G$204,6,FALSE)),0)</f>
      </c>
    </row>
    <row r="389" spans="2:8" x14ac:dyDescent="0.25">
      <c r="B389" s="8"/>
      <c r="C389" s="15">
        <f>IFERROR(IF($B389="","",VLOOKUP($B389,'Menü Kartları'!$B$5:$C$154,2,FALSE)),"")</f>
      </c>
      <c r="D389" s="8"/>
      <c r="E389" s="15">
        <f>IFERROR(IF($D389="","",VLOOKUP($D389,'Malzeme Kartları'!$B$5:$C$204,2,FALSE)),"— tanımsız —")</f>
      </c>
      <c r="F389" s="16"/>
      <c r="G389" s="15">
        <f>IFERROR(IF($D389="","",VLOOKUP($D389,'Malzeme Kartları'!$B$5:$D$204,3,FALSE)),"")</f>
      </c>
      <c r="H389" s="17">
        <f>IFERROR(IF(OR($D389="",$F389=""),0,$F389*VLOOKUP($D389,'Malzeme Kartları'!$B$5:$G$204,6,FALSE)),0)</f>
      </c>
    </row>
    <row r="390" spans="2:8" x14ac:dyDescent="0.25">
      <c r="B390" s="12"/>
      <c r="C390" s="15">
        <f>IFERROR(IF($B390="","",VLOOKUP($B390,'Menü Kartları'!$B$5:$C$154,2,FALSE)),"")</f>
      </c>
      <c r="D390" s="12"/>
      <c r="E390" s="15">
        <f>IFERROR(IF($D390="","",VLOOKUP($D390,'Malzeme Kartları'!$B$5:$C$204,2,FALSE)),"— tanımsız —")</f>
      </c>
      <c r="F390" s="18"/>
      <c r="G390" s="15">
        <f>IFERROR(IF($D390="","",VLOOKUP($D390,'Malzeme Kartları'!$B$5:$D$204,3,FALSE)),"")</f>
      </c>
      <c r="H390" s="17">
        <f>IFERROR(IF(OR($D390="",$F390=""),0,$F390*VLOOKUP($D390,'Malzeme Kartları'!$B$5:$G$204,6,FALSE)),0)</f>
      </c>
    </row>
    <row r="391" spans="2:8" x14ac:dyDescent="0.25">
      <c r="B391" s="8"/>
      <c r="C391" s="15">
        <f>IFERROR(IF($B391="","",VLOOKUP($B391,'Menü Kartları'!$B$5:$C$154,2,FALSE)),"")</f>
      </c>
      <c r="D391" s="8"/>
      <c r="E391" s="15">
        <f>IFERROR(IF($D391="","",VLOOKUP($D391,'Malzeme Kartları'!$B$5:$C$204,2,FALSE)),"— tanımsız —")</f>
      </c>
      <c r="F391" s="16"/>
      <c r="G391" s="15">
        <f>IFERROR(IF($D391="","",VLOOKUP($D391,'Malzeme Kartları'!$B$5:$D$204,3,FALSE)),"")</f>
      </c>
      <c r="H391" s="17">
        <f>IFERROR(IF(OR($D391="",$F391=""),0,$F391*VLOOKUP($D391,'Malzeme Kartları'!$B$5:$G$204,6,FALSE)),0)</f>
      </c>
    </row>
    <row r="392" spans="2:8" x14ac:dyDescent="0.25">
      <c r="B392" s="12"/>
      <c r="C392" s="15">
        <f>IFERROR(IF($B392="","",VLOOKUP($B392,'Menü Kartları'!$B$5:$C$154,2,FALSE)),"")</f>
      </c>
      <c r="D392" s="12"/>
      <c r="E392" s="15">
        <f>IFERROR(IF($D392="","",VLOOKUP($D392,'Malzeme Kartları'!$B$5:$C$204,2,FALSE)),"— tanımsız —")</f>
      </c>
      <c r="F392" s="18"/>
      <c r="G392" s="15">
        <f>IFERROR(IF($D392="","",VLOOKUP($D392,'Malzeme Kartları'!$B$5:$D$204,3,FALSE)),"")</f>
      </c>
      <c r="H392" s="17">
        <f>IFERROR(IF(OR($D392="",$F392=""),0,$F392*VLOOKUP($D392,'Malzeme Kartları'!$B$5:$G$204,6,FALSE)),0)</f>
      </c>
    </row>
    <row r="393" spans="2:8" x14ac:dyDescent="0.25">
      <c r="B393" s="8"/>
      <c r="C393" s="15">
        <f>IFERROR(IF($B393="","",VLOOKUP($B393,'Menü Kartları'!$B$5:$C$154,2,FALSE)),"")</f>
      </c>
      <c r="D393" s="8"/>
      <c r="E393" s="15">
        <f>IFERROR(IF($D393="","",VLOOKUP($D393,'Malzeme Kartları'!$B$5:$C$204,2,FALSE)),"— tanımsız —")</f>
      </c>
      <c r="F393" s="16"/>
      <c r="G393" s="15">
        <f>IFERROR(IF($D393="","",VLOOKUP($D393,'Malzeme Kartları'!$B$5:$D$204,3,FALSE)),"")</f>
      </c>
      <c r="H393" s="17">
        <f>IFERROR(IF(OR($D393="",$F393=""),0,$F393*VLOOKUP($D393,'Malzeme Kartları'!$B$5:$G$204,6,FALSE)),0)</f>
      </c>
    </row>
    <row r="394" spans="2:8" x14ac:dyDescent="0.25">
      <c r="B394" s="12"/>
      <c r="C394" s="15">
        <f>IFERROR(IF($B394="","",VLOOKUP($B394,'Menü Kartları'!$B$5:$C$154,2,FALSE)),"")</f>
      </c>
      <c r="D394" s="12"/>
      <c r="E394" s="15">
        <f>IFERROR(IF($D394="","",VLOOKUP($D394,'Malzeme Kartları'!$B$5:$C$204,2,FALSE)),"— tanımsız —")</f>
      </c>
      <c r="F394" s="18"/>
      <c r="G394" s="15">
        <f>IFERROR(IF($D394="","",VLOOKUP($D394,'Malzeme Kartları'!$B$5:$D$204,3,FALSE)),"")</f>
      </c>
      <c r="H394" s="17">
        <f>IFERROR(IF(OR($D394="",$F394=""),0,$F394*VLOOKUP($D394,'Malzeme Kartları'!$B$5:$G$204,6,FALSE)),0)</f>
      </c>
    </row>
    <row r="395" spans="2:8" x14ac:dyDescent="0.25">
      <c r="B395" s="8"/>
      <c r="C395" s="15">
        <f>IFERROR(IF($B395="","",VLOOKUP($B395,'Menü Kartları'!$B$5:$C$154,2,FALSE)),"")</f>
      </c>
      <c r="D395" s="8"/>
      <c r="E395" s="15">
        <f>IFERROR(IF($D395="","",VLOOKUP($D395,'Malzeme Kartları'!$B$5:$C$204,2,FALSE)),"— tanımsız —")</f>
      </c>
      <c r="F395" s="16"/>
      <c r="G395" s="15">
        <f>IFERROR(IF($D395="","",VLOOKUP($D395,'Malzeme Kartları'!$B$5:$D$204,3,FALSE)),"")</f>
      </c>
      <c r="H395" s="17">
        <f>IFERROR(IF(OR($D395="",$F395=""),0,$F395*VLOOKUP($D395,'Malzeme Kartları'!$B$5:$G$204,6,FALSE)),0)</f>
      </c>
    </row>
    <row r="396" spans="2:8" x14ac:dyDescent="0.25">
      <c r="B396" s="12"/>
      <c r="C396" s="15">
        <f>IFERROR(IF($B396="","",VLOOKUP($B396,'Menü Kartları'!$B$5:$C$154,2,FALSE)),"")</f>
      </c>
      <c r="D396" s="12"/>
      <c r="E396" s="15">
        <f>IFERROR(IF($D396="","",VLOOKUP($D396,'Malzeme Kartları'!$B$5:$C$204,2,FALSE)),"— tanımsız —")</f>
      </c>
      <c r="F396" s="18"/>
      <c r="G396" s="15">
        <f>IFERROR(IF($D396="","",VLOOKUP($D396,'Malzeme Kartları'!$B$5:$D$204,3,FALSE)),"")</f>
      </c>
      <c r="H396" s="17">
        <f>IFERROR(IF(OR($D396="",$F396=""),0,$F396*VLOOKUP($D396,'Malzeme Kartları'!$B$5:$G$204,6,FALSE)),0)</f>
      </c>
    </row>
    <row r="397" spans="2:8" x14ac:dyDescent="0.25">
      <c r="B397" s="8"/>
      <c r="C397" s="15">
        <f>IFERROR(IF($B397="","",VLOOKUP($B397,'Menü Kartları'!$B$5:$C$154,2,FALSE)),"")</f>
      </c>
      <c r="D397" s="8"/>
      <c r="E397" s="15">
        <f>IFERROR(IF($D397="","",VLOOKUP($D397,'Malzeme Kartları'!$B$5:$C$204,2,FALSE)),"— tanımsız —")</f>
      </c>
      <c r="F397" s="16"/>
      <c r="G397" s="15">
        <f>IFERROR(IF($D397="","",VLOOKUP($D397,'Malzeme Kartları'!$B$5:$D$204,3,FALSE)),"")</f>
      </c>
      <c r="H397" s="17">
        <f>IFERROR(IF(OR($D397="",$F397=""),0,$F397*VLOOKUP($D397,'Malzeme Kartları'!$B$5:$G$204,6,FALSE)),0)</f>
      </c>
    </row>
    <row r="398" spans="2:8" x14ac:dyDescent="0.25">
      <c r="B398" s="12"/>
      <c r="C398" s="15">
        <f>IFERROR(IF($B398="","",VLOOKUP($B398,'Menü Kartları'!$B$5:$C$154,2,FALSE)),"")</f>
      </c>
      <c r="D398" s="12"/>
      <c r="E398" s="15">
        <f>IFERROR(IF($D398="","",VLOOKUP($D398,'Malzeme Kartları'!$B$5:$C$204,2,FALSE)),"— tanımsız —")</f>
      </c>
      <c r="F398" s="18"/>
      <c r="G398" s="15">
        <f>IFERROR(IF($D398="","",VLOOKUP($D398,'Malzeme Kartları'!$B$5:$D$204,3,FALSE)),"")</f>
      </c>
      <c r="H398" s="17">
        <f>IFERROR(IF(OR($D398="",$F398=""),0,$F398*VLOOKUP($D398,'Malzeme Kartları'!$B$5:$G$204,6,FALSE)),0)</f>
      </c>
    </row>
    <row r="399" spans="2:8" x14ac:dyDescent="0.25">
      <c r="B399" s="8"/>
      <c r="C399" s="15">
        <f>IFERROR(IF($B399="","",VLOOKUP($B399,'Menü Kartları'!$B$5:$C$154,2,FALSE)),"")</f>
      </c>
      <c r="D399" s="8"/>
      <c r="E399" s="15">
        <f>IFERROR(IF($D399="","",VLOOKUP($D399,'Malzeme Kartları'!$B$5:$C$204,2,FALSE)),"— tanımsız —")</f>
      </c>
      <c r="F399" s="16"/>
      <c r="G399" s="15">
        <f>IFERROR(IF($D399="","",VLOOKUP($D399,'Malzeme Kartları'!$B$5:$D$204,3,FALSE)),"")</f>
      </c>
      <c r="H399" s="17">
        <f>IFERROR(IF(OR($D399="",$F399=""),0,$F399*VLOOKUP($D399,'Malzeme Kartları'!$B$5:$G$204,6,FALSE)),0)</f>
      </c>
    </row>
    <row r="400" spans="2:8" x14ac:dyDescent="0.25">
      <c r="B400" s="12"/>
      <c r="C400" s="15">
        <f>IFERROR(IF($B400="","",VLOOKUP($B400,'Menü Kartları'!$B$5:$C$154,2,FALSE)),"")</f>
      </c>
      <c r="D400" s="12"/>
      <c r="E400" s="15">
        <f>IFERROR(IF($D400="","",VLOOKUP($D400,'Malzeme Kartları'!$B$5:$C$204,2,FALSE)),"— tanımsız —")</f>
      </c>
      <c r="F400" s="18"/>
      <c r="G400" s="15">
        <f>IFERROR(IF($D400="","",VLOOKUP($D400,'Malzeme Kartları'!$B$5:$D$204,3,FALSE)),"")</f>
      </c>
      <c r="H400" s="17">
        <f>IFERROR(IF(OR($D400="",$F400=""),0,$F400*VLOOKUP($D400,'Malzeme Kartları'!$B$5:$G$204,6,FALSE)),0)</f>
      </c>
    </row>
    <row r="401" spans="2:8" x14ac:dyDescent="0.25">
      <c r="B401" s="8"/>
      <c r="C401" s="15">
        <f>IFERROR(IF($B401="","",VLOOKUP($B401,'Menü Kartları'!$B$5:$C$154,2,FALSE)),"")</f>
      </c>
      <c r="D401" s="8"/>
      <c r="E401" s="15">
        <f>IFERROR(IF($D401="","",VLOOKUP($D401,'Malzeme Kartları'!$B$5:$C$204,2,FALSE)),"— tanımsız —")</f>
      </c>
      <c r="F401" s="16"/>
      <c r="G401" s="15">
        <f>IFERROR(IF($D401="","",VLOOKUP($D401,'Malzeme Kartları'!$B$5:$D$204,3,FALSE)),"")</f>
      </c>
      <c r="H401" s="17">
        <f>IFERROR(IF(OR($D401="",$F401=""),0,$F401*VLOOKUP($D401,'Malzeme Kartları'!$B$5:$G$204,6,FALSE)),0)</f>
      </c>
    </row>
    <row r="402" spans="2:8" x14ac:dyDescent="0.25">
      <c r="B402" s="12"/>
      <c r="C402" s="15">
        <f>IFERROR(IF($B402="","",VLOOKUP($B402,'Menü Kartları'!$B$5:$C$154,2,FALSE)),"")</f>
      </c>
      <c r="D402" s="12"/>
      <c r="E402" s="15">
        <f>IFERROR(IF($D402="","",VLOOKUP($D402,'Malzeme Kartları'!$B$5:$C$204,2,FALSE)),"— tanımsız —")</f>
      </c>
      <c r="F402" s="18"/>
      <c r="G402" s="15">
        <f>IFERROR(IF($D402="","",VLOOKUP($D402,'Malzeme Kartları'!$B$5:$D$204,3,FALSE)),"")</f>
      </c>
      <c r="H402" s="17">
        <f>IFERROR(IF(OR($D402="",$F402=""),0,$F402*VLOOKUP($D402,'Malzeme Kartları'!$B$5:$G$204,6,FALSE)),0)</f>
      </c>
    </row>
    <row r="403" spans="2:8" x14ac:dyDescent="0.25">
      <c r="B403" s="8"/>
      <c r="C403" s="15">
        <f>IFERROR(IF($B403="","",VLOOKUP($B403,'Menü Kartları'!$B$5:$C$154,2,FALSE)),"")</f>
      </c>
      <c r="D403" s="8"/>
      <c r="E403" s="15">
        <f>IFERROR(IF($D403="","",VLOOKUP($D403,'Malzeme Kartları'!$B$5:$C$204,2,FALSE)),"— tanımsız —")</f>
      </c>
      <c r="F403" s="16"/>
      <c r="G403" s="15">
        <f>IFERROR(IF($D403="","",VLOOKUP($D403,'Malzeme Kartları'!$B$5:$D$204,3,FALSE)),"")</f>
      </c>
      <c r="H403" s="17">
        <f>IFERROR(IF(OR($D403="",$F403=""),0,$F403*VLOOKUP($D403,'Malzeme Kartları'!$B$5:$G$204,6,FALSE)),0)</f>
      </c>
    </row>
    <row r="404" spans="2:8" x14ac:dyDescent="0.25">
      <c r="B404" s="12"/>
      <c r="C404" s="15">
        <f>IFERROR(IF($B404="","",VLOOKUP($B404,'Menü Kartları'!$B$5:$C$154,2,FALSE)),"")</f>
      </c>
      <c r="D404" s="12"/>
      <c r="E404" s="15">
        <f>IFERROR(IF($D404="","",VLOOKUP($D404,'Malzeme Kartları'!$B$5:$C$204,2,FALSE)),"— tanımsız —")</f>
      </c>
      <c r="F404" s="18"/>
      <c r="G404" s="15">
        <f>IFERROR(IF($D404="","",VLOOKUP($D404,'Malzeme Kartları'!$B$5:$D$204,3,FALSE)),"")</f>
      </c>
      <c r="H404" s="17">
        <f>IFERROR(IF(OR($D404="",$F404=""),0,$F404*VLOOKUP($D404,'Malzeme Kartları'!$B$5:$G$204,6,FALSE)),0)</f>
      </c>
    </row>
    <row r="405" spans="2:8" x14ac:dyDescent="0.25">
      <c r="B405" s="8"/>
      <c r="C405" s="15">
        <f>IFERROR(IF($B405="","",VLOOKUP($B405,'Menü Kartları'!$B$5:$C$154,2,FALSE)),"")</f>
      </c>
      <c r="D405" s="8"/>
      <c r="E405" s="15">
        <f>IFERROR(IF($D405="","",VLOOKUP($D405,'Malzeme Kartları'!$B$5:$C$204,2,FALSE)),"— tanımsız —")</f>
      </c>
      <c r="F405" s="16"/>
      <c r="G405" s="15">
        <f>IFERROR(IF($D405="","",VLOOKUP($D405,'Malzeme Kartları'!$B$5:$D$204,3,FALSE)),"")</f>
      </c>
      <c r="H405" s="17">
        <f>IFERROR(IF(OR($D405="",$F405=""),0,$F405*VLOOKUP($D405,'Malzeme Kartları'!$B$5:$G$204,6,FALSE)),0)</f>
      </c>
    </row>
    <row r="406" spans="2:8" x14ac:dyDescent="0.25">
      <c r="B406" s="12"/>
      <c r="C406" s="15">
        <f>IFERROR(IF($B406="","",VLOOKUP($B406,'Menü Kartları'!$B$5:$C$154,2,FALSE)),"")</f>
      </c>
      <c r="D406" s="12"/>
      <c r="E406" s="15">
        <f>IFERROR(IF($D406="","",VLOOKUP($D406,'Malzeme Kartları'!$B$5:$C$204,2,FALSE)),"— tanımsız —")</f>
      </c>
      <c r="F406" s="18"/>
      <c r="G406" s="15">
        <f>IFERROR(IF($D406="","",VLOOKUP($D406,'Malzeme Kartları'!$B$5:$D$204,3,FALSE)),"")</f>
      </c>
      <c r="H406" s="17">
        <f>IFERROR(IF(OR($D406="",$F406=""),0,$F406*VLOOKUP($D406,'Malzeme Kartları'!$B$5:$G$204,6,FALSE)),0)</f>
      </c>
    </row>
    <row r="407" spans="2:8" x14ac:dyDescent="0.25">
      <c r="B407" s="8"/>
      <c r="C407" s="15">
        <f>IFERROR(IF($B407="","",VLOOKUP($B407,'Menü Kartları'!$B$5:$C$154,2,FALSE)),"")</f>
      </c>
      <c r="D407" s="8"/>
      <c r="E407" s="15">
        <f>IFERROR(IF($D407="","",VLOOKUP($D407,'Malzeme Kartları'!$B$5:$C$204,2,FALSE)),"— tanımsız —")</f>
      </c>
      <c r="F407" s="16"/>
      <c r="G407" s="15">
        <f>IFERROR(IF($D407="","",VLOOKUP($D407,'Malzeme Kartları'!$B$5:$D$204,3,FALSE)),"")</f>
      </c>
      <c r="H407" s="17">
        <f>IFERROR(IF(OR($D407="",$F407=""),0,$F407*VLOOKUP($D407,'Malzeme Kartları'!$B$5:$G$204,6,FALSE)),0)</f>
      </c>
    </row>
    <row r="408" spans="2:8" x14ac:dyDescent="0.25">
      <c r="B408" s="12"/>
      <c r="C408" s="15">
        <f>IFERROR(IF($B408="","",VLOOKUP($B408,'Menü Kartları'!$B$5:$C$154,2,FALSE)),"")</f>
      </c>
      <c r="D408" s="12"/>
      <c r="E408" s="15">
        <f>IFERROR(IF($D408="","",VLOOKUP($D408,'Malzeme Kartları'!$B$5:$C$204,2,FALSE)),"— tanımsız —")</f>
      </c>
      <c r="F408" s="18"/>
      <c r="G408" s="15">
        <f>IFERROR(IF($D408="","",VLOOKUP($D408,'Malzeme Kartları'!$B$5:$D$204,3,FALSE)),"")</f>
      </c>
      <c r="H408" s="17">
        <f>IFERROR(IF(OR($D408="",$F408=""),0,$F408*VLOOKUP($D408,'Malzeme Kartları'!$B$5:$G$204,6,FALSE)),0)</f>
      </c>
    </row>
    <row r="409" spans="2:8" x14ac:dyDescent="0.25">
      <c r="B409" s="8"/>
      <c r="C409" s="15">
        <f>IFERROR(IF($B409="","",VLOOKUP($B409,'Menü Kartları'!$B$5:$C$154,2,FALSE)),"")</f>
      </c>
      <c r="D409" s="8"/>
      <c r="E409" s="15">
        <f>IFERROR(IF($D409="","",VLOOKUP($D409,'Malzeme Kartları'!$B$5:$C$204,2,FALSE)),"— tanımsız —")</f>
      </c>
      <c r="F409" s="16"/>
      <c r="G409" s="15">
        <f>IFERROR(IF($D409="","",VLOOKUP($D409,'Malzeme Kartları'!$B$5:$D$204,3,FALSE)),"")</f>
      </c>
      <c r="H409" s="17">
        <f>IFERROR(IF(OR($D409="",$F409=""),0,$F409*VLOOKUP($D409,'Malzeme Kartları'!$B$5:$G$204,6,FALSE)),0)</f>
      </c>
    </row>
    <row r="410" spans="2:8" x14ac:dyDescent="0.25">
      <c r="B410" s="12"/>
      <c r="C410" s="15">
        <f>IFERROR(IF($B410="","",VLOOKUP($B410,'Menü Kartları'!$B$5:$C$154,2,FALSE)),"")</f>
      </c>
      <c r="D410" s="12"/>
      <c r="E410" s="15">
        <f>IFERROR(IF($D410="","",VLOOKUP($D410,'Malzeme Kartları'!$B$5:$C$204,2,FALSE)),"— tanımsız —")</f>
      </c>
      <c r="F410" s="18"/>
      <c r="G410" s="15">
        <f>IFERROR(IF($D410="","",VLOOKUP($D410,'Malzeme Kartları'!$B$5:$D$204,3,FALSE)),"")</f>
      </c>
      <c r="H410" s="17">
        <f>IFERROR(IF(OR($D410="",$F410=""),0,$F410*VLOOKUP($D410,'Malzeme Kartları'!$B$5:$G$204,6,FALSE)),0)</f>
      </c>
    </row>
    <row r="411" spans="2:8" x14ac:dyDescent="0.25">
      <c r="B411" s="8"/>
      <c r="C411" s="15">
        <f>IFERROR(IF($B411="","",VLOOKUP($B411,'Menü Kartları'!$B$5:$C$154,2,FALSE)),"")</f>
      </c>
      <c r="D411" s="8"/>
      <c r="E411" s="15">
        <f>IFERROR(IF($D411="","",VLOOKUP($D411,'Malzeme Kartları'!$B$5:$C$204,2,FALSE)),"— tanımsız —")</f>
      </c>
      <c r="F411" s="16"/>
      <c r="G411" s="15">
        <f>IFERROR(IF($D411="","",VLOOKUP($D411,'Malzeme Kartları'!$B$5:$D$204,3,FALSE)),"")</f>
      </c>
      <c r="H411" s="17">
        <f>IFERROR(IF(OR($D411="",$F411=""),0,$F411*VLOOKUP($D411,'Malzeme Kartları'!$B$5:$G$204,6,FALSE)),0)</f>
      </c>
    </row>
    <row r="412" spans="2:8" x14ac:dyDescent="0.25">
      <c r="B412" s="12"/>
      <c r="C412" s="15">
        <f>IFERROR(IF($B412="","",VLOOKUP($B412,'Menü Kartları'!$B$5:$C$154,2,FALSE)),"")</f>
      </c>
      <c r="D412" s="12"/>
      <c r="E412" s="15">
        <f>IFERROR(IF($D412="","",VLOOKUP($D412,'Malzeme Kartları'!$B$5:$C$204,2,FALSE)),"— tanımsız —")</f>
      </c>
      <c r="F412" s="18"/>
      <c r="G412" s="15">
        <f>IFERROR(IF($D412="","",VLOOKUP($D412,'Malzeme Kartları'!$B$5:$D$204,3,FALSE)),"")</f>
      </c>
      <c r="H412" s="17">
        <f>IFERROR(IF(OR($D412="",$F412=""),0,$F412*VLOOKUP($D412,'Malzeme Kartları'!$B$5:$G$204,6,FALSE)),0)</f>
      </c>
    </row>
    <row r="413" spans="2:8" x14ac:dyDescent="0.25">
      <c r="B413" s="8"/>
      <c r="C413" s="15">
        <f>IFERROR(IF($B413="","",VLOOKUP($B413,'Menü Kartları'!$B$5:$C$154,2,FALSE)),"")</f>
      </c>
      <c r="D413" s="8"/>
      <c r="E413" s="15">
        <f>IFERROR(IF($D413="","",VLOOKUP($D413,'Malzeme Kartları'!$B$5:$C$204,2,FALSE)),"— tanımsız —")</f>
      </c>
      <c r="F413" s="16"/>
      <c r="G413" s="15">
        <f>IFERROR(IF($D413="","",VLOOKUP($D413,'Malzeme Kartları'!$B$5:$D$204,3,FALSE)),"")</f>
      </c>
      <c r="H413" s="17">
        <f>IFERROR(IF(OR($D413="",$F413=""),0,$F413*VLOOKUP($D413,'Malzeme Kartları'!$B$5:$G$204,6,FALSE)),0)</f>
      </c>
    </row>
    <row r="414" spans="2:8" x14ac:dyDescent="0.25">
      <c r="B414" s="12"/>
      <c r="C414" s="15">
        <f>IFERROR(IF($B414="","",VLOOKUP($B414,'Menü Kartları'!$B$5:$C$154,2,FALSE)),"")</f>
      </c>
      <c r="D414" s="12"/>
      <c r="E414" s="15">
        <f>IFERROR(IF($D414="","",VLOOKUP($D414,'Malzeme Kartları'!$B$5:$C$204,2,FALSE)),"— tanımsız —")</f>
      </c>
      <c r="F414" s="18"/>
      <c r="G414" s="15">
        <f>IFERROR(IF($D414="","",VLOOKUP($D414,'Malzeme Kartları'!$B$5:$D$204,3,FALSE)),"")</f>
      </c>
      <c r="H414" s="17">
        <f>IFERROR(IF(OR($D414="",$F414=""),0,$F414*VLOOKUP($D414,'Malzeme Kartları'!$B$5:$G$204,6,FALSE)),0)</f>
      </c>
    </row>
    <row r="415" spans="2:8" x14ac:dyDescent="0.25">
      <c r="B415" s="8"/>
      <c r="C415" s="15">
        <f>IFERROR(IF($B415="","",VLOOKUP($B415,'Menü Kartları'!$B$5:$C$154,2,FALSE)),"")</f>
      </c>
      <c r="D415" s="8"/>
      <c r="E415" s="15">
        <f>IFERROR(IF($D415="","",VLOOKUP($D415,'Malzeme Kartları'!$B$5:$C$204,2,FALSE)),"— tanımsız —")</f>
      </c>
      <c r="F415" s="16"/>
      <c r="G415" s="15">
        <f>IFERROR(IF($D415="","",VLOOKUP($D415,'Malzeme Kartları'!$B$5:$D$204,3,FALSE)),"")</f>
      </c>
      <c r="H415" s="17">
        <f>IFERROR(IF(OR($D415="",$F415=""),0,$F415*VLOOKUP($D415,'Malzeme Kartları'!$B$5:$G$204,6,FALSE)),0)</f>
      </c>
    </row>
    <row r="416" spans="2:8" x14ac:dyDescent="0.25">
      <c r="B416" s="12"/>
      <c r="C416" s="15">
        <f>IFERROR(IF($B416="","",VLOOKUP($B416,'Menü Kartları'!$B$5:$C$154,2,FALSE)),"")</f>
      </c>
      <c r="D416" s="12"/>
      <c r="E416" s="15">
        <f>IFERROR(IF($D416="","",VLOOKUP($D416,'Malzeme Kartları'!$B$5:$C$204,2,FALSE)),"— tanımsız —")</f>
      </c>
      <c r="F416" s="18"/>
      <c r="G416" s="15">
        <f>IFERROR(IF($D416="","",VLOOKUP($D416,'Malzeme Kartları'!$B$5:$D$204,3,FALSE)),"")</f>
      </c>
      <c r="H416" s="17">
        <f>IFERROR(IF(OR($D416="",$F416=""),0,$F416*VLOOKUP($D416,'Malzeme Kartları'!$B$5:$G$204,6,FALSE)),0)</f>
      </c>
    </row>
    <row r="417" spans="2:8" x14ac:dyDescent="0.25">
      <c r="B417" s="8"/>
      <c r="C417" s="15">
        <f>IFERROR(IF($B417="","",VLOOKUP($B417,'Menü Kartları'!$B$5:$C$154,2,FALSE)),"")</f>
      </c>
      <c r="D417" s="8"/>
      <c r="E417" s="15">
        <f>IFERROR(IF($D417="","",VLOOKUP($D417,'Malzeme Kartları'!$B$5:$C$204,2,FALSE)),"— tanımsız —")</f>
      </c>
      <c r="F417" s="16"/>
      <c r="G417" s="15">
        <f>IFERROR(IF($D417="","",VLOOKUP($D417,'Malzeme Kartları'!$B$5:$D$204,3,FALSE)),"")</f>
      </c>
      <c r="H417" s="17">
        <f>IFERROR(IF(OR($D417="",$F417=""),0,$F417*VLOOKUP($D417,'Malzeme Kartları'!$B$5:$G$204,6,FALSE)),0)</f>
      </c>
    </row>
    <row r="418" spans="2:8" x14ac:dyDescent="0.25">
      <c r="B418" s="12"/>
      <c r="C418" s="15">
        <f>IFERROR(IF($B418="","",VLOOKUP($B418,'Menü Kartları'!$B$5:$C$154,2,FALSE)),"")</f>
      </c>
      <c r="D418" s="12"/>
      <c r="E418" s="15">
        <f>IFERROR(IF($D418="","",VLOOKUP($D418,'Malzeme Kartları'!$B$5:$C$204,2,FALSE)),"— tanımsız —")</f>
      </c>
      <c r="F418" s="18"/>
      <c r="G418" s="15">
        <f>IFERROR(IF($D418="","",VLOOKUP($D418,'Malzeme Kartları'!$B$5:$D$204,3,FALSE)),"")</f>
      </c>
      <c r="H418" s="17">
        <f>IFERROR(IF(OR($D418="",$F418=""),0,$F418*VLOOKUP($D418,'Malzeme Kartları'!$B$5:$G$204,6,FALSE)),0)</f>
      </c>
    </row>
    <row r="419" spans="2:8" x14ac:dyDescent="0.25">
      <c r="B419" s="8"/>
      <c r="C419" s="15">
        <f>IFERROR(IF($B419="","",VLOOKUP($B419,'Menü Kartları'!$B$5:$C$154,2,FALSE)),"")</f>
      </c>
      <c r="D419" s="8"/>
      <c r="E419" s="15">
        <f>IFERROR(IF($D419="","",VLOOKUP($D419,'Malzeme Kartları'!$B$5:$C$204,2,FALSE)),"— tanımsız —")</f>
      </c>
      <c r="F419" s="16"/>
      <c r="G419" s="15">
        <f>IFERROR(IF($D419="","",VLOOKUP($D419,'Malzeme Kartları'!$B$5:$D$204,3,FALSE)),"")</f>
      </c>
      <c r="H419" s="17">
        <f>IFERROR(IF(OR($D419="",$F419=""),0,$F419*VLOOKUP($D419,'Malzeme Kartları'!$B$5:$G$204,6,FALSE)),0)</f>
      </c>
    </row>
    <row r="420" spans="2:8" x14ac:dyDescent="0.25">
      <c r="B420" s="12"/>
      <c r="C420" s="15">
        <f>IFERROR(IF($B420="","",VLOOKUP($B420,'Menü Kartları'!$B$5:$C$154,2,FALSE)),"")</f>
      </c>
      <c r="D420" s="12"/>
      <c r="E420" s="15">
        <f>IFERROR(IF($D420="","",VLOOKUP($D420,'Malzeme Kartları'!$B$5:$C$204,2,FALSE)),"— tanımsız —")</f>
      </c>
      <c r="F420" s="18"/>
      <c r="G420" s="15">
        <f>IFERROR(IF($D420="","",VLOOKUP($D420,'Malzeme Kartları'!$B$5:$D$204,3,FALSE)),"")</f>
      </c>
      <c r="H420" s="17">
        <f>IFERROR(IF(OR($D420="",$F420=""),0,$F420*VLOOKUP($D420,'Malzeme Kartları'!$B$5:$G$204,6,FALSE)),0)</f>
      </c>
    </row>
    <row r="421" spans="2:8" x14ac:dyDescent="0.25">
      <c r="B421" s="8"/>
      <c r="C421" s="15">
        <f>IFERROR(IF($B421="","",VLOOKUP($B421,'Menü Kartları'!$B$5:$C$154,2,FALSE)),"")</f>
      </c>
      <c r="D421" s="8"/>
      <c r="E421" s="15">
        <f>IFERROR(IF($D421="","",VLOOKUP($D421,'Malzeme Kartları'!$B$5:$C$204,2,FALSE)),"— tanımsız —")</f>
      </c>
      <c r="F421" s="16"/>
      <c r="G421" s="15">
        <f>IFERROR(IF($D421="","",VLOOKUP($D421,'Malzeme Kartları'!$B$5:$D$204,3,FALSE)),"")</f>
      </c>
      <c r="H421" s="17">
        <f>IFERROR(IF(OR($D421="",$F421=""),0,$F421*VLOOKUP($D421,'Malzeme Kartları'!$B$5:$G$204,6,FALSE)),0)</f>
      </c>
    </row>
    <row r="422" spans="2:8" x14ac:dyDescent="0.25">
      <c r="B422" s="12"/>
      <c r="C422" s="15">
        <f>IFERROR(IF($B422="","",VLOOKUP($B422,'Menü Kartları'!$B$5:$C$154,2,FALSE)),"")</f>
      </c>
      <c r="D422" s="12"/>
      <c r="E422" s="15">
        <f>IFERROR(IF($D422="","",VLOOKUP($D422,'Malzeme Kartları'!$B$5:$C$204,2,FALSE)),"— tanımsız —")</f>
      </c>
      <c r="F422" s="18"/>
      <c r="G422" s="15">
        <f>IFERROR(IF($D422="","",VLOOKUP($D422,'Malzeme Kartları'!$B$5:$D$204,3,FALSE)),"")</f>
      </c>
      <c r="H422" s="17">
        <f>IFERROR(IF(OR($D422="",$F422=""),0,$F422*VLOOKUP($D422,'Malzeme Kartları'!$B$5:$G$204,6,FALSE)),0)</f>
      </c>
    </row>
    <row r="423" spans="2:8" x14ac:dyDescent="0.25">
      <c r="B423" s="8"/>
      <c r="C423" s="15">
        <f>IFERROR(IF($B423="","",VLOOKUP($B423,'Menü Kartları'!$B$5:$C$154,2,FALSE)),"")</f>
      </c>
      <c r="D423" s="8"/>
      <c r="E423" s="15">
        <f>IFERROR(IF($D423="","",VLOOKUP($D423,'Malzeme Kartları'!$B$5:$C$204,2,FALSE)),"— tanımsız —")</f>
      </c>
      <c r="F423" s="16"/>
      <c r="G423" s="15">
        <f>IFERROR(IF($D423="","",VLOOKUP($D423,'Malzeme Kartları'!$B$5:$D$204,3,FALSE)),"")</f>
      </c>
      <c r="H423" s="17">
        <f>IFERROR(IF(OR($D423="",$F423=""),0,$F423*VLOOKUP($D423,'Malzeme Kartları'!$B$5:$G$204,6,FALSE)),0)</f>
      </c>
    </row>
    <row r="424" spans="2:8" x14ac:dyDescent="0.25">
      <c r="B424" s="12"/>
      <c r="C424" s="15">
        <f>IFERROR(IF($B424="","",VLOOKUP($B424,'Menü Kartları'!$B$5:$C$154,2,FALSE)),"")</f>
      </c>
      <c r="D424" s="12"/>
      <c r="E424" s="15">
        <f>IFERROR(IF($D424="","",VLOOKUP($D424,'Malzeme Kartları'!$B$5:$C$204,2,FALSE)),"— tanımsız —")</f>
      </c>
      <c r="F424" s="18"/>
      <c r="G424" s="15">
        <f>IFERROR(IF($D424="","",VLOOKUP($D424,'Malzeme Kartları'!$B$5:$D$204,3,FALSE)),"")</f>
      </c>
      <c r="H424" s="17">
        <f>IFERROR(IF(OR($D424="",$F424=""),0,$F424*VLOOKUP($D424,'Malzeme Kartları'!$B$5:$G$204,6,FALSE)),0)</f>
      </c>
    </row>
    <row r="425" spans="2:8" x14ac:dyDescent="0.25">
      <c r="B425" s="8"/>
      <c r="C425" s="15">
        <f>IFERROR(IF($B425="","",VLOOKUP($B425,'Menü Kartları'!$B$5:$C$154,2,FALSE)),"")</f>
      </c>
      <c r="D425" s="8"/>
      <c r="E425" s="15">
        <f>IFERROR(IF($D425="","",VLOOKUP($D425,'Malzeme Kartları'!$B$5:$C$204,2,FALSE)),"— tanımsız —")</f>
      </c>
      <c r="F425" s="16"/>
      <c r="G425" s="15">
        <f>IFERROR(IF($D425="","",VLOOKUP($D425,'Malzeme Kartları'!$B$5:$D$204,3,FALSE)),"")</f>
      </c>
      <c r="H425" s="17">
        <f>IFERROR(IF(OR($D425="",$F425=""),0,$F425*VLOOKUP($D425,'Malzeme Kartları'!$B$5:$G$204,6,FALSE)),0)</f>
      </c>
    </row>
    <row r="426" spans="2:8" x14ac:dyDescent="0.25">
      <c r="B426" s="12"/>
      <c r="C426" s="15">
        <f>IFERROR(IF($B426="","",VLOOKUP($B426,'Menü Kartları'!$B$5:$C$154,2,FALSE)),"")</f>
      </c>
      <c r="D426" s="12"/>
      <c r="E426" s="15">
        <f>IFERROR(IF($D426="","",VLOOKUP($D426,'Malzeme Kartları'!$B$5:$C$204,2,FALSE)),"— tanımsız —")</f>
      </c>
      <c r="F426" s="18"/>
      <c r="G426" s="15">
        <f>IFERROR(IF($D426="","",VLOOKUP($D426,'Malzeme Kartları'!$B$5:$D$204,3,FALSE)),"")</f>
      </c>
      <c r="H426" s="17">
        <f>IFERROR(IF(OR($D426="",$F426=""),0,$F426*VLOOKUP($D426,'Malzeme Kartları'!$B$5:$G$204,6,FALSE)),0)</f>
      </c>
    </row>
    <row r="427" spans="2:8" x14ac:dyDescent="0.25">
      <c r="B427" s="8"/>
      <c r="C427" s="15">
        <f>IFERROR(IF($B427="","",VLOOKUP($B427,'Menü Kartları'!$B$5:$C$154,2,FALSE)),"")</f>
      </c>
      <c r="D427" s="8"/>
      <c r="E427" s="15">
        <f>IFERROR(IF($D427="","",VLOOKUP($D427,'Malzeme Kartları'!$B$5:$C$204,2,FALSE)),"— tanımsız —")</f>
      </c>
      <c r="F427" s="16"/>
      <c r="G427" s="15">
        <f>IFERROR(IF($D427="","",VLOOKUP($D427,'Malzeme Kartları'!$B$5:$D$204,3,FALSE)),"")</f>
      </c>
      <c r="H427" s="17">
        <f>IFERROR(IF(OR($D427="",$F427=""),0,$F427*VLOOKUP($D427,'Malzeme Kartları'!$B$5:$G$204,6,FALSE)),0)</f>
      </c>
    </row>
    <row r="428" spans="2:8" x14ac:dyDescent="0.25">
      <c r="B428" s="12"/>
      <c r="C428" s="15">
        <f>IFERROR(IF($B428="","",VLOOKUP($B428,'Menü Kartları'!$B$5:$C$154,2,FALSE)),"")</f>
      </c>
      <c r="D428" s="12"/>
      <c r="E428" s="15">
        <f>IFERROR(IF($D428="","",VLOOKUP($D428,'Malzeme Kartları'!$B$5:$C$204,2,FALSE)),"— tanımsız —")</f>
      </c>
      <c r="F428" s="18"/>
      <c r="G428" s="15">
        <f>IFERROR(IF($D428="","",VLOOKUP($D428,'Malzeme Kartları'!$B$5:$D$204,3,FALSE)),"")</f>
      </c>
      <c r="H428" s="17">
        <f>IFERROR(IF(OR($D428="",$F428=""),0,$F428*VLOOKUP($D428,'Malzeme Kartları'!$B$5:$G$204,6,FALSE)),0)</f>
      </c>
    </row>
    <row r="429" spans="2:8" x14ac:dyDescent="0.25">
      <c r="B429" s="8"/>
      <c r="C429" s="15">
        <f>IFERROR(IF($B429="","",VLOOKUP($B429,'Menü Kartları'!$B$5:$C$154,2,FALSE)),"")</f>
      </c>
      <c r="D429" s="8"/>
      <c r="E429" s="15">
        <f>IFERROR(IF($D429="","",VLOOKUP($D429,'Malzeme Kartları'!$B$5:$C$204,2,FALSE)),"— tanımsız —")</f>
      </c>
      <c r="F429" s="16"/>
      <c r="G429" s="15">
        <f>IFERROR(IF($D429="","",VLOOKUP($D429,'Malzeme Kartları'!$B$5:$D$204,3,FALSE)),"")</f>
      </c>
      <c r="H429" s="17">
        <f>IFERROR(IF(OR($D429="",$F429=""),0,$F429*VLOOKUP($D429,'Malzeme Kartları'!$B$5:$G$204,6,FALSE)),0)</f>
      </c>
    </row>
    <row r="430" spans="2:8" x14ac:dyDescent="0.25">
      <c r="B430" s="12"/>
      <c r="C430" s="15">
        <f>IFERROR(IF($B430="","",VLOOKUP($B430,'Menü Kartları'!$B$5:$C$154,2,FALSE)),"")</f>
      </c>
      <c r="D430" s="12"/>
      <c r="E430" s="15">
        <f>IFERROR(IF($D430="","",VLOOKUP($D430,'Malzeme Kartları'!$B$5:$C$204,2,FALSE)),"— tanımsız —")</f>
      </c>
      <c r="F430" s="18"/>
      <c r="G430" s="15">
        <f>IFERROR(IF($D430="","",VLOOKUP($D430,'Malzeme Kartları'!$B$5:$D$204,3,FALSE)),"")</f>
      </c>
      <c r="H430" s="17">
        <f>IFERROR(IF(OR($D430="",$F430=""),0,$F430*VLOOKUP($D430,'Malzeme Kartları'!$B$5:$G$204,6,FALSE)),0)</f>
      </c>
    </row>
    <row r="431" spans="2:8" x14ac:dyDescent="0.25">
      <c r="B431" s="8"/>
      <c r="C431" s="15">
        <f>IFERROR(IF($B431="","",VLOOKUP($B431,'Menü Kartları'!$B$5:$C$154,2,FALSE)),"")</f>
      </c>
      <c r="D431" s="8"/>
      <c r="E431" s="15">
        <f>IFERROR(IF($D431="","",VLOOKUP($D431,'Malzeme Kartları'!$B$5:$C$204,2,FALSE)),"— tanımsız —")</f>
      </c>
      <c r="F431" s="16"/>
      <c r="G431" s="15">
        <f>IFERROR(IF($D431="","",VLOOKUP($D431,'Malzeme Kartları'!$B$5:$D$204,3,FALSE)),"")</f>
      </c>
      <c r="H431" s="17">
        <f>IFERROR(IF(OR($D431="",$F431=""),0,$F431*VLOOKUP($D431,'Malzeme Kartları'!$B$5:$G$204,6,FALSE)),0)</f>
      </c>
    </row>
    <row r="432" spans="2:8" x14ac:dyDescent="0.25">
      <c r="B432" s="12"/>
      <c r="C432" s="15">
        <f>IFERROR(IF($B432="","",VLOOKUP($B432,'Menü Kartları'!$B$5:$C$154,2,FALSE)),"")</f>
      </c>
      <c r="D432" s="12"/>
      <c r="E432" s="15">
        <f>IFERROR(IF($D432="","",VLOOKUP($D432,'Malzeme Kartları'!$B$5:$C$204,2,FALSE)),"— tanımsız —")</f>
      </c>
      <c r="F432" s="18"/>
      <c r="G432" s="15">
        <f>IFERROR(IF($D432="","",VLOOKUP($D432,'Malzeme Kartları'!$B$5:$D$204,3,FALSE)),"")</f>
      </c>
      <c r="H432" s="17">
        <f>IFERROR(IF(OR($D432="",$F432=""),0,$F432*VLOOKUP($D432,'Malzeme Kartları'!$B$5:$G$204,6,FALSE)),0)</f>
      </c>
    </row>
    <row r="433" spans="2:8" x14ac:dyDescent="0.25">
      <c r="B433" s="8"/>
      <c r="C433" s="15">
        <f>IFERROR(IF($B433="","",VLOOKUP($B433,'Menü Kartları'!$B$5:$C$154,2,FALSE)),"")</f>
      </c>
      <c r="D433" s="8"/>
      <c r="E433" s="15">
        <f>IFERROR(IF($D433="","",VLOOKUP($D433,'Malzeme Kartları'!$B$5:$C$204,2,FALSE)),"— tanımsız —")</f>
      </c>
      <c r="F433" s="16"/>
      <c r="G433" s="15">
        <f>IFERROR(IF($D433="","",VLOOKUP($D433,'Malzeme Kartları'!$B$5:$D$204,3,FALSE)),"")</f>
      </c>
      <c r="H433" s="17">
        <f>IFERROR(IF(OR($D433="",$F433=""),0,$F433*VLOOKUP($D433,'Malzeme Kartları'!$B$5:$G$204,6,FALSE)),0)</f>
      </c>
    </row>
    <row r="434" spans="2:8" x14ac:dyDescent="0.25">
      <c r="B434" s="12"/>
      <c r="C434" s="15">
        <f>IFERROR(IF($B434="","",VLOOKUP($B434,'Menü Kartları'!$B$5:$C$154,2,FALSE)),"")</f>
      </c>
      <c r="D434" s="12"/>
      <c r="E434" s="15">
        <f>IFERROR(IF($D434="","",VLOOKUP($D434,'Malzeme Kartları'!$B$5:$C$204,2,FALSE)),"— tanımsız —")</f>
      </c>
      <c r="F434" s="18"/>
      <c r="G434" s="15">
        <f>IFERROR(IF($D434="","",VLOOKUP($D434,'Malzeme Kartları'!$B$5:$D$204,3,FALSE)),"")</f>
      </c>
      <c r="H434" s="17">
        <f>IFERROR(IF(OR($D434="",$F434=""),0,$F434*VLOOKUP($D434,'Malzeme Kartları'!$B$5:$G$204,6,FALSE)),0)</f>
      </c>
    </row>
    <row r="435" spans="2:8" x14ac:dyDescent="0.25">
      <c r="B435" s="8"/>
      <c r="C435" s="15">
        <f>IFERROR(IF($B435="","",VLOOKUP($B435,'Menü Kartları'!$B$5:$C$154,2,FALSE)),"")</f>
      </c>
      <c r="D435" s="8"/>
      <c r="E435" s="15">
        <f>IFERROR(IF($D435="","",VLOOKUP($D435,'Malzeme Kartları'!$B$5:$C$204,2,FALSE)),"— tanımsız —")</f>
      </c>
      <c r="F435" s="16"/>
      <c r="G435" s="15">
        <f>IFERROR(IF($D435="","",VLOOKUP($D435,'Malzeme Kartları'!$B$5:$D$204,3,FALSE)),"")</f>
      </c>
      <c r="H435" s="17">
        <f>IFERROR(IF(OR($D435="",$F435=""),0,$F435*VLOOKUP($D435,'Malzeme Kartları'!$B$5:$G$204,6,FALSE)),0)</f>
      </c>
    </row>
    <row r="436" spans="2:8" x14ac:dyDescent="0.25">
      <c r="B436" s="12"/>
      <c r="C436" s="15">
        <f>IFERROR(IF($B436="","",VLOOKUP($B436,'Menü Kartları'!$B$5:$C$154,2,FALSE)),"")</f>
      </c>
      <c r="D436" s="12"/>
      <c r="E436" s="15">
        <f>IFERROR(IF($D436="","",VLOOKUP($D436,'Malzeme Kartları'!$B$5:$C$204,2,FALSE)),"— tanımsız —")</f>
      </c>
      <c r="F436" s="18"/>
      <c r="G436" s="15">
        <f>IFERROR(IF($D436="","",VLOOKUP($D436,'Malzeme Kartları'!$B$5:$D$204,3,FALSE)),"")</f>
      </c>
      <c r="H436" s="17">
        <f>IFERROR(IF(OR($D436="",$F436=""),0,$F436*VLOOKUP($D436,'Malzeme Kartları'!$B$5:$G$204,6,FALSE)),0)</f>
      </c>
    </row>
    <row r="437" spans="2:8" x14ac:dyDescent="0.25">
      <c r="B437" s="8"/>
      <c r="C437" s="15">
        <f>IFERROR(IF($B437="","",VLOOKUP($B437,'Menü Kartları'!$B$5:$C$154,2,FALSE)),"")</f>
      </c>
      <c r="D437" s="8"/>
      <c r="E437" s="15">
        <f>IFERROR(IF($D437="","",VLOOKUP($D437,'Malzeme Kartları'!$B$5:$C$204,2,FALSE)),"— tanımsız —")</f>
      </c>
      <c r="F437" s="16"/>
      <c r="G437" s="15">
        <f>IFERROR(IF($D437="","",VLOOKUP($D437,'Malzeme Kartları'!$B$5:$D$204,3,FALSE)),"")</f>
      </c>
      <c r="H437" s="17">
        <f>IFERROR(IF(OR($D437="",$F437=""),0,$F437*VLOOKUP($D437,'Malzeme Kartları'!$B$5:$G$204,6,FALSE)),0)</f>
      </c>
    </row>
    <row r="438" spans="2:8" x14ac:dyDescent="0.25">
      <c r="B438" s="12"/>
      <c r="C438" s="15">
        <f>IFERROR(IF($B438="","",VLOOKUP($B438,'Menü Kartları'!$B$5:$C$154,2,FALSE)),"")</f>
      </c>
      <c r="D438" s="12"/>
      <c r="E438" s="15">
        <f>IFERROR(IF($D438="","",VLOOKUP($D438,'Malzeme Kartları'!$B$5:$C$204,2,FALSE)),"— tanımsız —")</f>
      </c>
      <c r="F438" s="18"/>
      <c r="G438" s="15">
        <f>IFERROR(IF($D438="","",VLOOKUP($D438,'Malzeme Kartları'!$B$5:$D$204,3,FALSE)),"")</f>
      </c>
      <c r="H438" s="17">
        <f>IFERROR(IF(OR($D438="",$F438=""),0,$F438*VLOOKUP($D438,'Malzeme Kartları'!$B$5:$G$204,6,FALSE)),0)</f>
      </c>
    </row>
    <row r="439" spans="2:8" x14ac:dyDescent="0.25">
      <c r="B439" s="8"/>
      <c r="C439" s="15">
        <f>IFERROR(IF($B439="","",VLOOKUP($B439,'Menü Kartları'!$B$5:$C$154,2,FALSE)),"")</f>
      </c>
      <c r="D439" s="8"/>
      <c r="E439" s="15">
        <f>IFERROR(IF($D439="","",VLOOKUP($D439,'Malzeme Kartları'!$B$5:$C$204,2,FALSE)),"— tanımsız —")</f>
      </c>
      <c r="F439" s="16"/>
      <c r="G439" s="15">
        <f>IFERROR(IF($D439="","",VLOOKUP($D439,'Malzeme Kartları'!$B$5:$D$204,3,FALSE)),"")</f>
      </c>
      <c r="H439" s="17">
        <f>IFERROR(IF(OR($D439="",$F439=""),0,$F439*VLOOKUP($D439,'Malzeme Kartları'!$B$5:$G$204,6,FALSE)),0)</f>
      </c>
    </row>
    <row r="440" spans="2:8" x14ac:dyDescent="0.25">
      <c r="B440" s="12"/>
      <c r="C440" s="15">
        <f>IFERROR(IF($B440="","",VLOOKUP($B440,'Menü Kartları'!$B$5:$C$154,2,FALSE)),"")</f>
      </c>
      <c r="D440" s="12"/>
      <c r="E440" s="15">
        <f>IFERROR(IF($D440="","",VLOOKUP($D440,'Malzeme Kartları'!$B$5:$C$204,2,FALSE)),"— tanımsız —")</f>
      </c>
      <c r="F440" s="18"/>
      <c r="G440" s="15">
        <f>IFERROR(IF($D440="","",VLOOKUP($D440,'Malzeme Kartları'!$B$5:$D$204,3,FALSE)),"")</f>
      </c>
      <c r="H440" s="17">
        <f>IFERROR(IF(OR($D440="",$F440=""),0,$F440*VLOOKUP($D440,'Malzeme Kartları'!$B$5:$G$204,6,FALSE)),0)</f>
      </c>
    </row>
    <row r="441" spans="2:8" x14ac:dyDescent="0.25">
      <c r="B441" s="8"/>
      <c r="C441" s="15">
        <f>IFERROR(IF($B441="","",VLOOKUP($B441,'Menü Kartları'!$B$5:$C$154,2,FALSE)),"")</f>
      </c>
      <c r="D441" s="8"/>
      <c r="E441" s="15">
        <f>IFERROR(IF($D441="","",VLOOKUP($D441,'Malzeme Kartları'!$B$5:$C$204,2,FALSE)),"— tanımsız —")</f>
      </c>
      <c r="F441" s="16"/>
      <c r="G441" s="15">
        <f>IFERROR(IF($D441="","",VLOOKUP($D441,'Malzeme Kartları'!$B$5:$D$204,3,FALSE)),"")</f>
      </c>
      <c r="H441" s="17">
        <f>IFERROR(IF(OR($D441="",$F441=""),0,$F441*VLOOKUP($D441,'Malzeme Kartları'!$B$5:$G$204,6,FALSE)),0)</f>
      </c>
    </row>
    <row r="442" spans="2:8" x14ac:dyDescent="0.25">
      <c r="B442" s="12"/>
      <c r="C442" s="15">
        <f>IFERROR(IF($B442="","",VLOOKUP($B442,'Menü Kartları'!$B$5:$C$154,2,FALSE)),"")</f>
      </c>
      <c r="D442" s="12"/>
      <c r="E442" s="15">
        <f>IFERROR(IF($D442="","",VLOOKUP($D442,'Malzeme Kartları'!$B$5:$C$204,2,FALSE)),"— tanımsız —")</f>
      </c>
      <c r="F442" s="18"/>
      <c r="G442" s="15">
        <f>IFERROR(IF($D442="","",VLOOKUP($D442,'Malzeme Kartları'!$B$5:$D$204,3,FALSE)),"")</f>
      </c>
      <c r="H442" s="17">
        <f>IFERROR(IF(OR($D442="",$F442=""),0,$F442*VLOOKUP($D442,'Malzeme Kartları'!$B$5:$G$204,6,FALSE)),0)</f>
      </c>
    </row>
    <row r="443" spans="2:8" x14ac:dyDescent="0.25">
      <c r="B443" s="8"/>
      <c r="C443" s="15">
        <f>IFERROR(IF($B443="","",VLOOKUP($B443,'Menü Kartları'!$B$5:$C$154,2,FALSE)),"")</f>
      </c>
      <c r="D443" s="8"/>
      <c r="E443" s="15">
        <f>IFERROR(IF($D443="","",VLOOKUP($D443,'Malzeme Kartları'!$B$5:$C$204,2,FALSE)),"— tanımsız —")</f>
      </c>
      <c r="F443" s="16"/>
      <c r="G443" s="15">
        <f>IFERROR(IF($D443="","",VLOOKUP($D443,'Malzeme Kartları'!$B$5:$D$204,3,FALSE)),"")</f>
      </c>
      <c r="H443" s="17">
        <f>IFERROR(IF(OR($D443="",$F443=""),0,$F443*VLOOKUP($D443,'Malzeme Kartları'!$B$5:$G$204,6,FALSE)),0)</f>
      </c>
    </row>
    <row r="444" spans="2:8" x14ac:dyDescent="0.25">
      <c r="B444" s="12"/>
      <c r="C444" s="15">
        <f>IFERROR(IF($B444="","",VLOOKUP($B444,'Menü Kartları'!$B$5:$C$154,2,FALSE)),"")</f>
      </c>
      <c r="D444" s="12"/>
      <c r="E444" s="15">
        <f>IFERROR(IF($D444="","",VLOOKUP($D444,'Malzeme Kartları'!$B$5:$C$204,2,FALSE)),"— tanımsız —")</f>
      </c>
      <c r="F444" s="18"/>
      <c r="G444" s="15">
        <f>IFERROR(IF($D444="","",VLOOKUP($D444,'Malzeme Kartları'!$B$5:$D$204,3,FALSE)),"")</f>
      </c>
      <c r="H444" s="17">
        <f>IFERROR(IF(OR($D444="",$F444=""),0,$F444*VLOOKUP($D444,'Malzeme Kartları'!$B$5:$G$204,6,FALSE)),0)</f>
      </c>
    </row>
    <row r="445" spans="2:8" x14ac:dyDescent="0.25">
      <c r="B445" s="8"/>
      <c r="C445" s="15">
        <f>IFERROR(IF($B445="","",VLOOKUP($B445,'Menü Kartları'!$B$5:$C$154,2,FALSE)),"")</f>
      </c>
      <c r="D445" s="8"/>
      <c r="E445" s="15">
        <f>IFERROR(IF($D445="","",VLOOKUP($D445,'Malzeme Kartları'!$B$5:$C$204,2,FALSE)),"— tanımsız —")</f>
      </c>
      <c r="F445" s="16"/>
      <c r="G445" s="15">
        <f>IFERROR(IF($D445="","",VLOOKUP($D445,'Malzeme Kartları'!$B$5:$D$204,3,FALSE)),"")</f>
      </c>
      <c r="H445" s="17">
        <f>IFERROR(IF(OR($D445="",$F445=""),0,$F445*VLOOKUP($D445,'Malzeme Kartları'!$B$5:$G$204,6,FALSE)),0)</f>
      </c>
    </row>
    <row r="446" spans="2:8" x14ac:dyDescent="0.25">
      <c r="B446" s="12"/>
      <c r="C446" s="15">
        <f>IFERROR(IF($B446="","",VLOOKUP($B446,'Menü Kartları'!$B$5:$C$154,2,FALSE)),"")</f>
      </c>
      <c r="D446" s="12"/>
      <c r="E446" s="15">
        <f>IFERROR(IF($D446="","",VLOOKUP($D446,'Malzeme Kartları'!$B$5:$C$204,2,FALSE)),"— tanımsız —")</f>
      </c>
      <c r="F446" s="18"/>
      <c r="G446" s="15">
        <f>IFERROR(IF($D446="","",VLOOKUP($D446,'Malzeme Kartları'!$B$5:$D$204,3,FALSE)),"")</f>
      </c>
      <c r="H446" s="17">
        <f>IFERROR(IF(OR($D446="",$F446=""),0,$F446*VLOOKUP($D446,'Malzeme Kartları'!$B$5:$G$204,6,FALSE)),0)</f>
      </c>
    </row>
    <row r="447" spans="2:8" x14ac:dyDescent="0.25">
      <c r="B447" s="8"/>
      <c r="C447" s="15">
        <f>IFERROR(IF($B447="","",VLOOKUP($B447,'Menü Kartları'!$B$5:$C$154,2,FALSE)),"")</f>
      </c>
      <c r="D447" s="8"/>
      <c r="E447" s="15">
        <f>IFERROR(IF($D447="","",VLOOKUP($D447,'Malzeme Kartları'!$B$5:$C$204,2,FALSE)),"— tanımsız —")</f>
      </c>
      <c r="F447" s="16"/>
      <c r="G447" s="15">
        <f>IFERROR(IF($D447="","",VLOOKUP($D447,'Malzeme Kartları'!$B$5:$D$204,3,FALSE)),"")</f>
      </c>
      <c r="H447" s="17">
        <f>IFERROR(IF(OR($D447="",$F447=""),0,$F447*VLOOKUP($D447,'Malzeme Kartları'!$B$5:$G$204,6,FALSE)),0)</f>
      </c>
    </row>
    <row r="448" spans="2:8" x14ac:dyDescent="0.25">
      <c r="B448" s="12"/>
      <c r="C448" s="15">
        <f>IFERROR(IF($B448="","",VLOOKUP($B448,'Menü Kartları'!$B$5:$C$154,2,FALSE)),"")</f>
      </c>
      <c r="D448" s="12"/>
      <c r="E448" s="15">
        <f>IFERROR(IF($D448="","",VLOOKUP($D448,'Malzeme Kartları'!$B$5:$C$204,2,FALSE)),"— tanımsız —")</f>
      </c>
      <c r="F448" s="18"/>
      <c r="G448" s="15">
        <f>IFERROR(IF($D448="","",VLOOKUP($D448,'Malzeme Kartları'!$B$5:$D$204,3,FALSE)),"")</f>
      </c>
      <c r="H448" s="17">
        <f>IFERROR(IF(OR($D448="",$F448=""),0,$F448*VLOOKUP($D448,'Malzeme Kartları'!$B$5:$G$204,6,FALSE)),0)</f>
      </c>
    </row>
    <row r="449" spans="2:8" x14ac:dyDescent="0.25">
      <c r="B449" s="8"/>
      <c r="C449" s="15">
        <f>IFERROR(IF($B449="","",VLOOKUP($B449,'Menü Kartları'!$B$5:$C$154,2,FALSE)),"")</f>
      </c>
      <c r="D449" s="8"/>
      <c r="E449" s="15">
        <f>IFERROR(IF($D449="","",VLOOKUP($D449,'Malzeme Kartları'!$B$5:$C$204,2,FALSE)),"— tanımsız —")</f>
      </c>
      <c r="F449" s="16"/>
      <c r="G449" s="15">
        <f>IFERROR(IF($D449="","",VLOOKUP($D449,'Malzeme Kartları'!$B$5:$D$204,3,FALSE)),"")</f>
      </c>
      <c r="H449" s="17">
        <f>IFERROR(IF(OR($D449="",$F449=""),0,$F449*VLOOKUP($D449,'Malzeme Kartları'!$B$5:$G$204,6,FALSE)),0)</f>
      </c>
    </row>
    <row r="450" spans="2:8" x14ac:dyDescent="0.25">
      <c r="B450" s="12"/>
      <c r="C450" s="15">
        <f>IFERROR(IF($B450="","",VLOOKUP($B450,'Menü Kartları'!$B$5:$C$154,2,FALSE)),"")</f>
      </c>
      <c r="D450" s="12"/>
      <c r="E450" s="15">
        <f>IFERROR(IF($D450="","",VLOOKUP($D450,'Malzeme Kartları'!$B$5:$C$204,2,FALSE)),"— tanımsız —")</f>
      </c>
      <c r="F450" s="18"/>
      <c r="G450" s="15">
        <f>IFERROR(IF($D450="","",VLOOKUP($D450,'Malzeme Kartları'!$B$5:$D$204,3,FALSE)),"")</f>
      </c>
      <c r="H450" s="17">
        <f>IFERROR(IF(OR($D450="",$F450=""),0,$F450*VLOOKUP($D450,'Malzeme Kartları'!$B$5:$G$204,6,FALSE)),0)</f>
      </c>
    </row>
    <row r="451" spans="2:8" x14ac:dyDescent="0.25">
      <c r="B451" s="8"/>
      <c r="C451" s="15">
        <f>IFERROR(IF($B451="","",VLOOKUP($B451,'Menü Kartları'!$B$5:$C$154,2,FALSE)),"")</f>
      </c>
      <c r="D451" s="8"/>
      <c r="E451" s="15">
        <f>IFERROR(IF($D451="","",VLOOKUP($D451,'Malzeme Kartları'!$B$5:$C$204,2,FALSE)),"— tanımsız —")</f>
      </c>
      <c r="F451" s="16"/>
      <c r="G451" s="15">
        <f>IFERROR(IF($D451="","",VLOOKUP($D451,'Malzeme Kartları'!$B$5:$D$204,3,FALSE)),"")</f>
      </c>
      <c r="H451" s="17">
        <f>IFERROR(IF(OR($D451="",$F451=""),0,$F451*VLOOKUP($D451,'Malzeme Kartları'!$B$5:$G$204,6,FALSE)),0)</f>
      </c>
    </row>
    <row r="452" spans="2:8" x14ac:dyDescent="0.25">
      <c r="B452" s="12"/>
      <c r="C452" s="15">
        <f>IFERROR(IF($B452="","",VLOOKUP($B452,'Menü Kartları'!$B$5:$C$154,2,FALSE)),"")</f>
      </c>
      <c r="D452" s="12"/>
      <c r="E452" s="15">
        <f>IFERROR(IF($D452="","",VLOOKUP($D452,'Malzeme Kartları'!$B$5:$C$204,2,FALSE)),"— tanımsız —")</f>
      </c>
      <c r="F452" s="18"/>
      <c r="G452" s="15">
        <f>IFERROR(IF($D452="","",VLOOKUP($D452,'Malzeme Kartları'!$B$5:$D$204,3,FALSE)),"")</f>
      </c>
      <c r="H452" s="17">
        <f>IFERROR(IF(OR($D452="",$F452=""),0,$F452*VLOOKUP($D452,'Malzeme Kartları'!$B$5:$G$204,6,FALSE)),0)</f>
      </c>
    </row>
    <row r="453" spans="2:8" x14ac:dyDescent="0.25">
      <c r="B453" s="8"/>
      <c r="C453" s="15">
        <f>IFERROR(IF($B453="","",VLOOKUP($B453,'Menü Kartları'!$B$5:$C$154,2,FALSE)),"")</f>
      </c>
      <c r="D453" s="8"/>
      <c r="E453" s="15">
        <f>IFERROR(IF($D453="","",VLOOKUP($D453,'Malzeme Kartları'!$B$5:$C$204,2,FALSE)),"— tanımsız —")</f>
      </c>
      <c r="F453" s="16"/>
      <c r="G453" s="15">
        <f>IFERROR(IF($D453="","",VLOOKUP($D453,'Malzeme Kartları'!$B$5:$D$204,3,FALSE)),"")</f>
      </c>
      <c r="H453" s="17">
        <f>IFERROR(IF(OR($D453="",$F453=""),0,$F453*VLOOKUP($D453,'Malzeme Kartları'!$B$5:$G$204,6,FALSE)),0)</f>
      </c>
    </row>
    <row r="454" spans="2:8" x14ac:dyDescent="0.25">
      <c r="B454" s="12"/>
      <c r="C454" s="15">
        <f>IFERROR(IF($B454="","",VLOOKUP($B454,'Menü Kartları'!$B$5:$C$154,2,FALSE)),"")</f>
      </c>
      <c r="D454" s="12"/>
      <c r="E454" s="15">
        <f>IFERROR(IF($D454="","",VLOOKUP($D454,'Malzeme Kartları'!$B$5:$C$204,2,FALSE)),"— tanımsız —")</f>
      </c>
      <c r="F454" s="18"/>
      <c r="G454" s="15">
        <f>IFERROR(IF($D454="","",VLOOKUP($D454,'Malzeme Kartları'!$B$5:$D$204,3,FALSE)),"")</f>
      </c>
      <c r="H454" s="17">
        <f>IFERROR(IF(OR($D454="",$F454=""),0,$F454*VLOOKUP($D454,'Malzeme Kartları'!$B$5:$G$204,6,FALSE)),0)</f>
      </c>
    </row>
    <row r="455" spans="2:8" x14ac:dyDescent="0.25">
      <c r="B455" s="8"/>
      <c r="C455" s="15">
        <f>IFERROR(IF($B455="","",VLOOKUP($B455,'Menü Kartları'!$B$5:$C$154,2,FALSE)),"")</f>
      </c>
      <c r="D455" s="8"/>
      <c r="E455" s="15">
        <f>IFERROR(IF($D455="","",VLOOKUP($D455,'Malzeme Kartları'!$B$5:$C$204,2,FALSE)),"— tanımsız —")</f>
      </c>
      <c r="F455" s="16"/>
      <c r="G455" s="15">
        <f>IFERROR(IF($D455="","",VLOOKUP($D455,'Malzeme Kartları'!$B$5:$D$204,3,FALSE)),"")</f>
      </c>
      <c r="H455" s="17">
        <f>IFERROR(IF(OR($D455="",$F455=""),0,$F455*VLOOKUP($D455,'Malzeme Kartları'!$B$5:$G$204,6,FALSE)),0)</f>
      </c>
    </row>
    <row r="456" spans="2:8" x14ac:dyDescent="0.25">
      <c r="B456" s="12"/>
      <c r="C456" s="15">
        <f>IFERROR(IF($B456="","",VLOOKUP($B456,'Menü Kartları'!$B$5:$C$154,2,FALSE)),"")</f>
      </c>
      <c r="D456" s="12"/>
      <c r="E456" s="15">
        <f>IFERROR(IF($D456="","",VLOOKUP($D456,'Malzeme Kartları'!$B$5:$C$204,2,FALSE)),"— tanımsız —")</f>
      </c>
      <c r="F456" s="18"/>
      <c r="G456" s="15">
        <f>IFERROR(IF($D456="","",VLOOKUP($D456,'Malzeme Kartları'!$B$5:$D$204,3,FALSE)),"")</f>
      </c>
      <c r="H456" s="17">
        <f>IFERROR(IF(OR($D456="",$F456=""),0,$F456*VLOOKUP($D456,'Malzeme Kartları'!$B$5:$G$204,6,FALSE)),0)</f>
      </c>
    </row>
    <row r="457" spans="2:8" x14ac:dyDescent="0.25">
      <c r="B457" s="8"/>
      <c r="C457" s="15">
        <f>IFERROR(IF($B457="","",VLOOKUP($B457,'Menü Kartları'!$B$5:$C$154,2,FALSE)),"")</f>
      </c>
      <c r="D457" s="8"/>
      <c r="E457" s="15">
        <f>IFERROR(IF($D457="","",VLOOKUP($D457,'Malzeme Kartları'!$B$5:$C$204,2,FALSE)),"— tanımsız —")</f>
      </c>
      <c r="F457" s="16"/>
      <c r="G457" s="15">
        <f>IFERROR(IF($D457="","",VLOOKUP($D457,'Malzeme Kartları'!$B$5:$D$204,3,FALSE)),"")</f>
      </c>
      <c r="H457" s="17">
        <f>IFERROR(IF(OR($D457="",$F457=""),0,$F457*VLOOKUP($D457,'Malzeme Kartları'!$B$5:$G$204,6,FALSE)),0)</f>
      </c>
    </row>
    <row r="458" spans="2:8" x14ac:dyDescent="0.25">
      <c r="B458" s="12"/>
      <c r="C458" s="15">
        <f>IFERROR(IF($B458="","",VLOOKUP($B458,'Menü Kartları'!$B$5:$C$154,2,FALSE)),"")</f>
      </c>
      <c r="D458" s="12"/>
      <c r="E458" s="15">
        <f>IFERROR(IF($D458="","",VLOOKUP($D458,'Malzeme Kartları'!$B$5:$C$204,2,FALSE)),"— tanımsız —")</f>
      </c>
      <c r="F458" s="18"/>
      <c r="G458" s="15">
        <f>IFERROR(IF($D458="","",VLOOKUP($D458,'Malzeme Kartları'!$B$5:$D$204,3,FALSE)),"")</f>
      </c>
      <c r="H458" s="17">
        <f>IFERROR(IF(OR($D458="",$F458=""),0,$F458*VLOOKUP($D458,'Malzeme Kartları'!$B$5:$G$204,6,FALSE)),0)</f>
      </c>
    </row>
    <row r="459" spans="2:8" x14ac:dyDescent="0.25">
      <c r="B459" s="8"/>
      <c r="C459" s="15">
        <f>IFERROR(IF($B459="","",VLOOKUP($B459,'Menü Kartları'!$B$5:$C$154,2,FALSE)),"")</f>
      </c>
      <c r="D459" s="8"/>
      <c r="E459" s="15">
        <f>IFERROR(IF($D459="","",VLOOKUP($D459,'Malzeme Kartları'!$B$5:$C$204,2,FALSE)),"— tanımsız —")</f>
      </c>
      <c r="F459" s="16"/>
      <c r="G459" s="15">
        <f>IFERROR(IF($D459="","",VLOOKUP($D459,'Malzeme Kartları'!$B$5:$D$204,3,FALSE)),"")</f>
      </c>
      <c r="H459" s="17">
        <f>IFERROR(IF(OR($D459="",$F459=""),0,$F459*VLOOKUP($D459,'Malzeme Kartları'!$B$5:$G$204,6,FALSE)),0)</f>
      </c>
    </row>
    <row r="460" spans="2:8" x14ac:dyDescent="0.25">
      <c r="B460" s="12"/>
      <c r="C460" s="15">
        <f>IFERROR(IF($B460="","",VLOOKUP($B460,'Menü Kartları'!$B$5:$C$154,2,FALSE)),"")</f>
      </c>
      <c r="D460" s="12"/>
      <c r="E460" s="15">
        <f>IFERROR(IF($D460="","",VLOOKUP($D460,'Malzeme Kartları'!$B$5:$C$204,2,FALSE)),"— tanımsız —")</f>
      </c>
      <c r="F460" s="18"/>
      <c r="G460" s="15">
        <f>IFERROR(IF($D460="","",VLOOKUP($D460,'Malzeme Kartları'!$B$5:$D$204,3,FALSE)),"")</f>
      </c>
      <c r="H460" s="17">
        <f>IFERROR(IF(OR($D460="",$F460=""),0,$F460*VLOOKUP($D460,'Malzeme Kartları'!$B$5:$G$204,6,FALSE)),0)</f>
      </c>
    </row>
    <row r="461" spans="2:8" x14ac:dyDescent="0.25">
      <c r="B461" s="8"/>
      <c r="C461" s="15">
        <f>IFERROR(IF($B461="","",VLOOKUP($B461,'Menü Kartları'!$B$5:$C$154,2,FALSE)),"")</f>
      </c>
      <c r="D461" s="8"/>
      <c r="E461" s="15">
        <f>IFERROR(IF($D461="","",VLOOKUP($D461,'Malzeme Kartları'!$B$5:$C$204,2,FALSE)),"— tanımsız —")</f>
      </c>
      <c r="F461" s="16"/>
      <c r="G461" s="15">
        <f>IFERROR(IF($D461="","",VLOOKUP($D461,'Malzeme Kartları'!$B$5:$D$204,3,FALSE)),"")</f>
      </c>
      <c r="H461" s="17">
        <f>IFERROR(IF(OR($D461="",$F461=""),0,$F461*VLOOKUP($D461,'Malzeme Kartları'!$B$5:$G$204,6,FALSE)),0)</f>
      </c>
    </row>
    <row r="462" spans="2:8" x14ac:dyDescent="0.25">
      <c r="B462" s="12"/>
      <c r="C462" s="15">
        <f>IFERROR(IF($B462="","",VLOOKUP($B462,'Menü Kartları'!$B$5:$C$154,2,FALSE)),"")</f>
      </c>
      <c r="D462" s="12"/>
      <c r="E462" s="15">
        <f>IFERROR(IF($D462="","",VLOOKUP($D462,'Malzeme Kartları'!$B$5:$C$204,2,FALSE)),"— tanımsız —")</f>
      </c>
      <c r="F462" s="18"/>
      <c r="G462" s="15">
        <f>IFERROR(IF($D462="","",VLOOKUP($D462,'Malzeme Kartları'!$B$5:$D$204,3,FALSE)),"")</f>
      </c>
      <c r="H462" s="17">
        <f>IFERROR(IF(OR($D462="",$F462=""),0,$F462*VLOOKUP($D462,'Malzeme Kartları'!$B$5:$G$204,6,FALSE)),0)</f>
      </c>
    </row>
    <row r="463" spans="2:8" x14ac:dyDescent="0.25">
      <c r="B463" s="8"/>
      <c r="C463" s="15">
        <f>IFERROR(IF($B463="","",VLOOKUP($B463,'Menü Kartları'!$B$5:$C$154,2,FALSE)),"")</f>
      </c>
      <c r="D463" s="8"/>
      <c r="E463" s="15">
        <f>IFERROR(IF($D463="","",VLOOKUP($D463,'Malzeme Kartları'!$B$5:$C$204,2,FALSE)),"— tanımsız —")</f>
      </c>
      <c r="F463" s="16"/>
      <c r="G463" s="15">
        <f>IFERROR(IF($D463="","",VLOOKUP($D463,'Malzeme Kartları'!$B$5:$D$204,3,FALSE)),"")</f>
      </c>
      <c r="H463" s="17">
        <f>IFERROR(IF(OR($D463="",$F463=""),0,$F463*VLOOKUP($D463,'Malzeme Kartları'!$B$5:$G$204,6,FALSE)),0)</f>
      </c>
    </row>
    <row r="464" spans="2:8" x14ac:dyDescent="0.25">
      <c r="B464" s="12"/>
      <c r="C464" s="15">
        <f>IFERROR(IF($B464="","",VLOOKUP($B464,'Menü Kartları'!$B$5:$C$154,2,FALSE)),"")</f>
      </c>
      <c r="D464" s="12"/>
      <c r="E464" s="15">
        <f>IFERROR(IF($D464="","",VLOOKUP($D464,'Malzeme Kartları'!$B$5:$C$204,2,FALSE)),"— tanımsız —")</f>
      </c>
      <c r="F464" s="18"/>
      <c r="G464" s="15">
        <f>IFERROR(IF($D464="","",VLOOKUP($D464,'Malzeme Kartları'!$B$5:$D$204,3,FALSE)),"")</f>
      </c>
      <c r="H464" s="17">
        <f>IFERROR(IF(OR($D464="",$F464=""),0,$F464*VLOOKUP($D464,'Malzeme Kartları'!$B$5:$G$204,6,FALSE)),0)</f>
      </c>
    </row>
    <row r="465" spans="2:8" x14ac:dyDescent="0.25">
      <c r="B465" s="8"/>
      <c r="C465" s="15">
        <f>IFERROR(IF($B465="","",VLOOKUP($B465,'Menü Kartları'!$B$5:$C$154,2,FALSE)),"")</f>
      </c>
      <c r="D465" s="8"/>
      <c r="E465" s="15">
        <f>IFERROR(IF($D465="","",VLOOKUP($D465,'Malzeme Kartları'!$B$5:$C$204,2,FALSE)),"— tanımsız —")</f>
      </c>
      <c r="F465" s="16"/>
      <c r="G465" s="15">
        <f>IFERROR(IF($D465="","",VLOOKUP($D465,'Malzeme Kartları'!$B$5:$D$204,3,FALSE)),"")</f>
      </c>
      <c r="H465" s="17">
        <f>IFERROR(IF(OR($D465="",$F465=""),0,$F465*VLOOKUP($D465,'Malzeme Kartları'!$B$5:$G$204,6,FALSE)),0)</f>
      </c>
    </row>
    <row r="466" spans="2:8" x14ac:dyDescent="0.25">
      <c r="B466" s="12"/>
      <c r="C466" s="15">
        <f>IFERROR(IF($B466="","",VLOOKUP($B466,'Menü Kartları'!$B$5:$C$154,2,FALSE)),"")</f>
      </c>
      <c r="D466" s="12"/>
      <c r="E466" s="15">
        <f>IFERROR(IF($D466="","",VLOOKUP($D466,'Malzeme Kartları'!$B$5:$C$204,2,FALSE)),"— tanımsız —")</f>
      </c>
      <c r="F466" s="18"/>
      <c r="G466" s="15">
        <f>IFERROR(IF($D466="","",VLOOKUP($D466,'Malzeme Kartları'!$B$5:$D$204,3,FALSE)),"")</f>
      </c>
      <c r="H466" s="17">
        <f>IFERROR(IF(OR($D466="",$F466=""),0,$F466*VLOOKUP($D466,'Malzeme Kartları'!$B$5:$G$204,6,FALSE)),0)</f>
      </c>
    </row>
    <row r="467" spans="2:8" x14ac:dyDescent="0.25">
      <c r="B467" s="8"/>
      <c r="C467" s="15">
        <f>IFERROR(IF($B467="","",VLOOKUP($B467,'Menü Kartları'!$B$5:$C$154,2,FALSE)),"")</f>
      </c>
      <c r="D467" s="8"/>
      <c r="E467" s="15">
        <f>IFERROR(IF($D467="","",VLOOKUP($D467,'Malzeme Kartları'!$B$5:$C$204,2,FALSE)),"— tanımsız —")</f>
      </c>
      <c r="F467" s="16"/>
      <c r="G467" s="15">
        <f>IFERROR(IF($D467="","",VLOOKUP($D467,'Malzeme Kartları'!$B$5:$D$204,3,FALSE)),"")</f>
      </c>
      <c r="H467" s="17">
        <f>IFERROR(IF(OR($D467="",$F467=""),0,$F467*VLOOKUP($D467,'Malzeme Kartları'!$B$5:$G$204,6,FALSE)),0)</f>
      </c>
    </row>
    <row r="468" spans="2:8" x14ac:dyDescent="0.25">
      <c r="B468" s="12"/>
      <c r="C468" s="15">
        <f>IFERROR(IF($B468="","",VLOOKUP($B468,'Menü Kartları'!$B$5:$C$154,2,FALSE)),"")</f>
      </c>
      <c r="D468" s="12"/>
      <c r="E468" s="15">
        <f>IFERROR(IF($D468="","",VLOOKUP($D468,'Malzeme Kartları'!$B$5:$C$204,2,FALSE)),"— tanımsız —")</f>
      </c>
      <c r="F468" s="18"/>
      <c r="G468" s="15">
        <f>IFERROR(IF($D468="","",VLOOKUP($D468,'Malzeme Kartları'!$B$5:$D$204,3,FALSE)),"")</f>
      </c>
      <c r="H468" s="17">
        <f>IFERROR(IF(OR($D468="",$F468=""),0,$F468*VLOOKUP($D468,'Malzeme Kartları'!$B$5:$G$204,6,FALSE)),0)</f>
      </c>
    </row>
    <row r="469" spans="2:8" x14ac:dyDescent="0.25">
      <c r="B469" s="8"/>
      <c r="C469" s="15">
        <f>IFERROR(IF($B469="","",VLOOKUP($B469,'Menü Kartları'!$B$5:$C$154,2,FALSE)),"")</f>
      </c>
      <c r="D469" s="8"/>
      <c r="E469" s="15">
        <f>IFERROR(IF($D469="","",VLOOKUP($D469,'Malzeme Kartları'!$B$5:$C$204,2,FALSE)),"— tanımsız —")</f>
      </c>
      <c r="F469" s="16"/>
      <c r="G469" s="15">
        <f>IFERROR(IF($D469="","",VLOOKUP($D469,'Malzeme Kartları'!$B$5:$D$204,3,FALSE)),"")</f>
      </c>
      <c r="H469" s="17">
        <f>IFERROR(IF(OR($D469="",$F469=""),0,$F469*VLOOKUP($D469,'Malzeme Kartları'!$B$5:$G$204,6,FALSE)),0)</f>
      </c>
    </row>
    <row r="470" spans="2:8" x14ac:dyDescent="0.25">
      <c r="B470" s="12"/>
      <c r="C470" s="15">
        <f>IFERROR(IF($B470="","",VLOOKUP($B470,'Menü Kartları'!$B$5:$C$154,2,FALSE)),"")</f>
      </c>
      <c r="D470" s="12"/>
      <c r="E470" s="15">
        <f>IFERROR(IF($D470="","",VLOOKUP($D470,'Malzeme Kartları'!$B$5:$C$204,2,FALSE)),"— tanımsız —")</f>
      </c>
      <c r="F470" s="18"/>
      <c r="G470" s="15">
        <f>IFERROR(IF($D470="","",VLOOKUP($D470,'Malzeme Kartları'!$B$5:$D$204,3,FALSE)),"")</f>
      </c>
      <c r="H470" s="17">
        <f>IFERROR(IF(OR($D470="",$F470=""),0,$F470*VLOOKUP($D470,'Malzeme Kartları'!$B$5:$G$204,6,FALSE)),0)</f>
      </c>
    </row>
    <row r="471" spans="2:8" x14ac:dyDescent="0.25">
      <c r="B471" s="8"/>
      <c r="C471" s="15">
        <f>IFERROR(IF($B471="","",VLOOKUP($B471,'Menü Kartları'!$B$5:$C$154,2,FALSE)),"")</f>
      </c>
      <c r="D471" s="8"/>
      <c r="E471" s="15">
        <f>IFERROR(IF($D471="","",VLOOKUP($D471,'Malzeme Kartları'!$B$5:$C$204,2,FALSE)),"— tanımsız —")</f>
      </c>
      <c r="F471" s="16"/>
      <c r="G471" s="15">
        <f>IFERROR(IF($D471="","",VLOOKUP($D471,'Malzeme Kartları'!$B$5:$D$204,3,FALSE)),"")</f>
      </c>
      <c r="H471" s="17">
        <f>IFERROR(IF(OR($D471="",$F471=""),0,$F471*VLOOKUP($D471,'Malzeme Kartları'!$B$5:$G$204,6,FALSE)),0)</f>
      </c>
    </row>
    <row r="472" spans="2:8" x14ac:dyDescent="0.25">
      <c r="B472" s="12"/>
      <c r="C472" s="15">
        <f>IFERROR(IF($B472="","",VLOOKUP($B472,'Menü Kartları'!$B$5:$C$154,2,FALSE)),"")</f>
      </c>
      <c r="D472" s="12"/>
      <c r="E472" s="15">
        <f>IFERROR(IF($D472="","",VLOOKUP($D472,'Malzeme Kartları'!$B$5:$C$204,2,FALSE)),"— tanımsız —")</f>
      </c>
      <c r="F472" s="18"/>
      <c r="G472" s="15">
        <f>IFERROR(IF($D472="","",VLOOKUP($D472,'Malzeme Kartları'!$B$5:$D$204,3,FALSE)),"")</f>
      </c>
      <c r="H472" s="17">
        <f>IFERROR(IF(OR($D472="",$F472=""),0,$F472*VLOOKUP($D472,'Malzeme Kartları'!$B$5:$G$204,6,FALSE)),0)</f>
      </c>
    </row>
    <row r="473" spans="2:8" x14ac:dyDescent="0.25">
      <c r="B473" s="8"/>
      <c r="C473" s="15">
        <f>IFERROR(IF($B473="","",VLOOKUP($B473,'Menü Kartları'!$B$5:$C$154,2,FALSE)),"")</f>
      </c>
      <c r="D473" s="8"/>
      <c r="E473" s="15">
        <f>IFERROR(IF($D473="","",VLOOKUP($D473,'Malzeme Kartları'!$B$5:$C$204,2,FALSE)),"— tanımsız —")</f>
      </c>
      <c r="F473" s="16"/>
      <c r="G473" s="15">
        <f>IFERROR(IF($D473="","",VLOOKUP($D473,'Malzeme Kartları'!$B$5:$D$204,3,FALSE)),"")</f>
      </c>
      <c r="H473" s="17">
        <f>IFERROR(IF(OR($D473="",$F473=""),0,$F473*VLOOKUP($D473,'Malzeme Kartları'!$B$5:$G$204,6,FALSE)),0)</f>
      </c>
    </row>
    <row r="474" spans="2:8" x14ac:dyDescent="0.25">
      <c r="B474" s="12"/>
      <c r="C474" s="15">
        <f>IFERROR(IF($B474="","",VLOOKUP($B474,'Menü Kartları'!$B$5:$C$154,2,FALSE)),"")</f>
      </c>
      <c r="D474" s="12"/>
      <c r="E474" s="15">
        <f>IFERROR(IF($D474="","",VLOOKUP($D474,'Malzeme Kartları'!$B$5:$C$204,2,FALSE)),"— tanımsız —")</f>
      </c>
      <c r="F474" s="18"/>
      <c r="G474" s="15">
        <f>IFERROR(IF($D474="","",VLOOKUP($D474,'Malzeme Kartları'!$B$5:$D$204,3,FALSE)),"")</f>
      </c>
      <c r="H474" s="17">
        <f>IFERROR(IF(OR($D474="",$F474=""),0,$F474*VLOOKUP($D474,'Malzeme Kartları'!$B$5:$G$204,6,FALSE)),0)</f>
      </c>
    </row>
    <row r="475" spans="2:8" x14ac:dyDescent="0.25">
      <c r="B475" s="8"/>
      <c r="C475" s="15">
        <f>IFERROR(IF($B475="","",VLOOKUP($B475,'Menü Kartları'!$B$5:$C$154,2,FALSE)),"")</f>
      </c>
      <c r="D475" s="8"/>
      <c r="E475" s="15">
        <f>IFERROR(IF($D475="","",VLOOKUP($D475,'Malzeme Kartları'!$B$5:$C$204,2,FALSE)),"— tanımsız —")</f>
      </c>
      <c r="F475" s="16"/>
      <c r="G475" s="15">
        <f>IFERROR(IF($D475="","",VLOOKUP($D475,'Malzeme Kartları'!$B$5:$D$204,3,FALSE)),"")</f>
      </c>
      <c r="H475" s="17">
        <f>IFERROR(IF(OR($D475="",$F475=""),0,$F475*VLOOKUP($D475,'Malzeme Kartları'!$B$5:$G$204,6,FALSE)),0)</f>
      </c>
    </row>
    <row r="476" spans="2:8" x14ac:dyDescent="0.25">
      <c r="B476" s="12"/>
      <c r="C476" s="15">
        <f>IFERROR(IF($B476="","",VLOOKUP($B476,'Menü Kartları'!$B$5:$C$154,2,FALSE)),"")</f>
      </c>
      <c r="D476" s="12"/>
      <c r="E476" s="15">
        <f>IFERROR(IF($D476="","",VLOOKUP($D476,'Malzeme Kartları'!$B$5:$C$204,2,FALSE)),"— tanımsız —")</f>
      </c>
      <c r="F476" s="18"/>
      <c r="G476" s="15">
        <f>IFERROR(IF($D476="","",VLOOKUP($D476,'Malzeme Kartları'!$B$5:$D$204,3,FALSE)),"")</f>
      </c>
      <c r="H476" s="17">
        <f>IFERROR(IF(OR($D476="",$F476=""),0,$F476*VLOOKUP($D476,'Malzeme Kartları'!$B$5:$G$204,6,FALSE)),0)</f>
      </c>
    </row>
    <row r="477" spans="2:8" x14ac:dyDescent="0.25">
      <c r="B477" s="8"/>
      <c r="C477" s="15">
        <f>IFERROR(IF($B477="","",VLOOKUP($B477,'Menü Kartları'!$B$5:$C$154,2,FALSE)),"")</f>
      </c>
      <c r="D477" s="8"/>
      <c r="E477" s="15">
        <f>IFERROR(IF($D477="","",VLOOKUP($D477,'Malzeme Kartları'!$B$5:$C$204,2,FALSE)),"— tanımsız —")</f>
      </c>
      <c r="F477" s="16"/>
      <c r="G477" s="15">
        <f>IFERROR(IF($D477="","",VLOOKUP($D477,'Malzeme Kartları'!$B$5:$D$204,3,FALSE)),"")</f>
      </c>
      <c r="H477" s="17">
        <f>IFERROR(IF(OR($D477="",$F477=""),0,$F477*VLOOKUP($D477,'Malzeme Kartları'!$B$5:$G$204,6,FALSE)),0)</f>
      </c>
    </row>
    <row r="478" spans="2:8" x14ac:dyDescent="0.25">
      <c r="B478" s="12"/>
      <c r="C478" s="15">
        <f>IFERROR(IF($B478="","",VLOOKUP($B478,'Menü Kartları'!$B$5:$C$154,2,FALSE)),"")</f>
      </c>
      <c r="D478" s="12"/>
      <c r="E478" s="15">
        <f>IFERROR(IF($D478="","",VLOOKUP($D478,'Malzeme Kartları'!$B$5:$C$204,2,FALSE)),"— tanımsız —")</f>
      </c>
      <c r="F478" s="18"/>
      <c r="G478" s="15">
        <f>IFERROR(IF($D478="","",VLOOKUP($D478,'Malzeme Kartları'!$B$5:$D$204,3,FALSE)),"")</f>
      </c>
      <c r="H478" s="17">
        <f>IFERROR(IF(OR($D478="",$F478=""),0,$F478*VLOOKUP($D478,'Malzeme Kartları'!$B$5:$G$204,6,FALSE)),0)</f>
      </c>
    </row>
    <row r="479" spans="2:8" x14ac:dyDescent="0.25">
      <c r="B479" s="8"/>
      <c r="C479" s="15">
        <f>IFERROR(IF($B479="","",VLOOKUP($B479,'Menü Kartları'!$B$5:$C$154,2,FALSE)),"")</f>
      </c>
      <c r="D479" s="8"/>
      <c r="E479" s="15">
        <f>IFERROR(IF($D479="","",VLOOKUP($D479,'Malzeme Kartları'!$B$5:$C$204,2,FALSE)),"— tanımsız —")</f>
      </c>
      <c r="F479" s="16"/>
      <c r="G479" s="15">
        <f>IFERROR(IF($D479="","",VLOOKUP($D479,'Malzeme Kartları'!$B$5:$D$204,3,FALSE)),"")</f>
      </c>
      <c r="H479" s="17">
        <f>IFERROR(IF(OR($D479="",$F479=""),0,$F479*VLOOKUP($D479,'Malzeme Kartları'!$B$5:$G$204,6,FALSE)),0)</f>
      </c>
    </row>
    <row r="480" spans="2:8" x14ac:dyDescent="0.25">
      <c r="B480" s="12"/>
      <c r="C480" s="15">
        <f>IFERROR(IF($B480="","",VLOOKUP($B480,'Menü Kartları'!$B$5:$C$154,2,FALSE)),"")</f>
      </c>
      <c r="D480" s="12"/>
      <c r="E480" s="15">
        <f>IFERROR(IF($D480="","",VLOOKUP($D480,'Malzeme Kartları'!$B$5:$C$204,2,FALSE)),"— tanımsız —")</f>
      </c>
      <c r="F480" s="18"/>
      <c r="G480" s="15">
        <f>IFERROR(IF($D480="","",VLOOKUP($D480,'Malzeme Kartları'!$B$5:$D$204,3,FALSE)),"")</f>
      </c>
      <c r="H480" s="17">
        <f>IFERROR(IF(OR($D480="",$F480=""),0,$F480*VLOOKUP($D480,'Malzeme Kartları'!$B$5:$G$204,6,FALSE)),0)</f>
      </c>
    </row>
    <row r="481" spans="2:8" x14ac:dyDescent="0.25">
      <c r="B481" s="8"/>
      <c r="C481" s="15">
        <f>IFERROR(IF($B481="","",VLOOKUP($B481,'Menü Kartları'!$B$5:$C$154,2,FALSE)),"")</f>
      </c>
      <c r="D481" s="8"/>
      <c r="E481" s="15">
        <f>IFERROR(IF($D481="","",VLOOKUP($D481,'Malzeme Kartları'!$B$5:$C$204,2,FALSE)),"— tanımsız —")</f>
      </c>
      <c r="F481" s="16"/>
      <c r="G481" s="15">
        <f>IFERROR(IF($D481="","",VLOOKUP($D481,'Malzeme Kartları'!$B$5:$D$204,3,FALSE)),"")</f>
      </c>
      <c r="H481" s="17">
        <f>IFERROR(IF(OR($D481="",$F481=""),0,$F481*VLOOKUP($D481,'Malzeme Kartları'!$B$5:$G$204,6,FALSE)),0)</f>
      </c>
    </row>
    <row r="482" spans="2:8" x14ac:dyDescent="0.25">
      <c r="B482" s="12"/>
      <c r="C482" s="15">
        <f>IFERROR(IF($B482="","",VLOOKUP($B482,'Menü Kartları'!$B$5:$C$154,2,FALSE)),"")</f>
      </c>
      <c r="D482" s="12"/>
      <c r="E482" s="15">
        <f>IFERROR(IF($D482="","",VLOOKUP($D482,'Malzeme Kartları'!$B$5:$C$204,2,FALSE)),"— tanımsız —")</f>
      </c>
      <c r="F482" s="18"/>
      <c r="G482" s="15">
        <f>IFERROR(IF($D482="","",VLOOKUP($D482,'Malzeme Kartları'!$B$5:$D$204,3,FALSE)),"")</f>
      </c>
      <c r="H482" s="17">
        <f>IFERROR(IF(OR($D482="",$F482=""),0,$F482*VLOOKUP($D482,'Malzeme Kartları'!$B$5:$G$204,6,FALSE)),0)</f>
      </c>
    </row>
    <row r="483" spans="2:8" x14ac:dyDescent="0.25">
      <c r="B483" s="8"/>
      <c r="C483" s="15">
        <f>IFERROR(IF($B483="","",VLOOKUP($B483,'Menü Kartları'!$B$5:$C$154,2,FALSE)),"")</f>
      </c>
      <c r="D483" s="8"/>
      <c r="E483" s="15">
        <f>IFERROR(IF($D483="","",VLOOKUP($D483,'Malzeme Kartları'!$B$5:$C$204,2,FALSE)),"— tanımsız —")</f>
      </c>
      <c r="F483" s="16"/>
      <c r="G483" s="15">
        <f>IFERROR(IF($D483="","",VLOOKUP($D483,'Malzeme Kartları'!$B$5:$D$204,3,FALSE)),"")</f>
      </c>
      <c r="H483" s="17">
        <f>IFERROR(IF(OR($D483="",$F483=""),0,$F483*VLOOKUP($D483,'Malzeme Kartları'!$B$5:$G$204,6,FALSE)),0)</f>
      </c>
    </row>
    <row r="484" spans="2:8" x14ac:dyDescent="0.25">
      <c r="B484" s="12"/>
      <c r="C484" s="15">
        <f>IFERROR(IF($B484="","",VLOOKUP($B484,'Menü Kartları'!$B$5:$C$154,2,FALSE)),"")</f>
      </c>
      <c r="D484" s="12"/>
      <c r="E484" s="15">
        <f>IFERROR(IF($D484="","",VLOOKUP($D484,'Malzeme Kartları'!$B$5:$C$204,2,FALSE)),"— tanımsız —")</f>
      </c>
      <c r="F484" s="18"/>
      <c r="G484" s="15">
        <f>IFERROR(IF($D484="","",VLOOKUP($D484,'Malzeme Kartları'!$B$5:$D$204,3,FALSE)),"")</f>
      </c>
      <c r="H484" s="17">
        <f>IFERROR(IF(OR($D484="",$F484=""),0,$F484*VLOOKUP($D484,'Malzeme Kartları'!$B$5:$G$204,6,FALSE)),0)</f>
      </c>
    </row>
    <row r="485" spans="2:8" x14ac:dyDescent="0.25">
      <c r="B485" s="8"/>
      <c r="C485" s="15">
        <f>IFERROR(IF($B485="","",VLOOKUP($B485,'Menü Kartları'!$B$5:$C$154,2,FALSE)),"")</f>
      </c>
      <c r="D485" s="8"/>
      <c r="E485" s="15">
        <f>IFERROR(IF($D485="","",VLOOKUP($D485,'Malzeme Kartları'!$B$5:$C$204,2,FALSE)),"— tanımsız —")</f>
      </c>
      <c r="F485" s="16"/>
      <c r="G485" s="15">
        <f>IFERROR(IF($D485="","",VLOOKUP($D485,'Malzeme Kartları'!$B$5:$D$204,3,FALSE)),"")</f>
      </c>
      <c r="H485" s="17">
        <f>IFERROR(IF(OR($D485="",$F485=""),0,$F485*VLOOKUP($D485,'Malzeme Kartları'!$B$5:$G$204,6,FALSE)),0)</f>
      </c>
    </row>
    <row r="486" spans="2:8" x14ac:dyDescent="0.25">
      <c r="B486" s="12"/>
      <c r="C486" s="15">
        <f>IFERROR(IF($B486="","",VLOOKUP($B486,'Menü Kartları'!$B$5:$C$154,2,FALSE)),"")</f>
      </c>
      <c r="D486" s="12"/>
      <c r="E486" s="15">
        <f>IFERROR(IF($D486="","",VLOOKUP($D486,'Malzeme Kartları'!$B$5:$C$204,2,FALSE)),"— tanımsız —")</f>
      </c>
      <c r="F486" s="18"/>
      <c r="G486" s="15">
        <f>IFERROR(IF($D486="","",VLOOKUP($D486,'Malzeme Kartları'!$B$5:$D$204,3,FALSE)),"")</f>
      </c>
      <c r="H486" s="17">
        <f>IFERROR(IF(OR($D486="",$F486=""),0,$F486*VLOOKUP($D486,'Malzeme Kartları'!$B$5:$G$204,6,FALSE)),0)</f>
      </c>
    </row>
    <row r="487" spans="2:8" x14ac:dyDescent="0.25">
      <c r="B487" s="8"/>
      <c r="C487" s="15">
        <f>IFERROR(IF($B487="","",VLOOKUP($B487,'Menü Kartları'!$B$5:$C$154,2,FALSE)),"")</f>
      </c>
      <c r="D487" s="8"/>
      <c r="E487" s="15">
        <f>IFERROR(IF($D487="","",VLOOKUP($D487,'Malzeme Kartları'!$B$5:$C$204,2,FALSE)),"— tanımsız —")</f>
      </c>
      <c r="F487" s="16"/>
      <c r="G487" s="15">
        <f>IFERROR(IF($D487="","",VLOOKUP($D487,'Malzeme Kartları'!$B$5:$D$204,3,FALSE)),"")</f>
      </c>
      <c r="H487" s="17">
        <f>IFERROR(IF(OR($D487="",$F487=""),0,$F487*VLOOKUP($D487,'Malzeme Kartları'!$B$5:$G$204,6,FALSE)),0)</f>
      </c>
    </row>
    <row r="488" spans="2:8" x14ac:dyDescent="0.25">
      <c r="B488" s="12"/>
      <c r="C488" s="15">
        <f>IFERROR(IF($B488="","",VLOOKUP($B488,'Menü Kartları'!$B$5:$C$154,2,FALSE)),"")</f>
      </c>
      <c r="D488" s="12"/>
      <c r="E488" s="15">
        <f>IFERROR(IF($D488="","",VLOOKUP($D488,'Malzeme Kartları'!$B$5:$C$204,2,FALSE)),"— tanımsız —")</f>
      </c>
      <c r="F488" s="18"/>
      <c r="G488" s="15">
        <f>IFERROR(IF($D488="","",VLOOKUP($D488,'Malzeme Kartları'!$B$5:$D$204,3,FALSE)),"")</f>
      </c>
      <c r="H488" s="17">
        <f>IFERROR(IF(OR($D488="",$F488=""),0,$F488*VLOOKUP($D488,'Malzeme Kartları'!$B$5:$G$204,6,FALSE)),0)</f>
      </c>
    </row>
    <row r="489" spans="2:8" x14ac:dyDescent="0.25">
      <c r="B489" s="8"/>
      <c r="C489" s="15">
        <f>IFERROR(IF($B489="","",VLOOKUP($B489,'Menü Kartları'!$B$5:$C$154,2,FALSE)),"")</f>
      </c>
      <c r="D489" s="8"/>
      <c r="E489" s="15">
        <f>IFERROR(IF($D489="","",VLOOKUP($D489,'Malzeme Kartları'!$B$5:$C$204,2,FALSE)),"— tanımsız —")</f>
      </c>
      <c r="F489" s="16"/>
      <c r="G489" s="15">
        <f>IFERROR(IF($D489="","",VLOOKUP($D489,'Malzeme Kartları'!$B$5:$D$204,3,FALSE)),"")</f>
      </c>
      <c r="H489" s="17">
        <f>IFERROR(IF(OR($D489="",$F489=""),0,$F489*VLOOKUP($D489,'Malzeme Kartları'!$B$5:$G$204,6,FALSE)),0)</f>
      </c>
    </row>
    <row r="490" spans="2:8" x14ac:dyDescent="0.25">
      <c r="B490" s="12"/>
      <c r="C490" s="15">
        <f>IFERROR(IF($B490="","",VLOOKUP($B490,'Menü Kartları'!$B$5:$C$154,2,FALSE)),"")</f>
      </c>
      <c r="D490" s="12"/>
      <c r="E490" s="15">
        <f>IFERROR(IF($D490="","",VLOOKUP($D490,'Malzeme Kartları'!$B$5:$C$204,2,FALSE)),"— tanımsız —")</f>
      </c>
      <c r="F490" s="18"/>
      <c r="G490" s="15">
        <f>IFERROR(IF($D490="","",VLOOKUP($D490,'Malzeme Kartları'!$B$5:$D$204,3,FALSE)),"")</f>
      </c>
      <c r="H490" s="17">
        <f>IFERROR(IF(OR($D490="",$F490=""),0,$F490*VLOOKUP($D490,'Malzeme Kartları'!$B$5:$G$204,6,FALSE)),0)</f>
      </c>
    </row>
    <row r="491" spans="2:8" x14ac:dyDescent="0.25">
      <c r="B491" s="8"/>
      <c r="C491" s="15">
        <f>IFERROR(IF($B491="","",VLOOKUP($B491,'Menü Kartları'!$B$5:$C$154,2,FALSE)),"")</f>
      </c>
      <c r="D491" s="8"/>
      <c r="E491" s="15">
        <f>IFERROR(IF($D491="","",VLOOKUP($D491,'Malzeme Kartları'!$B$5:$C$204,2,FALSE)),"— tanımsız —")</f>
      </c>
      <c r="F491" s="16"/>
      <c r="G491" s="15">
        <f>IFERROR(IF($D491="","",VLOOKUP($D491,'Malzeme Kartları'!$B$5:$D$204,3,FALSE)),"")</f>
      </c>
      <c r="H491" s="17">
        <f>IFERROR(IF(OR($D491="",$F491=""),0,$F491*VLOOKUP($D491,'Malzeme Kartları'!$B$5:$G$204,6,FALSE)),0)</f>
      </c>
    </row>
    <row r="492" spans="2:8" x14ac:dyDescent="0.25">
      <c r="B492" s="12"/>
      <c r="C492" s="15">
        <f>IFERROR(IF($B492="","",VLOOKUP($B492,'Menü Kartları'!$B$5:$C$154,2,FALSE)),"")</f>
      </c>
      <c r="D492" s="12"/>
      <c r="E492" s="15">
        <f>IFERROR(IF($D492="","",VLOOKUP($D492,'Malzeme Kartları'!$B$5:$C$204,2,FALSE)),"— tanımsız —")</f>
      </c>
      <c r="F492" s="18"/>
      <c r="G492" s="15">
        <f>IFERROR(IF($D492="","",VLOOKUP($D492,'Malzeme Kartları'!$B$5:$D$204,3,FALSE)),"")</f>
      </c>
      <c r="H492" s="17">
        <f>IFERROR(IF(OR($D492="",$F492=""),0,$F492*VLOOKUP($D492,'Malzeme Kartları'!$B$5:$G$204,6,FALSE)),0)</f>
      </c>
    </row>
    <row r="493" spans="2:8" x14ac:dyDescent="0.25">
      <c r="B493" s="8"/>
      <c r="C493" s="15">
        <f>IFERROR(IF($B493="","",VLOOKUP($B493,'Menü Kartları'!$B$5:$C$154,2,FALSE)),"")</f>
      </c>
      <c r="D493" s="8"/>
      <c r="E493" s="15">
        <f>IFERROR(IF($D493="","",VLOOKUP($D493,'Malzeme Kartları'!$B$5:$C$204,2,FALSE)),"— tanımsız —")</f>
      </c>
      <c r="F493" s="16"/>
      <c r="G493" s="15">
        <f>IFERROR(IF($D493="","",VLOOKUP($D493,'Malzeme Kartları'!$B$5:$D$204,3,FALSE)),"")</f>
      </c>
      <c r="H493" s="17">
        <f>IFERROR(IF(OR($D493="",$F493=""),0,$F493*VLOOKUP($D493,'Malzeme Kartları'!$B$5:$G$204,6,FALSE)),0)</f>
      </c>
    </row>
    <row r="494" spans="2:8" x14ac:dyDescent="0.25">
      <c r="B494" s="12"/>
      <c r="C494" s="15">
        <f>IFERROR(IF($B494="","",VLOOKUP($B494,'Menü Kartları'!$B$5:$C$154,2,FALSE)),"")</f>
      </c>
      <c r="D494" s="12"/>
      <c r="E494" s="15">
        <f>IFERROR(IF($D494="","",VLOOKUP($D494,'Malzeme Kartları'!$B$5:$C$204,2,FALSE)),"— tanımsız —")</f>
      </c>
      <c r="F494" s="18"/>
      <c r="G494" s="15">
        <f>IFERROR(IF($D494="","",VLOOKUP($D494,'Malzeme Kartları'!$B$5:$D$204,3,FALSE)),"")</f>
      </c>
      <c r="H494" s="17">
        <f>IFERROR(IF(OR($D494="",$F494=""),0,$F494*VLOOKUP($D494,'Malzeme Kartları'!$B$5:$G$204,6,FALSE)),0)</f>
      </c>
    </row>
    <row r="495" spans="2:8" x14ac:dyDescent="0.25">
      <c r="B495" s="8"/>
      <c r="C495" s="15">
        <f>IFERROR(IF($B495="","",VLOOKUP($B495,'Menü Kartları'!$B$5:$C$154,2,FALSE)),"")</f>
      </c>
      <c r="D495" s="8"/>
      <c r="E495" s="15">
        <f>IFERROR(IF($D495="","",VLOOKUP($D495,'Malzeme Kartları'!$B$5:$C$204,2,FALSE)),"— tanımsız —")</f>
      </c>
      <c r="F495" s="16"/>
      <c r="G495" s="15">
        <f>IFERROR(IF($D495="","",VLOOKUP($D495,'Malzeme Kartları'!$B$5:$D$204,3,FALSE)),"")</f>
      </c>
      <c r="H495" s="17">
        <f>IFERROR(IF(OR($D495="",$F495=""),0,$F495*VLOOKUP($D495,'Malzeme Kartları'!$B$5:$G$204,6,FALSE)),0)</f>
      </c>
    </row>
    <row r="496" spans="2:8" x14ac:dyDescent="0.25">
      <c r="B496" s="12"/>
      <c r="C496" s="15">
        <f>IFERROR(IF($B496="","",VLOOKUP($B496,'Menü Kartları'!$B$5:$C$154,2,FALSE)),"")</f>
      </c>
      <c r="D496" s="12"/>
      <c r="E496" s="15">
        <f>IFERROR(IF($D496="","",VLOOKUP($D496,'Malzeme Kartları'!$B$5:$C$204,2,FALSE)),"— tanımsız —")</f>
      </c>
      <c r="F496" s="18"/>
      <c r="G496" s="15">
        <f>IFERROR(IF($D496="","",VLOOKUP($D496,'Malzeme Kartları'!$B$5:$D$204,3,FALSE)),"")</f>
      </c>
      <c r="H496" s="17">
        <f>IFERROR(IF(OR($D496="",$F496=""),0,$F496*VLOOKUP($D496,'Malzeme Kartları'!$B$5:$G$204,6,FALSE)),0)</f>
      </c>
    </row>
    <row r="497" spans="2:8" x14ac:dyDescent="0.25">
      <c r="B497" s="8"/>
      <c r="C497" s="15">
        <f>IFERROR(IF($B497="","",VLOOKUP($B497,'Menü Kartları'!$B$5:$C$154,2,FALSE)),"")</f>
      </c>
      <c r="D497" s="8"/>
      <c r="E497" s="15">
        <f>IFERROR(IF($D497="","",VLOOKUP($D497,'Malzeme Kartları'!$B$5:$C$204,2,FALSE)),"— tanımsız —")</f>
      </c>
      <c r="F497" s="16"/>
      <c r="G497" s="15">
        <f>IFERROR(IF($D497="","",VLOOKUP($D497,'Malzeme Kartları'!$B$5:$D$204,3,FALSE)),"")</f>
      </c>
      <c r="H497" s="17">
        <f>IFERROR(IF(OR($D497="",$F497=""),0,$F497*VLOOKUP($D497,'Malzeme Kartları'!$B$5:$G$204,6,FALSE)),0)</f>
      </c>
    </row>
    <row r="498" spans="2:8" x14ac:dyDescent="0.25">
      <c r="B498" s="12"/>
      <c r="C498" s="15">
        <f>IFERROR(IF($B498="","",VLOOKUP($B498,'Menü Kartları'!$B$5:$C$154,2,FALSE)),"")</f>
      </c>
      <c r="D498" s="12"/>
      <c r="E498" s="15">
        <f>IFERROR(IF($D498="","",VLOOKUP($D498,'Malzeme Kartları'!$B$5:$C$204,2,FALSE)),"— tanımsız —")</f>
      </c>
      <c r="F498" s="18"/>
      <c r="G498" s="15">
        <f>IFERROR(IF($D498="","",VLOOKUP($D498,'Malzeme Kartları'!$B$5:$D$204,3,FALSE)),"")</f>
      </c>
      <c r="H498" s="17">
        <f>IFERROR(IF(OR($D498="",$F498=""),0,$F498*VLOOKUP($D498,'Malzeme Kartları'!$B$5:$G$204,6,FALSE)),0)</f>
      </c>
    </row>
    <row r="499" spans="2:8" x14ac:dyDescent="0.25">
      <c r="B499" s="8"/>
      <c r="C499" s="15">
        <f>IFERROR(IF($B499="","",VLOOKUP($B499,'Menü Kartları'!$B$5:$C$154,2,FALSE)),"")</f>
      </c>
      <c r="D499" s="8"/>
      <c r="E499" s="15">
        <f>IFERROR(IF($D499="","",VLOOKUP($D499,'Malzeme Kartları'!$B$5:$C$204,2,FALSE)),"— tanımsız —")</f>
      </c>
      <c r="F499" s="16"/>
      <c r="G499" s="15">
        <f>IFERROR(IF($D499="","",VLOOKUP($D499,'Malzeme Kartları'!$B$5:$D$204,3,FALSE)),"")</f>
      </c>
      <c r="H499" s="17">
        <f>IFERROR(IF(OR($D499="",$F499=""),0,$F499*VLOOKUP($D499,'Malzeme Kartları'!$B$5:$G$204,6,FALSE)),0)</f>
      </c>
    </row>
    <row r="500" spans="2:8" x14ac:dyDescent="0.25">
      <c r="B500" s="12"/>
      <c r="C500" s="15">
        <f>IFERROR(IF($B500="","",VLOOKUP($B500,'Menü Kartları'!$B$5:$C$154,2,FALSE)),"")</f>
      </c>
      <c r="D500" s="12"/>
      <c r="E500" s="15">
        <f>IFERROR(IF($D500="","",VLOOKUP($D500,'Malzeme Kartları'!$B$5:$C$204,2,FALSE)),"— tanımsız —")</f>
      </c>
      <c r="F500" s="18"/>
      <c r="G500" s="15">
        <f>IFERROR(IF($D500="","",VLOOKUP($D500,'Malzeme Kartları'!$B$5:$D$204,3,FALSE)),"")</f>
      </c>
      <c r="H500" s="17">
        <f>IFERROR(IF(OR($D500="",$F500=""),0,$F500*VLOOKUP($D500,'Malzeme Kartları'!$B$5:$G$204,6,FALSE)),0)</f>
      </c>
    </row>
    <row r="501" spans="2:8" x14ac:dyDescent="0.25">
      <c r="B501" s="8"/>
      <c r="C501" s="15">
        <f>IFERROR(IF($B501="","",VLOOKUP($B501,'Menü Kartları'!$B$5:$C$154,2,FALSE)),"")</f>
      </c>
      <c r="D501" s="8"/>
      <c r="E501" s="15">
        <f>IFERROR(IF($D501="","",VLOOKUP($D501,'Malzeme Kartları'!$B$5:$C$204,2,FALSE)),"— tanımsız —")</f>
      </c>
      <c r="F501" s="16"/>
      <c r="G501" s="15">
        <f>IFERROR(IF($D501="","",VLOOKUP($D501,'Malzeme Kartları'!$B$5:$D$204,3,FALSE)),"")</f>
      </c>
      <c r="H501" s="17">
        <f>IFERROR(IF(OR($D501="",$F501=""),0,$F501*VLOOKUP($D501,'Malzeme Kartları'!$B$5:$G$204,6,FALSE)),0)</f>
      </c>
    </row>
    <row r="502" spans="2:8" x14ac:dyDescent="0.25">
      <c r="B502" s="12"/>
      <c r="C502" s="15">
        <f>IFERROR(IF($B502="","",VLOOKUP($B502,'Menü Kartları'!$B$5:$C$154,2,FALSE)),"")</f>
      </c>
      <c r="D502" s="12"/>
      <c r="E502" s="15">
        <f>IFERROR(IF($D502="","",VLOOKUP($D502,'Malzeme Kartları'!$B$5:$C$204,2,FALSE)),"— tanımsız —")</f>
      </c>
      <c r="F502" s="18"/>
      <c r="G502" s="15">
        <f>IFERROR(IF($D502="","",VLOOKUP($D502,'Malzeme Kartları'!$B$5:$D$204,3,FALSE)),"")</f>
      </c>
      <c r="H502" s="17">
        <f>IFERROR(IF(OR($D502="",$F502=""),0,$F502*VLOOKUP($D502,'Malzeme Kartları'!$B$5:$G$204,6,FALSE)),0)</f>
      </c>
    </row>
    <row r="503" spans="2:8" x14ac:dyDescent="0.25">
      <c r="B503" s="8"/>
      <c r="C503" s="15">
        <f>IFERROR(IF($B503="","",VLOOKUP($B503,'Menü Kartları'!$B$5:$C$154,2,FALSE)),"")</f>
      </c>
      <c r="D503" s="8"/>
      <c r="E503" s="15">
        <f>IFERROR(IF($D503="","",VLOOKUP($D503,'Malzeme Kartları'!$B$5:$C$204,2,FALSE)),"— tanımsız —")</f>
      </c>
      <c r="F503" s="16"/>
      <c r="G503" s="15">
        <f>IFERROR(IF($D503="","",VLOOKUP($D503,'Malzeme Kartları'!$B$5:$D$204,3,FALSE)),"")</f>
      </c>
      <c r="H503" s="17">
        <f>IFERROR(IF(OR($D503="",$F503=""),0,$F503*VLOOKUP($D503,'Malzeme Kartları'!$B$5:$G$204,6,FALSE)),0)</f>
      </c>
    </row>
    <row r="504" spans="2:8" x14ac:dyDescent="0.25">
      <c r="B504" s="12"/>
      <c r="C504" s="15">
        <f>IFERROR(IF($B504="","",VLOOKUP($B504,'Menü Kartları'!$B$5:$C$154,2,FALSE)),"")</f>
      </c>
      <c r="D504" s="12"/>
      <c r="E504" s="15">
        <f>IFERROR(IF($D504="","",VLOOKUP($D504,'Malzeme Kartları'!$B$5:$C$204,2,FALSE)),"— tanımsız —")</f>
      </c>
      <c r="F504" s="18"/>
      <c r="G504" s="15">
        <f>IFERROR(IF($D504="","",VLOOKUP($D504,'Malzeme Kartları'!$B$5:$D$204,3,FALSE)),"")</f>
      </c>
      <c r="H504" s="17">
        <f>IFERROR(IF(OR($D504="",$F504=""),0,$F504*VLOOKUP($D504,'Malzeme Kartları'!$B$5:$G$204,6,FALSE)),0)</f>
      </c>
    </row>
    <row r="505" spans="2:8" x14ac:dyDescent="0.25">
      <c r="B505" s="8"/>
      <c r="C505" s="15">
        <f>IFERROR(IF($B505="","",VLOOKUP($B505,'Menü Kartları'!$B$5:$C$154,2,FALSE)),"")</f>
      </c>
      <c r="D505" s="8"/>
      <c r="E505" s="15">
        <f>IFERROR(IF($D505="","",VLOOKUP($D505,'Malzeme Kartları'!$B$5:$C$204,2,FALSE)),"— tanımsız —")</f>
      </c>
      <c r="F505" s="16"/>
      <c r="G505" s="15">
        <f>IFERROR(IF($D505="","",VLOOKUP($D505,'Malzeme Kartları'!$B$5:$D$204,3,FALSE)),"")</f>
      </c>
      <c r="H505" s="17">
        <f>IFERROR(IF(OR($D505="",$F505=""),0,$F505*VLOOKUP($D505,'Malzeme Kartları'!$B$5:$G$204,6,FALSE)),0)</f>
      </c>
    </row>
    <row r="506" spans="2:8" x14ac:dyDescent="0.25">
      <c r="B506" s="12"/>
      <c r="C506" s="15">
        <f>IFERROR(IF($B506="","",VLOOKUP($B506,'Menü Kartları'!$B$5:$C$154,2,FALSE)),"")</f>
      </c>
      <c r="D506" s="12"/>
      <c r="E506" s="15">
        <f>IFERROR(IF($D506="","",VLOOKUP($D506,'Malzeme Kartları'!$B$5:$C$204,2,FALSE)),"— tanımsız —")</f>
      </c>
      <c r="F506" s="18"/>
      <c r="G506" s="15">
        <f>IFERROR(IF($D506="","",VLOOKUP($D506,'Malzeme Kartları'!$B$5:$D$204,3,FALSE)),"")</f>
      </c>
      <c r="H506" s="17">
        <f>IFERROR(IF(OR($D506="",$F506=""),0,$F506*VLOOKUP($D506,'Malzeme Kartları'!$B$5:$G$204,6,FALSE)),0)</f>
      </c>
    </row>
    <row r="507" spans="2:8" x14ac:dyDescent="0.25">
      <c r="B507" s="8"/>
      <c r="C507" s="15">
        <f>IFERROR(IF($B507="","",VLOOKUP($B507,'Menü Kartları'!$B$5:$C$154,2,FALSE)),"")</f>
      </c>
      <c r="D507" s="8"/>
      <c r="E507" s="15">
        <f>IFERROR(IF($D507="","",VLOOKUP($D507,'Malzeme Kartları'!$B$5:$C$204,2,FALSE)),"— tanımsız —")</f>
      </c>
      <c r="F507" s="16"/>
      <c r="G507" s="15">
        <f>IFERROR(IF($D507="","",VLOOKUP($D507,'Malzeme Kartları'!$B$5:$D$204,3,FALSE)),"")</f>
      </c>
      <c r="H507" s="17">
        <f>IFERROR(IF(OR($D507="",$F507=""),0,$F507*VLOOKUP($D507,'Malzeme Kartları'!$B$5:$G$204,6,FALSE)),0)</f>
      </c>
    </row>
    <row r="508" spans="2:8" x14ac:dyDescent="0.25">
      <c r="B508" s="12"/>
      <c r="C508" s="15">
        <f>IFERROR(IF($B508="","",VLOOKUP($B508,'Menü Kartları'!$B$5:$C$154,2,FALSE)),"")</f>
      </c>
      <c r="D508" s="12"/>
      <c r="E508" s="15">
        <f>IFERROR(IF($D508="","",VLOOKUP($D508,'Malzeme Kartları'!$B$5:$C$204,2,FALSE)),"— tanımsız —")</f>
      </c>
      <c r="F508" s="18"/>
      <c r="G508" s="15">
        <f>IFERROR(IF($D508="","",VLOOKUP($D508,'Malzeme Kartları'!$B$5:$D$204,3,FALSE)),"")</f>
      </c>
      <c r="H508" s="17">
        <f>IFERROR(IF(OR($D508="",$F508=""),0,$F508*VLOOKUP($D508,'Malzeme Kartları'!$B$5:$G$204,6,FALSE)),0)</f>
      </c>
    </row>
    <row r="509" spans="2:8" x14ac:dyDescent="0.25">
      <c r="B509" s="8"/>
      <c r="C509" s="15">
        <f>IFERROR(IF($B509="","",VLOOKUP($B509,'Menü Kartları'!$B$5:$C$154,2,FALSE)),"")</f>
      </c>
      <c r="D509" s="8"/>
      <c r="E509" s="15">
        <f>IFERROR(IF($D509="","",VLOOKUP($D509,'Malzeme Kartları'!$B$5:$C$204,2,FALSE)),"— tanımsız —")</f>
      </c>
      <c r="F509" s="16"/>
      <c r="G509" s="15">
        <f>IFERROR(IF($D509="","",VLOOKUP($D509,'Malzeme Kartları'!$B$5:$D$204,3,FALSE)),"")</f>
      </c>
      <c r="H509" s="17">
        <f>IFERROR(IF(OR($D509="",$F509=""),0,$F509*VLOOKUP($D509,'Malzeme Kartları'!$B$5:$G$204,6,FALSE)),0)</f>
      </c>
    </row>
    <row r="510" spans="2:8" x14ac:dyDescent="0.25">
      <c r="B510" s="12"/>
      <c r="C510" s="15">
        <f>IFERROR(IF($B510="","",VLOOKUP($B510,'Menü Kartları'!$B$5:$C$154,2,FALSE)),"")</f>
      </c>
      <c r="D510" s="12"/>
      <c r="E510" s="15">
        <f>IFERROR(IF($D510="","",VLOOKUP($D510,'Malzeme Kartları'!$B$5:$C$204,2,FALSE)),"— tanımsız —")</f>
      </c>
      <c r="F510" s="18"/>
      <c r="G510" s="15">
        <f>IFERROR(IF($D510="","",VLOOKUP($D510,'Malzeme Kartları'!$B$5:$D$204,3,FALSE)),"")</f>
      </c>
      <c r="H510" s="17">
        <f>IFERROR(IF(OR($D510="",$F510=""),0,$F510*VLOOKUP($D510,'Malzeme Kartları'!$B$5:$G$204,6,FALSE)),0)</f>
      </c>
    </row>
    <row r="511" spans="2:8" x14ac:dyDescent="0.25">
      <c r="B511" s="8"/>
      <c r="C511" s="15">
        <f>IFERROR(IF($B511="","",VLOOKUP($B511,'Menü Kartları'!$B$5:$C$154,2,FALSE)),"")</f>
      </c>
      <c r="D511" s="8"/>
      <c r="E511" s="15">
        <f>IFERROR(IF($D511="","",VLOOKUP($D511,'Malzeme Kartları'!$B$5:$C$204,2,FALSE)),"— tanımsız —")</f>
      </c>
      <c r="F511" s="16"/>
      <c r="G511" s="15">
        <f>IFERROR(IF($D511="","",VLOOKUP($D511,'Malzeme Kartları'!$B$5:$D$204,3,FALSE)),"")</f>
      </c>
      <c r="H511" s="17">
        <f>IFERROR(IF(OR($D511="",$F511=""),0,$F511*VLOOKUP($D511,'Malzeme Kartları'!$B$5:$G$204,6,FALSE)),0)</f>
      </c>
    </row>
    <row r="512" spans="2:8" x14ac:dyDescent="0.25">
      <c r="B512" s="12"/>
      <c r="C512" s="15">
        <f>IFERROR(IF($B512="","",VLOOKUP($B512,'Menü Kartları'!$B$5:$C$154,2,FALSE)),"")</f>
      </c>
      <c r="D512" s="12"/>
      <c r="E512" s="15">
        <f>IFERROR(IF($D512="","",VLOOKUP($D512,'Malzeme Kartları'!$B$5:$C$204,2,FALSE)),"— tanımsız —")</f>
      </c>
      <c r="F512" s="18"/>
      <c r="G512" s="15">
        <f>IFERROR(IF($D512="","",VLOOKUP($D512,'Malzeme Kartları'!$B$5:$D$204,3,FALSE)),"")</f>
      </c>
      <c r="H512" s="17">
        <f>IFERROR(IF(OR($D512="",$F512=""),0,$F512*VLOOKUP($D512,'Malzeme Kartları'!$B$5:$G$204,6,FALSE)),0)</f>
      </c>
    </row>
    <row r="513" spans="2:8" x14ac:dyDescent="0.25">
      <c r="B513" s="8"/>
      <c r="C513" s="15">
        <f>IFERROR(IF($B513="","",VLOOKUP($B513,'Menü Kartları'!$B$5:$C$154,2,FALSE)),"")</f>
      </c>
      <c r="D513" s="8"/>
      <c r="E513" s="15">
        <f>IFERROR(IF($D513="","",VLOOKUP($D513,'Malzeme Kartları'!$B$5:$C$204,2,FALSE)),"— tanımsız —")</f>
      </c>
      <c r="F513" s="16"/>
      <c r="G513" s="15">
        <f>IFERROR(IF($D513="","",VLOOKUP($D513,'Malzeme Kartları'!$B$5:$D$204,3,FALSE)),"")</f>
      </c>
      <c r="H513" s="17">
        <f>IFERROR(IF(OR($D513="",$F513=""),0,$F513*VLOOKUP($D513,'Malzeme Kartları'!$B$5:$G$204,6,FALSE)),0)</f>
      </c>
    </row>
    <row r="514" spans="2:8" x14ac:dyDescent="0.25">
      <c r="B514" s="12"/>
      <c r="C514" s="15">
        <f>IFERROR(IF($B514="","",VLOOKUP($B514,'Menü Kartları'!$B$5:$C$154,2,FALSE)),"")</f>
      </c>
      <c r="D514" s="12"/>
      <c r="E514" s="15">
        <f>IFERROR(IF($D514="","",VLOOKUP($D514,'Malzeme Kartları'!$B$5:$C$204,2,FALSE)),"— tanımsız —")</f>
      </c>
      <c r="F514" s="18"/>
      <c r="G514" s="15">
        <f>IFERROR(IF($D514="","",VLOOKUP($D514,'Malzeme Kartları'!$B$5:$D$204,3,FALSE)),"")</f>
      </c>
      <c r="H514" s="17">
        <f>IFERROR(IF(OR($D514="",$F514=""),0,$F514*VLOOKUP($D514,'Malzeme Kartları'!$B$5:$G$204,6,FALSE)),0)</f>
      </c>
    </row>
    <row r="515" spans="2:8" x14ac:dyDescent="0.25">
      <c r="B515" s="8"/>
      <c r="C515" s="15">
        <f>IFERROR(IF($B515="","",VLOOKUP($B515,'Menü Kartları'!$B$5:$C$154,2,FALSE)),"")</f>
      </c>
      <c r="D515" s="8"/>
      <c r="E515" s="15">
        <f>IFERROR(IF($D515="","",VLOOKUP($D515,'Malzeme Kartları'!$B$5:$C$204,2,FALSE)),"— tanımsız —")</f>
      </c>
      <c r="F515" s="16"/>
      <c r="G515" s="15">
        <f>IFERROR(IF($D515="","",VLOOKUP($D515,'Malzeme Kartları'!$B$5:$D$204,3,FALSE)),"")</f>
      </c>
      <c r="H515" s="17">
        <f>IFERROR(IF(OR($D515="",$F515=""),0,$F515*VLOOKUP($D515,'Malzeme Kartları'!$B$5:$G$204,6,FALSE)),0)</f>
      </c>
    </row>
    <row r="516" spans="2:8" x14ac:dyDescent="0.25">
      <c r="B516" s="12"/>
      <c r="C516" s="15">
        <f>IFERROR(IF($B516="","",VLOOKUP($B516,'Menü Kartları'!$B$5:$C$154,2,FALSE)),"")</f>
      </c>
      <c r="D516" s="12"/>
      <c r="E516" s="15">
        <f>IFERROR(IF($D516="","",VLOOKUP($D516,'Malzeme Kartları'!$B$5:$C$204,2,FALSE)),"— tanımsız —")</f>
      </c>
      <c r="F516" s="18"/>
      <c r="G516" s="15">
        <f>IFERROR(IF($D516="","",VLOOKUP($D516,'Malzeme Kartları'!$B$5:$D$204,3,FALSE)),"")</f>
      </c>
      <c r="H516" s="17">
        <f>IFERROR(IF(OR($D516="",$F516=""),0,$F516*VLOOKUP($D516,'Malzeme Kartları'!$B$5:$G$204,6,FALSE)),0)</f>
      </c>
    </row>
    <row r="517" spans="2:8" x14ac:dyDescent="0.25">
      <c r="B517" s="8"/>
      <c r="C517" s="15">
        <f>IFERROR(IF($B517="","",VLOOKUP($B517,'Menü Kartları'!$B$5:$C$154,2,FALSE)),"")</f>
      </c>
      <c r="D517" s="8"/>
      <c r="E517" s="15">
        <f>IFERROR(IF($D517="","",VLOOKUP($D517,'Malzeme Kartları'!$B$5:$C$204,2,FALSE)),"— tanımsız —")</f>
      </c>
      <c r="F517" s="16"/>
      <c r="G517" s="15">
        <f>IFERROR(IF($D517="","",VLOOKUP($D517,'Malzeme Kartları'!$B$5:$D$204,3,FALSE)),"")</f>
      </c>
      <c r="H517" s="17">
        <f>IFERROR(IF(OR($D517="",$F517=""),0,$F517*VLOOKUP($D517,'Malzeme Kartları'!$B$5:$G$204,6,FALSE)),0)</f>
      </c>
    </row>
    <row r="518" spans="2:8" x14ac:dyDescent="0.25">
      <c r="B518" s="12"/>
      <c r="C518" s="15">
        <f>IFERROR(IF($B518="","",VLOOKUP($B518,'Menü Kartları'!$B$5:$C$154,2,FALSE)),"")</f>
      </c>
      <c r="D518" s="12"/>
      <c r="E518" s="15">
        <f>IFERROR(IF($D518="","",VLOOKUP($D518,'Malzeme Kartları'!$B$5:$C$204,2,FALSE)),"— tanımsız —")</f>
      </c>
      <c r="F518" s="18"/>
      <c r="G518" s="15">
        <f>IFERROR(IF($D518="","",VLOOKUP($D518,'Malzeme Kartları'!$B$5:$D$204,3,FALSE)),"")</f>
      </c>
      <c r="H518" s="17">
        <f>IFERROR(IF(OR($D518="",$F518=""),0,$F518*VLOOKUP($D518,'Malzeme Kartları'!$B$5:$G$204,6,FALSE)),0)</f>
      </c>
    </row>
    <row r="519" spans="2:8" x14ac:dyDescent="0.25">
      <c r="B519" s="8"/>
      <c r="C519" s="15">
        <f>IFERROR(IF($B519="","",VLOOKUP($B519,'Menü Kartları'!$B$5:$C$154,2,FALSE)),"")</f>
      </c>
      <c r="D519" s="8"/>
      <c r="E519" s="15">
        <f>IFERROR(IF($D519="","",VLOOKUP($D519,'Malzeme Kartları'!$B$5:$C$204,2,FALSE)),"— tanımsız —")</f>
      </c>
      <c r="F519" s="16"/>
      <c r="G519" s="15">
        <f>IFERROR(IF($D519="","",VLOOKUP($D519,'Malzeme Kartları'!$B$5:$D$204,3,FALSE)),"")</f>
      </c>
      <c r="H519" s="17">
        <f>IFERROR(IF(OR($D519="",$F519=""),0,$F519*VLOOKUP($D519,'Malzeme Kartları'!$B$5:$G$204,6,FALSE)),0)</f>
      </c>
    </row>
    <row r="520" spans="2:8" x14ac:dyDescent="0.25">
      <c r="B520" s="12"/>
      <c r="C520" s="15">
        <f>IFERROR(IF($B520="","",VLOOKUP($B520,'Menü Kartları'!$B$5:$C$154,2,FALSE)),"")</f>
      </c>
      <c r="D520" s="12"/>
      <c r="E520" s="15">
        <f>IFERROR(IF($D520="","",VLOOKUP($D520,'Malzeme Kartları'!$B$5:$C$204,2,FALSE)),"— tanımsız —")</f>
      </c>
      <c r="F520" s="18"/>
      <c r="G520" s="15">
        <f>IFERROR(IF($D520="","",VLOOKUP($D520,'Malzeme Kartları'!$B$5:$D$204,3,FALSE)),"")</f>
      </c>
      <c r="H520" s="17">
        <f>IFERROR(IF(OR($D520="",$F520=""),0,$F520*VLOOKUP($D520,'Malzeme Kartları'!$B$5:$G$204,6,FALSE)),0)</f>
      </c>
    </row>
    <row r="521" spans="2:8" x14ac:dyDescent="0.25">
      <c r="B521" s="8"/>
      <c r="C521" s="15">
        <f>IFERROR(IF($B521="","",VLOOKUP($B521,'Menü Kartları'!$B$5:$C$154,2,FALSE)),"")</f>
      </c>
      <c r="D521" s="8"/>
      <c r="E521" s="15">
        <f>IFERROR(IF($D521="","",VLOOKUP($D521,'Malzeme Kartları'!$B$5:$C$204,2,FALSE)),"— tanımsız —")</f>
      </c>
      <c r="F521" s="16"/>
      <c r="G521" s="15">
        <f>IFERROR(IF($D521="","",VLOOKUP($D521,'Malzeme Kartları'!$B$5:$D$204,3,FALSE)),"")</f>
      </c>
      <c r="H521" s="17">
        <f>IFERROR(IF(OR($D521="",$F521=""),0,$F521*VLOOKUP($D521,'Malzeme Kartları'!$B$5:$G$204,6,FALSE)),0)</f>
      </c>
    </row>
    <row r="522" spans="2:8" x14ac:dyDescent="0.25">
      <c r="B522" s="12"/>
      <c r="C522" s="15">
        <f>IFERROR(IF($B522="","",VLOOKUP($B522,'Menü Kartları'!$B$5:$C$154,2,FALSE)),"")</f>
      </c>
      <c r="D522" s="12"/>
      <c r="E522" s="15">
        <f>IFERROR(IF($D522="","",VLOOKUP($D522,'Malzeme Kartları'!$B$5:$C$204,2,FALSE)),"— tanımsız —")</f>
      </c>
      <c r="F522" s="18"/>
      <c r="G522" s="15">
        <f>IFERROR(IF($D522="","",VLOOKUP($D522,'Malzeme Kartları'!$B$5:$D$204,3,FALSE)),"")</f>
      </c>
      <c r="H522" s="17">
        <f>IFERROR(IF(OR($D522="",$F522=""),0,$F522*VLOOKUP($D522,'Malzeme Kartları'!$B$5:$G$204,6,FALSE)),0)</f>
      </c>
    </row>
    <row r="523" spans="2:8" x14ac:dyDescent="0.25">
      <c r="B523" s="8"/>
      <c r="C523" s="15">
        <f>IFERROR(IF($B523="","",VLOOKUP($B523,'Menü Kartları'!$B$5:$C$154,2,FALSE)),"")</f>
      </c>
      <c r="D523" s="8"/>
      <c r="E523" s="15">
        <f>IFERROR(IF($D523="","",VLOOKUP($D523,'Malzeme Kartları'!$B$5:$C$204,2,FALSE)),"— tanımsız —")</f>
      </c>
      <c r="F523" s="16"/>
      <c r="G523" s="15">
        <f>IFERROR(IF($D523="","",VLOOKUP($D523,'Malzeme Kartları'!$B$5:$D$204,3,FALSE)),"")</f>
      </c>
      <c r="H523" s="17">
        <f>IFERROR(IF(OR($D523="",$F523=""),0,$F523*VLOOKUP($D523,'Malzeme Kartları'!$B$5:$G$204,6,FALSE)),0)</f>
      </c>
    </row>
    <row r="524" spans="2:8" x14ac:dyDescent="0.25">
      <c r="B524" s="12"/>
      <c r="C524" s="15">
        <f>IFERROR(IF($B524="","",VLOOKUP($B524,'Menü Kartları'!$B$5:$C$154,2,FALSE)),"")</f>
      </c>
      <c r="D524" s="12"/>
      <c r="E524" s="15">
        <f>IFERROR(IF($D524="","",VLOOKUP($D524,'Malzeme Kartları'!$B$5:$C$204,2,FALSE)),"— tanımsız —")</f>
      </c>
      <c r="F524" s="18"/>
      <c r="G524" s="15">
        <f>IFERROR(IF($D524="","",VLOOKUP($D524,'Malzeme Kartları'!$B$5:$D$204,3,FALSE)),"")</f>
      </c>
      <c r="H524" s="17">
        <f>IFERROR(IF(OR($D524="",$F524=""),0,$F524*VLOOKUP($D524,'Malzeme Kartları'!$B$5:$G$204,6,FALSE)),0)</f>
      </c>
    </row>
    <row r="525" spans="2:8" x14ac:dyDescent="0.25">
      <c r="B525" s="8"/>
      <c r="C525" s="15">
        <f>IFERROR(IF($B525="","",VLOOKUP($B525,'Menü Kartları'!$B$5:$C$154,2,FALSE)),"")</f>
      </c>
      <c r="D525" s="8"/>
      <c r="E525" s="15">
        <f>IFERROR(IF($D525="","",VLOOKUP($D525,'Malzeme Kartları'!$B$5:$C$204,2,FALSE)),"— tanımsız —")</f>
      </c>
      <c r="F525" s="16"/>
      <c r="G525" s="15">
        <f>IFERROR(IF($D525="","",VLOOKUP($D525,'Malzeme Kartları'!$B$5:$D$204,3,FALSE)),"")</f>
      </c>
      <c r="H525" s="17">
        <f>IFERROR(IF(OR($D525="",$F525=""),0,$F525*VLOOKUP($D525,'Malzeme Kartları'!$B$5:$G$204,6,FALSE)),0)</f>
      </c>
    </row>
    <row r="526" spans="2:8" x14ac:dyDescent="0.25">
      <c r="B526" s="12"/>
      <c r="C526" s="15">
        <f>IFERROR(IF($B526="","",VLOOKUP($B526,'Menü Kartları'!$B$5:$C$154,2,FALSE)),"")</f>
      </c>
      <c r="D526" s="12"/>
      <c r="E526" s="15">
        <f>IFERROR(IF($D526="","",VLOOKUP($D526,'Malzeme Kartları'!$B$5:$C$204,2,FALSE)),"— tanımsız —")</f>
      </c>
      <c r="F526" s="18"/>
      <c r="G526" s="15">
        <f>IFERROR(IF($D526="","",VLOOKUP($D526,'Malzeme Kartları'!$B$5:$D$204,3,FALSE)),"")</f>
      </c>
      <c r="H526" s="17">
        <f>IFERROR(IF(OR($D526="",$F526=""),0,$F526*VLOOKUP($D526,'Malzeme Kartları'!$B$5:$G$204,6,FALSE)),0)</f>
      </c>
    </row>
    <row r="527" spans="2:8" x14ac:dyDescent="0.25">
      <c r="B527" s="8"/>
      <c r="C527" s="15">
        <f>IFERROR(IF($B527="","",VLOOKUP($B527,'Menü Kartları'!$B$5:$C$154,2,FALSE)),"")</f>
      </c>
      <c r="D527" s="8"/>
      <c r="E527" s="15">
        <f>IFERROR(IF($D527="","",VLOOKUP($D527,'Malzeme Kartları'!$B$5:$C$204,2,FALSE)),"— tanımsız —")</f>
      </c>
      <c r="F527" s="16"/>
      <c r="G527" s="15">
        <f>IFERROR(IF($D527="","",VLOOKUP($D527,'Malzeme Kartları'!$B$5:$D$204,3,FALSE)),"")</f>
      </c>
      <c r="H527" s="17">
        <f>IFERROR(IF(OR($D527="",$F527=""),0,$F527*VLOOKUP($D527,'Malzeme Kartları'!$B$5:$G$204,6,FALSE)),0)</f>
      </c>
    </row>
    <row r="528" spans="2:8" x14ac:dyDescent="0.25">
      <c r="B528" s="12"/>
      <c r="C528" s="15">
        <f>IFERROR(IF($B528="","",VLOOKUP($B528,'Menü Kartları'!$B$5:$C$154,2,FALSE)),"")</f>
      </c>
      <c r="D528" s="12"/>
      <c r="E528" s="15">
        <f>IFERROR(IF($D528="","",VLOOKUP($D528,'Malzeme Kartları'!$B$5:$C$204,2,FALSE)),"— tanımsız —")</f>
      </c>
      <c r="F528" s="18"/>
      <c r="G528" s="15">
        <f>IFERROR(IF($D528="","",VLOOKUP($D528,'Malzeme Kartları'!$B$5:$D$204,3,FALSE)),"")</f>
      </c>
      <c r="H528" s="17">
        <f>IFERROR(IF(OR($D528="",$F528=""),0,$F528*VLOOKUP($D528,'Malzeme Kartları'!$B$5:$G$204,6,FALSE)),0)</f>
      </c>
    </row>
    <row r="529" spans="2:8" x14ac:dyDescent="0.25">
      <c r="B529" s="8"/>
      <c r="C529" s="15">
        <f>IFERROR(IF($B529="","",VLOOKUP($B529,'Menü Kartları'!$B$5:$C$154,2,FALSE)),"")</f>
      </c>
      <c r="D529" s="8"/>
      <c r="E529" s="15">
        <f>IFERROR(IF($D529="","",VLOOKUP($D529,'Malzeme Kartları'!$B$5:$C$204,2,FALSE)),"— tanımsız —")</f>
      </c>
      <c r="F529" s="16"/>
      <c r="G529" s="15">
        <f>IFERROR(IF($D529="","",VLOOKUP($D529,'Malzeme Kartları'!$B$5:$D$204,3,FALSE)),"")</f>
      </c>
      <c r="H529" s="17">
        <f>IFERROR(IF(OR($D529="",$F529=""),0,$F529*VLOOKUP($D529,'Malzeme Kartları'!$B$5:$G$204,6,FALSE)),0)</f>
      </c>
    </row>
    <row r="530" spans="2:8" x14ac:dyDescent="0.25">
      <c r="B530" s="12"/>
      <c r="C530" s="15">
        <f>IFERROR(IF($B530="","",VLOOKUP($B530,'Menü Kartları'!$B$5:$C$154,2,FALSE)),"")</f>
      </c>
      <c r="D530" s="12"/>
      <c r="E530" s="15">
        <f>IFERROR(IF($D530="","",VLOOKUP($D530,'Malzeme Kartları'!$B$5:$C$204,2,FALSE)),"— tanımsız —")</f>
      </c>
      <c r="F530" s="18"/>
      <c r="G530" s="15">
        <f>IFERROR(IF($D530="","",VLOOKUP($D530,'Malzeme Kartları'!$B$5:$D$204,3,FALSE)),"")</f>
      </c>
      <c r="H530" s="17">
        <f>IFERROR(IF(OR($D530="",$F530=""),0,$F530*VLOOKUP($D530,'Malzeme Kartları'!$B$5:$G$204,6,FALSE)),0)</f>
      </c>
    </row>
    <row r="531" spans="2:8" x14ac:dyDescent="0.25">
      <c r="B531" s="8"/>
      <c r="C531" s="15">
        <f>IFERROR(IF($B531="","",VLOOKUP($B531,'Menü Kartları'!$B$5:$C$154,2,FALSE)),"")</f>
      </c>
      <c r="D531" s="8"/>
      <c r="E531" s="15">
        <f>IFERROR(IF($D531="","",VLOOKUP($D531,'Malzeme Kartları'!$B$5:$C$204,2,FALSE)),"— tanımsız —")</f>
      </c>
      <c r="F531" s="16"/>
      <c r="G531" s="15">
        <f>IFERROR(IF($D531="","",VLOOKUP($D531,'Malzeme Kartları'!$B$5:$D$204,3,FALSE)),"")</f>
      </c>
      <c r="H531" s="17">
        <f>IFERROR(IF(OR($D531="",$F531=""),0,$F531*VLOOKUP($D531,'Malzeme Kartları'!$B$5:$G$204,6,FALSE)),0)</f>
      </c>
    </row>
    <row r="532" spans="2:8" x14ac:dyDescent="0.25">
      <c r="B532" s="12"/>
      <c r="C532" s="15">
        <f>IFERROR(IF($B532="","",VLOOKUP($B532,'Menü Kartları'!$B$5:$C$154,2,FALSE)),"")</f>
      </c>
      <c r="D532" s="12"/>
      <c r="E532" s="15">
        <f>IFERROR(IF($D532="","",VLOOKUP($D532,'Malzeme Kartları'!$B$5:$C$204,2,FALSE)),"— tanımsız —")</f>
      </c>
      <c r="F532" s="18"/>
      <c r="G532" s="15">
        <f>IFERROR(IF($D532="","",VLOOKUP($D532,'Malzeme Kartları'!$B$5:$D$204,3,FALSE)),"")</f>
      </c>
      <c r="H532" s="17">
        <f>IFERROR(IF(OR($D532="",$F532=""),0,$F532*VLOOKUP($D532,'Malzeme Kartları'!$B$5:$G$204,6,FALSE)),0)</f>
      </c>
    </row>
    <row r="533" spans="2:8" x14ac:dyDescent="0.25">
      <c r="B533" s="8"/>
      <c r="C533" s="15">
        <f>IFERROR(IF($B533="","",VLOOKUP($B533,'Menü Kartları'!$B$5:$C$154,2,FALSE)),"")</f>
      </c>
      <c r="D533" s="8"/>
      <c r="E533" s="15">
        <f>IFERROR(IF($D533="","",VLOOKUP($D533,'Malzeme Kartları'!$B$5:$C$204,2,FALSE)),"— tanımsız —")</f>
      </c>
      <c r="F533" s="16"/>
      <c r="G533" s="15">
        <f>IFERROR(IF($D533="","",VLOOKUP($D533,'Malzeme Kartları'!$B$5:$D$204,3,FALSE)),"")</f>
      </c>
      <c r="H533" s="17">
        <f>IFERROR(IF(OR($D533="",$F533=""),0,$F533*VLOOKUP($D533,'Malzeme Kartları'!$B$5:$G$204,6,FALSE)),0)</f>
      </c>
    </row>
    <row r="534" spans="2:8" x14ac:dyDescent="0.25">
      <c r="B534" s="12"/>
      <c r="C534" s="15">
        <f>IFERROR(IF($B534="","",VLOOKUP($B534,'Menü Kartları'!$B$5:$C$154,2,FALSE)),"")</f>
      </c>
      <c r="D534" s="12"/>
      <c r="E534" s="15">
        <f>IFERROR(IF($D534="","",VLOOKUP($D534,'Malzeme Kartları'!$B$5:$C$204,2,FALSE)),"— tanımsız —")</f>
      </c>
      <c r="F534" s="18"/>
      <c r="G534" s="15">
        <f>IFERROR(IF($D534="","",VLOOKUP($D534,'Malzeme Kartları'!$B$5:$D$204,3,FALSE)),"")</f>
      </c>
      <c r="H534" s="17">
        <f>IFERROR(IF(OR($D534="",$F534=""),0,$F534*VLOOKUP($D534,'Malzeme Kartları'!$B$5:$G$204,6,FALSE)),0)</f>
      </c>
    </row>
    <row r="535" spans="2:8" x14ac:dyDescent="0.25">
      <c r="B535" s="8"/>
      <c r="C535" s="15">
        <f>IFERROR(IF($B535="","",VLOOKUP($B535,'Menü Kartları'!$B$5:$C$154,2,FALSE)),"")</f>
      </c>
      <c r="D535" s="8"/>
      <c r="E535" s="15">
        <f>IFERROR(IF($D535="","",VLOOKUP($D535,'Malzeme Kartları'!$B$5:$C$204,2,FALSE)),"— tanımsız —")</f>
      </c>
      <c r="F535" s="16"/>
      <c r="G535" s="15">
        <f>IFERROR(IF($D535="","",VLOOKUP($D535,'Malzeme Kartları'!$B$5:$D$204,3,FALSE)),"")</f>
      </c>
      <c r="H535" s="17">
        <f>IFERROR(IF(OR($D535="",$F535=""),0,$F535*VLOOKUP($D535,'Malzeme Kartları'!$B$5:$G$204,6,FALSE)),0)</f>
      </c>
    </row>
    <row r="536" spans="2:8" x14ac:dyDescent="0.25">
      <c r="B536" s="12"/>
      <c r="C536" s="15">
        <f>IFERROR(IF($B536="","",VLOOKUP($B536,'Menü Kartları'!$B$5:$C$154,2,FALSE)),"")</f>
      </c>
      <c r="D536" s="12"/>
      <c r="E536" s="15">
        <f>IFERROR(IF($D536="","",VLOOKUP($D536,'Malzeme Kartları'!$B$5:$C$204,2,FALSE)),"— tanımsız —")</f>
      </c>
      <c r="F536" s="18"/>
      <c r="G536" s="15">
        <f>IFERROR(IF($D536="","",VLOOKUP($D536,'Malzeme Kartları'!$B$5:$D$204,3,FALSE)),"")</f>
      </c>
      <c r="H536" s="17">
        <f>IFERROR(IF(OR($D536="",$F536=""),0,$F536*VLOOKUP($D536,'Malzeme Kartları'!$B$5:$G$204,6,FALSE)),0)</f>
      </c>
    </row>
    <row r="537" spans="2:8" x14ac:dyDescent="0.25">
      <c r="B537" s="8"/>
      <c r="C537" s="15">
        <f>IFERROR(IF($B537="","",VLOOKUP($B537,'Menü Kartları'!$B$5:$C$154,2,FALSE)),"")</f>
      </c>
      <c r="D537" s="8"/>
      <c r="E537" s="15">
        <f>IFERROR(IF($D537="","",VLOOKUP($D537,'Malzeme Kartları'!$B$5:$C$204,2,FALSE)),"— tanımsız —")</f>
      </c>
      <c r="F537" s="16"/>
      <c r="G537" s="15">
        <f>IFERROR(IF($D537="","",VLOOKUP($D537,'Malzeme Kartları'!$B$5:$D$204,3,FALSE)),"")</f>
      </c>
      <c r="H537" s="17">
        <f>IFERROR(IF(OR($D537="",$F537=""),0,$F537*VLOOKUP($D537,'Malzeme Kartları'!$B$5:$G$204,6,FALSE)),0)</f>
      </c>
    </row>
    <row r="538" spans="2:8" x14ac:dyDescent="0.25">
      <c r="B538" s="12"/>
      <c r="C538" s="15">
        <f>IFERROR(IF($B538="","",VLOOKUP($B538,'Menü Kartları'!$B$5:$C$154,2,FALSE)),"")</f>
      </c>
      <c r="D538" s="12"/>
      <c r="E538" s="15">
        <f>IFERROR(IF($D538="","",VLOOKUP($D538,'Malzeme Kartları'!$B$5:$C$204,2,FALSE)),"— tanımsız —")</f>
      </c>
      <c r="F538" s="18"/>
      <c r="G538" s="15">
        <f>IFERROR(IF($D538="","",VLOOKUP($D538,'Malzeme Kartları'!$B$5:$D$204,3,FALSE)),"")</f>
      </c>
      <c r="H538" s="17">
        <f>IFERROR(IF(OR($D538="",$F538=""),0,$F538*VLOOKUP($D538,'Malzeme Kartları'!$B$5:$G$204,6,FALSE)),0)</f>
      </c>
    </row>
    <row r="539" spans="2:8" x14ac:dyDescent="0.25">
      <c r="B539" s="8"/>
      <c r="C539" s="15">
        <f>IFERROR(IF($B539="","",VLOOKUP($B539,'Menü Kartları'!$B$5:$C$154,2,FALSE)),"")</f>
      </c>
      <c r="D539" s="8"/>
      <c r="E539" s="15">
        <f>IFERROR(IF($D539="","",VLOOKUP($D539,'Malzeme Kartları'!$B$5:$C$204,2,FALSE)),"— tanımsız —")</f>
      </c>
      <c r="F539" s="16"/>
      <c r="G539" s="15">
        <f>IFERROR(IF($D539="","",VLOOKUP($D539,'Malzeme Kartları'!$B$5:$D$204,3,FALSE)),"")</f>
      </c>
      <c r="H539" s="17">
        <f>IFERROR(IF(OR($D539="",$F539=""),0,$F539*VLOOKUP($D539,'Malzeme Kartları'!$B$5:$G$204,6,FALSE)),0)</f>
      </c>
    </row>
    <row r="540" spans="2:8" x14ac:dyDescent="0.25">
      <c r="B540" s="12"/>
      <c r="C540" s="15">
        <f>IFERROR(IF($B540="","",VLOOKUP($B540,'Menü Kartları'!$B$5:$C$154,2,FALSE)),"")</f>
      </c>
      <c r="D540" s="12"/>
      <c r="E540" s="15">
        <f>IFERROR(IF($D540="","",VLOOKUP($D540,'Malzeme Kartları'!$B$5:$C$204,2,FALSE)),"— tanımsız —")</f>
      </c>
      <c r="F540" s="18"/>
      <c r="G540" s="15">
        <f>IFERROR(IF($D540="","",VLOOKUP($D540,'Malzeme Kartları'!$B$5:$D$204,3,FALSE)),"")</f>
      </c>
      <c r="H540" s="17">
        <f>IFERROR(IF(OR($D540="",$F540=""),0,$F540*VLOOKUP($D540,'Malzeme Kartları'!$B$5:$G$204,6,FALSE)),0)</f>
      </c>
    </row>
    <row r="541" spans="2:8" x14ac:dyDescent="0.25">
      <c r="B541" s="8"/>
      <c r="C541" s="15">
        <f>IFERROR(IF($B541="","",VLOOKUP($B541,'Menü Kartları'!$B$5:$C$154,2,FALSE)),"")</f>
      </c>
      <c r="D541" s="8"/>
      <c r="E541" s="15">
        <f>IFERROR(IF($D541="","",VLOOKUP($D541,'Malzeme Kartları'!$B$5:$C$204,2,FALSE)),"— tanımsız —")</f>
      </c>
      <c r="F541" s="16"/>
      <c r="G541" s="15">
        <f>IFERROR(IF($D541="","",VLOOKUP($D541,'Malzeme Kartları'!$B$5:$D$204,3,FALSE)),"")</f>
      </c>
      <c r="H541" s="17">
        <f>IFERROR(IF(OR($D541="",$F541=""),0,$F541*VLOOKUP($D541,'Malzeme Kartları'!$B$5:$G$204,6,FALSE)),0)</f>
      </c>
    </row>
    <row r="542" spans="2:8" x14ac:dyDescent="0.25">
      <c r="B542" s="12"/>
      <c r="C542" s="15">
        <f>IFERROR(IF($B542="","",VLOOKUP($B542,'Menü Kartları'!$B$5:$C$154,2,FALSE)),"")</f>
      </c>
      <c r="D542" s="12"/>
      <c r="E542" s="15">
        <f>IFERROR(IF($D542="","",VLOOKUP($D542,'Malzeme Kartları'!$B$5:$C$204,2,FALSE)),"— tanımsız —")</f>
      </c>
      <c r="F542" s="18"/>
      <c r="G542" s="15">
        <f>IFERROR(IF($D542="","",VLOOKUP($D542,'Malzeme Kartları'!$B$5:$D$204,3,FALSE)),"")</f>
      </c>
      <c r="H542" s="17">
        <f>IFERROR(IF(OR($D542="",$F542=""),0,$F542*VLOOKUP($D542,'Malzeme Kartları'!$B$5:$G$204,6,FALSE)),0)</f>
      </c>
    </row>
    <row r="543" spans="2:8" x14ac:dyDescent="0.25">
      <c r="B543" s="8"/>
      <c r="C543" s="15">
        <f>IFERROR(IF($B543="","",VLOOKUP($B543,'Menü Kartları'!$B$5:$C$154,2,FALSE)),"")</f>
      </c>
      <c r="D543" s="8"/>
      <c r="E543" s="15">
        <f>IFERROR(IF($D543="","",VLOOKUP($D543,'Malzeme Kartları'!$B$5:$C$204,2,FALSE)),"— tanımsız —")</f>
      </c>
      <c r="F543" s="16"/>
      <c r="G543" s="15">
        <f>IFERROR(IF($D543="","",VLOOKUP($D543,'Malzeme Kartları'!$B$5:$D$204,3,FALSE)),"")</f>
      </c>
      <c r="H543" s="17">
        <f>IFERROR(IF(OR($D543="",$F543=""),0,$F543*VLOOKUP($D543,'Malzeme Kartları'!$B$5:$G$204,6,FALSE)),0)</f>
      </c>
    </row>
    <row r="544" spans="2:8" x14ac:dyDescent="0.25">
      <c r="B544" s="12"/>
      <c r="C544" s="15">
        <f>IFERROR(IF($B544="","",VLOOKUP($B544,'Menü Kartları'!$B$5:$C$154,2,FALSE)),"")</f>
      </c>
      <c r="D544" s="12"/>
      <c r="E544" s="15">
        <f>IFERROR(IF($D544="","",VLOOKUP($D544,'Malzeme Kartları'!$B$5:$C$204,2,FALSE)),"— tanımsız —")</f>
      </c>
      <c r="F544" s="18"/>
      <c r="G544" s="15">
        <f>IFERROR(IF($D544="","",VLOOKUP($D544,'Malzeme Kartları'!$B$5:$D$204,3,FALSE)),"")</f>
      </c>
      <c r="H544" s="17">
        <f>IFERROR(IF(OR($D544="",$F544=""),0,$F544*VLOOKUP($D544,'Malzeme Kartları'!$B$5:$G$204,6,FALSE)),0)</f>
      </c>
    </row>
    <row r="545" spans="2:8" x14ac:dyDescent="0.25">
      <c r="B545" s="8"/>
      <c r="C545" s="15">
        <f>IFERROR(IF($B545="","",VLOOKUP($B545,'Menü Kartları'!$B$5:$C$154,2,FALSE)),"")</f>
      </c>
      <c r="D545" s="8"/>
      <c r="E545" s="15">
        <f>IFERROR(IF($D545="","",VLOOKUP($D545,'Malzeme Kartları'!$B$5:$C$204,2,FALSE)),"— tanımsız —")</f>
      </c>
      <c r="F545" s="16"/>
      <c r="G545" s="15">
        <f>IFERROR(IF($D545="","",VLOOKUP($D545,'Malzeme Kartları'!$B$5:$D$204,3,FALSE)),"")</f>
      </c>
      <c r="H545" s="17">
        <f>IFERROR(IF(OR($D545="",$F545=""),0,$F545*VLOOKUP($D545,'Malzeme Kartları'!$B$5:$G$204,6,FALSE)),0)</f>
      </c>
    </row>
    <row r="546" spans="2:8" x14ac:dyDescent="0.25">
      <c r="B546" s="12"/>
      <c r="C546" s="15">
        <f>IFERROR(IF($B546="","",VLOOKUP($B546,'Menü Kartları'!$B$5:$C$154,2,FALSE)),"")</f>
      </c>
      <c r="D546" s="12"/>
      <c r="E546" s="15">
        <f>IFERROR(IF($D546="","",VLOOKUP($D546,'Malzeme Kartları'!$B$5:$C$204,2,FALSE)),"— tanımsız —")</f>
      </c>
      <c r="F546" s="18"/>
      <c r="G546" s="15">
        <f>IFERROR(IF($D546="","",VLOOKUP($D546,'Malzeme Kartları'!$B$5:$D$204,3,FALSE)),"")</f>
      </c>
      <c r="H546" s="17">
        <f>IFERROR(IF(OR($D546="",$F546=""),0,$F546*VLOOKUP($D546,'Malzeme Kartları'!$B$5:$G$204,6,FALSE)),0)</f>
      </c>
    </row>
    <row r="547" spans="2:8" x14ac:dyDescent="0.25">
      <c r="B547" s="8"/>
      <c r="C547" s="15">
        <f>IFERROR(IF($B547="","",VLOOKUP($B547,'Menü Kartları'!$B$5:$C$154,2,FALSE)),"")</f>
      </c>
      <c r="D547" s="8"/>
      <c r="E547" s="15">
        <f>IFERROR(IF($D547="","",VLOOKUP($D547,'Malzeme Kartları'!$B$5:$C$204,2,FALSE)),"— tanımsız —")</f>
      </c>
      <c r="F547" s="16"/>
      <c r="G547" s="15">
        <f>IFERROR(IF($D547="","",VLOOKUP($D547,'Malzeme Kartları'!$B$5:$D$204,3,FALSE)),"")</f>
      </c>
      <c r="H547" s="17">
        <f>IFERROR(IF(OR($D547="",$F547=""),0,$F547*VLOOKUP($D547,'Malzeme Kartları'!$B$5:$G$204,6,FALSE)),0)</f>
      </c>
    </row>
    <row r="548" spans="2:8" x14ac:dyDescent="0.25">
      <c r="B548" s="12"/>
      <c r="C548" s="15">
        <f>IFERROR(IF($B548="","",VLOOKUP($B548,'Menü Kartları'!$B$5:$C$154,2,FALSE)),"")</f>
      </c>
      <c r="D548" s="12"/>
      <c r="E548" s="15">
        <f>IFERROR(IF($D548="","",VLOOKUP($D548,'Malzeme Kartları'!$B$5:$C$204,2,FALSE)),"— tanımsız —")</f>
      </c>
      <c r="F548" s="18"/>
      <c r="G548" s="15">
        <f>IFERROR(IF($D548="","",VLOOKUP($D548,'Malzeme Kartları'!$B$5:$D$204,3,FALSE)),"")</f>
      </c>
      <c r="H548" s="17">
        <f>IFERROR(IF(OR($D548="",$F548=""),0,$F548*VLOOKUP($D548,'Malzeme Kartları'!$B$5:$G$204,6,FALSE)),0)</f>
      </c>
    </row>
    <row r="549" spans="2:8" x14ac:dyDescent="0.25">
      <c r="B549" s="8"/>
      <c r="C549" s="15">
        <f>IFERROR(IF($B549="","",VLOOKUP($B549,'Menü Kartları'!$B$5:$C$154,2,FALSE)),"")</f>
      </c>
      <c r="D549" s="8"/>
      <c r="E549" s="15">
        <f>IFERROR(IF($D549="","",VLOOKUP($D549,'Malzeme Kartları'!$B$5:$C$204,2,FALSE)),"— tanımsız —")</f>
      </c>
      <c r="F549" s="16"/>
      <c r="G549" s="15">
        <f>IFERROR(IF($D549="","",VLOOKUP($D549,'Malzeme Kartları'!$B$5:$D$204,3,FALSE)),"")</f>
      </c>
      <c r="H549" s="17">
        <f>IFERROR(IF(OR($D549="",$F549=""),0,$F549*VLOOKUP($D549,'Malzeme Kartları'!$B$5:$G$204,6,FALSE)),0)</f>
      </c>
    </row>
    <row r="550" spans="2:8" x14ac:dyDescent="0.25">
      <c r="B550" s="12"/>
      <c r="C550" s="15">
        <f>IFERROR(IF($B550="","",VLOOKUP($B550,'Menü Kartları'!$B$5:$C$154,2,FALSE)),"")</f>
      </c>
      <c r="D550" s="12"/>
      <c r="E550" s="15">
        <f>IFERROR(IF($D550="","",VLOOKUP($D550,'Malzeme Kartları'!$B$5:$C$204,2,FALSE)),"— tanımsız —")</f>
      </c>
      <c r="F550" s="18"/>
      <c r="G550" s="15">
        <f>IFERROR(IF($D550="","",VLOOKUP($D550,'Malzeme Kartları'!$B$5:$D$204,3,FALSE)),"")</f>
      </c>
      <c r="H550" s="17">
        <f>IFERROR(IF(OR($D550="",$F550=""),0,$F550*VLOOKUP($D550,'Malzeme Kartları'!$B$5:$G$204,6,FALSE)),0)</f>
      </c>
    </row>
    <row r="551" spans="2:8" x14ac:dyDescent="0.25">
      <c r="B551" s="8"/>
      <c r="C551" s="15">
        <f>IFERROR(IF($B551="","",VLOOKUP($B551,'Menü Kartları'!$B$5:$C$154,2,FALSE)),"")</f>
      </c>
      <c r="D551" s="8"/>
      <c r="E551" s="15">
        <f>IFERROR(IF($D551="","",VLOOKUP($D551,'Malzeme Kartları'!$B$5:$C$204,2,FALSE)),"— tanımsız —")</f>
      </c>
      <c r="F551" s="16"/>
      <c r="G551" s="15">
        <f>IFERROR(IF($D551="","",VLOOKUP($D551,'Malzeme Kartları'!$B$5:$D$204,3,FALSE)),"")</f>
      </c>
      <c r="H551" s="17">
        <f>IFERROR(IF(OR($D551="",$F551=""),0,$F551*VLOOKUP($D551,'Malzeme Kartları'!$B$5:$G$204,6,FALSE)),0)</f>
      </c>
    </row>
    <row r="552" spans="2:8" x14ac:dyDescent="0.25">
      <c r="B552" s="12"/>
      <c r="C552" s="15">
        <f>IFERROR(IF($B552="","",VLOOKUP($B552,'Menü Kartları'!$B$5:$C$154,2,FALSE)),"")</f>
      </c>
      <c r="D552" s="12"/>
      <c r="E552" s="15">
        <f>IFERROR(IF($D552="","",VLOOKUP($D552,'Malzeme Kartları'!$B$5:$C$204,2,FALSE)),"— tanımsız —")</f>
      </c>
      <c r="F552" s="18"/>
      <c r="G552" s="15">
        <f>IFERROR(IF($D552="","",VLOOKUP($D552,'Malzeme Kartları'!$B$5:$D$204,3,FALSE)),"")</f>
      </c>
      <c r="H552" s="17">
        <f>IFERROR(IF(OR($D552="",$F552=""),0,$F552*VLOOKUP($D552,'Malzeme Kartları'!$B$5:$G$204,6,FALSE)),0)</f>
      </c>
    </row>
    <row r="553" spans="2:8" x14ac:dyDescent="0.25">
      <c r="B553" s="8"/>
      <c r="C553" s="15">
        <f>IFERROR(IF($B553="","",VLOOKUP($B553,'Menü Kartları'!$B$5:$C$154,2,FALSE)),"")</f>
      </c>
      <c r="D553" s="8"/>
      <c r="E553" s="15">
        <f>IFERROR(IF($D553="","",VLOOKUP($D553,'Malzeme Kartları'!$B$5:$C$204,2,FALSE)),"— tanımsız —")</f>
      </c>
      <c r="F553" s="16"/>
      <c r="G553" s="15">
        <f>IFERROR(IF($D553="","",VLOOKUP($D553,'Malzeme Kartları'!$B$5:$D$204,3,FALSE)),"")</f>
      </c>
      <c r="H553" s="17">
        <f>IFERROR(IF(OR($D553="",$F553=""),0,$F553*VLOOKUP($D553,'Malzeme Kartları'!$B$5:$G$204,6,FALSE)),0)</f>
      </c>
    </row>
    <row r="554" spans="2:8" x14ac:dyDescent="0.25">
      <c r="B554" s="12"/>
      <c r="C554" s="15">
        <f>IFERROR(IF($B554="","",VLOOKUP($B554,'Menü Kartları'!$B$5:$C$154,2,FALSE)),"")</f>
      </c>
      <c r="D554" s="12"/>
      <c r="E554" s="15">
        <f>IFERROR(IF($D554="","",VLOOKUP($D554,'Malzeme Kartları'!$B$5:$C$204,2,FALSE)),"— tanımsız —")</f>
      </c>
      <c r="F554" s="18"/>
      <c r="G554" s="15">
        <f>IFERROR(IF($D554="","",VLOOKUP($D554,'Malzeme Kartları'!$B$5:$D$204,3,FALSE)),"")</f>
      </c>
      <c r="H554" s="17">
        <f>IFERROR(IF(OR($D554="",$F554=""),0,$F554*VLOOKUP($D554,'Malzeme Kartları'!$B$5:$G$204,6,FALSE)),0)</f>
      </c>
    </row>
    <row r="555" spans="2:8" x14ac:dyDescent="0.25">
      <c r="B555" s="8"/>
      <c r="C555" s="15">
        <f>IFERROR(IF($B555="","",VLOOKUP($B555,'Menü Kartları'!$B$5:$C$154,2,FALSE)),"")</f>
      </c>
      <c r="D555" s="8"/>
      <c r="E555" s="15">
        <f>IFERROR(IF($D555="","",VLOOKUP($D555,'Malzeme Kartları'!$B$5:$C$204,2,FALSE)),"— tanımsız —")</f>
      </c>
      <c r="F555" s="16"/>
      <c r="G555" s="15">
        <f>IFERROR(IF($D555="","",VLOOKUP($D555,'Malzeme Kartları'!$B$5:$D$204,3,FALSE)),"")</f>
      </c>
      <c r="H555" s="17">
        <f>IFERROR(IF(OR($D555="",$F555=""),0,$F555*VLOOKUP($D555,'Malzeme Kartları'!$B$5:$G$204,6,FALSE)),0)</f>
      </c>
    </row>
    <row r="556" spans="2:8" x14ac:dyDescent="0.25">
      <c r="B556" s="12"/>
      <c r="C556" s="15">
        <f>IFERROR(IF($B556="","",VLOOKUP($B556,'Menü Kartları'!$B$5:$C$154,2,FALSE)),"")</f>
      </c>
      <c r="D556" s="12"/>
      <c r="E556" s="15">
        <f>IFERROR(IF($D556="","",VLOOKUP($D556,'Malzeme Kartları'!$B$5:$C$204,2,FALSE)),"— tanımsız —")</f>
      </c>
      <c r="F556" s="18"/>
      <c r="G556" s="15">
        <f>IFERROR(IF($D556="","",VLOOKUP($D556,'Malzeme Kartları'!$B$5:$D$204,3,FALSE)),"")</f>
      </c>
      <c r="H556" s="17">
        <f>IFERROR(IF(OR($D556="",$F556=""),0,$F556*VLOOKUP($D556,'Malzeme Kartları'!$B$5:$G$204,6,FALSE)),0)</f>
      </c>
    </row>
    <row r="557" spans="2:8" x14ac:dyDescent="0.25">
      <c r="B557" s="8"/>
      <c r="C557" s="15">
        <f>IFERROR(IF($B557="","",VLOOKUP($B557,'Menü Kartları'!$B$5:$C$154,2,FALSE)),"")</f>
      </c>
      <c r="D557" s="8"/>
      <c r="E557" s="15">
        <f>IFERROR(IF($D557="","",VLOOKUP($D557,'Malzeme Kartları'!$B$5:$C$204,2,FALSE)),"— tanımsız —")</f>
      </c>
      <c r="F557" s="16"/>
      <c r="G557" s="15">
        <f>IFERROR(IF($D557="","",VLOOKUP($D557,'Malzeme Kartları'!$B$5:$D$204,3,FALSE)),"")</f>
      </c>
      <c r="H557" s="17">
        <f>IFERROR(IF(OR($D557="",$F557=""),0,$F557*VLOOKUP($D557,'Malzeme Kartları'!$B$5:$G$204,6,FALSE)),0)</f>
      </c>
    </row>
    <row r="558" spans="2:8" x14ac:dyDescent="0.25">
      <c r="B558" s="12"/>
      <c r="C558" s="15">
        <f>IFERROR(IF($B558="","",VLOOKUP($B558,'Menü Kartları'!$B$5:$C$154,2,FALSE)),"")</f>
      </c>
      <c r="D558" s="12"/>
      <c r="E558" s="15">
        <f>IFERROR(IF($D558="","",VLOOKUP($D558,'Malzeme Kartları'!$B$5:$C$204,2,FALSE)),"— tanımsız —")</f>
      </c>
      <c r="F558" s="18"/>
      <c r="G558" s="15">
        <f>IFERROR(IF($D558="","",VLOOKUP($D558,'Malzeme Kartları'!$B$5:$D$204,3,FALSE)),"")</f>
      </c>
      <c r="H558" s="17">
        <f>IFERROR(IF(OR($D558="",$F558=""),0,$F558*VLOOKUP($D558,'Malzeme Kartları'!$B$5:$G$204,6,FALSE)),0)</f>
      </c>
    </row>
    <row r="559" spans="2:8" x14ac:dyDescent="0.25">
      <c r="B559" s="8"/>
      <c r="C559" s="15">
        <f>IFERROR(IF($B559="","",VLOOKUP($B559,'Menü Kartları'!$B$5:$C$154,2,FALSE)),"")</f>
      </c>
      <c r="D559" s="8"/>
      <c r="E559" s="15">
        <f>IFERROR(IF($D559="","",VLOOKUP($D559,'Malzeme Kartları'!$B$5:$C$204,2,FALSE)),"— tanımsız —")</f>
      </c>
      <c r="F559" s="16"/>
      <c r="G559" s="15">
        <f>IFERROR(IF($D559="","",VLOOKUP($D559,'Malzeme Kartları'!$B$5:$D$204,3,FALSE)),"")</f>
      </c>
      <c r="H559" s="17">
        <f>IFERROR(IF(OR($D559="",$F559=""),0,$F559*VLOOKUP($D559,'Malzeme Kartları'!$B$5:$G$204,6,FALSE)),0)</f>
      </c>
    </row>
    <row r="560" spans="2:8" x14ac:dyDescent="0.25">
      <c r="B560" s="12"/>
      <c r="C560" s="15">
        <f>IFERROR(IF($B560="","",VLOOKUP($B560,'Menü Kartları'!$B$5:$C$154,2,FALSE)),"")</f>
      </c>
      <c r="D560" s="12"/>
      <c r="E560" s="15">
        <f>IFERROR(IF($D560="","",VLOOKUP($D560,'Malzeme Kartları'!$B$5:$C$204,2,FALSE)),"— tanımsız —")</f>
      </c>
      <c r="F560" s="18"/>
      <c r="G560" s="15">
        <f>IFERROR(IF($D560="","",VLOOKUP($D560,'Malzeme Kartları'!$B$5:$D$204,3,FALSE)),"")</f>
      </c>
      <c r="H560" s="17">
        <f>IFERROR(IF(OR($D560="",$F560=""),0,$F560*VLOOKUP($D560,'Malzeme Kartları'!$B$5:$G$204,6,FALSE)),0)</f>
      </c>
    </row>
    <row r="561" spans="2:8" x14ac:dyDescent="0.25">
      <c r="B561" s="8"/>
      <c r="C561" s="15">
        <f>IFERROR(IF($B561="","",VLOOKUP($B561,'Menü Kartları'!$B$5:$C$154,2,FALSE)),"")</f>
      </c>
      <c r="D561" s="8"/>
      <c r="E561" s="15">
        <f>IFERROR(IF($D561="","",VLOOKUP($D561,'Malzeme Kartları'!$B$5:$C$204,2,FALSE)),"— tanımsız —")</f>
      </c>
      <c r="F561" s="16"/>
      <c r="G561" s="15">
        <f>IFERROR(IF($D561="","",VLOOKUP($D561,'Malzeme Kartları'!$B$5:$D$204,3,FALSE)),"")</f>
      </c>
      <c r="H561" s="17">
        <f>IFERROR(IF(OR($D561="",$F561=""),0,$F561*VLOOKUP($D561,'Malzeme Kartları'!$B$5:$G$204,6,FALSE)),0)</f>
      </c>
    </row>
    <row r="562" spans="2:8" x14ac:dyDescent="0.25">
      <c r="B562" s="12"/>
      <c r="C562" s="15">
        <f>IFERROR(IF($B562="","",VLOOKUP($B562,'Menü Kartları'!$B$5:$C$154,2,FALSE)),"")</f>
      </c>
      <c r="D562" s="12"/>
      <c r="E562" s="15">
        <f>IFERROR(IF($D562="","",VLOOKUP($D562,'Malzeme Kartları'!$B$5:$C$204,2,FALSE)),"— tanımsız —")</f>
      </c>
      <c r="F562" s="18"/>
      <c r="G562" s="15">
        <f>IFERROR(IF($D562="","",VLOOKUP($D562,'Malzeme Kartları'!$B$5:$D$204,3,FALSE)),"")</f>
      </c>
      <c r="H562" s="17">
        <f>IFERROR(IF(OR($D562="",$F562=""),0,$F562*VLOOKUP($D562,'Malzeme Kartları'!$B$5:$G$204,6,FALSE)),0)</f>
      </c>
    </row>
    <row r="563" spans="2:8" x14ac:dyDescent="0.25">
      <c r="B563" s="8"/>
      <c r="C563" s="15">
        <f>IFERROR(IF($B563="","",VLOOKUP($B563,'Menü Kartları'!$B$5:$C$154,2,FALSE)),"")</f>
      </c>
      <c r="D563" s="8"/>
      <c r="E563" s="15">
        <f>IFERROR(IF($D563="","",VLOOKUP($D563,'Malzeme Kartları'!$B$5:$C$204,2,FALSE)),"— tanımsız —")</f>
      </c>
      <c r="F563" s="16"/>
      <c r="G563" s="15">
        <f>IFERROR(IF($D563="","",VLOOKUP($D563,'Malzeme Kartları'!$B$5:$D$204,3,FALSE)),"")</f>
      </c>
      <c r="H563" s="17">
        <f>IFERROR(IF(OR($D563="",$F563=""),0,$F563*VLOOKUP($D563,'Malzeme Kartları'!$B$5:$G$204,6,FALSE)),0)</f>
      </c>
    </row>
    <row r="564" spans="2:8" x14ac:dyDescent="0.25">
      <c r="B564" s="12"/>
      <c r="C564" s="15">
        <f>IFERROR(IF($B564="","",VLOOKUP($B564,'Menü Kartları'!$B$5:$C$154,2,FALSE)),"")</f>
      </c>
      <c r="D564" s="12"/>
      <c r="E564" s="15">
        <f>IFERROR(IF($D564="","",VLOOKUP($D564,'Malzeme Kartları'!$B$5:$C$204,2,FALSE)),"— tanımsız —")</f>
      </c>
      <c r="F564" s="18"/>
      <c r="G564" s="15">
        <f>IFERROR(IF($D564="","",VLOOKUP($D564,'Malzeme Kartları'!$B$5:$D$204,3,FALSE)),"")</f>
      </c>
      <c r="H564" s="17">
        <f>IFERROR(IF(OR($D564="",$F564=""),0,$F564*VLOOKUP($D564,'Malzeme Kartları'!$B$5:$G$204,6,FALSE)),0)</f>
      </c>
    </row>
    <row r="565" spans="2:8" x14ac:dyDescent="0.25">
      <c r="B565" s="8"/>
      <c r="C565" s="15">
        <f>IFERROR(IF($B565="","",VLOOKUP($B565,'Menü Kartları'!$B$5:$C$154,2,FALSE)),"")</f>
      </c>
      <c r="D565" s="8"/>
      <c r="E565" s="15">
        <f>IFERROR(IF($D565="","",VLOOKUP($D565,'Malzeme Kartları'!$B$5:$C$204,2,FALSE)),"— tanımsız —")</f>
      </c>
      <c r="F565" s="16"/>
      <c r="G565" s="15">
        <f>IFERROR(IF($D565="","",VLOOKUP($D565,'Malzeme Kartları'!$B$5:$D$204,3,FALSE)),"")</f>
      </c>
      <c r="H565" s="17">
        <f>IFERROR(IF(OR($D565="",$F565=""),0,$F565*VLOOKUP($D565,'Malzeme Kartları'!$B$5:$G$204,6,FALSE)),0)</f>
      </c>
    </row>
    <row r="566" spans="2:8" x14ac:dyDescent="0.25">
      <c r="B566" s="12"/>
      <c r="C566" s="15">
        <f>IFERROR(IF($B566="","",VLOOKUP($B566,'Menü Kartları'!$B$5:$C$154,2,FALSE)),"")</f>
      </c>
      <c r="D566" s="12"/>
      <c r="E566" s="15">
        <f>IFERROR(IF($D566="","",VLOOKUP($D566,'Malzeme Kartları'!$B$5:$C$204,2,FALSE)),"— tanımsız —")</f>
      </c>
      <c r="F566" s="18"/>
      <c r="G566" s="15">
        <f>IFERROR(IF($D566="","",VLOOKUP($D566,'Malzeme Kartları'!$B$5:$D$204,3,FALSE)),"")</f>
      </c>
      <c r="H566" s="17">
        <f>IFERROR(IF(OR($D566="",$F566=""),0,$F566*VLOOKUP($D566,'Malzeme Kartları'!$B$5:$G$204,6,FALSE)),0)</f>
      </c>
    </row>
    <row r="567" spans="2:8" x14ac:dyDescent="0.25">
      <c r="B567" s="8"/>
      <c r="C567" s="15">
        <f>IFERROR(IF($B567="","",VLOOKUP($B567,'Menü Kartları'!$B$5:$C$154,2,FALSE)),"")</f>
      </c>
      <c r="D567" s="8"/>
      <c r="E567" s="15">
        <f>IFERROR(IF($D567="","",VLOOKUP($D567,'Malzeme Kartları'!$B$5:$C$204,2,FALSE)),"— tanımsız —")</f>
      </c>
      <c r="F567" s="16"/>
      <c r="G567" s="15">
        <f>IFERROR(IF($D567="","",VLOOKUP($D567,'Malzeme Kartları'!$B$5:$D$204,3,FALSE)),"")</f>
      </c>
      <c r="H567" s="17">
        <f>IFERROR(IF(OR($D567="",$F567=""),0,$F567*VLOOKUP($D567,'Malzeme Kartları'!$B$5:$G$204,6,FALSE)),0)</f>
      </c>
    </row>
    <row r="568" spans="2:8" x14ac:dyDescent="0.25">
      <c r="B568" s="12"/>
      <c r="C568" s="15">
        <f>IFERROR(IF($B568="","",VLOOKUP($B568,'Menü Kartları'!$B$5:$C$154,2,FALSE)),"")</f>
      </c>
      <c r="D568" s="12"/>
      <c r="E568" s="15">
        <f>IFERROR(IF($D568="","",VLOOKUP($D568,'Malzeme Kartları'!$B$5:$C$204,2,FALSE)),"— tanımsız —")</f>
      </c>
      <c r="F568" s="18"/>
      <c r="G568" s="15">
        <f>IFERROR(IF($D568="","",VLOOKUP($D568,'Malzeme Kartları'!$B$5:$D$204,3,FALSE)),"")</f>
      </c>
      <c r="H568" s="17">
        <f>IFERROR(IF(OR($D568="",$F568=""),0,$F568*VLOOKUP($D568,'Malzeme Kartları'!$B$5:$G$204,6,FALSE)),0)</f>
      </c>
    </row>
    <row r="569" spans="2:8" x14ac:dyDescent="0.25">
      <c r="B569" s="8"/>
      <c r="C569" s="15">
        <f>IFERROR(IF($B569="","",VLOOKUP($B569,'Menü Kartları'!$B$5:$C$154,2,FALSE)),"")</f>
      </c>
      <c r="D569" s="8"/>
      <c r="E569" s="15">
        <f>IFERROR(IF($D569="","",VLOOKUP($D569,'Malzeme Kartları'!$B$5:$C$204,2,FALSE)),"— tanımsız —")</f>
      </c>
      <c r="F569" s="16"/>
      <c r="G569" s="15">
        <f>IFERROR(IF($D569="","",VLOOKUP($D569,'Malzeme Kartları'!$B$5:$D$204,3,FALSE)),"")</f>
      </c>
      <c r="H569" s="17">
        <f>IFERROR(IF(OR($D569="",$F569=""),0,$F569*VLOOKUP($D569,'Malzeme Kartları'!$B$5:$G$204,6,FALSE)),0)</f>
      </c>
    </row>
    <row r="570" spans="2:8" x14ac:dyDescent="0.25">
      <c r="B570" s="12"/>
      <c r="C570" s="15">
        <f>IFERROR(IF($B570="","",VLOOKUP($B570,'Menü Kartları'!$B$5:$C$154,2,FALSE)),"")</f>
      </c>
      <c r="D570" s="12"/>
      <c r="E570" s="15">
        <f>IFERROR(IF($D570="","",VLOOKUP($D570,'Malzeme Kartları'!$B$5:$C$204,2,FALSE)),"— tanımsız —")</f>
      </c>
      <c r="F570" s="18"/>
      <c r="G570" s="15">
        <f>IFERROR(IF($D570="","",VLOOKUP($D570,'Malzeme Kartları'!$B$5:$D$204,3,FALSE)),"")</f>
      </c>
      <c r="H570" s="17">
        <f>IFERROR(IF(OR($D570="",$F570=""),0,$F570*VLOOKUP($D570,'Malzeme Kartları'!$B$5:$G$204,6,FALSE)),0)</f>
      </c>
    </row>
    <row r="571" spans="2:8" x14ac:dyDescent="0.25">
      <c r="B571" s="8"/>
      <c r="C571" s="15">
        <f>IFERROR(IF($B571="","",VLOOKUP($B571,'Menü Kartları'!$B$5:$C$154,2,FALSE)),"")</f>
      </c>
      <c r="D571" s="8"/>
      <c r="E571" s="15">
        <f>IFERROR(IF($D571="","",VLOOKUP($D571,'Malzeme Kartları'!$B$5:$C$204,2,FALSE)),"— tanımsız —")</f>
      </c>
      <c r="F571" s="16"/>
      <c r="G571" s="15">
        <f>IFERROR(IF($D571="","",VLOOKUP($D571,'Malzeme Kartları'!$B$5:$D$204,3,FALSE)),"")</f>
      </c>
      <c r="H571" s="17">
        <f>IFERROR(IF(OR($D571="",$F571=""),0,$F571*VLOOKUP($D571,'Malzeme Kartları'!$B$5:$G$204,6,FALSE)),0)</f>
      </c>
    </row>
    <row r="572" spans="2:8" x14ac:dyDescent="0.25">
      <c r="B572" s="12"/>
      <c r="C572" s="15">
        <f>IFERROR(IF($B572="","",VLOOKUP($B572,'Menü Kartları'!$B$5:$C$154,2,FALSE)),"")</f>
      </c>
      <c r="D572" s="12"/>
      <c r="E572" s="15">
        <f>IFERROR(IF($D572="","",VLOOKUP($D572,'Malzeme Kartları'!$B$5:$C$204,2,FALSE)),"— tanımsız —")</f>
      </c>
      <c r="F572" s="18"/>
      <c r="G572" s="15">
        <f>IFERROR(IF($D572="","",VLOOKUP($D572,'Malzeme Kartları'!$B$5:$D$204,3,FALSE)),"")</f>
      </c>
      <c r="H572" s="17">
        <f>IFERROR(IF(OR($D572="",$F572=""),0,$F572*VLOOKUP($D572,'Malzeme Kartları'!$B$5:$G$204,6,FALSE)),0)</f>
      </c>
    </row>
    <row r="573" spans="2:8" x14ac:dyDescent="0.25">
      <c r="B573" s="8"/>
      <c r="C573" s="15">
        <f>IFERROR(IF($B573="","",VLOOKUP($B573,'Menü Kartları'!$B$5:$C$154,2,FALSE)),"")</f>
      </c>
      <c r="D573" s="8"/>
      <c r="E573" s="15">
        <f>IFERROR(IF($D573="","",VLOOKUP($D573,'Malzeme Kartları'!$B$5:$C$204,2,FALSE)),"— tanımsız —")</f>
      </c>
      <c r="F573" s="16"/>
      <c r="G573" s="15">
        <f>IFERROR(IF($D573="","",VLOOKUP($D573,'Malzeme Kartları'!$B$5:$D$204,3,FALSE)),"")</f>
      </c>
      <c r="H573" s="17">
        <f>IFERROR(IF(OR($D573="",$F573=""),0,$F573*VLOOKUP($D573,'Malzeme Kartları'!$B$5:$G$204,6,FALSE)),0)</f>
      </c>
    </row>
    <row r="574" spans="2:8" x14ac:dyDescent="0.25">
      <c r="B574" s="12"/>
      <c r="C574" s="15">
        <f>IFERROR(IF($B574="","",VLOOKUP($B574,'Menü Kartları'!$B$5:$C$154,2,FALSE)),"")</f>
      </c>
      <c r="D574" s="12"/>
      <c r="E574" s="15">
        <f>IFERROR(IF($D574="","",VLOOKUP($D574,'Malzeme Kartları'!$B$5:$C$204,2,FALSE)),"— tanımsız —")</f>
      </c>
      <c r="F574" s="18"/>
      <c r="G574" s="15">
        <f>IFERROR(IF($D574="","",VLOOKUP($D574,'Malzeme Kartları'!$B$5:$D$204,3,FALSE)),"")</f>
      </c>
      <c r="H574" s="17">
        <f>IFERROR(IF(OR($D574="",$F574=""),0,$F574*VLOOKUP($D574,'Malzeme Kartları'!$B$5:$G$204,6,FALSE)),0)</f>
      </c>
    </row>
    <row r="575" spans="2:8" x14ac:dyDescent="0.25">
      <c r="B575" s="8"/>
      <c r="C575" s="15">
        <f>IFERROR(IF($B575="","",VLOOKUP($B575,'Menü Kartları'!$B$5:$C$154,2,FALSE)),"")</f>
      </c>
      <c r="D575" s="8"/>
      <c r="E575" s="15">
        <f>IFERROR(IF($D575="","",VLOOKUP($D575,'Malzeme Kartları'!$B$5:$C$204,2,FALSE)),"— tanımsız —")</f>
      </c>
      <c r="F575" s="16"/>
      <c r="G575" s="15">
        <f>IFERROR(IF($D575="","",VLOOKUP($D575,'Malzeme Kartları'!$B$5:$D$204,3,FALSE)),"")</f>
      </c>
      <c r="H575" s="17">
        <f>IFERROR(IF(OR($D575="",$F575=""),0,$F575*VLOOKUP($D575,'Malzeme Kartları'!$B$5:$G$204,6,FALSE)),0)</f>
      </c>
    </row>
    <row r="576" spans="2:8" x14ac:dyDescent="0.25">
      <c r="B576" s="12"/>
      <c r="C576" s="15">
        <f>IFERROR(IF($B576="","",VLOOKUP($B576,'Menü Kartları'!$B$5:$C$154,2,FALSE)),"")</f>
      </c>
      <c r="D576" s="12"/>
      <c r="E576" s="15">
        <f>IFERROR(IF($D576="","",VLOOKUP($D576,'Malzeme Kartları'!$B$5:$C$204,2,FALSE)),"— tanımsız —")</f>
      </c>
      <c r="F576" s="18"/>
      <c r="G576" s="15">
        <f>IFERROR(IF($D576="","",VLOOKUP($D576,'Malzeme Kartları'!$B$5:$D$204,3,FALSE)),"")</f>
      </c>
      <c r="H576" s="17">
        <f>IFERROR(IF(OR($D576="",$F576=""),0,$F576*VLOOKUP($D576,'Malzeme Kartları'!$B$5:$G$204,6,FALSE)),0)</f>
      </c>
    </row>
    <row r="577" spans="2:8" x14ac:dyDescent="0.25">
      <c r="B577" s="8"/>
      <c r="C577" s="15">
        <f>IFERROR(IF($B577="","",VLOOKUP($B577,'Menü Kartları'!$B$5:$C$154,2,FALSE)),"")</f>
      </c>
      <c r="D577" s="8"/>
      <c r="E577" s="15">
        <f>IFERROR(IF($D577="","",VLOOKUP($D577,'Malzeme Kartları'!$B$5:$C$204,2,FALSE)),"— tanımsız —")</f>
      </c>
      <c r="F577" s="16"/>
      <c r="G577" s="15">
        <f>IFERROR(IF($D577="","",VLOOKUP($D577,'Malzeme Kartları'!$B$5:$D$204,3,FALSE)),"")</f>
      </c>
      <c r="H577" s="17">
        <f>IFERROR(IF(OR($D577="",$F577=""),0,$F577*VLOOKUP($D577,'Malzeme Kartları'!$B$5:$G$204,6,FALSE)),0)</f>
      </c>
    </row>
    <row r="578" spans="2:8" x14ac:dyDescent="0.25">
      <c r="B578" s="12"/>
      <c r="C578" s="15">
        <f>IFERROR(IF($B578="","",VLOOKUP($B578,'Menü Kartları'!$B$5:$C$154,2,FALSE)),"")</f>
      </c>
      <c r="D578" s="12"/>
      <c r="E578" s="15">
        <f>IFERROR(IF($D578="","",VLOOKUP($D578,'Malzeme Kartları'!$B$5:$C$204,2,FALSE)),"— tanımsız —")</f>
      </c>
      <c r="F578" s="18"/>
      <c r="G578" s="15">
        <f>IFERROR(IF($D578="","",VLOOKUP($D578,'Malzeme Kartları'!$B$5:$D$204,3,FALSE)),"")</f>
      </c>
      <c r="H578" s="17">
        <f>IFERROR(IF(OR($D578="",$F578=""),0,$F578*VLOOKUP($D578,'Malzeme Kartları'!$B$5:$G$204,6,FALSE)),0)</f>
      </c>
    </row>
    <row r="579" spans="2:8" x14ac:dyDescent="0.25">
      <c r="B579" s="8"/>
      <c r="C579" s="15">
        <f>IFERROR(IF($B579="","",VLOOKUP($B579,'Menü Kartları'!$B$5:$C$154,2,FALSE)),"")</f>
      </c>
      <c r="D579" s="8"/>
      <c r="E579" s="15">
        <f>IFERROR(IF($D579="","",VLOOKUP($D579,'Malzeme Kartları'!$B$5:$C$204,2,FALSE)),"— tanımsız —")</f>
      </c>
      <c r="F579" s="16"/>
      <c r="G579" s="15">
        <f>IFERROR(IF($D579="","",VLOOKUP($D579,'Malzeme Kartları'!$B$5:$D$204,3,FALSE)),"")</f>
      </c>
      <c r="H579" s="17">
        <f>IFERROR(IF(OR($D579="",$F579=""),0,$F579*VLOOKUP($D579,'Malzeme Kartları'!$B$5:$G$204,6,FALSE)),0)</f>
      </c>
    </row>
    <row r="580" spans="2:8" x14ac:dyDescent="0.25">
      <c r="B580" s="12"/>
      <c r="C580" s="15">
        <f>IFERROR(IF($B580="","",VLOOKUP($B580,'Menü Kartları'!$B$5:$C$154,2,FALSE)),"")</f>
      </c>
      <c r="D580" s="12"/>
      <c r="E580" s="15">
        <f>IFERROR(IF($D580="","",VLOOKUP($D580,'Malzeme Kartları'!$B$5:$C$204,2,FALSE)),"— tanımsız —")</f>
      </c>
      <c r="F580" s="18"/>
      <c r="G580" s="15">
        <f>IFERROR(IF($D580="","",VLOOKUP($D580,'Malzeme Kartları'!$B$5:$D$204,3,FALSE)),"")</f>
      </c>
      <c r="H580" s="17">
        <f>IFERROR(IF(OR($D580="",$F580=""),0,$F580*VLOOKUP($D580,'Malzeme Kartları'!$B$5:$G$204,6,FALSE)),0)</f>
      </c>
    </row>
    <row r="581" spans="2:8" x14ac:dyDescent="0.25">
      <c r="B581" s="8"/>
      <c r="C581" s="15">
        <f>IFERROR(IF($B581="","",VLOOKUP($B581,'Menü Kartları'!$B$5:$C$154,2,FALSE)),"")</f>
      </c>
      <c r="D581" s="8"/>
      <c r="E581" s="15">
        <f>IFERROR(IF($D581="","",VLOOKUP($D581,'Malzeme Kartları'!$B$5:$C$204,2,FALSE)),"— tanımsız —")</f>
      </c>
      <c r="F581" s="16"/>
      <c r="G581" s="15">
        <f>IFERROR(IF($D581="","",VLOOKUP($D581,'Malzeme Kartları'!$B$5:$D$204,3,FALSE)),"")</f>
      </c>
      <c r="H581" s="17">
        <f>IFERROR(IF(OR($D581="",$F581=""),0,$F581*VLOOKUP($D581,'Malzeme Kartları'!$B$5:$G$204,6,FALSE)),0)</f>
      </c>
    </row>
    <row r="582" spans="2:8" x14ac:dyDescent="0.25">
      <c r="B582" s="12"/>
      <c r="C582" s="15">
        <f>IFERROR(IF($B582="","",VLOOKUP($B582,'Menü Kartları'!$B$5:$C$154,2,FALSE)),"")</f>
      </c>
      <c r="D582" s="12"/>
      <c r="E582" s="15">
        <f>IFERROR(IF($D582="","",VLOOKUP($D582,'Malzeme Kartları'!$B$5:$C$204,2,FALSE)),"— tanımsız —")</f>
      </c>
      <c r="F582" s="18"/>
      <c r="G582" s="15">
        <f>IFERROR(IF($D582="","",VLOOKUP($D582,'Malzeme Kartları'!$B$5:$D$204,3,FALSE)),"")</f>
      </c>
      <c r="H582" s="17">
        <f>IFERROR(IF(OR($D582="",$F582=""),0,$F582*VLOOKUP($D582,'Malzeme Kartları'!$B$5:$G$204,6,FALSE)),0)</f>
      </c>
    </row>
    <row r="583" spans="2:8" x14ac:dyDescent="0.25">
      <c r="B583" s="8"/>
      <c r="C583" s="15">
        <f>IFERROR(IF($B583="","",VLOOKUP($B583,'Menü Kartları'!$B$5:$C$154,2,FALSE)),"")</f>
      </c>
      <c r="D583" s="8"/>
      <c r="E583" s="15">
        <f>IFERROR(IF($D583="","",VLOOKUP($D583,'Malzeme Kartları'!$B$5:$C$204,2,FALSE)),"— tanımsız —")</f>
      </c>
      <c r="F583" s="16"/>
      <c r="G583" s="15">
        <f>IFERROR(IF($D583="","",VLOOKUP($D583,'Malzeme Kartları'!$B$5:$D$204,3,FALSE)),"")</f>
      </c>
      <c r="H583" s="17">
        <f>IFERROR(IF(OR($D583="",$F583=""),0,$F583*VLOOKUP($D583,'Malzeme Kartları'!$B$5:$G$204,6,FALSE)),0)</f>
      </c>
    </row>
    <row r="584" spans="2:8" x14ac:dyDescent="0.25">
      <c r="B584" s="12"/>
      <c r="C584" s="15">
        <f>IFERROR(IF($B584="","",VLOOKUP($B584,'Menü Kartları'!$B$5:$C$154,2,FALSE)),"")</f>
      </c>
      <c r="D584" s="12"/>
      <c r="E584" s="15">
        <f>IFERROR(IF($D584="","",VLOOKUP($D584,'Malzeme Kartları'!$B$5:$C$204,2,FALSE)),"— tanımsız —")</f>
      </c>
      <c r="F584" s="18"/>
      <c r="G584" s="15">
        <f>IFERROR(IF($D584="","",VLOOKUP($D584,'Malzeme Kartları'!$B$5:$D$204,3,FALSE)),"")</f>
      </c>
      <c r="H584" s="17">
        <f>IFERROR(IF(OR($D584="",$F584=""),0,$F584*VLOOKUP($D584,'Malzeme Kartları'!$B$5:$G$204,6,FALSE)),0)</f>
      </c>
    </row>
    <row r="585" spans="2:8" x14ac:dyDescent="0.25">
      <c r="B585" s="8"/>
      <c r="C585" s="15">
        <f>IFERROR(IF($B585="","",VLOOKUP($B585,'Menü Kartları'!$B$5:$C$154,2,FALSE)),"")</f>
      </c>
      <c r="D585" s="8"/>
      <c r="E585" s="15">
        <f>IFERROR(IF($D585="","",VLOOKUP($D585,'Malzeme Kartları'!$B$5:$C$204,2,FALSE)),"— tanımsız —")</f>
      </c>
      <c r="F585" s="16"/>
      <c r="G585" s="15">
        <f>IFERROR(IF($D585="","",VLOOKUP($D585,'Malzeme Kartları'!$B$5:$D$204,3,FALSE)),"")</f>
      </c>
      <c r="H585" s="17">
        <f>IFERROR(IF(OR($D585="",$F585=""),0,$F585*VLOOKUP($D585,'Malzeme Kartları'!$B$5:$G$204,6,FALSE)),0)</f>
      </c>
    </row>
    <row r="586" spans="2:8" x14ac:dyDescent="0.25">
      <c r="B586" s="12"/>
      <c r="C586" s="15">
        <f>IFERROR(IF($B586="","",VLOOKUP($B586,'Menü Kartları'!$B$5:$C$154,2,FALSE)),"")</f>
      </c>
      <c r="D586" s="12"/>
      <c r="E586" s="15">
        <f>IFERROR(IF($D586="","",VLOOKUP($D586,'Malzeme Kartları'!$B$5:$C$204,2,FALSE)),"— tanımsız —")</f>
      </c>
      <c r="F586" s="18"/>
      <c r="G586" s="15">
        <f>IFERROR(IF($D586="","",VLOOKUP($D586,'Malzeme Kartları'!$B$5:$D$204,3,FALSE)),"")</f>
      </c>
      <c r="H586" s="17">
        <f>IFERROR(IF(OR($D586="",$F586=""),0,$F586*VLOOKUP($D586,'Malzeme Kartları'!$B$5:$G$204,6,FALSE)),0)</f>
      </c>
    </row>
    <row r="587" spans="2:8" x14ac:dyDescent="0.25">
      <c r="B587" s="8"/>
      <c r="C587" s="15">
        <f>IFERROR(IF($B587="","",VLOOKUP($B587,'Menü Kartları'!$B$5:$C$154,2,FALSE)),"")</f>
      </c>
      <c r="D587" s="8"/>
      <c r="E587" s="15">
        <f>IFERROR(IF($D587="","",VLOOKUP($D587,'Malzeme Kartları'!$B$5:$C$204,2,FALSE)),"— tanımsız —")</f>
      </c>
      <c r="F587" s="16"/>
      <c r="G587" s="15">
        <f>IFERROR(IF($D587="","",VLOOKUP($D587,'Malzeme Kartları'!$B$5:$D$204,3,FALSE)),"")</f>
      </c>
      <c r="H587" s="17">
        <f>IFERROR(IF(OR($D587="",$F587=""),0,$F587*VLOOKUP($D587,'Malzeme Kartları'!$B$5:$G$204,6,FALSE)),0)</f>
      </c>
    </row>
    <row r="588" spans="2:8" x14ac:dyDescent="0.25">
      <c r="B588" s="12"/>
      <c r="C588" s="15">
        <f>IFERROR(IF($B588="","",VLOOKUP($B588,'Menü Kartları'!$B$5:$C$154,2,FALSE)),"")</f>
      </c>
      <c r="D588" s="12"/>
      <c r="E588" s="15">
        <f>IFERROR(IF($D588="","",VLOOKUP($D588,'Malzeme Kartları'!$B$5:$C$204,2,FALSE)),"— tanımsız —")</f>
      </c>
      <c r="F588" s="18"/>
      <c r="G588" s="15">
        <f>IFERROR(IF($D588="","",VLOOKUP($D588,'Malzeme Kartları'!$B$5:$D$204,3,FALSE)),"")</f>
      </c>
      <c r="H588" s="17">
        <f>IFERROR(IF(OR($D588="",$F588=""),0,$F588*VLOOKUP($D588,'Malzeme Kartları'!$B$5:$G$204,6,FALSE)),0)</f>
      </c>
    </row>
    <row r="589" spans="2:8" x14ac:dyDescent="0.25">
      <c r="B589" s="8"/>
      <c r="C589" s="15">
        <f>IFERROR(IF($B589="","",VLOOKUP($B589,'Menü Kartları'!$B$5:$C$154,2,FALSE)),"")</f>
      </c>
      <c r="D589" s="8"/>
      <c r="E589" s="15">
        <f>IFERROR(IF($D589="","",VLOOKUP($D589,'Malzeme Kartları'!$B$5:$C$204,2,FALSE)),"— tanımsız —")</f>
      </c>
      <c r="F589" s="16"/>
      <c r="G589" s="15">
        <f>IFERROR(IF($D589="","",VLOOKUP($D589,'Malzeme Kartları'!$B$5:$D$204,3,FALSE)),"")</f>
      </c>
      <c r="H589" s="17">
        <f>IFERROR(IF(OR($D589="",$F589=""),0,$F589*VLOOKUP($D589,'Malzeme Kartları'!$B$5:$G$204,6,FALSE)),0)</f>
      </c>
    </row>
    <row r="590" spans="2:8" x14ac:dyDescent="0.25">
      <c r="B590" s="12"/>
      <c r="C590" s="15">
        <f>IFERROR(IF($B590="","",VLOOKUP($B590,'Menü Kartları'!$B$5:$C$154,2,FALSE)),"")</f>
      </c>
      <c r="D590" s="12"/>
      <c r="E590" s="15">
        <f>IFERROR(IF($D590="","",VLOOKUP($D590,'Malzeme Kartları'!$B$5:$C$204,2,FALSE)),"— tanımsız —")</f>
      </c>
      <c r="F590" s="18"/>
      <c r="G590" s="15">
        <f>IFERROR(IF($D590="","",VLOOKUP($D590,'Malzeme Kartları'!$B$5:$D$204,3,FALSE)),"")</f>
      </c>
      <c r="H590" s="17">
        <f>IFERROR(IF(OR($D590="",$F590=""),0,$F590*VLOOKUP($D590,'Malzeme Kartları'!$B$5:$G$204,6,FALSE)),0)</f>
      </c>
    </row>
    <row r="591" spans="2:8" x14ac:dyDescent="0.25">
      <c r="B591" s="8"/>
      <c r="C591" s="15">
        <f>IFERROR(IF($B591="","",VLOOKUP($B591,'Menü Kartları'!$B$5:$C$154,2,FALSE)),"")</f>
      </c>
      <c r="D591" s="8"/>
      <c r="E591" s="15">
        <f>IFERROR(IF($D591="","",VLOOKUP($D591,'Malzeme Kartları'!$B$5:$C$204,2,FALSE)),"— tanımsız —")</f>
      </c>
      <c r="F591" s="16"/>
      <c r="G591" s="15">
        <f>IFERROR(IF($D591="","",VLOOKUP($D591,'Malzeme Kartları'!$B$5:$D$204,3,FALSE)),"")</f>
      </c>
      <c r="H591" s="17">
        <f>IFERROR(IF(OR($D591="",$F591=""),0,$F591*VLOOKUP($D591,'Malzeme Kartları'!$B$5:$G$204,6,FALSE)),0)</f>
      </c>
    </row>
    <row r="592" spans="2:8" x14ac:dyDescent="0.25">
      <c r="B592" s="12"/>
      <c r="C592" s="15">
        <f>IFERROR(IF($B592="","",VLOOKUP($B592,'Menü Kartları'!$B$5:$C$154,2,FALSE)),"")</f>
      </c>
      <c r="D592" s="12"/>
      <c r="E592" s="15">
        <f>IFERROR(IF($D592="","",VLOOKUP($D592,'Malzeme Kartları'!$B$5:$C$204,2,FALSE)),"— tanımsız —")</f>
      </c>
      <c r="F592" s="18"/>
      <c r="G592" s="15">
        <f>IFERROR(IF($D592="","",VLOOKUP($D592,'Malzeme Kartları'!$B$5:$D$204,3,FALSE)),"")</f>
      </c>
      <c r="H592" s="17">
        <f>IFERROR(IF(OR($D592="",$F592=""),0,$F592*VLOOKUP($D592,'Malzeme Kartları'!$B$5:$G$204,6,FALSE)),0)</f>
      </c>
    </row>
    <row r="593" spans="2:8" x14ac:dyDescent="0.25">
      <c r="B593" s="8"/>
      <c r="C593" s="15">
        <f>IFERROR(IF($B593="","",VLOOKUP($B593,'Menü Kartları'!$B$5:$C$154,2,FALSE)),"")</f>
      </c>
      <c r="D593" s="8"/>
      <c r="E593" s="15">
        <f>IFERROR(IF($D593="","",VLOOKUP($D593,'Malzeme Kartları'!$B$5:$C$204,2,FALSE)),"— tanımsız —")</f>
      </c>
      <c r="F593" s="16"/>
      <c r="G593" s="15">
        <f>IFERROR(IF($D593="","",VLOOKUP($D593,'Malzeme Kartları'!$B$5:$D$204,3,FALSE)),"")</f>
      </c>
      <c r="H593" s="17">
        <f>IFERROR(IF(OR($D593="",$F593=""),0,$F593*VLOOKUP($D593,'Malzeme Kartları'!$B$5:$G$204,6,FALSE)),0)</f>
      </c>
    </row>
    <row r="594" spans="2:8" x14ac:dyDescent="0.25">
      <c r="B594" s="12"/>
      <c r="C594" s="15">
        <f>IFERROR(IF($B594="","",VLOOKUP($B594,'Menü Kartları'!$B$5:$C$154,2,FALSE)),"")</f>
      </c>
      <c r="D594" s="12"/>
      <c r="E594" s="15">
        <f>IFERROR(IF($D594="","",VLOOKUP($D594,'Malzeme Kartları'!$B$5:$C$204,2,FALSE)),"— tanımsız —")</f>
      </c>
      <c r="F594" s="18"/>
      <c r="G594" s="15">
        <f>IFERROR(IF($D594="","",VLOOKUP($D594,'Malzeme Kartları'!$B$5:$D$204,3,FALSE)),"")</f>
      </c>
      <c r="H594" s="17">
        <f>IFERROR(IF(OR($D594="",$F594=""),0,$F594*VLOOKUP($D594,'Malzeme Kartları'!$B$5:$G$204,6,FALSE)),0)</f>
      </c>
    </row>
    <row r="595" spans="2:8" x14ac:dyDescent="0.25">
      <c r="B595" s="8"/>
      <c r="C595" s="15">
        <f>IFERROR(IF($B595="","",VLOOKUP($B595,'Menü Kartları'!$B$5:$C$154,2,FALSE)),"")</f>
      </c>
      <c r="D595" s="8"/>
      <c r="E595" s="15">
        <f>IFERROR(IF($D595="","",VLOOKUP($D595,'Malzeme Kartları'!$B$5:$C$204,2,FALSE)),"— tanımsız —")</f>
      </c>
      <c r="F595" s="16"/>
      <c r="G595" s="15">
        <f>IFERROR(IF($D595="","",VLOOKUP($D595,'Malzeme Kartları'!$B$5:$D$204,3,FALSE)),"")</f>
      </c>
      <c r="H595" s="17">
        <f>IFERROR(IF(OR($D595="",$F595=""),0,$F595*VLOOKUP($D595,'Malzeme Kartları'!$B$5:$G$204,6,FALSE)),0)</f>
      </c>
    </row>
    <row r="596" spans="2:8" x14ac:dyDescent="0.25">
      <c r="B596" s="12"/>
      <c r="C596" s="15">
        <f>IFERROR(IF($B596="","",VLOOKUP($B596,'Menü Kartları'!$B$5:$C$154,2,FALSE)),"")</f>
      </c>
      <c r="D596" s="12"/>
      <c r="E596" s="15">
        <f>IFERROR(IF($D596="","",VLOOKUP($D596,'Malzeme Kartları'!$B$5:$C$204,2,FALSE)),"— tanımsız —")</f>
      </c>
      <c r="F596" s="18"/>
      <c r="G596" s="15">
        <f>IFERROR(IF($D596="","",VLOOKUP($D596,'Malzeme Kartları'!$B$5:$D$204,3,FALSE)),"")</f>
      </c>
      <c r="H596" s="17">
        <f>IFERROR(IF(OR($D596="",$F596=""),0,$F596*VLOOKUP($D596,'Malzeme Kartları'!$B$5:$G$204,6,FALSE)),0)</f>
      </c>
    </row>
    <row r="597" spans="2:8" x14ac:dyDescent="0.25">
      <c r="B597" s="8"/>
      <c r="C597" s="15">
        <f>IFERROR(IF($B597="","",VLOOKUP($B597,'Menü Kartları'!$B$5:$C$154,2,FALSE)),"")</f>
      </c>
      <c r="D597" s="8"/>
      <c r="E597" s="15">
        <f>IFERROR(IF($D597="","",VLOOKUP($D597,'Malzeme Kartları'!$B$5:$C$204,2,FALSE)),"— tanımsız —")</f>
      </c>
      <c r="F597" s="16"/>
      <c r="G597" s="15">
        <f>IFERROR(IF($D597="","",VLOOKUP($D597,'Malzeme Kartları'!$B$5:$D$204,3,FALSE)),"")</f>
      </c>
      <c r="H597" s="17">
        <f>IFERROR(IF(OR($D597="",$F597=""),0,$F597*VLOOKUP($D597,'Malzeme Kartları'!$B$5:$G$204,6,FALSE)),0)</f>
      </c>
    </row>
    <row r="598" spans="2:8" x14ac:dyDescent="0.25">
      <c r="B598" s="12"/>
      <c r="C598" s="15">
        <f>IFERROR(IF($B598="","",VLOOKUP($B598,'Menü Kartları'!$B$5:$C$154,2,FALSE)),"")</f>
      </c>
      <c r="D598" s="12"/>
      <c r="E598" s="15">
        <f>IFERROR(IF($D598="","",VLOOKUP($D598,'Malzeme Kartları'!$B$5:$C$204,2,FALSE)),"— tanımsız —")</f>
      </c>
      <c r="F598" s="18"/>
      <c r="G598" s="15">
        <f>IFERROR(IF($D598="","",VLOOKUP($D598,'Malzeme Kartları'!$B$5:$D$204,3,FALSE)),"")</f>
      </c>
      <c r="H598" s="17">
        <f>IFERROR(IF(OR($D598="",$F598=""),0,$F598*VLOOKUP($D598,'Malzeme Kartları'!$B$5:$G$204,6,FALSE)),0)</f>
      </c>
    </row>
    <row r="599" spans="2:8" x14ac:dyDescent="0.25">
      <c r="B599" s="8"/>
      <c r="C599" s="15">
        <f>IFERROR(IF($B599="","",VLOOKUP($B599,'Menü Kartları'!$B$5:$C$154,2,FALSE)),"")</f>
      </c>
      <c r="D599" s="8"/>
      <c r="E599" s="15">
        <f>IFERROR(IF($D599="","",VLOOKUP($D599,'Malzeme Kartları'!$B$5:$C$204,2,FALSE)),"— tanımsız —")</f>
      </c>
      <c r="F599" s="16"/>
      <c r="G599" s="15">
        <f>IFERROR(IF($D599="","",VLOOKUP($D599,'Malzeme Kartları'!$B$5:$D$204,3,FALSE)),"")</f>
      </c>
      <c r="H599" s="17">
        <f>IFERROR(IF(OR($D599="",$F599=""),0,$F599*VLOOKUP($D599,'Malzeme Kartları'!$B$5:$G$204,6,FALSE)),0)</f>
      </c>
    </row>
    <row r="600" spans="2:8" x14ac:dyDescent="0.25">
      <c r="B600" s="12"/>
      <c r="C600" s="15">
        <f>IFERROR(IF($B600="","",VLOOKUP($B600,'Menü Kartları'!$B$5:$C$154,2,FALSE)),"")</f>
      </c>
      <c r="D600" s="12"/>
      <c r="E600" s="15">
        <f>IFERROR(IF($D600="","",VLOOKUP($D600,'Malzeme Kartları'!$B$5:$C$204,2,FALSE)),"— tanımsız —")</f>
      </c>
      <c r="F600" s="18"/>
      <c r="G600" s="15">
        <f>IFERROR(IF($D600="","",VLOOKUP($D600,'Malzeme Kartları'!$B$5:$D$204,3,FALSE)),"")</f>
      </c>
      <c r="H600" s="17">
        <f>IFERROR(IF(OR($D600="",$F600=""),0,$F600*VLOOKUP($D600,'Malzeme Kartları'!$B$5:$G$204,6,FALSE)),0)</f>
      </c>
    </row>
    <row r="601" spans="2:8" x14ac:dyDescent="0.25">
      <c r="B601" s="8"/>
      <c r="C601" s="15">
        <f>IFERROR(IF($B601="","",VLOOKUP($B601,'Menü Kartları'!$B$5:$C$154,2,FALSE)),"")</f>
      </c>
      <c r="D601" s="8"/>
      <c r="E601" s="15">
        <f>IFERROR(IF($D601="","",VLOOKUP($D601,'Malzeme Kartları'!$B$5:$C$204,2,FALSE)),"— tanımsız —")</f>
      </c>
      <c r="F601" s="16"/>
      <c r="G601" s="15">
        <f>IFERROR(IF($D601="","",VLOOKUP($D601,'Malzeme Kartları'!$B$5:$D$204,3,FALSE)),"")</f>
      </c>
      <c r="H601" s="17">
        <f>IFERROR(IF(OR($D601="",$F601=""),0,$F601*VLOOKUP($D601,'Malzeme Kartları'!$B$5:$G$204,6,FALSE)),0)</f>
      </c>
    </row>
    <row r="602" spans="2:8" x14ac:dyDescent="0.25">
      <c r="B602" s="12"/>
      <c r="C602" s="15">
        <f>IFERROR(IF($B602="","",VLOOKUP($B602,'Menü Kartları'!$B$5:$C$154,2,FALSE)),"")</f>
      </c>
      <c r="D602" s="12"/>
      <c r="E602" s="15">
        <f>IFERROR(IF($D602="","",VLOOKUP($D602,'Malzeme Kartları'!$B$5:$C$204,2,FALSE)),"— tanımsız —")</f>
      </c>
      <c r="F602" s="18"/>
      <c r="G602" s="15">
        <f>IFERROR(IF($D602="","",VLOOKUP($D602,'Malzeme Kartları'!$B$5:$D$204,3,FALSE)),"")</f>
      </c>
      <c r="H602" s="17">
        <f>IFERROR(IF(OR($D602="",$F602=""),0,$F602*VLOOKUP($D602,'Malzeme Kartları'!$B$5:$G$204,6,FALSE)),0)</f>
      </c>
    </row>
    <row r="603" spans="2:8" x14ac:dyDescent="0.25">
      <c r="B603" s="8"/>
      <c r="C603" s="15">
        <f>IFERROR(IF($B603="","",VLOOKUP($B603,'Menü Kartları'!$B$5:$C$154,2,FALSE)),"")</f>
      </c>
      <c r="D603" s="8"/>
      <c r="E603" s="15">
        <f>IFERROR(IF($D603="","",VLOOKUP($D603,'Malzeme Kartları'!$B$5:$C$204,2,FALSE)),"— tanımsız —")</f>
      </c>
      <c r="F603" s="16"/>
      <c r="G603" s="15">
        <f>IFERROR(IF($D603="","",VLOOKUP($D603,'Malzeme Kartları'!$B$5:$D$204,3,FALSE)),"")</f>
      </c>
      <c r="H603" s="17">
        <f>IFERROR(IF(OR($D603="",$F603=""),0,$F603*VLOOKUP($D603,'Malzeme Kartları'!$B$5:$G$204,6,FALSE)),0)</f>
      </c>
    </row>
    <row r="604" spans="2:8" x14ac:dyDescent="0.25">
      <c r="B604" s="12"/>
      <c r="C604" s="15">
        <f>IFERROR(IF($B604="","",VLOOKUP($B604,'Menü Kartları'!$B$5:$C$154,2,FALSE)),"")</f>
      </c>
      <c r="D604" s="12"/>
      <c r="E604" s="15">
        <f>IFERROR(IF($D604="","",VLOOKUP($D604,'Malzeme Kartları'!$B$5:$C$204,2,FALSE)),"— tanımsız —")</f>
      </c>
      <c r="F604" s="18"/>
      <c r="G604" s="15">
        <f>IFERROR(IF($D604="","",VLOOKUP($D604,'Malzeme Kartları'!$B$5:$D$204,3,FALSE)),"")</f>
      </c>
      <c r="H604" s="17">
        <f>IFERROR(IF(OR($D604="",$F604=""),0,$F604*VLOOKUP($D604,'Malzeme Kartları'!$B$5:$G$204,6,FALSE)),0)</f>
      </c>
    </row>
    <row r="605" spans="2:8" x14ac:dyDescent="0.25">
      <c r="B605" s="8"/>
      <c r="C605" s="15">
        <f>IFERROR(IF($B605="","",VLOOKUP($B605,'Menü Kartları'!$B$5:$C$154,2,FALSE)),"")</f>
      </c>
      <c r="D605" s="8"/>
      <c r="E605" s="15">
        <f>IFERROR(IF($D605="","",VLOOKUP($D605,'Malzeme Kartları'!$B$5:$C$204,2,FALSE)),"— tanımsız —")</f>
      </c>
      <c r="F605" s="16"/>
      <c r="G605" s="15">
        <f>IFERROR(IF($D605="","",VLOOKUP($D605,'Malzeme Kartları'!$B$5:$D$204,3,FALSE)),"")</f>
      </c>
      <c r="H605" s="17">
        <f>IFERROR(IF(OR($D605="",$F605=""),0,$F605*VLOOKUP($D605,'Malzeme Kartları'!$B$5:$G$204,6,FALSE)),0)</f>
      </c>
    </row>
    <row r="606" spans="2:8" x14ac:dyDescent="0.25">
      <c r="B606" s="12"/>
      <c r="C606" s="15">
        <f>IFERROR(IF($B606="","",VLOOKUP($B606,'Menü Kartları'!$B$5:$C$154,2,FALSE)),"")</f>
      </c>
      <c r="D606" s="12"/>
      <c r="E606" s="15">
        <f>IFERROR(IF($D606="","",VLOOKUP($D606,'Malzeme Kartları'!$B$5:$C$204,2,FALSE)),"— tanımsız —")</f>
      </c>
      <c r="F606" s="18"/>
      <c r="G606" s="15">
        <f>IFERROR(IF($D606="","",VLOOKUP($D606,'Malzeme Kartları'!$B$5:$D$204,3,FALSE)),"")</f>
      </c>
      <c r="H606" s="17">
        <f>IFERROR(IF(OR($D606="",$F606=""),0,$F606*VLOOKUP($D606,'Malzeme Kartları'!$B$5:$G$204,6,FALSE)),0)</f>
      </c>
    </row>
    <row r="607" spans="2:8" x14ac:dyDescent="0.25">
      <c r="B607" s="8"/>
      <c r="C607" s="15">
        <f>IFERROR(IF($B607="","",VLOOKUP($B607,'Menü Kartları'!$B$5:$C$154,2,FALSE)),"")</f>
      </c>
      <c r="D607" s="8"/>
      <c r="E607" s="15">
        <f>IFERROR(IF($D607="","",VLOOKUP($D607,'Malzeme Kartları'!$B$5:$C$204,2,FALSE)),"— tanımsız —")</f>
      </c>
      <c r="F607" s="16"/>
      <c r="G607" s="15">
        <f>IFERROR(IF($D607="","",VLOOKUP($D607,'Malzeme Kartları'!$B$5:$D$204,3,FALSE)),"")</f>
      </c>
      <c r="H607" s="17">
        <f>IFERROR(IF(OR($D607="",$F607=""),0,$F607*VLOOKUP($D607,'Malzeme Kartları'!$B$5:$G$204,6,FALSE)),0)</f>
      </c>
    </row>
    <row r="608" spans="2:8" x14ac:dyDescent="0.25">
      <c r="B608" s="12"/>
      <c r="C608" s="15">
        <f>IFERROR(IF($B608="","",VLOOKUP($B608,'Menü Kartları'!$B$5:$C$154,2,FALSE)),"")</f>
      </c>
      <c r="D608" s="12"/>
      <c r="E608" s="15">
        <f>IFERROR(IF($D608="","",VLOOKUP($D608,'Malzeme Kartları'!$B$5:$C$204,2,FALSE)),"— tanımsız —")</f>
      </c>
      <c r="F608" s="18"/>
      <c r="G608" s="15">
        <f>IFERROR(IF($D608="","",VLOOKUP($D608,'Malzeme Kartları'!$B$5:$D$204,3,FALSE)),"")</f>
      </c>
      <c r="H608" s="17">
        <f>IFERROR(IF(OR($D608="",$F608=""),0,$F608*VLOOKUP($D608,'Malzeme Kartları'!$B$5:$G$204,6,FALSE)),0)</f>
      </c>
    </row>
    <row r="609" spans="2:8" x14ac:dyDescent="0.25">
      <c r="B609" s="8"/>
      <c r="C609" s="15">
        <f>IFERROR(IF($B609="","",VLOOKUP($B609,'Menü Kartları'!$B$5:$C$154,2,FALSE)),"")</f>
      </c>
      <c r="D609" s="8"/>
      <c r="E609" s="15">
        <f>IFERROR(IF($D609="","",VLOOKUP($D609,'Malzeme Kartları'!$B$5:$C$204,2,FALSE)),"— tanımsız —")</f>
      </c>
      <c r="F609" s="16"/>
      <c r="G609" s="15">
        <f>IFERROR(IF($D609="","",VLOOKUP($D609,'Malzeme Kartları'!$B$5:$D$204,3,FALSE)),"")</f>
      </c>
      <c r="H609" s="17">
        <f>IFERROR(IF(OR($D609="",$F609=""),0,$F609*VLOOKUP($D609,'Malzeme Kartları'!$B$5:$G$204,6,FALSE)),0)</f>
      </c>
    </row>
    <row r="610" spans="2:8" x14ac:dyDescent="0.25">
      <c r="B610" s="12"/>
      <c r="C610" s="15">
        <f>IFERROR(IF($B610="","",VLOOKUP($B610,'Menü Kartları'!$B$5:$C$154,2,FALSE)),"")</f>
      </c>
      <c r="D610" s="12"/>
      <c r="E610" s="15">
        <f>IFERROR(IF($D610="","",VLOOKUP($D610,'Malzeme Kartları'!$B$5:$C$204,2,FALSE)),"— tanımsız —")</f>
      </c>
      <c r="F610" s="18"/>
      <c r="G610" s="15">
        <f>IFERROR(IF($D610="","",VLOOKUP($D610,'Malzeme Kartları'!$B$5:$D$204,3,FALSE)),"")</f>
      </c>
      <c r="H610" s="17">
        <f>IFERROR(IF(OR($D610="",$F610=""),0,$F610*VLOOKUP($D610,'Malzeme Kartları'!$B$5:$G$204,6,FALSE)),0)</f>
      </c>
    </row>
    <row r="611" spans="2:8" x14ac:dyDescent="0.25">
      <c r="B611" s="8"/>
      <c r="C611" s="15">
        <f>IFERROR(IF($B611="","",VLOOKUP($B611,'Menü Kartları'!$B$5:$C$154,2,FALSE)),"")</f>
      </c>
      <c r="D611" s="8"/>
      <c r="E611" s="15">
        <f>IFERROR(IF($D611="","",VLOOKUP($D611,'Malzeme Kartları'!$B$5:$C$204,2,FALSE)),"— tanımsız —")</f>
      </c>
      <c r="F611" s="16"/>
      <c r="G611" s="15">
        <f>IFERROR(IF($D611="","",VLOOKUP($D611,'Malzeme Kartları'!$B$5:$D$204,3,FALSE)),"")</f>
      </c>
      <c r="H611" s="17">
        <f>IFERROR(IF(OR($D611="",$F611=""),0,$F611*VLOOKUP($D611,'Malzeme Kartları'!$B$5:$G$204,6,FALSE)),0)</f>
      </c>
    </row>
    <row r="612" spans="2:8" x14ac:dyDescent="0.25">
      <c r="B612" s="12"/>
      <c r="C612" s="15">
        <f>IFERROR(IF($B612="","",VLOOKUP($B612,'Menü Kartları'!$B$5:$C$154,2,FALSE)),"")</f>
      </c>
      <c r="D612" s="12"/>
      <c r="E612" s="15">
        <f>IFERROR(IF($D612="","",VLOOKUP($D612,'Malzeme Kartları'!$B$5:$C$204,2,FALSE)),"— tanımsız —")</f>
      </c>
      <c r="F612" s="18"/>
      <c r="G612" s="15">
        <f>IFERROR(IF($D612="","",VLOOKUP($D612,'Malzeme Kartları'!$B$5:$D$204,3,FALSE)),"")</f>
      </c>
      <c r="H612" s="17">
        <f>IFERROR(IF(OR($D612="",$F612=""),0,$F612*VLOOKUP($D612,'Malzeme Kartları'!$B$5:$G$204,6,FALSE)),0)</f>
      </c>
    </row>
    <row r="613" spans="2:8" x14ac:dyDescent="0.25">
      <c r="B613" s="8"/>
      <c r="C613" s="15">
        <f>IFERROR(IF($B613="","",VLOOKUP($B613,'Menü Kartları'!$B$5:$C$154,2,FALSE)),"")</f>
      </c>
      <c r="D613" s="8"/>
      <c r="E613" s="15">
        <f>IFERROR(IF($D613="","",VLOOKUP($D613,'Malzeme Kartları'!$B$5:$C$204,2,FALSE)),"— tanımsız —")</f>
      </c>
      <c r="F613" s="16"/>
      <c r="G613" s="15">
        <f>IFERROR(IF($D613="","",VLOOKUP($D613,'Malzeme Kartları'!$B$5:$D$204,3,FALSE)),"")</f>
      </c>
      <c r="H613" s="17">
        <f>IFERROR(IF(OR($D613="",$F613=""),0,$F613*VLOOKUP($D613,'Malzeme Kartları'!$B$5:$G$204,6,FALSE)),0)</f>
      </c>
    </row>
    <row r="614" spans="2:8" x14ac:dyDescent="0.25">
      <c r="B614" s="12"/>
      <c r="C614" s="15">
        <f>IFERROR(IF($B614="","",VLOOKUP($B614,'Menü Kartları'!$B$5:$C$154,2,FALSE)),"")</f>
      </c>
      <c r="D614" s="12"/>
      <c r="E614" s="15">
        <f>IFERROR(IF($D614="","",VLOOKUP($D614,'Malzeme Kartları'!$B$5:$C$204,2,FALSE)),"— tanımsız —")</f>
      </c>
      <c r="F614" s="18"/>
      <c r="G614" s="15">
        <f>IFERROR(IF($D614="","",VLOOKUP($D614,'Malzeme Kartları'!$B$5:$D$204,3,FALSE)),"")</f>
      </c>
      <c r="H614" s="17">
        <f>IFERROR(IF(OR($D614="",$F614=""),0,$F614*VLOOKUP($D614,'Malzeme Kartları'!$B$5:$G$204,6,FALSE)),0)</f>
      </c>
    </row>
    <row r="615" spans="2:8" x14ac:dyDescent="0.25">
      <c r="B615" s="8"/>
      <c r="C615" s="15">
        <f>IFERROR(IF($B615="","",VLOOKUP($B615,'Menü Kartları'!$B$5:$C$154,2,FALSE)),"")</f>
      </c>
      <c r="D615" s="8"/>
      <c r="E615" s="15">
        <f>IFERROR(IF($D615="","",VLOOKUP($D615,'Malzeme Kartları'!$B$5:$C$204,2,FALSE)),"— tanımsız —")</f>
      </c>
      <c r="F615" s="16"/>
      <c r="G615" s="15">
        <f>IFERROR(IF($D615="","",VLOOKUP($D615,'Malzeme Kartları'!$B$5:$D$204,3,FALSE)),"")</f>
      </c>
      <c r="H615" s="17">
        <f>IFERROR(IF(OR($D615="",$F615=""),0,$F615*VLOOKUP($D615,'Malzeme Kartları'!$B$5:$G$204,6,FALSE)),0)</f>
      </c>
    </row>
    <row r="616" spans="2:8" x14ac:dyDescent="0.25">
      <c r="B616" s="12"/>
      <c r="C616" s="15">
        <f>IFERROR(IF($B616="","",VLOOKUP($B616,'Menü Kartları'!$B$5:$C$154,2,FALSE)),"")</f>
      </c>
      <c r="D616" s="12"/>
      <c r="E616" s="15">
        <f>IFERROR(IF($D616="","",VLOOKUP($D616,'Malzeme Kartları'!$B$5:$C$204,2,FALSE)),"— tanımsız —")</f>
      </c>
      <c r="F616" s="18"/>
      <c r="G616" s="15">
        <f>IFERROR(IF($D616="","",VLOOKUP($D616,'Malzeme Kartları'!$B$5:$D$204,3,FALSE)),"")</f>
      </c>
      <c r="H616" s="17">
        <f>IFERROR(IF(OR($D616="",$F616=""),0,$F616*VLOOKUP($D616,'Malzeme Kartları'!$B$5:$G$204,6,FALSE)),0)</f>
      </c>
    </row>
    <row r="617" spans="2:8" x14ac:dyDescent="0.25">
      <c r="B617" s="8"/>
      <c r="C617" s="15">
        <f>IFERROR(IF($B617="","",VLOOKUP($B617,'Menü Kartları'!$B$5:$C$154,2,FALSE)),"")</f>
      </c>
      <c r="D617" s="8"/>
      <c r="E617" s="15">
        <f>IFERROR(IF($D617="","",VLOOKUP($D617,'Malzeme Kartları'!$B$5:$C$204,2,FALSE)),"— tanımsız —")</f>
      </c>
      <c r="F617" s="16"/>
      <c r="G617" s="15">
        <f>IFERROR(IF($D617="","",VLOOKUP($D617,'Malzeme Kartları'!$B$5:$D$204,3,FALSE)),"")</f>
      </c>
      <c r="H617" s="17">
        <f>IFERROR(IF(OR($D617="",$F617=""),0,$F617*VLOOKUP($D617,'Malzeme Kartları'!$B$5:$G$204,6,FALSE)),0)</f>
      </c>
    </row>
    <row r="618" spans="2:8" x14ac:dyDescent="0.25">
      <c r="B618" s="12"/>
      <c r="C618" s="15">
        <f>IFERROR(IF($B618="","",VLOOKUP($B618,'Menü Kartları'!$B$5:$C$154,2,FALSE)),"")</f>
      </c>
      <c r="D618" s="12"/>
      <c r="E618" s="15">
        <f>IFERROR(IF($D618="","",VLOOKUP($D618,'Malzeme Kartları'!$B$5:$C$204,2,FALSE)),"— tanımsız —")</f>
      </c>
      <c r="F618" s="18"/>
      <c r="G618" s="15">
        <f>IFERROR(IF($D618="","",VLOOKUP($D618,'Malzeme Kartları'!$B$5:$D$204,3,FALSE)),"")</f>
      </c>
      <c r="H618" s="17">
        <f>IFERROR(IF(OR($D618="",$F618=""),0,$F618*VLOOKUP($D618,'Malzeme Kartları'!$B$5:$G$204,6,FALSE)),0)</f>
      </c>
    </row>
    <row r="619" spans="2:8" x14ac:dyDescent="0.25">
      <c r="B619" s="8"/>
      <c r="C619" s="15">
        <f>IFERROR(IF($B619="","",VLOOKUP($B619,'Menü Kartları'!$B$5:$C$154,2,FALSE)),"")</f>
      </c>
      <c r="D619" s="8"/>
      <c r="E619" s="15">
        <f>IFERROR(IF($D619="","",VLOOKUP($D619,'Malzeme Kartları'!$B$5:$C$204,2,FALSE)),"— tanımsız —")</f>
      </c>
      <c r="F619" s="16"/>
      <c r="G619" s="15">
        <f>IFERROR(IF($D619="","",VLOOKUP($D619,'Malzeme Kartları'!$B$5:$D$204,3,FALSE)),"")</f>
      </c>
      <c r="H619" s="17">
        <f>IFERROR(IF(OR($D619="",$F619=""),0,$F619*VLOOKUP($D619,'Malzeme Kartları'!$B$5:$G$204,6,FALSE)),0)</f>
      </c>
    </row>
    <row r="620" spans="2:8" x14ac:dyDescent="0.25">
      <c r="B620" s="12"/>
      <c r="C620" s="15">
        <f>IFERROR(IF($B620="","",VLOOKUP($B620,'Menü Kartları'!$B$5:$C$154,2,FALSE)),"")</f>
      </c>
      <c r="D620" s="12"/>
      <c r="E620" s="15">
        <f>IFERROR(IF($D620="","",VLOOKUP($D620,'Malzeme Kartları'!$B$5:$C$204,2,FALSE)),"— tanımsız —")</f>
      </c>
      <c r="F620" s="18"/>
      <c r="G620" s="15">
        <f>IFERROR(IF($D620="","",VLOOKUP($D620,'Malzeme Kartları'!$B$5:$D$204,3,FALSE)),"")</f>
      </c>
      <c r="H620" s="17">
        <f>IFERROR(IF(OR($D620="",$F620=""),0,$F620*VLOOKUP($D620,'Malzeme Kartları'!$B$5:$G$204,6,FALSE)),0)</f>
      </c>
    </row>
    <row r="621" spans="2:8" x14ac:dyDescent="0.25">
      <c r="B621" s="8"/>
      <c r="C621" s="15">
        <f>IFERROR(IF($B621="","",VLOOKUP($B621,'Menü Kartları'!$B$5:$C$154,2,FALSE)),"")</f>
      </c>
      <c r="D621" s="8"/>
      <c r="E621" s="15">
        <f>IFERROR(IF($D621="","",VLOOKUP($D621,'Malzeme Kartları'!$B$5:$C$204,2,FALSE)),"— tanımsız —")</f>
      </c>
      <c r="F621" s="16"/>
      <c r="G621" s="15">
        <f>IFERROR(IF($D621="","",VLOOKUP($D621,'Malzeme Kartları'!$B$5:$D$204,3,FALSE)),"")</f>
      </c>
      <c r="H621" s="17">
        <f>IFERROR(IF(OR($D621="",$F621=""),0,$F621*VLOOKUP($D621,'Malzeme Kartları'!$B$5:$G$204,6,FALSE)),0)</f>
      </c>
    </row>
    <row r="622" spans="2:8" x14ac:dyDescent="0.25">
      <c r="B622" s="12"/>
      <c r="C622" s="15">
        <f>IFERROR(IF($B622="","",VLOOKUP($B622,'Menü Kartları'!$B$5:$C$154,2,FALSE)),"")</f>
      </c>
      <c r="D622" s="12"/>
      <c r="E622" s="15">
        <f>IFERROR(IF($D622="","",VLOOKUP($D622,'Malzeme Kartları'!$B$5:$C$204,2,FALSE)),"— tanımsız —")</f>
      </c>
      <c r="F622" s="18"/>
      <c r="G622" s="15">
        <f>IFERROR(IF($D622="","",VLOOKUP($D622,'Malzeme Kartları'!$B$5:$D$204,3,FALSE)),"")</f>
      </c>
      <c r="H622" s="17">
        <f>IFERROR(IF(OR($D622="",$F622=""),0,$F622*VLOOKUP($D622,'Malzeme Kartları'!$B$5:$G$204,6,FALSE)),0)</f>
      </c>
    </row>
    <row r="623" spans="2:8" x14ac:dyDescent="0.25">
      <c r="B623" s="8"/>
      <c r="C623" s="15">
        <f>IFERROR(IF($B623="","",VLOOKUP($B623,'Menü Kartları'!$B$5:$C$154,2,FALSE)),"")</f>
      </c>
      <c r="D623" s="8"/>
      <c r="E623" s="15">
        <f>IFERROR(IF($D623="","",VLOOKUP($D623,'Malzeme Kartları'!$B$5:$C$204,2,FALSE)),"— tanımsız —")</f>
      </c>
      <c r="F623" s="16"/>
      <c r="G623" s="15">
        <f>IFERROR(IF($D623="","",VLOOKUP($D623,'Malzeme Kartları'!$B$5:$D$204,3,FALSE)),"")</f>
      </c>
      <c r="H623" s="17">
        <f>IFERROR(IF(OR($D623="",$F623=""),0,$F623*VLOOKUP($D623,'Malzeme Kartları'!$B$5:$G$204,6,FALSE)),0)</f>
      </c>
    </row>
    <row r="624" spans="2:8" x14ac:dyDescent="0.25">
      <c r="B624" s="12"/>
      <c r="C624" s="15">
        <f>IFERROR(IF($B624="","",VLOOKUP($B624,'Menü Kartları'!$B$5:$C$154,2,FALSE)),"")</f>
      </c>
      <c r="D624" s="12"/>
      <c r="E624" s="15">
        <f>IFERROR(IF($D624="","",VLOOKUP($D624,'Malzeme Kartları'!$B$5:$C$204,2,FALSE)),"— tanımsız —")</f>
      </c>
      <c r="F624" s="18"/>
      <c r="G624" s="15">
        <f>IFERROR(IF($D624="","",VLOOKUP($D624,'Malzeme Kartları'!$B$5:$D$204,3,FALSE)),"")</f>
      </c>
      <c r="H624" s="17">
        <f>IFERROR(IF(OR($D624="",$F624=""),0,$F624*VLOOKUP($D624,'Malzeme Kartları'!$B$5:$G$204,6,FALSE)),0)</f>
      </c>
    </row>
    <row r="625" spans="2:8" x14ac:dyDescent="0.25">
      <c r="B625" s="8"/>
      <c r="C625" s="15">
        <f>IFERROR(IF($B625="","",VLOOKUP($B625,'Menü Kartları'!$B$5:$C$154,2,FALSE)),"")</f>
      </c>
      <c r="D625" s="8"/>
      <c r="E625" s="15">
        <f>IFERROR(IF($D625="","",VLOOKUP($D625,'Malzeme Kartları'!$B$5:$C$204,2,FALSE)),"— tanımsız —")</f>
      </c>
      <c r="F625" s="16"/>
      <c r="G625" s="15">
        <f>IFERROR(IF($D625="","",VLOOKUP($D625,'Malzeme Kartları'!$B$5:$D$204,3,FALSE)),"")</f>
      </c>
      <c r="H625" s="17">
        <f>IFERROR(IF(OR($D625="",$F625=""),0,$F625*VLOOKUP($D625,'Malzeme Kartları'!$B$5:$G$204,6,FALSE)),0)</f>
      </c>
    </row>
    <row r="626" spans="2:8" x14ac:dyDescent="0.25">
      <c r="B626" s="12"/>
      <c r="C626" s="15">
        <f>IFERROR(IF($B626="","",VLOOKUP($B626,'Menü Kartları'!$B$5:$C$154,2,FALSE)),"")</f>
      </c>
      <c r="D626" s="12"/>
      <c r="E626" s="15">
        <f>IFERROR(IF($D626="","",VLOOKUP($D626,'Malzeme Kartları'!$B$5:$C$204,2,FALSE)),"— tanımsız —")</f>
      </c>
      <c r="F626" s="18"/>
      <c r="G626" s="15">
        <f>IFERROR(IF($D626="","",VLOOKUP($D626,'Malzeme Kartları'!$B$5:$D$204,3,FALSE)),"")</f>
      </c>
      <c r="H626" s="17">
        <f>IFERROR(IF(OR($D626="",$F626=""),0,$F626*VLOOKUP($D626,'Malzeme Kartları'!$B$5:$G$204,6,FALSE)),0)</f>
      </c>
    </row>
    <row r="627" spans="2:8" x14ac:dyDescent="0.25">
      <c r="B627" s="8"/>
      <c r="C627" s="15">
        <f>IFERROR(IF($B627="","",VLOOKUP($B627,'Menü Kartları'!$B$5:$C$154,2,FALSE)),"")</f>
      </c>
      <c r="D627" s="8"/>
      <c r="E627" s="15">
        <f>IFERROR(IF($D627="","",VLOOKUP($D627,'Malzeme Kartları'!$B$5:$C$204,2,FALSE)),"— tanımsız —")</f>
      </c>
      <c r="F627" s="16"/>
      <c r="G627" s="15">
        <f>IFERROR(IF($D627="","",VLOOKUP($D627,'Malzeme Kartları'!$B$5:$D$204,3,FALSE)),"")</f>
      </c>
      <c r="H627" s="17">
        <f>IFERROR(IF(OR($D627="",$F627=""),0,$F627*VLOOKUP($D627,'Malzeme Kartları'!$B$5:$G$204,6,FALSE)),0)</f>
      </c>
    </row>
    <row r="628" spans="2:8" x14ac:dyDescent="0.25">
      <c r="B628" s="12"/>
      <c r="C628" s="15">
        <f>IFERROR(IF($B628="","",VLOOKUP($B628,'Menü Kartları'!$B$5:$C$154,2,FALSE)),"")</f>
      </c>
      <c r="D628" s="12"/>
      <c r="E628" s="15">
        <f>IFERROR(IF($D628="","",VLOOKUP($D628,'Malzeme Kartları'!$B$5:$C$204,2,FALSE)),"— tanımsız —")</f>
      </c>
      <c r="F628" s="18"/>
      <c r="G628" s="15">
        <f>IFERROR(IF($D628="","",VLOOKUP($D628,'Malzeme Kartları'!$B$5:$D$204,3,FALSE)),"")</f>
      </c>
      <c r="H628" s="17">
        <f>IFERROR(IF(OR($D628="",$F628=""),0,$F628*VLOOKUP($D628,'Malzeme Kartları'!$B$5:$G$204,6,FALSE)),0)</f>
      </c>
    </row>
    <row r="629" spans="2:8" x14ac:dyDescent="0.25">
      <c r="B629" s="8"/>
      <c r="C629" s="15">
        <f>IFERROR(IF($B629="","",VLOOKUP($B629,'Menü Kartları'!$B$5:$C$154,2,FALSE)),"")</f>
      </c>
      <c r="D629" s="8"/>
      <c r="E629" s="15">
        <f>IFERROR(IF($D629="","",VLOOKUP($D629,'Malzeme Kartları'!$B$5:$C$204,2,FALSE)),"— tanımsız —")</f>
      </c>
      <c r="F629" s="16"/>
      <c r="G629" s="15">
        <f>IFERROR(IF($D629="","",VLOOKUP($D629,'Malzeme Kartları'!$B$5:$D$204,3,FALSE)),"")</f>
      </c>
      <c r="H629" s="17">
        <f>IFERROR(IF(OR($D629="",$F629=""),0,$F629*VLOOKUP($D629,'Malzeme Kartları'!$B$5:$G$204,6,FALSE)),0)</f>
      </c>
    </row>
    <row r="630" spans="2:8" x14ac:dyDescent="0.25">
      <c r="B630" s="12"/>
      <c r="C630" s="15">
        <f>IFERROR(IF($B630="","",VLOOKUP($B630,'Menü Kartları'!$B$5:$C$154,2,FALSE)),"")</f>
      </c>
      <c r="D630" s="12"/>
      <c r="E630" s="15">
        <f>IFERROR(IF($D630="","",VLOOKUP($D630,'Malzeme Kartları'!$B$5:$C$204,2,FALSE)),"— tanımsız —")</f>
      </c>
      <c r="F630" s="18"/>
      <c r="G630" s="15">
        <f>IFERROR(IF($D630="","",VLOOKUP($D630,'Malzeme Kartları'!$B$5:$D$204,3,FALSE)),"")</f>
      </c>
      <c r="H630" s="17">
        <f>IFERROR(IF(OR($D630="",$F630=""),0,$F630*VLOOKUP($D630,'Malzeme Kartları'!$B$5:$G$204,6,FALSE)),0)</f>
      </c>
    </row>
    <row r="631" spans="2:8" x14ac:dyDescent="0.25">
      <c r="B631" s="8"/>
      <c r="C631" s="15">
        <f>IFERROR(IF($B631="","",VLOOKUP($B631,'Menü Kartları'!$B$5:$C$154,2,FALSE)),"")</f>
      </c>
      <c r="D631" s="8"/>
      <c r="E631" s="15">
        <f>IFERROR(IF($D631="","",VLOOKUP($D631,'Malzeme Kartları'!$B$5:$C$204,2,FALSE)),"— tanımsız —")</f>
      </c>
      <c r="F631" s="16"/>
      <c r="G631" s="15">
        <f>IFERROR(IF($D631="","",VLOOKUP($D631,'Malzeme Kartları'!$B$5:$D$204,3,FALSE)),"")</f>
      </c>
      <c r="H631" s="17">
        <f>IFERROR(IF(OR($D631="",$F631=""),0,$F631*VLOOKUP($D631,'Malzeme Kartları'!$B$5:$G$204,6,FALSE)),0)</f>
      </c>
    </row>
    <row r="632" spans="2:8" x14ac:dyDescent="0.25">
      <c r="B632" s="12"/>
      <c r="C632" s="15">
        <f>IFERROR(IF($B632="","",VLOOKUP($B632,'Menü Kartları'!$B$5:$C$154,2,FALSE)),"")</f>
      </c>
      <c r="D632" s="12"/>
      <c r="E632" s="15">
        <f>IFERROR(IF($D632="","",VLOOKUP($D632,'Malzeme Kartları'!$B$5:$C$204,2,FALSE)),"— tanımsız —")</f>
      </c>
      <c r="F632" s="18"/>
      <c r="G632" s="15">
        <f>IFERROR(IF($D632="","",VLOOKUP($D632,'Malzeme Kartları'!$B$5:$D$204,3,FALSE)),"")</f>
      </c>
      <c r="H632" s="17">
        <f>IFERROR(IF(OR($D632="",$F632=""),0,$F632*VLOOKUP($D632,'Malzeme Kartları'!$B$5:$G$204,6,FALSE)),0)</f>
      </c>
    </row>
    <row r="633" spans="2:8" x14ac:dyDescent="0.25">
      <c r="B633" s="8"/>
      <c r="C633" s="15">
        <f>IFERROR(IF($B633="","",VLOOKUP($B633,'Menü Kartları'!$B$5:$C$154,2,FALSE)),"")</f>
      </c>
      <c r="D633" s="8"/>
      <c r="E633" s="15">
        <f>IFERROR(IF($D633="","",VLOOKUP($D633,'Malzeme Kartları'!$B$5:$C$204,2,FALSE)),"— tanımsız —")</f>
      </c>
      <c r="F633" s="16"/>
      <c r="G633" s="15">
        <f>IFERROR(IF($D633="","",VLOOKUP($D633,'Malzeme Kartları'!$B$5:$D$204,3,FALSE)),"")</f>
      </c>
      <c r="H633" s="17">
        <f>IFERROR(IF(OR($D633="",$F633=""),0,$F633*VLOOKUP($D633,'Malzeme Kartları'!$B$5:$G$204,6,FALSE)),0)</f>
      </c>
    </row>
    <row r="634" spans="2:8" x14ac:dyDescent="0.25">
      <c r="B634" s="12"/>
      <c r="C634" s="15">
        <f>IFERROR(IF($B634="","",VLOOKUP($B634,'Menü Kartları'!$B$5:$C$154,2,FALSE)),"")</f>
      </c>
      <c r="D634" s="12"/>
      <c r="E634" s="15">
        <f>IFERROR(IF($D634="","",VLOOKUP($D634,'Malzeme Kartları'!$B$5:$C$204,2,FALSE)),"— tanımsız —")</f>
      </c>
      <c r="F634" s="18"/>
      <c r="G634" s="15">
        <f>IFERROR(IF($D634="","",VLOOKUP($D634,'Malzeme Kartları'!$B$5:$D$204,3,FALSE)),"")</f>
      </c>
      <c r="H634" s="17">
        <f>IFERROR(IF(OR($D634="",$F634=""),0,$F634*VLOOKUP($D634,'Malzeme Kartları'!$B$5:$G$204,6,FALSE)),0)</f>
      </c>
    </row>
    <row r="635" spans="2:8" x14ac:dyDescent="0.25">
      <c r="B635" s="8"/>
      <c r="C635" s="15">
        <f>IFERROR(IF($B635="","",VLOOKUP($B635,'Menü Kartları'!$B$5:$C$154,2,FALSE)),"")</f>
      </c>
      <c r="D635" s="8"/>
      <c r="E635" s="15">
        <f>IFERROR(IF($D635="","",VLOOKUP($D635,'Malzeme Kartları'!$B$5:$C$204,2,FALSE)),"— tanımsız —")</f>
      </c>
      <c r="F635" s="16"/>
      <c r="G635" s="15">
        <f>IFERROR(IF($D635="","",VLOOKUP($D635,'Malzeme Kartları'!$B$5:$D$204,3,FALSE)),"")</f>
      </c>
      <c r="H635" s="17">
        <f>IFERROR(IF(OR($D635="",$F635=""),0,$F635*VLOOKUP($D635,'Malzeme Kartları'!$B$5:$G$204,6,FALSE)),0)</f>
      </c>
    </row>
    <row r="636" spans="2:8" x14ac:dyDescent="0.25">
      <c r="B636" s="12"/>
      <c r="C636" s="15">
        <f>IFERROR(IF($B636="","",VLOOKUP($B636,'Menü Kartları'!$B$5:$C$154,2,FALSE)),"")</f>
      </c>
      <c r="D636" s="12"/>
      <c r="E636" s="15">
        <f>IFERROR(IF($D636="","",VLOOKUP($D636,'Malzeme Kartları'!$B$5:$C$204,2,FALSE)),"— tanımsız —")</f>
      </c>
      <c r="F636" s="18"/>
      <c r="G636" s="15">
        <f>IFERROR(IF($D636="","",VLOOKUP($D636,'Malzeme Kartları'!$B$5:$D$204,3,FALSE)),"")</f>
      </c>
      <c r="H636" s="17">
        <f>IFERROR(IF(OR($D636="",$F636=""),0,$F636*VLOOKUP($D636,'Malzeme Kartları'!$B$5:$G$204,6,FALSE)),0)</f>
      </c>
    </row>
    <row r="637" spans="2:8" x14ac:dyDescent="0.25">
      <c r="B637" s="8"/>
      <c r="C637" s="15">
        <f>IFERROR(IF($B637="","",VLOOKUP($B637,'Menü Kartları'!$B$5:$C$154,2,FALSE)),"")</f>
      </c>
      <c r="D637" s="8"/>
      <c r="E637" s="15">
        <f>IFERROR(IF($D637="","",VLOOKUP($D637,'Malzeme Kartları'!$B$5:$C$204,2,FALSE)),"— tanımsız —")</f>
      </c>
      <c r="F637" s="16"/>
      <c r="G637" s="15">
        <f>IFERROR(IF($D637="","",VLOOKUP($D637,'Malzeme Kartları'!$B$5:$D$204,3,FALSE)),"")</f>
      </c>
      <c r="H637" s="17">
        <f>IFERROR(IF(OR($D637="",$F637=""),0,$F637*VLOOKUP($D637,'Malzeme Kartları'!$B$5:$G$204,6,FALSE)),0)</f>
      </c>
    </row>
    <row r="638" spans="2:8" x14ac:dyDescent="0.25">
      <c r="B638" s="12"/>
      <c r="C638" s="15">
        <f>IFERROR(IF($B638="","",VLOOKUP($B638,'Menü Kartları'!$B$5:$C$154,2,FALSE)),"")</f>
      </c>
      <c r="D638" s="12"/>
      <c r="E638" s="15">
        <f>IFERROR(IF($D638="","",VLOOKUP($D638,'Malzeme Kartları'!$B$5:$C$204,2,FALSE)),"— tanımsız —")</f>
      </c>
      <c r="F638" s="18"/>
      <c r="G638" s="15">
        <f>IFERROR(IF($D638="","",VLOOKUP($D638,'Malzeme Kartları'!$B$5:$D$204,3,FALSE)),"")</f>
      </c>
      <c r="H638" s="17">
        <f>IFERROR(IF(OR($D638="",$F638=""),0,$F638*VLOOKUP($D638,'Malzeme Kartları'!$B$5:$G$204,6,FALSE)),0)</f>
      </c>
    </row>
    <row r="639" spans="2:8" x14ac:dyDescent="0.25">
      <c r="B639" s="8"/>
      <c r="C639" s="15">
        <f>IFERROR(IF($B639="","",VLOOKUP($B639,'Menü Kartları'!$B$5:$C$154,2,FALSE)),"")</f>
      </c>
      <c r="D639" s="8"/>
      <c r="E639" s="15">
        <f>IFERROR(IF($D639="","",VLOOKUP($D639,'Malzeme Kartları'!$B$5:$C$204,2,FALSE)),"— tanımsız —")</f>
      </c>
      <c r="F639" s="16"/>
      <c r="G639" s="15">
        <f>IFERROR(IF($D639="","",VLOOKUP($D639,'Malzeme Kartları'!$B$5:$D$204,3,FALSE)),"")</f>
      </c>
      <c r="H639" s="17">
        <f>IFERROR(IF(OR($D639="",$F639=""),0,$F639*VLOOKUP($D639,'Malzeme Kartları'!$B$5:$G$204,6,FALSE)),0)</f>
      </c>
    </row>
    <row r="640" spans="2:8" x14ac:dyDescent="0.25">
      <c r="B640" s="12"/>
      <c r="C640" s="15">
        <f>IFERROR(IF($B640="","",VLOOKUP($B640,'Menü Kartları'!$B$5:$C$154,2,FALSE)),"")</f>
      </c>
      <c r="D640" s="12"/>
      <c r="E640" s="15">
        <f>IFERROR(IF($D640="","",VLOOKUP($D640,'Malzeme Kartları'!$B$5:$C$204,2,FALSE)),"— tanımsız —")</f>
      </c>
      <c r="F640" s="18"/>
      <c r="G640" s="15">
        <f>IFERROR(IF($D640="","",VLOOKUP($D640,'Malzeme Kartları'!$B$5:$D$204,3,FALSE)),"")</f>
      </c>
      <c r="H640" s="17">
        <f>IFERROR(IF(OR($D640="",$F640=""),0,$F640*VLOOKUP($D640,'Malzeme Kartları'!$B$5:$G$204,6,FALSE)),0)</f>
      </c>
    </row>
    <row r="641" spans="2:8" x14ac:dyDescent="0.25">
      <c r="B641" s="8"/>
      <c r="C641" s="15">
        <f>IFERROR(IF($B641="","",VLOOKUP($B641,'Menü Kartları'!$B$5:$C$154,2,FALSE)),"")</f>
      </c>
      <c r="D641" s="8"/>
      <c r="E641" s="15">
        <f>IFERROR(IF($D641="","",VLOOKUP($D641,'Malzeme Kartları'!$B$5:$C$204,2,FALSE)),"— tanımsız —")</f>
      </c>
      <c r="F641" s="16"/>
      <c r="G641" s="15">
        <f>IFERROR(IF($D641="","",VLOOKUP($D641,'Malzeme Kartları'!$B$5:$D$204,3,FALSE)),"")</f>
      </c>
      <c r="H641" s="17">
        <f>IFERROR(IF(OR($D641="",$F641=""),0,$F641*VLOOKUP($D641,'Malzeme Kartları'!$B$5:$G$204,6,FALSE)),0)</f>
      </c>
    </row>
    <row r="642" spans="2:8" x14ac:dyDescent="0.25">
      <c r="B642" s="12"/>
      <c r="C642" s="15">
        <f>IFERROR(IF($B642="","",VLOOKUP($B642,'Menü Kartları'!$B$5:$C$154,2,FALSE)),"")</f>
      </c>
      <c r="D642" s="12"/>
      <c r="E642" s="15">
        <f>IFERROR(IF($D642="","",VLOOKUP($D642,'Malzeme Kartları'!$B$5:$C$204,2,FALSE)),"— tanımsız —")</f>
      </c>
      <c r="F642" s="18"/>
      <c r="G642" s="15">
        <f>IFERROR(IF($D642="","",VLOOKUP($D642,'Malzeme Kartları'!$B$5:$D$204,3,FALSE)),"")</f>
      </c>
      <c r="H642" s="17">
        <f>IFERROR(IF(OR($D642="",$F642=""),0,$F642*VLOOKUP($D642,'Malzeme Kartları'!$B$5:$G$204,6,FALSE)),0)</f>
      </c>
    </row>
    <row r="643" spans="2:8" x14ac:dyDescent="0.25">
      <c r="B643" s="8"/>
      <c r="C643" s="15">
        <f>IFERROR(IF($B643="","",VLOOKUP($B643,'Menü Kartları'!$B$5:$C$154,2,FALSE)),"")</f>
      </c>
      <c r="D643" s="8"/>
      <c r="E643" s="15">
        <f>IFERROR(IF($D643="","",VLOOKUP($D643,'Malzeme Kartları'!$B$5:$C$204,2,FALSE)),"— tanımsız —")</f>
      </c>
      <c r="F643" s="16"/>
      <c r="G643" s="15">
        <f>IFERROR(IF($D643="","",VLOOKUP($D643,'Malzeme Kartları'!$B$5:$D$204,3,FALSE)),"")</f>
      </c>
      <c r="H643" s="17">
        <f>IFERROR(IF(OR($D643="",$F643=""),0,$F643*VLOOKUP($D643,'Malzeme Kartları'!$B$5:$G$204,6,FALSE)),0)</f>
      </c>
    </row>
    <row r="644" spans="2:8" x14ac:dyDescent="0.25">
      <c r="B644" s="12"/>
      <c r="C644" s="15">
        <f>IFERROR(IF($B644="","",VLOOKUP($B644,'Menü Kartları'!$B$5:$C$154,2,FALSE)),"")</f>
      </c>
      <c r="D644" s="12"/>
      <c r="E644" s="15">
        <f>IFERROR(IF($D644="","",VLOOKUP($D644,'Malzeme Kartları'!$B$5:$C$204,2,FALSE)),"— tanımsız —")</f>
      </c>
      <c r="F644" s="18"/>
      <c r="G644" s="15">
        <f>IFERROR(IF($D644="","",VLOOKUP($D644,'Malzeme Kartları'!$B$5:$D$204,3,FALSE)),"")</f>
      </c>
      <c r="H644" s="17">
        <f>IFERROR(IF(OR($D644="",$F644=""),0,$F644*VLOOKUP($D644,'Malzeme Kartları'!$B$5:$G$204,6,FALSE)),0)</f>
      </c>
    </row>
    <row r="645" spans="2:8" x14ac:dyDescent="0.25">
      <c r="B645" s="8"/>
      <c r="C645" s="15">
        <f>IFERROR(IF($B645="","",VLOOKUP($B645,'Menü Kartları'!$B$5:$C$154,2,FALSE)),"")</f>
      </c>
      <c r="D645" s="8"/>
      <c r="E645" s="15">
        <f>IFERROR(IF($D645="","",VLOOKUP($D645,'Malzeme Kartları'!$B$5:$C$204,2,FALSE)),"— tanımsız —")</f>
      </c>
      <c r="F645" s="16"/>
      <c r="G645" s="15">
        <f>IFERROR(IF($D645="","",VLOOKUP($D645,'Malzeme Kartları'!$B$5:$D$204,3,FALSE)),"")</f>
      </c>
      <c r="H645" s="17">
        <f>IFERROR(IF(OR($D645="",$F645=""),0,$F645*VLOOKUP($D645,'Malzeme Kartları'!$B$5:$G$204,6,FALSE)),0)</f>
      </c>
    </row>
    <row r="646" spans="2:8" x14ac:dyDescent="0.25">
      <c r="B646" s="12"/>
      <c r="C646" s="15">
        <f>IFERROR(IF($B646="","",VLOOKUP($B646,'Menü Kartları'!$B$5:$C$154,2,FALSE)),"")</f>
      </c>
      <c r="D646" s="12"/>
      <c r="E646" s="15">
        <f>IFERROR(IF($D646="","",VLOOKUP($D646,'Malzeme Kartları'!$B$5:$C$204,2,FALSE)),"— tanımsız —")</f>
      </c>
      <c r="F646" s="18"/>
      <c r="G646" s="15">
        <f>IFERROR(IF($D646="","",VLOOKUP($D646,'Malzeme Kartları'!$B$5:$D$204,3,FALSE)),"")</f>
      </c>
      <c r="H646" s="17">
        <f>IFERROR(IF(OR($D646="",$F646=""),0,$F646*VLOOKUP($D646,'Malzeme Kartları'!$B$5:$G$204,6,FALSE)),0)</f>
      </c>
    </row>
    <row r="647" spans="2:8" x14ac:dyDescent="0.25">
      <c r="B647" s="8"/>
      <c r="C647" s="15">
        <f>IFERROR(IF($B647="","",VLOOKUP($B647,'Menü Kartları'!$B$5:$C$154,2,FALSE)),"")</f>
      </c>
      <c r="D647" s="8"/>
      <c r="E647" s="15">
        <f>IFERROR(IF($D647="","",VLOOKUP($D647,'Malzeme Kartları'!$B$5:$C$204,2,FALSE)),"— tanımsız —")</f>
      </c>
      <c r="F647" s="16"/>
      <c r="G647" s="15">
        <f>IFERROR(IF($D647="","",VLOOKUP($D647,'Malzeme Kartları'!$B$5:$D$204,3,FALSE)),"")</f>
      </c>
      <c r="H647" s="17">
        <f>IFERROR(IF(OR($D647="",$F647=""),0,$F647*VLOOKUP($D647,'Malzeme Kartları'!$B$5:$G$204,6,FALSE)),0)</f>
      </c>
    </row>
    <row r="648" spans="2:8" x14ac:dyDescent="0.25">
      <c r="B648" s="12"/>
      <c r="C648" s="15">
        <f>IFERROR(IF($B648="","",VLOOKUP($B648,'Menü Kartları'!$B$5:$C$154,2,FALSE)),"")</f>
      </c>
      <c r="D648" s="12"/>
      <c r="E648" s="15">
        <f>IFERROR(IF($D648="","",VLOOKUP($D648,'Malzeme Kartları'!$B$5:$C$204,2,FALSE)),"— tanımsız —")</f>
      </c>
      <c r="F648" s="18"/>
      <c r="G648" s="15">
        <f>IFERROR(IF($D648="","",VLOOKUP($D648,'Malzeme Kartları'!$B$5:$D$204,3,FALSE)),"")</f>
      </c>
      <c r="H648" s="17">
        <f>IFERROR(IF(OR($D648="",$F648=""),0,$F648*VLOOKUP($D648,'Malzeme Kartları'!$B$5:$G$204,6,FALSE)),0)</f>
      </c>
    </row>
    <row r="649" spans="2:8" x14ac:dyDescent="0.25">
      <c r="B649" s="8"/>
      <c r="C649" s="15">
        <f>IFERROR(IF($B649="","",VLOOKUP($B649,'Menü Kartları'!$B$5:$C$154,2,FALSE)),"")</f>
      </c>
      <c r="D649" s="8"/>
      <c r="E649" s="15">
        <f>IFERROR(IF($D649="","",VLOOKUP($D649,'Malzeme Kartları'!$B$5:$C$204,2,FALSE)),"— tanımsız —")</f>
      </c>
      <c r="F649" s="16"/>
      <c r="G649" s="15">
        <f>IFERROR(IF($D649="","",VLOOKUP($D649,'Malzeme Kartları'!$B$5:$D$204,3,FALSE)),"")</f>
      </c>
      <c r="H649" s="17">
        <f>IFERROR(IF(OR($D649="",$F649=""),0,$F649*VLOOKUP($D649,'Malzeme Kartları'!$B$5:$G$204,6,FALSE)),0)</f>
      </c>
    </row>
    <row r="650" spans="2:8" x14ac:dyDescent="0.25">
      <c r="B650" s="12"/>
      <c r="C650" s="15">
        <f>IFERROR(IF($B650="","",VLOOKUP($B650,'Menü Kartları'!$B$5:$C$154,2,FALSE)),"")</f>
      </c>
      <c r="D650" s="12"/>
      <c r="E650" s="15">
        <f>IFERROR(IF($D650="","",VLOOKUP($D650,'Malzeme Kartları'!$B$5:$C$204,2,FALSE)),"— tanımsız —")</f>
      </c>
      <c r="F650" s="18"/>
      <c r="G650" s="15">
        <f>IFERROR(IF($D650="","",VLOOKUP($D650,'Malzeme Kartları'!$B$5:$D$204,3,FALSE)),"")</f>
      </c>
      <c r="H650" s="17">
        <f>IFERROR(IF(OR($D650="",$F650=""),0,$F650*VLOOKUP($D650,'Malzeme Kartları'!$B$5:$G$204,6,FALSE)),0)</f>
      </c>
    </row>
    <row r="651" spans="2:8" x14ac:dyDescent="0.25">
      <c r="B651" s="8"/>
      <c r="C651" s="15">
        <f>IFERROR(IF($B651="","",VLOOKUP($B651,'Menü Kartları'!$B$5:$C$154,2,FALSE)),"")</f>
      </c>
      <c r="D651" s="8"/>
      <c r="E651" s="15">
        <f>IFERROR(IF($D651="","",VLOOKUP($D651,'Malzeme Kartları'!$B$5:$C$204,2,FALSE)),"— tanımsız —")</f>
      </c>
      <c r="F651" s="16"/>
      <c r="G651" s="15">
        <f>IFERROR(IF($D651="","",VLOOKUP($D651,'Malzeme Kartları'!$B$5:$D$204,3,FALSE)),"")</f>
      </c>
      <c r="H651" s="17">
        <f>IFERROR(IF(OR($D651="",$F651=""),0,$F651*VLOOKUP($D651,'Malzeme Kartları'!$B$5:$G$204,6,FALSE)),0)</f>
      </c>
    </row>
    <row r="652" spans="2:8" x14ac:dyDescent="0.25">
      <c r="B652" s="12"/>
      <c r="C652" s="15">
        <f>IFERROR(IF($B652="","",VLOOKUP($B652,'Menü Kartları'!$B$5:$C$154,2,FALSE)),"")</f>
      </c>
      <c r="D652" s="12"/>
      <c r="E652" s="15">
        <f>IFERROR(IF($D652="","",VLOOKUP($D652,'Malzeme Kartları'!$B$5:$C$204,2,FALSE)),"— tanımsız —")</f>
      </c>
      <c r="F652" s="18"/>
      <c r="G652" s="15">
        <f>IFERROR(IF($D652="","",VLOOKUP($D652,'Malzeme Kartları'!$B$5:$D$204,3,FALSE)),"")</f>
      </c>
      <c r="H652" s="17">
        <f>IFERROR(IF(OR($D652="",$F652=""),0,$F652*VLOOKUP($D652,'Malzeme Kartları'!$B$5:$G$204,6,FALSE)),0)</f>
      </c>
    </row>
    <row r="653" spans="2:8" x14ac:dyDescent="0.25">
      <c r="B653" s="8"/>
      <c r="C653" s="15">
        <f>IFERROR(IF($B653="","",VLOOKUP($B653,'Menü Kartları'!$B$5:$C$154,2,FALSE)),"")</f>
      </c>
      <c r="D653" s="8"/>
      <c r="E653" s="15">
        <f>IFERROR(IF($D653="","",VLOOKUP($D653,'Malzeme Kartları'!$B$5:$C$204,2,FALSE)),"— tanımsız —")</f>
      </c>
      <c r="F653" s="16"/>
      <c r="G653" s="15">
        <f>IFERROR(IF($D653="","",VLOOKUP($D653,'Malzeme Kartları'!$B$5:$D$204,3,FALSE)),"")</f>
      </c>
      <c r="H653" s="17">
        <f>IFERROR(IF(OR($D653="",$F653=""),0,$F653*VLOOKUP($D653,'Malzeme Kartları'!$B$5:$G$204,6,FALSE)),0)</f>
      </c>
    </row>
    <row r="654" spans="2:8" x14ac:dyDescent="0.25">
      <c r="B654" s="12"/>
      <c r="C654" s="15">
        <f>IFERROR(IF($B654="","",VLOOKUP($B654,'Menü Kartları'!$B$5:$C$154,2,FALSE)),"")</f>
      </c>
      <c r="D654" s="12"/>
      <c r="E654" s="15">
        <f>IFERROR(IF($D654="","",VLOOKUP($D654,'Malzeme Kartları'!$B$5:$C$204,2,FALSE)),"— tanımsız —")</f>
      </c>
      <c r="F654" s="18"/>
      <c r="G654" s="15">
        <f>IFERROR(IF($D654="","",VLOOKUP($D654,'Malzeme Kartları'!$B$5:$D$204,3,FALSE)),"")</f>
      </c>
      <c r="H654" s="17">
        <f>IFERROR(IF(OR($D654="",$F654=""),0,$F654*VLOOKUP($D654,'Malzeme Kartları'!$B$5:$G$204,6,FALSE)),0)</f>
      </c>
    </row>
    <row r="655" spans="2:8" x14ac:dyDescent="0.25">
      <c r="B655" s="8"/>
      <c r="C655" s="15">
        <f>IFERROR(IF($B655="","",VLOOKUP($B655,'Menü Kartları'!$B$5:$C$154,2,FALSE)),"")</f>
      </c>
      <c r="D655" s="8"/>
      <c r="E655" s="15">
        <f>IFERROR(IF($D655="","",VLOOKUP($D655,'Malzeme Kartları'!$B$5:$C$204,2,FALSE)),"— tanımsız —")</f>
      </c>
      <c r="F655" s="16"/>
      <c r="G655" s="15">
        <f>IFERROR(IF($D655="","",VLOOKUP($D655,'Malzeme Kartları'!$B$5:$D$204,3,FALSE)),"")</f>
      </c>
      <c r="H655" s="17">
        <f>IFERROR(IF(OR($D655="",$F655=""),0,$F655*VLOOKUP($D655,'Malzeme Kartları'!$B$5:$G$204,6,FALSE)),0)</f>
      </c>
    </row>
    <row r="656" spans="2:8" x14ac:dyDescent="0.25">
      <c r="B656" s="12"/>
      <c r="C656" s="15">
        <f>IFERROR(IF($B656="","",VLOOKUP($B656,'Menü Kartları'!$B$5:$C$154,2,FALSE)),"")</f>
      </c>
      <c r="D656" s="12"/>
      <c r="E656" s="15">
        <f>IFERROR(IF($D656="","",VLOOKUP($D656,'Malzeme Kartları'!$B$5:$C$204,2,FALSE)),"— tanımsız —")</f>
      </c>
      <c r="F656" s="18"/>
      <c r="G656" s="15">
        <f>IFERROR(IF($D656="","",VLOOKUP($D656,'Malzeme Kartları'!$B$5:$D$204,3,FALSE)),"")</f>
      </c>
      <c r="H656" s="17">
        <f>IFERROR(IF(OR($D656="",$F656=""),0,$F656*VLOOKUP($D656,'Malzeme Kartları'!$B$5:$G$204,6,FALSE)),0)</f>
      </c>
    </row>
    <row r="657" spans="2:8" x14ac:dyDescent="0.25">
      <c r="B657" s="8"/>
      <c r="C657" s="15">
        <f>IFERROR(IF($B657="","",VLOOKUP($B657,'Menü Kartları'!$B$5:$C$154,2,FALSE)),"")</f>
      </c>
      <c r="D657" s="8"/>
      <c r="E657" s="15">
        <f>IFERROR(IF($D657="","",VLOOKUP($D657,'Malzeme Kartları'!$B$5:$C$204,2,FALSE)),"— tanımsız —")</f>
      </c>
      <c r="F657" s="16"/>
      <c r="G657" s="15">
        <f>IFERROR(IF($D657="","",VLOOKUP($D657,'Malzeme Kartları'!$B$5:$D$204,3,FALSE)),"")</f>
      </c>
      <c r="H657" s="17">
        <f>IFERROR(IF(OR($D657="",$F657=""),0,$F657*VLOOKUP($D657,'Malzeme Kartları'!$B$5:$G$204,6,FALSE)),0)</f>
      </c>
    </row>
    <row r="658" spans="2:8" x14ac:dyDescent="0.25">
      <c r="B658" s="12"/>
      <c r="C658" s="15">
        <f>IFERROR(IF($B658="","",VLOOKUP($B658,'Menü Kartları'!$B$5:$C$154,2,FALSE)),"")</f>
      </c>
      <c r="D658" s="12"/>
      <c r="E658" s="15">
        <f>IFERROR(IF($D658="","",VLOOKUP($D658,'Malzeme Kartları'!$B$5:$C$204,2,FALSE)),"— tanımsız —")</f>
      </c>
      <c r="F658" s="18"/>
      <c r="G658" s="15">
        <f>IFERROR(IF($D658="","",VLOOKUP($D658,'Malzeme Kartları'!$B$5:$D$204,3,FALSE)),"")</f>
      </c>
      <c r="H658" s="17">
        <f>IFERROR(IF(OR($D658="",$F658=""),0,$F658*VLOOKUP($D658,'Malzeme Kartları'!$B$5:$G$204,6,FALSE)),0)</f>
      </c>
    </row>
    <row r="659" spans="2:8" x14ac:dyDescent="0.25">
      <c r="B659" s="8"/>
      <c r="C659" s="15">
        <f>IFERROR(IF($B659="","",VLOOKUP($B659,'Menü Kartları'!$B$5:$C$154,2,FALSE)),"")</f>
      </c>
      <c r="D659" s="8"/>
      <c r="E659" s="15">
        <f>IFERROR(IF($D659="","",VLOOKUP($D659,'Malzeme Kartları'!$B$5:$C$204,2,FALSE)),"— tanımsız —")</f>
      </c>
      <c r="F659" s="16"/>
      <c r="G659" s="15">
        <f>IFERROR(IF($D659="","",VLOOKUP($D659,'Malzeme Kartları'!$B$5:$D$204,3,FALSE)),"")</f>
      </c>
      <c r="H659" s="17">
        <f>IFERROR(IF(OR($D659="",$F659=""),0,$F659*VLOOKUP($D659,'Malzeme Kartları'!$B$5:$G$204,6,FALSE)),0)</f>
      </c>
    </row>
    <row r="660" spans="2:8" x14ac:dyDescent="0.25">
      <c r="B660" s="12"/>
      <c r="C660" s="15">
        <f>IFERROR(IF($B660="","",VLOOKUP($B660,'Menü Kartları'!$B$5:$C$154,2,FALSE)),"")</f>
      </c>
      <c r="D660" s="12"/>
      <c r="E660" s="15">
        <f>IFERROR(IF($D660="","",VLOOKUP($D660,'Malzeme Kartları'!$B$5:$C$204,2,FALSE)),"— tanımsız —")</f>
      </c>
      <c r="F660" s="18"/>
      <c r="G660" s="15">
        <f>IFERROR(IF($D660="","",VLOOKUP($D660,'Malzeme Kartları'!$B$5:$D$204,3,FALSE)),"")</f>
      </c>
      <c r="H660" s="17">
        <f>IFERROR(IF(OR($D660="",$F660=""),0,$F660*VLOOKUP($D660,'Malzeme Kartları'!$B$5:$G$204,6,FALSE)),0)</f>
      </c>
    </row>
    <row r="661" spans="2:8" x14ac:dyDescent="0.25">
      <c r="B661" s="8"/>
      <c r="C661" s="15">
        <f>IFERROR(IF($B661="","",VLOOKUP($B661,'Menü Kartları'!$B$5:$C$154,2,FALSE)),"")</f>
      </c>
      <c r="D661" s="8"/>
      <c r="E661" s="15">
        <f>IFERROR(IF($D661="","",VLOOKUP($D661,'Malzeme Kartları'!$B$5:$C$204,2,FALSE)),"— tanımsız —")</f>
      </c>
      <c r="F661" s="16"/>
      <c r="G661" s="15">
        <f>IFERROR(IF($D661="","",VLOOKUP($D661,'Malzeme Kartları'!$B$5:$D$204,3,FALSE)),"")</f>
      </c>
      <c r="H661" s="17">
        <f>IFERROR(IF(OR($D661="",$F661=""),0,$F661*VLOOKUP($D661,'Malzeme Kartları'!$B$5:$G$204,6,FALSE)),0)</f>
      </c>
    </row>
    <row r="662" spans="2:8" x14ac:dyDescent="0.25">
      <c r="B662" s="12"/>
      <c r="C662" s="15">
        <f>IFERROR(IF($B662="","",VLOOKUP($B662,'Menü Kartları'!$B$5:$C$154,2,FALSE)),"")</f>
      </c>
      <c r="D662" s="12"/>
      <c r="E662" s="15">
        <f>IFERROR(IF($D662="","",VLOOKUP($D662,'Malzeme Kartları'!$B$5:$C$204,2,FALSE)),"— tanımsız —")</f>
      </c>
      <c r="F662" s="18"/>
      <c r="G662" s="15">
        <f>IFERROR(IF($D662="","",VLOOKUP($D662,'Malzeme Kartları'!$B$5:$D$204,3,FALSE)),"")</f>
      </c>
      <c r="H662" s="17">
        <f>IFERROR(IF(OR($D662="",$F662=""),0,$F662*VLOOKUP($D662,'Malzeme Kartları'!$B$5:$G$204,6,FALSE)),0)</f>
      </c>
    </row>
    <row r="663" spans="2:8" x14ac:dyDescent="0.25">
      <c r="B663" s="8"/>
      <c r="C663" s="15">
        <f>IFERROR(IF($B663="","",VLOOKUP($B663,'Menü Kartları'!$B$5:$C$154,2,FALSE)),"")</f>
      </c>
      <c r="D663" s="8"/>
      <c r="E663" s="15">
        <f>IFERROR(IF($D663="","",VLOOKUP($D663,'Malzeme Kartları'!$B$5:$C$204,2,FALSE)),"— tanımsız —")</f>
      </c>
      <c r="F663" s="16"/>
      <c r="G663" s="15">
        <f>IFERROR(IF($D663="","",VLOOKUP($D663,'Malzeme Kartları'!$B$5:$D$204,3,FALSE)),"")</f>
      </c>
      <c r="H663" s="17">
        <f>IFERROR(IF(OR($D663="",$F663=""),0,$F663*VLOOKUP($D663,'Malzeme Kartları'!$B$5:$G$204,6,FALSE)),0)</f>
      </c>
    </row>
    <row r="664" spans="2:8" x14ac:dyDescent="0.25">
      <c r="B664" s="12"/>
      <c r="C664" s="15">
        <f>IFERROR(IF($B664="","",VLOOKUP($B664,'Menü Kartları'!$B$5:$C$154,2,FALSE)),"")</f>
      </c>
      <c r="D664" s="12"/>
      <c r="E664" s="15">
        <f>IFERROR(IF($D664="","",VLOOKUP($D664,'Malzeme Kartları'!$B$5:$C$204,2,FALSE)),"— tanımsız —")</f>
      </c>
      <c r="F664" s="18"/>
      <c r="G664" s="15">
        <f>IFERROR(IF($D664="","",VLOOKUP($D664,'Malzeme Kartları'!$B$5:$D$204,3,FALSE)),"")</f>
      </c>
      <c r="H664" s="17">
        <f>IFERROR(IF(OR($D664="",$F664=""),0,$F664*VLOOKUP($D664,'Malzeme Kartları'!$B$5:$G$204,6,FALSE)),0)</f>
      </c>
    </row>
    <row r="665" spans="2:8" x14ac:dyDescent="0.25">
      <c r="B665" s="8"/>
      <c r="C665" s="15">
        <f>IFERROR(IF($B665="","",VLOOKUP($B665,'Menü Kartları'!$B$5:$C$154,2,FALSE)),"")</f>
      </c>
      <c r="D665" s="8"/>
      <c r="E665" s="15">
        <f>IFERROR(IF($D665="","",VLOOKUP($D665,'Malzeme Kartları'!$B$5:$C$204,2,FALSE)),"— tanımsız —")</f>
      </c>
      <c r="F665" s="16"/>
      <c r="G665" s="15">
        <f>IFERROR(IF($D665="","",VLOOKUP($D665,'Malzeme Kartları'!$B$5:$D$204,3,FALSE)),"")</f>
      </c>
      <c r="H665" s="17">
        <f>IFERROR(IF(OR($D665="",$F665=""),0,$F665*VLOOKUP($D665,'Malzeme Kartları'!$B$5:$G$204,6,FALSE)),0)</f>
      </c>
    </row>
    <row r="666" spans="2:8" x14ac:dyDescent="0.25">
      <c r="B666" s="12"/>
      <c r="C666" s="15">
        <f>IFERROR(IF($B666="","",VLOOKUP($B666,'Menü Kartları'!$B$5:$C$154,2,FALSE)),"")</f>
      </c>
      <c r="D666" s="12"/>
      <c r="E666" s="15">
        <f>IFERROR(IF($D666="","",VLOOKUP($D666,'Malzeme Kartları'!$B$5:$C$204,2,FALSE)),"— tanımsız —")</f>
      </c>
      <c r="F666" s="18"/>
      <c r="G666" s="15">
        <f>IFERROR(IF($D666="","",VLOOKUP($D666,'Malzeme Kartları'!$B$5:$D$204,3,FALSE)),"")</f>
      </c>
      <c r="H666" s="17">
        <f>IFERROR(IF(OR($D666="",$F666=""),0,$F666*VLOOKUP($D666,'Malzeme Kartları'!$B$5:$G$204,6,FALSE)),0)</f>
      </c>
    </row>
    <row r="667" spans="2:8" x14ac:dyDescent="0.25">
      <c r="B667" s="8"/>
      <c r="C667" s="15">
        <f>IFERROR(IF($B667="","",VLOOKUP($B667,'Menü Kartları'!$B$5:$C$154,2,FALSE)),"")</f>
      </c>
      <c r="D667" s="8"/>
      <c r="E667" s="15">
        <f>IFERROR(IF($D667="","",VLOOKUP($D667,'Malzeme Kartları'!$B$5:$C$204,2,FALSE)),"— tanımsız —")</f>
      </c>
      <c r="F667" s="16"/>
      <c r="G667" s="15">
        <f>IFERROR(IF($D667="","",VLOOKUP($D667,'Malzeme Kartları'!$B$5:$D$204,3,FALSE)),"")</f>
      </c>
      <c r="H667" s="17">
        <f>IFERROR(IF(OR($D667="",$F667=""),0,$F667*VLOOKUP($D667,'Malzeme Kartları'!$B$5:$G$204,6,FALSE)),0)</f>
      </c>
    </row>
    <row r="668" spans="2:8" x14ac:dyDescent="0.25">
      <c r="B668" s="12"/>
      <c r="C668" s="15">
        <f>IFERROR(IF($B668="","",VLOOKUP($B668,'Menü Kartları'!$B$5:$C$154,2,FALSE)),"")</f>
      </c>
      <c r="D668" s="12"/>
      <c r="E668" s="15">
        <f>IFERROR(IF($D668="","",VLOOKUP($D668,'Malzeme Kartları'!$B$5:$C$204,2,FALSE)),"— tanımsız —")</f>
      </c>
      <c r="F668" s="18"/>
      <c r="G668" s="15">
        <f>IFERROR(IF($D668="","",VLOOKUP($D668,'Malzeme Kartları'!$B$5:$D$204,3,FALSE)),"")</f>
      </c>
      <c r="H668" s="17">
        <f>IFERROR(IF(OR($D668="",$F668=""),0,$F668*VLOOKUP($D668,'Malzeme Kartları'!$B$5:$G$204,6,FALSE)),0)</f>
      </c>
    </row>
    <row r="669" spans="2:8" x14ac:dyDescent="0.25">
      <c r="B669" s="8"/>
      <c r="C669" s="15">
        <f>IFERROR(IF($B669="","",VLOOKUP($B669,'Menü Kartları'!$B$5:$C$154,2,FALSE)),"")</f>
      </c>
      <c r="D669" s="8"/>
      <c r="E669" s="15">
        <f>IFERROR(IF($D669="","",VLOOKUP($D669,'Malzeme Kartları'!$B$5:$C$204,2,FALSE)),"— tanımsız —")</f>
      </c>
      <c r="F669" s="16"/>
      <c r="G669" s="15">
        <f>IFERROR(IF($D669="","",VLOOKUP($D669,'Malzeme Kartları'!$B$5:$D$204,3,FALSE)),"")</f>
      </c>
      <c r="H669" s="17">
        <f>IFERROR(IF(OR($D669="",$F669=""),0,$F669*VLOOKUP($D669,'Malzeme Kartları'!$B$5:$G$204,6,FALSE)),0)</f>
      </c>
    </row>
    <row r="670" spans="2:8" x14ac:dyDescent="0.25">
      <c r="B670" s="12"/>
      <c r="C670" s="15">
        <f>IFERROR(IF($B670="","",VLOOKUP($B670,'Menü Kartları'!$B$5:$C$154,2,FALSE)),"")</f>
      </c>
      <c r="D670" s="12"/>
      <c r="E670" s="15">
        <f>IFERROR(IF($D670="","",VLOOKUP($D670,'Malzeme Kartları'!$B$5:$C$204,2,FALSE)),"— tanımsız —")</f>
      </c>
      <c r="F670" s="18"/>
      <c r="G670" s="15">
        <f>IFERROR(IF($D670="","",VLOOKUP($D670,'Malzeme Kartları'!$B$5:$D$204,3,FALSE)),"")</f>
      </c>
      <c r="H670" s="17">
        <f>IFERROR(IF(OR($D670="",$F670=""),0,$F670*VLOOKUP($D670,'Malzeme Kartları'!$B$5:$G$204,6,FALSE)),0)</f>
      </c>
    </row>
    <row r="671" spans="2:8" x14ac:dyDescent="0.25">
      <c r="B671" s="8"/>
      <c r="C671" s="15">
        <f>IFERROR(IF($B671="","",VLOOKUP($B671,'Menü Kartları'!$B$5:$C$154,2,FALSE)),"")</f>
      </c>
      <c r="D671" s="8"/>
      <c r="E671" s="15">
        <f>IFERROR(IF($D671="","",VLOOKUP($D671,'Malzeme Kartları'!$B$5:$C$204,2,FALSE)),"— tanımsız —")</f>
      </c>
      <c r="F671" s="16"/>
      <c r="G671" s="15">
        <f>IFERROR(IF($D671="","",VLOOKUP($D671,'Malzeme Kartları'!$B$5:$D$204,3,FALSE)),"")</f>
      </c>
      <c r="H671" s="17">
        <f>IFERROR(IF(OR($D671="",$F671=""),0,$F671*VLOOKUP($D671,'Malzeme Kartları'!$B$5:$G$204,6,FALSE)),0)</f>
      </c>
    </row>
    <row r="672" spans="2:8" x14ac:dyDescent="0.25">
      <c r="B672" s="12"/>
      <c r="C672" s="15">
        <f>IFERROR(IF($B672="","",VLOOKUP($B672,'Menü Kartları'!$B$5:$C$154,2,FALSE)),"")</f>
      </c>
      <c r="D672" s="12"/>
      <c r="E672" s="15">
        <f>IFERROR(IF($D672="","",VLOOKUP($D672,'Malzeme Kartları'!$B$5:$C$204,2,FALSE)),"— tanımsız —")</f>
      </c>
      <c r="F672" s="18"/>
      <c r="G672" s="15">
        <f>IFERROR(IF($D672="","",VLOOKUP($D672,'Malzeme Kartları'!$B$5:$D$204,3,FALSE)),"")</f>
      </c>
      <c r="H672" s="17">
        <f>IFERROR(IF(OR($D672="",$F672=""),0,$F672*VLOOKUP($D672,'Malzeme Kartları'!$B$5:$G$204,6,FALSE)),0)</f>
      </c>
    </row>
    <row r="673" spans="2:8" x14ac:dyDescent="0.25">
      <c r="B673" s="8"/>
      <c r="C673" s="15">
        <f>IFERROR(IF($B673="","",VLOOKUP($B673,'Menü Kartları'!$B$5:$C$154,2,FALSE)),"")</f>
      </c>
      <c r="D673" s="8"/>
      <c r="E673" s="15">
        <f>IFERROR(IF($D673="","",VLOOKUP($D673,'Malzeme Kartları'!$B$5:$C$204,2,FALSE)),"— tanımsız —")</f>
      </c>
      <c r="F673" s="16"/>
      <c r="G673" s="15">
        <f>IFERROR(IF($D673="","",VLOOKUP($D673,'Malzeme Kartları'!$B$5:$D$204,3,FALSE)),"")</f>
      </c>
      <c r="H673" s="17">
        <f>IFERROR(IF(OR($D673="",$F673=""),0,$F673*VLOOKUP($D673,'Malzeme Kartları'!$B$5:$G$204,6,FALSE)),0)</f>
      </c>
    </row>
    <row r="674" spans="2:8" x14ac:dyDescent="0.25">
      <c r="B674" s="12"/>
      <c r="C674" s="15">
        <f>IFERROR(IF($B674="","",VLOOKUP($B674,'Menü Kartları'!$B$5:$C$154,2,FALSE)),"")</f>
      </c>
      <c r="D674" s="12"/>
      <c r="E674" s="15">
        <f>IFERROR(IF($D674="","",VLOOKUP($D674,'Malzeme Kartları'!$B$5:$C$204,2,FALSE)),"— tanımsız —")</f>
      </c>
      <c r="F674" s="18"/>
      <c r="G674" s="15">
        <f>IFERROR(IF($D674="","",VLOOKUP($D674,'Malzeme Kartları'!$B$5:$D$204,3,FALSE)),"")</f>
      </c>
      <c r="H674" s="17">
        <f>IFERROR(IF(OR($D674="",$F674=""),0,$F674*VLOOKUP($D674,'Malzeme Kartları'!$B$5:$G$204,6,FALSE)),0)</f>
      </c>
    </row>
    <row r="675" spans="2:8" x14ac:dyDescent="0.25">
      <c r="B675" s="8"/>
      <c r="C675" s="15">
        <f>IFERROR(IF($B675="","",VLOOKUP($B675,'Menü Kartları'!$B$5:$C$154,2,FALSE)),"")</f>
      </c>
      <c r="D675" s="8"/>
      <c r="E675" s="15">
        <f>IFERROR(IF($D675="","",VLOOKUP($D675,'Malzeme Kartları'!$B$5:$C$204,2,FALSE)),"— tanımsız —")</f>
      </c>
      <c r="F675" s="16"/>
      <c r="G675" s="15">
        <f>IFERROR(IF($D675="","",VLOOKUP($D675,'Malzeme Kartları'!$B$5:$D$204,3,FALSE)),"")</f>
      </c>
      <c r="H675" s="17">
        <f>IFERROR(IF(OR($D675="",$F675=""),0,$F675*VLOOKUP($D675,'Malzeme Kartları'!$B$5:$G$204,6,FALSE)),0)</f>
      </c>
    </row>
    <row r="676" spans="2:8" x14ac:dyDescent="0.25">
      <c r="B676" s="12"/>
      <c r="C676" s="15">
        <f>IFERROR(IF($B676="","",VLOOKUP($B676,'Menü Kartları'!$B$5:$C$154,2,FALSE)),"")</f>
      </c>
      <c r="D676" s="12"/>
      <c r="E676" s="15">
        <f>IFERROR(IF($D676="","",VLOOKUP($D676,'Malzeme Kartları'!$B$5:$C$204,2,FALSE)),"— tanımsız —")</f>
      </c>
      <c r="F676" s="18"/>
      <c r="G676" s="15">
        <f>IFERROR(IF($D676="","",VLOOKUP($D676,'Malzeme Kartları'!$B$5:$D$204,3,FALSE)),"")</f>
      </c>
      <c r="H676" s="17">
        <f>IFERROR(IF(OR($D676="",$F676=""),0,$F676*VLOOKUP($D676,'Malzeme Kartları'!$B$5:$G$204,6,FALSE)),0)</f>
      </c>
    </row>
    <row r="677" spans="2:8" x14ac:dyDescent="0.25">
      <c r="B677" s="8"/>
      <c r="C677" s="15">
        <f>IFERROR(IF($B677="","",VLOOKUP($B677,'Menü Kartları'!$B$5:$C$154,2,FALSE)),"")</f>
      </c>
      <c r="D677" s="8"/>
      <c r="E677" s="15">
        <f>IFERROR(IF($D677="","",VLOOKUP($D677,'Malzeme Kartları'!$B$5:$C$204,2,FALSE)),"— tanımsız —")</f>
      </c>
      <c r="F677" s="16"/>
      <c r="G677" s="15">
        <f>IFERROR(IF($D677="","",VLOOKUP($D677,'Malzeme Kartları'!$B$5:$D$204,3,FALSE)),"")</f>
      </c>
      <c r="H677" s="17">
        <f>IFERROR(IF(OR($D677="",$F677=""),0,$F677*VLOOKUP($D677,'Malzeme Kartları'!$B$5:$G$204,6,FALSE)),0)</f>
      </c>
    </row>
    <row r="678" spans="2:8" x14ac:dyDescent="0.25">
      <c r="B678" s="12"/>
      <c r="C678" s="15">
        <f>IFERROR(IF($B678="","",VLOOKUP($B678,'Menü Kartları'!$B$5:$C$154,2,FALSE)),"")</f>
      </c>
      <c r="D678" s="12"/>
      <c r="E678" s="15">
        <f>IFERROR(IF($D678="","",VLOOKUP($D678,'Malzeme Kartları'!$B$5:$C$204,2,FALSE)),"— tanımsız —")</f>
      </c>
      <c r="F678" s="18"/>
      <c r="G678" s="15">
        <f>IFERROR(IF($D678="","",VLOOKUP($D678,'Malzeme Kartları'!$B$5:$D$204,3,FALSE)),"")</f>
      </c>
      <c r="H678" s="17">
        <f>IFERROR(IF(OR($D678="",$F678=""),0,$F678*VLOOKUP($D678,'Malzeme Kartları'!$B$5:$G$204,6,FALSE)),0)</f>
      </c>
    </row>
    <row r="679" spans="2:8" x14ac:dyDescent="0.25">
      <c r="B679" s="8"/>
      <c r="C679" s="15">
        <f>IFERROR(IF($B679="","",VLOOKUP($B679,'Menü Kartları'!$B$5:$C$154,2,FALSE)),"")</f>
      </c>
      <c r="D679" s="8"/>
      <c r="E679" s="15">
        <f>IFERROR(IF($D679="","",VLOOKUP($D679,'Malzeme Kartları'!$B$5:$C$204,2,FALSE)),"— tanımsız —")</f>
      </c>
      <c r="F679" s="16"/>
      <c r="G679" s="15">
        <f>IFERROR(IF($D679="","",VLOOKUP($D679,'Malzeme Kartları'!$B$5:$D$204,3,FALSE)),"")</f>
      </c>
      <c r="H679" s="17">
        <f>IFERROR(IF(OR($D679="",$F679=""),0,$F679*VLOOKUP($D679,'Malzeme Kartları'!$B$5:$G$204,6,FALSE)),0)</f>
      </c>
    </row>
    <row r="680" spans="2:8" x14ac:dyDescent="0.25">
      <c r="B680" s="12"/>
      <c r="C680" s="15">
        <f>IFERROR(IF($B680="","",VLOOKUP($B680,'Menü Kartları'!$B$5:$C$154,2,FALSE)),"")</f>
      </c>
      <c r="D680" s="12"/>
      <c r="E680" s="15">
        <f>IFERROR(IF($D680="","",VLOOKUP($D680,'Malzeme Kartları'!$B$5:$C$204,2,FALSE)),"— tanımsız —")</f>
      </c>
      <c r="F680" s="18"/>
      <c r="G680" s="15">
        <f>IFERROR(IF($D680="","",VLOOKUP($D680,'Malzeme Kartları'!$B$5:$D$204,3,FALSE)),"")</f>
      </c>
      <c r="H680" s="17">
        <f>IFERROR(IF(OR($D680="",$F680=""),0,$F680*VLOOKUP($D680,'Malzeme Kartları'!$B$5:$G$204,6,FALSE)),0)</f>
      </c>
    </row>
    <row r="681" spans="2:8" x14ac:dyDescent="0.25">
      <c r="B681" s="8"/>
      <c r="C681" s="15">
        <f>IFERROR(IF($B681="","",VLOOKUP($B681,'Menü Kartları'!$B$5:$C$154,2,FALSE)),"")</f>
      </c>
      <c r="D681" s="8"/>
      <c r="E681" s="15">
        <f>IFERROR(IF($D681="","",VLOOKUP($D681,'Malzeme Kartları'!$B$5:$C$204,2,FALSE)),"— tanımsız —")</f>
      </c>
      <c r="F681" s="16"/>
      <c r="G681" s="15">
        <f>IFERROR(IF($D681="","",VLOOKUP($D681,'Malzeme Kartları'!$B$5:$D$204,3,FALSE)),"")</f>
      </c>
      <c r="H681" s="17">
        <f>IFERROR(IF(OR($D681="",$F681=""),0,$F681*VLOOKUP($D681,'Malzeme Kartları'!$B$5:$G$204,6,FALSE)),0)</f>
      </c>
    </row>
    <row r="682" spans="2:8" x14ac:dyDescent="0.25">
      <c r="B682" s="12"/>
      <c r="C682" s="15">
        <f>IFERROR(IF($B682="","",VLOOKUP($B682,'Menü Kartları'!$B$5:$C$154,2,FALSE)),"")</f>
      </c>
      <c r="D682" s="12"/>
      <c r="E682" s="15">
        <f>IFERROR(IF($D682="","",VLOOKUP($D682,'Malzeme Kartları'!$B$5:$C$204,2,FALSE)),"— tanımsız —")</f>
      </c>
      <c r="F682" s="18"/>
      <c r="G682" s="15">
        <f>IFERROR(IF($D682="","",VLOOKUP($D682,'Malzeme Kartları'!$B$5:$D$204,3,FALSE)),"")</f>
      </c>
      <c r="H682" s="17">
        <f>IFERROR(IF(OR($D682="",$F682=""),0,$F682*VLOOKUP($D682,'Malzeme Kartları'!$B$5:$G$204,6,FALSE)),0)</f>
      </c>
    </row>
    <row r="683" spans="2:8" x14ac:dyDescent="0.25">
      <c r="B683" s="8"/>
      <c r="C683" s="15">
        <f>IFERROR(IF($B683="","",VLOOKUP($B683,'Menü Kartları'!$B$5:$C$154,2,FALSE)),"")</f>
      </c>
      <c r="D683" s="8"/>
      <c r="E683" s="15">
        <f>IFERROR(IF($D683="","",VLOOKUP($D683,'Malzeme Kartları'!$B$5:$C$204,2,FALSE)),"— tanımsız —")</f>
      </c>
      <c r="F683" s="16"/>
      <c r="G683" s="15">
        <f>IFERROR(IF($D683="","",VLOOKUP($D683,'Malzeme Kartları'!$B$5:$D$204,3,FALSE)),"")</f>
      </c>
      <c r="H683" s="17">
        <f>IFERROR(IF(OR($D683="",$F683=""),0,$F683*VLOOKUP($D683,'Malzeme Kartları'!$B$5:$G$204,6,FALSE)),0)</f>
      </c>
    </row>
    <row r="684" spans="2:8" x14ac:dyDescent="0.25">
      <c r="B684" s="12"/>
      <c r="C684" s="15">
        <f>IFERROR(IF($B684="","",VLOOKUP($B684,'Menü Kartları'!$B$5:$C$154,2,FALSE)),"")</f>
      </c>
      <c r="D684" s="12"/>
      <c r="E684" s="15">
        <f>IFERROR(IF($D684="","",VLOOKUP($D684,'Malzeme Kartları'!$B$5:$C$204,2,FALSE)),"— tanımsız —")</f>
      </c>
      <c r="F684" s="18"/>
      <c r="G684" s="15">
        <f>IFERROR(IF($D684="","",VLOOKUP($D684,'Malzeme Kartları'!$B$5:$D$204,3,FALSE)),"")</f>
      </c>
      <c r="H684" s="17">
        <f>IFERROR(IF(OR($D684="",$F684=""),0,$F684*VLOOKUP($D684,'Malzeme Kartları'!$B$5:$G$204,6,FALSE)),0)</f>
      </c>
    </row>
    <row r="685" spans="2:8" x14ac:dyDescent="0.25">
      <c r="B685" s="8"/>
      <c r="C685" s="15">
        <f>IFERROR(IF($B685="","",VLOOKUP($B685,'Menü Kartları'!$B$5:$C$154,2,FALSE)),"")</f>
      </c>
      <c r="D685" s="8"/>
      <c r="E685" s="15">
        <f>IFERROR(IF($D685="","",VLOOKUP($D685,'Malzeme Kartları'!$B$5:$C$204,2,FALSE)),"— tanımsız —")</f>
      </c>
      <c r="F685" s="16"/>
      <c r="G685" s="15">
        <f>IFERROR(IF($D685="","",VLOOKUP($D685,'Malzeme Kartları'!$B$5:$D$204,3,FALSE)),"")</f>
      </c>
      <c r="H685" s="17">
        <f>IFERROR(IF(OR($D685="",$F685=""),0,$F685*VLOOKUP($D685,'Malzeme Kartları'!$B$5:$G$204,6,FALSE)),0)</f>
      </c>
    </row>
    <row r="686" spans="2:8" x14ac:dyDescent="0.25">
      <c r="B686" s="12"/>
      <c r="C686" s="15">
        <f>IFERROR(IF($B686="","",VLOOKUP($B686,'Menü Kartları'!$B$5:$C$154,2,FALSE)),"")</f>
      </c>
      <c r="D686" s="12"/>
      <c r="E686" s="15">
        <f>IFERROR(IF($D686="","",VLOOKUP($D686,'Malzeme Kartları'!$B$5:$C$204,2,FALSE)),"— tanımsız —")</f>
      </c>
      <c r="F686" s="18"/>
      <c r="G686" s="15">
        <f>IFERROR(IF($D686="","",VLOOKUP($D686,'Malzeme Kartları'!$B$5:$D$204,3,FALSE)),"")</f>
      </c>
      <c r="H686" s="17">
        <f>IFERROR(IF(OR($D686="",$F686=""),0,$F686*VLOOKUP($D686,'Malzeme Kartları'!$B$5:$G$204,6,FALSE)),0)</f>
      </c>
    </row>
    <row r="687" spans="2:8" x14ac:dyDescent="0.25">
      <c r="B687" s="8"/>
      <c r="C687" s="15">
        <f>IFERROR(IF($B687="","",VLOOKUP($B687,'Menü Kartları'!$B$5:$C$154,2,FALSE)),"")</f>
      </c>
      <c r="D687" s="8"/>
      <c r="E687" s="15">
        <f>IFERROR(IF($D687="","",VLOOKUP($D687,'Malzeme Kartları'!$B$5:$C$204,2,FALSE)),"— tanımsız —")</f>
      </c>
      <c r="F687" s="16"/>
      <c r="G687" s="15">
        <f>IFERROR(IF($D687="","",VLOOKUP($D687,'Malzeme Kartları'!$B$5:$D$204,3,FALSE)),"")</f>
      </c>
      <c r="H687" s="17">
        <f>IFERROR(IF(OR($D687="",$F687=""),0,$F687*VLOOKUP($D687,'Malzeme Kartları'!$B$5:$G$204,6,FALSE)),0)</f>
      </c>
    </row>
    <row r="688" spans="2:8" x14ac:dyDescent="0.25">
      <c r="B688" s="12"/>
      <c r="C688" s="15">
        <f>IFERROR(IF($B688="","",VLOOKUP($B688,'Menü Kartları'!$B$5:$C$154,2,FALSE)),"")</f>
      </c>
      <c r="D688" s="12"/>
      <c r="E688" s="15">
        <f>IFERROR(IF($D688="","",VLOOKUP($D688,'Malzeme Kartları'!$B$5:$C$204,2,FALSE)),"— tanımsız —")</f>
      </c>
      <c r="F688" s="18"/>
      <c r="G688" s="15">
        <f>IFERROR(IF($D688="","",VLOOKUP($D688,'Malzeme Kartları'!$B$5:$D$204,3,FALSE)),"")</f>
      </c>
      <c r="H688" s="17">
        <f>IFERROR(IF(OR($D688="",$F688=""),0,$F688*VLOOKUP($D688,'Malzeme Kartları'!$B$5:$G$204,6,FALSE)),0)</f>
      </c>
    </row>
    <row r="689" spans="2:8" x14ac:dyDescent="0.25">
      <c r="B689" s="8"/>
      <c r="C689" s="15">
        <f>IFERROR(IF($B689="","",VLOOKUP($B689,'Menü Kartları'!$B$5:$C$154,2,FALSE)),"")</f>
      </c>
      <c r="D689" s="8"/>
      <c r="E689" s="15">
        <f>IFERROR(IF($D689="","",VLOOKUP($D689,'Malzeme Kartları'!$B$5:$C$204,2,FALSE)),"— tanımsız —")</f>
      </c>
      <c r="F689" s="16"/>
      <c r="G689" s="15">
        <f>IFERROR(IF($D689="","",VLOOKUP($D689,'Malzeme Kartları'!$B$5:$D$204,3,FALSE)),"")</f>
      </c>
      <c r="H689" s="17">
        <f>IFERROR(IF(OR($D689="",$F689=""),0,$F689*VLOOKUP($D689,'Malzeme Kartları'!$B$5:$G$204,6,FALSE)),0)</f>
      </c>
    </row>
    <row r="690" spans="2:8" x14ac:dyDescent="0.25">
      <c r="B690" s="12"/>
      <c r="C690" s="15">
        <f>IFERROR(IF($B690="","",VLOOKUP($B690,'Menü Kartları'!$B$5:$C$154,2,FALSE)),"")</f>
      </c>
      <c r="D690" s="12"/>
      <c r="E690" s="15">
        <f>IFERROR(IF($D690="","",VLOOKUP($D690,'Malzeme Kartları'!$B$5:$C$204,2,FALSE)),"— tanımsız —")</f>
      </c>
      <c r="F690" s="18"/>
      <c r="G690" s="15">
        <f>IFERROR(IF($D690="","",VLOOKUP($D690,'Malzeme Kartları'!$B$5:$D$204,3,FALSE)),"")</f>
      </c>
      <c r="H690" s="17">
        <f>IFERROR(IF(OR($D690="",$F690=""),0,$F690*VLOOKUP($D690,'Malzeme Kartları'!$B$5:$G$204,6,FALSE)),0)</f>
      </c>
    </row>
    <row r="691" spans="2:8" x14ac:dyDescent="0.25">
      <c r="B691" s="8"/>
      <c r="C691" s="15">
        <f>IFERROR(IF($B691="","",VLOOKUP($B691,'Menü Kartları'!$B$5:$C$154,2,FALSE)),"")</f>
      </c>
      <c r="D691" s="8"/>
      <c r="E691" s="15">
        <f>IFERROR(IF($D691="","",VLOOKUP($D691,'Malzeme Kartları'!$B$5:$C$204,2,FALSE)),"— tanımsız —")</f>
      </c>
      <c r="F691" s="16"/>
      <c r="G691" s="15">
        <f>IFERROR(IF($D691="","",VLOOKUP($D691,'Malzeme Kartları'!$B$5:$D$204,3,FALSE)),"")</f>
      </c>
      <c r="H691" s="17">
        <f>IFERROR(IF(OR($D691="",$F691=""),0,$F691*VLOOKUP($D691,'Malzeme Kartları'!$B$5:$G$204,6,FALSE)),0)</f>
      </c>
    </row>
    <row r="692" spans="2:8" x14ac:dyDescent="0.25">
      <c r="B692" s="12"/>
      <c r="C692" s="15">
        <f>IFERROR(IF($B692="","",VLOOKUP($B692,'Menü Kartları'!$B$5:$C$154,2,FALSE)),"")</f>
      </c>
      <c r="D692" s="12"/>
      <c r="E692" s="15">
        <f>IFERROR(IF($D692="","",VLOOKUP($D692,'Malzeme Kartları'!$B$5:$C$204,2,FALSE)),"— tanımsız —")</f>
      </c>
      <c r="F692" s="18"/>
      <c r="G692" s="15">
        <f>IFERROR(IF($D692="","",VLOOKUP($D692,'Malzeme Kartları'!$B$5:$D$204,3,FALSE)),"")</f>
      </c>
      <c r="H692" s="17">
        <f>IFERROR(IF(OR($D692="",$F692=""),0,$F692*VLOOKUP($D692,'Malzeme Kartları'!$B$5:$G$204,6,FALSE)),0)</f>
      </c>
    </row>
    <row r="693" spans="2:8" x14ac:dyDescent="0.25">
      <c r="B693" s="8"/>
      <c r="C693" s="15">
        <f>IFERROR(IF($B693="","",VLOOKUP($B693,'Menü Kartları'!$B$5:$C$154,2,FALSE)),"")</f>
      </c>
      <c r="D693" s="8"/>
      <c r="E693" s="15">
        <f>IFERROR(IF($D693="","",VLOOKUP($D693,'Malzeme Kartları'!$B$5:$C$204,2,FALSE)),"— tanımsız —")</f>
      </c>
      <c r="F693" s="16"/>
      <c r="G693" s="15">
        <f>IFERROR(IF($D693="","",VLOOKUP($D693,'Malzeme Kartları'!$B$5:$D$204,3,FALSE)),"")</f>
      </c>
      <c r="H693" s="17">
        <f>IFERROR(IF(OR($D693="",$F693=""),0,$F693*VLOOKUP($D693,'Malzeme Kartları'!$B$5:$G$204,6,FALSE)),0)</f>
      </c>
    </row>
    <row r="694" spans="2:8" x14ac:dyDescent="0.25">
      <c r="B694" s="12"/>
      <c r="C694" s="15">
        <f>IFERROR(IF($B694="","",VLOOKUP($B694,'Menü Kartları'!$B$5:$C$154,2,FALSE)),"")</f>
      </c>
      <c r="D694" s="12"/>
      <c r="E694" s="15">
        <f>IFERROR(IF($D694="","",VLOOKUP($D694,'Malzeme Kartları'!$B$5:$C$204,2,FALSE)),"— tanımsız —")</f>
      </c>
      <c r="F694" s="18"/>
      <c r="G694" s="15">
        <f>IFERROR(IF($D694="","",VLOOKUP($D694,'Malzeme Kartları'!$B$5:$D$204,3,FALSE)),"")</f>
      </c>
      <c r="H694" s="17">
        <f>IFERROR(IF(OR($D694="",$F694=""),0,$F694*VLOOKUP($D694,'Malzeme Kartları'!$B$5:$G$204,6,FALSE)),0)</f>
      </c>
    </row>
    <row r="695" spans="2:8" x14ac:dyDescent="0.25">
      <c r="B695" s="8"/>
      <c r="C695" s="15">
        <f>IFERROR(IF($B695="","",VLOOKUP($B695,'Menü Kartları'!$B$5:$C$154,2,FALSE)),"")</f>
      </c>
      <c r="D695" s="8"/>
      <c r="E695" s="15">
        <f>IFERROR(IF($D695="","",VLOOKUP($D695,'Malzeme Kartları'!$B$5:$C$204,2,FALSE)),"— tanımsız —")</f>
      </c>
      <c r="F695" s="16"/>
      <c r="G695" s="15">
        <f>IFERROR(IF($D695="","",VLOOKUP($D695,'Malzeme Kartları'!$B$5:$D$204,3,FALSE)),"")</f>
      </c>
      <c r="H695" s="17">
        <f>IFERROR(IF(OR($D695="",$F695=""),0,$F695*VLOOKUP($D695,'Malzeme Kartları'!$B$5:$G$204,6,FALSE)),0)</f>
      </c>
    </row>
    <row r="696" spans="2:8" x14ac:dyDescent="0.25">
      <c r="B696" s="12"/>
      <c r="C696" s="15">
        <f>IFERROR(IF($B696="","",VLOOKUP($B696,'Menü Kartları'!$B$5:$C$154,2,FALSE)),"")</f>
      </c>
      <c r="D696" s="12"/>
      <c r="E696" s="15">
        <f>IFERROR(IF($D696="","",VLOOKUP($D696,'Malzeme Kartları'!$B$5:$C$204,2,FALSE)),"— tanımsız —")</f>
      </c>
      <c r="F696" s="18"/>
      <c r="G696" s="15">
        <f>IFERROR(IF($D696="","",VLOOKUP($D696,'Malzeme Kartları'!$B$5:$D$204,3,FALSE)),"")</f>
      </c>
      <c r="H696" s="17">
        <f>IFERROR(IF(OR($D696="",$F696=""),0,$F696*VLOOKUP($D696,'Malzeme Kartları'!$B$5:$G$204,6,FALSE)),0)</f>
      </c>
    </row>
    <row r="697" spans="2:8" x14ac:dyDescent="0.25">
      <c r="B697" s="8"/>
      <c r="C697" s="15">
        <f>IFERROR(IF($B697="","",VLOOKUP($B697,'Menü Kartları'!$B$5:$C$154,2,FALSE)),"")</f>
      </c>
      <c r="D697" s="8"/>
      <c r="E697" s="15">
        <f>IFERROR(IF($D697="","",VLOOKUP($D697,'Malzeme Kartları'!$B$5:$C$204,2,FALSE)),"— tanımsız —")</f>
      </c>
      <c r="F697" s="16"/>
      <c r="G697" s="15">
        <f>IFERROR(IF($D697="","",VLOOKUP($D697,'Malzeme Kartları'!$B$5:$D$204,3,FALSE)),"")</f>
      </c>
      <c r="H697" s="17">
        <f>IFERROR(IF(OR($D697="",$F697=""),0,$F697*VLOOKUP($D697,'Malzeme Kartları'!$B$5:$G$204,6,FALSE)),0)</f>
      </c>
    </row>
    <row r="698" spans="2:8" x14ac:dyDescent="0.25">
      <c r="B698" s="12"/>
      <c r="C698" s="15">
        <f>IFERROR(IF($B698="","",VLOOKUP($B698,'Menü Kartları'!$B$5:$C$154,2,FALSE)),"")</f>
      </c>
      <c r="D698" s="12"/>
      <c r="E698" s="15">
        <f>IFERROR(IF($D698="","",VLOOKUP($D698,'Malzeme Kartları'!$B$5:$C$204,2,FALSE)),"— tanımsız —")</f>
      </c>
      <c r="F698" s="18"/>
      <c r="G698" s="15">
        <f>IFERROR(IF($D698="","",VLOOKUP($D698,'Malzeme Kartları'!$B$5:$D$204,3,FALSE)),"")</f>
      </c>
      <c r="H698" s="17">
        <f>IFERROR(IF(OR($D698="",$F698=""),0,$F698*VLOOKUP($D698,'Malzeme Kartları'!$B$5:$G$204,6,FALSE)),0)</f>
      </c>
    </row>
    <row r="699" spans="2:8" x14ac:dyDescent="0.25">
      <c r="B699" s="8"/>
      <c r="C699" s="15">
        <f>IFERROR(IF($B699="","",VLOOKUP($B699,'Menü Kartları'!$B$5:$C$154,2,FALSE)),"")</f>
      </c>
      <c r="D699" s="8"/>
      <c r="E699" s="15">
        <f>IFERROR(IF($D699="","",VLOOKUP($D699,'Malzeme Kartları'!$B$5:$C$204,2,FALSE)),"— tanımsız —")</f>
      </c>
      <c r="F699" s="16"/>
      <c r="G699" s="15">
        <f>IFERROR(IF($D699="","",VLOOKUP($D699,'Malzeme Kartları'!$B$5:$D$204,3,FALSE)),"")</f>
      </c>
      <c r="H699" s="17">
        <f>IFERROR(IF(OR($D699="",$F699=""),0,$F699*VLOOKUP($D699,'Malzeme Kartları'!$B$5:$G$204,6,FALSE)),0)</f>
      </c>
    </row>
    <row r="700" spans="2:8" x14ac:dyDescent="0.25">
      <c r="B700" s="12"/>
      <c r="C700" s="15">
        <f>IFERROR(IF($B700="","",VLOOKUP($B700,'Menü Kartları'!$B$5:$C$154,2,FALSE)),"")</f>
      </c>
      <c r="D700" s="12"/>
      <c r="E700" s="15">
        <f>IFERROR(IF($D700="","",VLOOKUP($D700,'Malzeme Kartları'!$B$5:$C$204,2,FALSE)),"— tanımsız —")</f>
      </c>
      <c r="F700" s="18"/>
      <c r="G700" s="15">
        <f>IFERROR(IF($D700="","",VLOOKUP($D700,'Malzeme Kartları'!$B$5:$D$204,3,FALSE)),"")</f>
      </c>
      <c r="H700" s="17">
        <f>IFERROR(IF(OR($D700="",$F700=""),0,$F700*VLOOKUP($D700,'Malzeme Kartları'!$B$5:$G$204,6,FALSE)),0)</f>
      </c>
    </row>
    <row r="701" spans="2:8" x14ac:dyDescent="0.25">
      <c r="B701" s="8"/>
      <c r="C701" s="15">
        <f>IFERROR(IF($B701="","",VLOOKUP($B701,'Menü Kartları'!$B$5:$C$154,2,FALSE)),"")</f>
      </c>
      <c r="D701" s="8"/>
      <c r="E701" s="15">
        <f>IFERROR(IF($D701="","",VLOOKUP($D701,'Malzeme Kartları'!$B$5:$C$204,2,FALSE)),"— tanımsız —")</f>
      </c>
      <c r="F701" s="16"/>
      <c r="G701" s="15">
        <f>IFERROR(IF($D701="","",VLOOKUP($D701,'Malzeme Kartları'!$B$5:$D$204,3,FALSE)),"")</f>
      </c>
      <c r="H701" s="17">
        <f>IFERROR(IF(OR($D701="",$F701=""),0,$F701*VLOOKUP($D701,'Malzeme Kartları'!$B$5:$G$204,6,FALSE)),0)</f>
      </c>
    </row>
    <row r="702" spans="2:8" x14ac:dyDescent="0.25">
      <c r="B702" s="12"/>
      <c r="C702" s="15">
        <f>IFERROR(IF($B702="","",VLOOKUP($B702,'Menü Kartları'!$B$5:$C$154,2,FALSE)),"")</f>
      </c>
      <c r="D702" s="12"/>
      <c r="E702" s="15">
        <f>IFERROR(IF($D702="","",VLOOKUP($D702,'Malzeme Kartları'!$B$5:$C$204,2,FALSE)),"— tanımsız —")</f>
      </c>
      <c r="F702" s="18"/>
      <c r="G702" s="15">
        <f>IFERROR(IF($D702="","",VLOOKUP($D702,'Malzeme Kartları'!$B$5:$D$204,3,FALSE)),"")</f>
      </c>
      <c r="H702" s="17">
        <f>IFERROR(IF(OR($D702="",$F702=""),0,$F702*VLOOKUP($D702,'Malzeme Kartları'!$B$5:$G$204,6,FALSE)),0)</f>
      </c>
    </row>
    <row r="703" spans="2:8" x14ac:dyDescent="0.25">
      <c r="B703" s="8"/>
      <c r="C703" s="15">
        <f>IFERROR(IF($B703="","",VLOOKUP($B703,'Menü Kartları'!$B$5:$C$154,2,FALSE)),"")</f>
      </c>
      <c r="D703" s="8"/>
      <c r="E703" s="15">
        <f>IFERROR(IF($D703="","",VLOOKUP($D703,'Malzeme Kartları'!$B$5:$C$204,2,FALSE)),"— tanımsız —")</f>
      </c>
      <c r="F703" s="16"/>
      <c r="G703" s="15">
        <f>IFERROR(IF($D703="","",VLOOKUP($D703,'Malzeme Kartları'!$B$5:$D$204,3,FALSE)),"")</f>
      </c>
      <c r="H703" s="17">
        <f>IFERROR(IF(OR($D703="",$F703=""),0,$F703*VLOOKUP($D703,'Malzeme Kartları'!$B$5:$G$204,6,FALSE)),0)</f>
      </c>
    </row>
    <row r="704" spans="2:8" x14ac:dyDescent="0.25">
      <c r="B704" s="12"/>
      <c r="C704" s="15">
        <f>IFERROR(IF($B704="","",VLOOKUP($B704,'Menü Kartları'!$B$5:$C$154,2,FALSE)),"")</f>
      </c>
      <c r="D704" s="12"/>
      <c r="E704" s="15">
        <f>IFERROR(IF($D704="","",VLOOKUP($D704,'Malzeme Kartları'!$B$5:$C$204,2,FALSE)),"— tanımsız —")</f>
      </c>
      <c r="F704" s="18"/>
      <c r="G704" s="15">
        <f>IFERROR(IF($D704="","",VLOOKUP($D704,'Malzeme Kartları'!$B$5:$D$204,3,FALSE)),"")</f>
      </c>
      <c r="H704" s="17">
        <f>IFERROR(IF(OR($D704="",$F704=""),0,$F704*VLOOKUP($D704,'Malzeme Kartları'!$B$5:$G$204,6,FALSE)),0)</f>
      </c>
    </row>
    <row r="705" spans="2:8" x14ac:dyDescent="0.25">
      <c r="B705" s="8"/>
      <c r="C705" s="15">
        <f>IFERROR(IF($B705="","",VLOOKUP($B705,'Menü Kartları'!$B$5:$C$154,2,FALSE)),"")</f>
      </c>
      <c r="D705" s="8"/>
      <c r="E705" s="15">
        <f>IFERROR(IF($D705="","",VLOOKUP($D705,'Malzeme Kartları'!$B$5:$C$204,2,FALSE)),"— tanımsız —")</f>
      </c>
      <c r="F705" s="16"/>
      <c r="G705" s="15">
        <f>IFERROR(IF($D705="","",VLOOKUP($D705,'Malzeme Kartları'!$B$5:$D$204,3,FALSE)),"")</f>
      </c>
      <c r="H705" s="17">
        <f>IFERROR(IF(OR($D705="",$F705=""),0,$F705*VLOOKUP($D705,'Malzeme Kartları'!$B$5:$G$204,6,FALSE)),0)</f>
      </c>
    </row>
    <row r="706" spans="2:8" x14ac:dyDescent="0.25">
      <c r="B706" s="12"/>
      <c r="C706" s="15">
        <f>IFERROR(IF($B706="","",VLOOKUP($B706,'Menü Kartları'!$B$5:$C$154,2,FALSE)),"")</f>
      </c>
      <c r="D706" s="12"/>
      <c r="E706" s="15">
        <f>IFERROR(IF($D706="","",VLOOKUP($D706,'Malzeme Kartları'!$B$5:$C$204,2,FALSE)),"— tanımsız —")</f>
      </c>
      <c r="F706" s="18"/>
      <c r="G706" s="15">
        <f>IFERROR(IF($D706="","",VLOOKUP($D706,'Malzeme Kartları'!$B$5:$D$204,3,FALSE)),"")</f>
      </c>
      <c r="H706" s="17">
        <f>IFERROR(IF(OR($D706="",$F706=""),0,$F706*VLOOKUP($D706,'Malzeme Kartları'!$B$5:$G$204,6,FALSE)),0)</f>
      </c>
    </row>
    <row r="707" spans="2:8" x14ac:dyDescent="0.25">
      <c r="B707" s="8"/>
      <c r="C707" s="15">
        <f>IFERROR(IF($B707="","",VLOOKUP($B707,'Menü Kartları'!$B$5:$C$154,2,FALSE)),"")</f>
      </c>
      <c r="D707" s="8"/>
      <c r="E707" s="15">
        <f>IFERROR(IF($D707="","",VLOOKUP($D707,'Malzeme Kartları'!$B$5:$C$204,2,FALSE)),"— tanımsız —")</f>
      </c>
      <c r="F707" s="16"/>
      <c r="G707" s="15">
        <f>IFERROR(IF($D707="","",VLOOKUP($D707,'Malzeme Kartları'!$B$5:$D$204,3,FALSE)),"")</f>
      </c>
      <c r="H707" s="17">
        <f>IFERROR(IF(OR($D707="",$F707=""),0,$F707*VLOOKUP($D707,'Malzeme Kartları'!$B$5:$G$204,6,FALSE)),0)</f>
      </c>
    </row>
    <row r="708" spans="2:8" x14ac:dyDescent="0.25">
      <c r="B708" s="12"/>
      <c r="C708" s="15">
        <f>IFERROR(IF($B708="","",VLOOKUP($B708,'Menü Kartları'!$B$5:$C$154,2,FALSE)),"")</f>
      </c>
      <c r="D708" s="12"/>
      <c r="E708" s="15">
        <f>IFERROR(IF($D708="","",VLOOKUP($D708,'Malzeme Kartları'!$B$5:$C$204,2,FALSE)),"— tanımsız —")</f>
      </c>
      <c r="F708" s="18"/>
      <c r="G708" s="15">
        <f>IFERROR(IF($D708="","",VLOOKUP($D708,'Malzeme Kartları'!$B$5:$D$204,3,FALSE)),"")</f>
      </c>
      <c r="H708" s="17">
        <f>IFERROR(IF(OR($D708="",$F708=""),0,$F708*VLOOKUP($D708,'Malzeme Kartları'!$B$5:$G$204,6,FALSE)),0)</f>
      </c>
    </row>
    <row r="709" spans="2:8" x14ac:dyDescent="0.25">
      <c r="B709" s="8"/>
      <c r="C709" s="15">
        <f>IFERROR(IF($B709="","",VLOOKUP($B709,'Menü Kartları'!$B$5:$C$154,2,FALSE)),"")</f>
      </c>
      <c r="D709" s="8"/>
      <c r="E709" s="15">
        <f>IFERROR(IF($D709="","",VLOOKUP($D709,'Malzeme Kartları'!$B$5:$C$204,2,FALSE)),"— tanımsız —")</f>
      </c>
      <c r="F709" s="16"/>
      <c r="G709" s="15">
        <f>IFERROR(IF($D709="","",VLOOKUP($D709,'Malzeme Kartları'!$B$5:$D$204,3,FALSE)),"")</f>
      </c>
      <c r="H709" s="17">
        <f>IFERROR(IF(OR($D709="",$F709=""),0,$F709*VLOOKUP($D709,'Malzeme Kartları'!$B$5:$G$204,6,FALSE)),0)</f>
      </c>
    </row>
    <row r="710" spans="2:8" x14ac:dyDescent="0.25">
      <c r="B710" s="12"/>
      <c r="C710" s="15">
        <f>IFERROR(IF($B710="","",VLOOKUP($B710,'Menü Kartları'!$B$5:$C$154,2,FALSE)),"")</f>
      </c>
      <c r="D710" s="12"/>
      <c r="E710" s="15">
        <f>IFERROR(IF($D710="","",VLOOKUP($D710,'Malzeme Kartları'!$B$5:$C$204,2,FALSE)),"— tanımsız —")</f>
      </c>
      <c r="F710" s="18"/>
      <c r="G710" s="15">
        <f>IFERROR(IF($D710="","",VLOOKUP($D710,'Malzeme Kartları'!$B$5:$D$204,3,FALSE)),"")</f>
      </c>
      <c r="H710" s="17">
        <f>IFERROR(IF(OR($D710="",$F710=""),0,$F710*VLOOKUP($D710,'Malzeme Kartları'!$B$5:$G$204,6,FALSE)),0)</f>
      </c>
    </row>
    <row r="711" spans="2:8" x14ac:dyDescent="0.25">
      <c r="B711" s="8"/>
      <c r="C711" s="15">
        <f>IFERROR(IF($B711="","",VLOOKUP($B711,'Menü Kartları'!$B$5:$C$154,2,FALSE)),"")</f>
      </c>
      <c r="D711" s="8"/>
      <c r="E711" s="15">
        <f>IFERROR(IF($D711="","",VLOOKUP($D711,'Malzeme Kartları'!$B$5:$C$204,2,FALSE)),"— tanımsız —")</f>
      </c>
      <c r="F711" s="16"/>
      <c r="G711" s="15">
        <f>IFERROR(IF($D711="","",VLOOKUP($D711,'Malzeme Kartları'!$B$5:$D$204,3,FALSE)),"")</f>
      </c>
      <c r="H711" s="17">
        <f>IFERROR(IF(OR($D711="",$F711=""),0,$F711*VLOOKUP($D711,'Malzeme Kartları'!$B$5:$G$204,6,FALSE)),0)</f>
      </c>
    </row>
    <row r="712" spans="2:8" x14ac:dyDescent="0.25">
      <c r="B712" s="12"/>
      <c r="C712" s="15">
        <f>IFERROR(IF($B712="","",VLOOKUP($B712,'Menü Kartları'!$B$5:$C$154,2,FALSE)),"")</f>
      </c>
      <c r="D712" s="12"/>
      <c r="E712" s="15">
        <f>IFERROR(IF($D712="","",VLOOKUP($D712,'Malzeme Kartları'!$B$5:$C$204,2,FALSE)),"— tanımsız —")</f>
      </c>
      <c r="F712" s="18"/>
      <c r="G712" s="15">
        <f>IFERROR(IF($D712="","",VLOOKUP($D712,'Malzeme Kartları'!$B$5:$D$204,3,FALSE)),"")</f>
      </c>
      <c r="H712" s="17">
        <f>IFERROR(IF(OR($D712="",$F712=""),0,$F712*VLOOKUP($D712,'Malzeme Kartları'!$B$5:$G$204,6,FALSE)),0)</f>
      </c>
    </row>
    <row r="713" spans="2:8" x14ac:dyDescent="0.25">
      <c r="B713" s="8"/>
      <c r="C713" s="15">
        <f>IFERROR(IF($B713="","",VLOOKUP($B713,'Menü Kartları'!$B$5:$C$154,2,FALSE)),"")</f>
      </c>
      <c r="D713" s="8"/>
      <c r="E713" s="15">
        <f>IFERROR(IF($D713="","",VLOOKUP($D713,'Malzeme Kartları'!$B$5:$C$204,2,FALSE)),"— tanımsız —")</f>
      </c>
      <c r="F713" s="16"/>
      <c r="G713" s="15">
        <f>IFERROR(IF($D713="","",VLOOKUP($D713,'Malzeme Kartları'!$B$5:$D$204,3,FALSE)),"")</f>
      </c>
      <c r="H713" s="17">
        <f>IFERROR(IF(OR($D713="",$F713=""),0,$F713*VLOOKUP($D713,'Malzeme Kartları'!$B$5:$G$204,6,FALSE)),0)</f>
      </c>
    </row>
    <row r="714" spans="2:8" x14ac:dyDescent="0.25">
      <c r="B714" s="12"/>
      <c r="C714" s="15">
        <f>IFERROR(IF($B714="","",VLOOKUP($B714,'Menü Kartları'!$B$5:$C$154,2,FALSE)),"")</f>
      </c>
      <c r="D714" s="12"/>
      <c r="E714" s="15">
        <f>IFERROR(IF($D714="","",VLOOKUP($D714,'Malzeme Kartları'!$B$5:$C$204,2,FALSE)),"— tanımsız —")</f>
      </c>
      <c r="F714" s="18"/>
      <c r="G714" s="15">
        <f>IFERROR(IF($D714="","",VLOOKUP($D714,'Malzeme Kartları'!$B$5:$D$204,3,FALSE)),"")</f>
      </c>
      <c r="H714" s="17">
        <f>IFERROR(IF(OR($D714="",$F714=""),0,$F714*VLOOKUP($D714,'Malzeme Kartları'!$B$5:$G$204,6,FALSE)),0)</f>
      </c>
    </row>
    <row r="715" spans="2:8" x14ac:dyDescent="0.25">
      <c r="B715" s="8"/>
      <c r="C715" s="15">
        <f>IFERROR(IF($B715="","",VLOOKUP($B715,'Menü Kartları'!$B$5:$C$154,2,FALSE)),"")</f>
      </c>
      <c r="D715" s="8"/>
      <c r="E715" s="15">
        <f>IFERROR(IF($D715="","",VLOOKUP($D715,'Malzeme Kartları'!$B$5:$C$204,2,FALSE)),"— tanımsız —")</f>
      </c>
      <c r="F715" s="16"/>
      <c r="G715" s="15">
        <f>IFERROR(IF($D715="","",VLOOKUP($D715,'Malzeme Kartları'!$B$5:$D$204,3,FALSE)),"")</f>
      </c>
      <c r="H715" s="17">
        <f>IFERROR(IF(OR($D715="",$F715=""),0,$F715*VLOOKUP($D715,'Malzeme Kartları'!$B$5:$G$204,6,FALSE)),0)</f>
      </c>
    </row>
    <row r="716" spans="2:8" x14ac:dyDescent="0.25">
      <c r="B716" s="12"/>
      <c r="C716" s="15">
        <f>IFERROR(IF($B716="","",VLOOKUP($B716,'Menü Kartları'!$B$5:$C$154,2,FALSE)),"")</f>
      </c>
      <c r="D716" s="12"/>
      <c r="E716" s="15">
        <f>IFERROR(IF($D716="","",VLOOKUP($D716,'Malzeme Kartları'!$B$5:$C$204,2,FALSE)),"— tanımsız —")</f>
      </c>
      <c r="F716" s="18"/>
      <c r="G716" s="15">
        <f>IFERROR(IF($D716="","",VLOOKUP($D716,'Malzeme Kartları'!$B$5:$D$204,3,FALSE)),"")</f>
      </c>
      <c r="H716" s="17">
        <f>IFERROR(IF(OR($D716="",$F716=""),0,$F716*VLOOKUP($D716,'Malzeme Kartları'!$B$5:$G$204,6,FALSE)),0)</f>
      </c>
    </row>
    <row r="717" spans="2:8" x14ac:dyDescent="0.25">
      <c r="B717" s="8"/>
      <c r="C717" s="15">
        <f>IFERROR(IF($B717="","",VLOOKUP($B717,'Menü Kartları'!$B$5:$C$154,2,FALSE)),"")</f>
      </c>
      <c r="D717" s="8"/>
      <c r="E717" s="15">
        <f>IFERROR(IF($D717="","",VLOOKUP($D717,'Malzeme Kartları'!$B$5:$C$204,2,FALSE)),"— tanımsız —")</f>
      </c>
      <c r="F717" s="16"/>
      <c r="G717" s="15">
        <f>IFERROR(IF($D717="","",VLOOKUP($D717,'Malzeme Kartları'!$B$5:$D$204,3,FALSE)),"")</f>
      </c>
      <c r="H717" s="17">
        <f>IFERROR(IF(OR($D717="",$F717=""),0,$F717*VLOOKUP($D717,'Malzeme Kartları'!$B$5:$G$204,6,FALSE)),0)</f>
      </c>
    </row>
    <row r="718" spans="2:8" x14ac:dyDescent="0.25">
      <c r="B718" s="12"/>
      <c r="C718" s="15">
        <f>IFERROR(IF($B718="","",VLOOKUP($B718,'Menü Kartları'!$B$5:$C$154,2,FALSE)),"")</f>
      </c>
      <c r="D718" s="12"/>
      <c r="E718" s="15">
        <f>IFERROR(IF($D718="","",VLOOKUP($D718,'Malzeme Kartları'!$B$5:$C$204,2,FALSE)),"— tanımsız —")</f>
      </c>
      <c r="F718" s="18"/>
      <c r="G718" s="15">
        <f>IFERROR(IF($D718="","",VLOOKUP($D718,'Malzeme Kartları'!$B$5:$D$204,3,FALSE)),"")</f>
      </c>
      <c r="H718" s="17">
        <f>IFERROR(IF(OR($D718="",$F718=""),0,$F718*VLOOKUP($D718,'Malzeme Kartları'!$B$5:$G$204,6,FALSE)),0)</f>
      </c>
    </row>
    <row r="719" spans="2:8" x14ac:dyDescent="0.25">
      <c r="B719" s="8"/>
      <c r="C719" s="15">
        <f>IFERROR(IF($B719="","",VLOOKUP($B719,'Menü Kartları'!$B$5:$C$154,2,FALSE)),"")</f>
      </c>
      <c r="D719" s="8"/>
      <c r="E719" s="15">
        <f>IFERROR(IF($D719="","",VLOOKUP($D719,'Malzeme Kartları'!$B$5:$C$204,2,FALSE)),"— tanımsız —")</f>
      </c>
      <c r="F719" s="16"/>
      <c r="G719" s="15">
        <f>IFERROR(IF($D719="","",VLOOKUP($D719,'Malzeme Kartları'!$B$5:$D$204,3,FALSE)),"")</f>
      </c>
      <c r="H719" s="17">
        <f>IFERROR(IF(OR($D719="",$F719=""),0,$F719*VLOOKUP($D719,'Malzeme Kartları'!$B$5:$G$204,6,FALSE)),0)</f>
      </c>
    </row>
    <row r="720" spans="2:8" x14ac:dyDescent="0.25">
      <c r="B720" s="12"/>
      <c r="C720" s="15">
        <f>IFERROR(IF($B720="","",VLOOKUP($B720,'Menü Kartları'!$B$5:$C$154,2,FALSE)),"")</f>
      </c>
      <c r="D720" s="12"/>
      <c r="E720" s="15">
        <f>IFERROR(IF($D720="","",VLOOKUP($D720,'Malzeme Kartları'!$B$5:$C$204,2,FALSE)),"— tanımsız —")</f>
      </c>
      <c r="F720" s="18"/>
      <c r="G720" s="15">
        <f>IFERROR(IF($D720="","",VLOOKUP($D720,'Malzeme Kartları'!$B$5:$D$204,3,FALSE)),"")</f>
      </c>
      <c r="H720" s="17">
        <f>IFERROR(IF(OR($D720="",$F720=""),0,$F720*VLOOKUP($D720,'Malzeme Kartları'!$B$5:$G$204,6,FALSE)),0)</f>
      </c>
    </row>
    <row r="721" spans="2:8" x14ac:dyDescent="0.25">
      <c r="B721" s="8"/>
      <c r="C721" s="15">
        <f>IFERROR(IF($B721="","",VLOOKUP($B721,'Menü Kartları'!$B$5:$C$154,2,FALSE)),"")</f>
      </c>
      <c r="D721" s="8"/>
      <c r="E721" s="15">
        <f>IFERROR(IF($D721="","",VLOOKUP($D721,'Malzeme Kartları'!$B$5:$C$204,2,FALSE)),"— tanımsız —")</f>
      </c>
      <c r="F721" s="16"/>
      <c r="G721" s="15">
        <f>IFERROR(IF($D721="","",VLOOKUP($D721,'Malzeme Kartları'!$B$5:$D$204,3,FALSE)),"")</f>
      </c>
      <c r="H721" s="17">
        <f>IFERROR(IF(OR($D721="",$F721=""),0,$F721*VLOOKUP($D721,'Malzeme Kartları'!$B$5:$G$204,6,FALSE)),0)</f>
      </c>
    </row>
    <row r="722" spans="2:8" x14ac:dyDescent="0.25">
      <c r="B722" s="12"/>
      <c r="C722" s="15">
        <f>IFERROR(IF($B722="","",VLOOKUP($B722,'Menü Kartları'!$B$5:$C$154,2,FALSE)),"")</f>
      </c>
      <c r="D722" s="12"/>
      <c r="E722" s="15">
        <f>IFERROR(IF($D722="","",VLOOKUP($D722,'Malzeme Kartları'!$B$5:$C$204,2,FALSE)),"— tanımsız —")</f>
      </c>
      <c r="F722" s="18"/>
      <c r="G722" s="15">
        <f>IFERROR(IF($D722="","",VLOOKUP($D722,'Malzeme Kartları'!$B$5:$D$204,3,FALSE)),"")</f>
      </c>
      <c r="H722" s="17">
        <f>IFERROR(IF(OR($D722="",$F722=""),0,$F722*VLOOKUP($D722,'Malzeme Kartları'!$B$5:$G$204,6,FALSE)),0)</f>
      </c>
    </row>
    <row r="723" spans="2:8" x14ac:dyDescent="0.25">
      <c r="B723" s="8"/>
      <c r="C723" s="15">
        <f>IFERROR(IF($B723="","",VLOOKUP($B723,'Menü Kartları'!$B$5:$C$154,2,FALSE)),"")</f>
      </c>
      <c r="D723" s="8"/>
      <c r="E723" s="15">
        <f>IFERROR(IF($D723="","",VLOOKUP($D723,'Malzeme Kartları'!$B$5:$C$204,2,FALSE)),"— tanımsız —")</f>
      </c>
      <c r="F723" s="16"/>
      <c r="G723" s="15">
        <f>IFERROR(IF($D723="","",VLOOKUP($D723,'Malzeme Kartları'!$B$5:$D$204,3,FALSE)),"")</f>
      </c>
      <c r="H723" s="17">
        <f>IFERROR(IF(OR($D723="",$F723=""),0,$F723*VLOOKUP($D723,'Malzeme Kartları'!$B$5:$G$204,6,FALSE)),0)</f>
      </c>
    </row>
    <row r="724" spans="2:8" x14ac:dyDescent="0.25">
      <c r="B724" s="12"/>
      <c r="C724" s="15">
        <f>IFERROR(IF($B724="","",VLOOKUP($B724,'Menü Kartları'!$B$5:$C$154,2,FALSE)),"")</f>
      </c>
      <c r="D724" s="12"/>
      <c r="E724" s="15">
        <f>IFERROR(IF($D724="","",VLOOKUP($D724,'Malzeme Kartları'!$B$5:$C$204,2,FALSE)),"— tanımsız —")</f>
      </c>
      <c r="F724" s="18"/>
      <c r="G724" s="15">
        <f>IFERROR(IF($D724="","",VLOOKUP($D724,'Malzeme Kartları'!$B$5:$D$204,3,FALSE)),"")</f>
      </c>
      <c r="H724" s="17">
        <f>IFERROR(IF(OR($D724="",$F724=""),0,$F724*VLOOKUP($D724,'Malzeme Kartları'!$B$5:$G$204,6,FALSE)),0)</f>
      </c>
    </row>
    <row r="725" spans="2:8" x14ac:dyDescent="0.25">
      <c r="B725" s="8"/>
      <c r="C725" s="15">
        <f>IFERROR(IF($B725="","",VLOOKUP($B725,'Menü Kartları'!$B$5:$C$154,2,FALSE)),"")</f>
      </c>
      <c r="D725" s="8"/>
      <c r="E725" s="15">
        <f>IFERROR(IF($D725="","",VLOOKUP($D725,'Malzeme Kartları'!$B$5:$C$204,2,FALSE)),"— tanımsız —")</f>
      </c>
      <c r="F725" s="16"/>
      <c r="G725" s="15">
        <f>IFERROR(IF($D725="","",VLOOKUP($D725,'Malzeme Kartları'!$B$5:$D$204,3,FALSE)),"")</f>
      </c>
      <c r="H725" s="17">
        <f>IFERROR(IF(OR($D725="",$F725=""),0,$F725*VLOOKUP($D725,'Malzeme Kartları'!$B$5:$G$204,6,FALSE)),0)</f>
      </c>
    </row>
    <row r="726" spans="2:8" x14ac:dyDescent="0.25">
      <c r="B726" s="12"/>
      <c r="C726" s="15">
        <f>IFERROR(IF($B726="","",VLOOKUP($B726,'Menü Kartları'!$B$5:$C$154,2,FALSE)),"")</f>
      </c>
      <c r="D726" s="12"/>
      <c r="E726" s="15">
        <f>IFERROR(IF($D726="","",VLOOKUP($D726,'Malzeme Kartları'!$B$5:$C$204,2,FALSE)),"— tanımsız —")</f>
      </c>
      <c r="F726" s="18"/>
      <c r="G726" s="15">
        <f>IFERROR(IF($D726="","",VLOOKUP($D726,'Malzeme Kartları'!$B$5:$D$204,3,FALSE)),"")</f>
      </c>
      <c r="H726" s="17">
        <f>IFERROR(IF(OR($D726="",$F726=""),0,$F726*VLOOKUP($D726,'Malzeme Kartları'!$B$5:$G$204,6,FALSE)),0)</f>
      </c>
    </row>
    <row r="727" spans="2:8" x14ac:dyDescent="0.25">
      <c r="B727" s="8"/>
      <c r="C727" s="15">
        <f>IFERROR(IF($B727="","",VLOOKUP($B727,'Menü Kartları'!$B$5:$C$154,2,FALSE)),"")</f>
      </c>
      <c r="D727" s="8"/>
      <c r="E727" s="15">
        <f>IFERROR(IF($D727="","",VLOOKUP($D727,'Malzeme Kartları'!$B$5:$C$204,2,FALSE)),"— tanımsız —")</f>
      </c>
      <c r="F727" s="16"/>
      <c r="G727" s="15">
        <f>IFERROR(IF($D727="","",VLOOKUP($D727,'Malzeme Kartları'!$B$5:$D$204,3,FALSE)),"")</f>
      </c>
      <c r="H727" s="17">
        <f>IFERROR(IF(OR($D727="",$F727=""),0,$F727*VLOOKUP($D727,'Malzeme Kartları'!$B$5:$G$204,6,FALSE)),0)</f>
      </c>
    </row>
    <row r="728" spans="2:8" x14ac:dyDescent="0.25">
      <c r="B728" s="12"/>
      <c r="C728" s="15">
        <f>IFERROR(IF($B728="","",VLOOKUP($B728,'Menü Kartları'!$B$5:$C$154,2,FALSE)),"")</f>
      </c>
      <c r="D728" s="12"/>
      <c r="E728" s="15">
        <f>IFERROR(IF($D728="","",VLOOKUP($D728,'Malzeme Kartları'!$B$5:$C$204,2,FALSE)),"— tanımsız —")</f>
      </c>
      <c r="F728" s="18"/>
      <c r="G728" s="15">
        <f>IFERROR(IF($D728="","",VLOOKUP($D728,'Malzeme Kartları'!$B$5:$D$204,3,FALSE)),"")</f>
      </c>
      <c r="H728" s="17">
        <f>IFERROR(IF(OR($D728="",$F728=""),0,$F728*VLOOKUP($D728,'Malzeme Kartları'!$B$5:$G$204,6,FALSE)),0)</f>
      </c>
    </row>
    <row r="729" spans="2:8" x14ac:dyDescent="0.25">
      <c r="B729" s="8"/>
      <c r="C729" s="15">
        <f>IFERROR(IF($B729="","",VLOOKUP($B729,'Menü Kartları'!$B$5:$C$154,2,FALSE)),"")</f>
      </c>
      <c r="D729" s="8"/>
      <c r="E729" s="15">
        <f>IFERROR(IF($D729="","",VLOOKUP($D729,'Malzeme Kartları'!$B$5:$C$204,2,FALSE)),"— tanımsız —")</f>
      </c>
      <c r="F729" s="16"/>
      <c r="G729" s="15">
        <f>IFERROR(IF($D729="","",VLOOKUP($D729,'Malzeme Kartları'!$B$5:$D$204,3,FALSE)),"")</f>
      </c>
      <c r="H729" s="17">
        <f>IFERROR(IF(OR($D729="",$F729=""),0,$F729*VLOOKUP($D729,'Malzeme Kartları'!$B$5:$G$204,6,FALSE)),0)</f>
      </c>
    </row>
    <row r="730" spans="2:8" x14ac:dyDescent="0.25">
      <c r="B730" s="12"/>
      <c r="C730" s="15">
        <f>IFERROR(IF($B730="","",VLOOKUP($B730,'Menü Kartları'!$B$5:$C$154,2,FALSE)),"")</f>
      </c>
      <c r="D730" s="12"/>
      <c r="E730" s="15">
        <f>IFERROR(IF($D730="","",VLOOKUP($D730,'Malzeme Kartları'!$B$5:$C$204,2,FALSE)),"— tanımsız —")</f>
      </c>
      <c r="F730" s="18"/>
      <c r="G730" s="15">
        <f>IFERROR(IF($D730="","",VLOOKUP($D730,'Malzeme Kartları'!$B$5:$D$204,3,FALSE)),"")</f>
      </c>
      <c r="H730" s="17">
        <f>IFERROR(IF(OR($D730="",$F730=""),0,$F730*VLOOKUP($D730,'Malzeme Kartları'!$B$5:$G$204,6,FALSE)),0)</f>
      </c>
    </row>
    <row r="731" spans="2:8" x14ac:dyDescent="0.25">
      <c r="B731" s="8"/>
      <c r="C731" s="15">
        <f>IFERROR(IF($B731="","",VLOOKUP($B731,'Menü Kartları'!$B$5:$C$154,2,FALSE)),"")</f>
      </c>
      <c r="D731" s="8"/>
      <c r="E731" s="15">
        <f>IFERROR(IF($D731="","",VLOOKUP($D731,'Malzeme Kartları'!$B$5:$C$204,2,FALSE)),"— tanımsız —")</f>
      </c>
      <c r="F731" s="16"/>
      <c r="G731" s="15">
        <f>IFERROR(IF($D731="","",VLOOKUP($D731,'Malzeme Kartları'!$B$5:$D$204,3,FALSE)),"")</f>
      </c>
      <c r="H731" s="17">
        <f>IFERROR(IF(OR($D731="",$F731=""),0,$F731*VLOOKUP($D731,'Malzeme Kartları'!$B$5:$G$204,6,FALSE)),0)</f>
      </c>
    </row>
    <row r="732" spans="2:8" x14ac:dyDescent="0.25">
      <c r="B732" s="12"/>
      <c r="C732" s="15">
        <f>IFERROR(IF($B732="","",VLOOKUP($B732,'Menü Kartları'!$B$5:$C$154,2,FALSE)),"")</f>
      </c>
      <c r="D732" s="12"/>
      <c r="E732" s="15">
        <f>IFERROR(IF($D732="","",VLOOKUP($D732,'Malzeme Kartları'!$B$5:$C$204,2,FALSE)),"— tanımsız —")</f>
      </c>
      <c r="F732" s="18"/>
      <c r="G732" s="15">
        <f>IFERROR(IF($D732="","",VLOOKUP($D732,'Malzeme Kartları'!$B$5:$D$204,3,FALSE)),"")</f>
      </c>
      <c r="H732" s="17">
        <f>IFERROR(IF(OR($D732="",$F732=""),0,$F732*VLOOKUP($D732,'Malzeme Kartları'!$B$5:$G$204,6,FALSE)),0)</f>
      </c>
    </row>
    <row r="733" spans="2:8" x14ac:dyDescent="0.25">
      <c r="B733" s="8"/>
      <c r="C733" s="15">
        <f>IFERROR(IF($B733="","",VLOOKUP($B733,'Menü Kartları'!$B$5:$C$154,2,FALSE)),"")</f>
      </c>
      <c r="D733" s="8"/>
      <c r="E733" s="15">
        <f>IFERROR(IF($D733="","",VLOOKUP($D733,'Malzeme Kartları'!$B$5:$C$204,2,FALSE)),"— tanımsız —")</f>
      </c>
      <c r="F733" s="16"/>
      <c r="G733" s="15">
        <f>IFERROR(IF($D733="","",VLOOKUP($D733,'Malzeme Kartları'!$B$5:$D$204,3,FALSE)),"")</f>
      </c>
      <c r="H733" s="17">
        <f>IFERROR(IF(OR($D733="",$F733=""),0,$F733*VLOOKUP($D733,'Malzeme Kartları'!$B$5:$G$204,6,FALSE)),0)</f>
      </c>
    </row>
    <row r="734" spans="2:8" x14ac:dyDescent="0.25">
      <c r="B734" s="12"/>
      <c r="C734" s="15">
        <f>IFERROR(IF($B734="","",VLOOKUP($B734,'Menü Kartları'!$B$5:$C$154,2,FALSE)),"")</f>
      </c>
      <c r="D734" s="12"/>
      <c r="E734" s="15">
        <f>IFERROR(IF($D734="","",VLOOKUP($D734,'Malzeme Kartları'!$B$5:$C$204,2,FALSE)),"— tanımsız —")</f>
      </c>
      <c r="F734" s="18"/>
      <c r="G734" s="15">
        <f>IFERROR(IF($D734="","",VLOOKUP($D734,'Malzeme Kartları'!$B$5:$D$204,3,FALSE)),"")</f>
      </c>
      <c r="H734" s="17">
        <f>IFERROR(IF(OR($D734="",$F734=""),0,$F734*VLOOKUP($D734,'Malzeme Kartları'!$B$5:$G$204,6,FALSE)),0)</f>
      </c>
    </row>
    <row r="735" spans="2:8" x14ac:dyDescent="0.25">
      <c r="B735" s="8"/>
      <c r="C735" s="15">
        <f>IFERROR(IF($B735="","",VLOOKUP($B735,'Menü Kartları'!$B$5:$C$154,2,FALSE)),"")</f>
      </c>
      <c r="D735" s="8"/>
      <c r="E735" s="15">
        <f>IFERROR(IF($D735="","",VLOOKUP($D735,'Malzeme Kartları'!$B$5:$C$204,2,FALSE)),"— tanımsız —")</f>
      </c>
      <c r="F735" s="16"/>
      <c r="G735" s="15">
        <f>IFERROR(IF($D735="","",VLOOKUP($D735,'Malzeme Kartları'!$B$5:$D$204,3,FALSE)),"")</f>
      </c>
      <c r="H735" s="17">
        <f>IFERROR(IF(OR($D735="",$F735=""),0,$F735*VLOOKUP($D735,'Malzeme Kartları'!$B$5:$G$204,6,FALSE)),0)</f>
      </c>
    </row>
    <row r="736" spans="2:8" x14ac:dyDescent="0.25">
      <c r="B736" s="12"/>
      <c r="C736" s="15">
        <f>IFERROR(IF($B736="","",VLOOKUP($B736,'Menü Kartları'!$B$5:$C$154,2,FALSE)),"")</f>
      </c>
      <c r="D736" s="12"/>
      <c r="E736" s="15">
        <f>IFERROR(IF($D736="","",VLOOKUP($D736,'Malzeme Kartları'!$B$5:$C$204,2,FALSE)),"— tanımsız —")</f>
      </c>
      <c r="F736" s="18"/>
      <c r="G736" s="15">
        <f>IFERROR(IF($D736="","",VLOOKUP($D736,'Malzeme Kartları'!$B$5:$D$204,3,FALSE)),"")</f>
      </c>
      <c r="H736" s="17">
        <f>IFERROR(IF(OR($D736="",$F736=""),0,$F736*VLOOKUP($D736,'Malzeme Kartları'!$B$5:$G$204,6,FALSE)),0)</f>
      </c>
    </row>
    <row r="737" spans="2:8" x14ac:dyDescent="0.25">
      <c r="B737" s="8"/>
      <c r="C737" s="15">
        <f>IFERROR(IF($B737="","",VLOOKUP($B737,'Menü Kartları'!$B$5:$C$154,2,FALSE)),"")</f>
      </c>
      <c r="D737" s="8"/>
      <c r="E737" s="15">
        <f>IFERROR(IF($D737="","",VLOOKUP($D737,'Malzeme Kartları'!$B$5:$C$204,2,FALSE)),"— tanımsız —")</f>
      </c>
      <c r="F737" s="16"/>
      <c r="G737" s="15">
        <f>IFERROR(IF($D737="","",VLOOKUP($D737,'Malzeme Kartları'!$B$5:$D$204,3,FALSE)),"")</f>
      </c>
      <c r="H737" s="17">
        <f>IFERROR(IF(OR($D737="",$F737=""),0,$F737*VLOOKUP($D737,'Malzeme Kartları'!$B$5:$G$204,6,FALSE)),0)</f>
      </c>
    </row>
    <row r="738" spans="2:8" x14ac:dyDescent="0.25">
      <c r="B738" s="12"/>
      <c r="C738" s="15">
        <f>IFERROR(IF($B738="","",VLOOKUP($B738,'Menü Kartları'!$B$5:$C$154,2,FALSE)),"")</f>
      </c>
      <c r="D738" s="12"/>
      <c r="E738" s="15">
        <f>IFERROR(IF($D738="","",VLOOKUP($D738,'Malzeme Kartları'!$B$5:$C$204,2,FALSE)),"— tanımsız —")</f>
      </c>
      <c r="F738" s="18"/>
      <c r="G738" s="15">
        <f>IFERROR(IF($D738="","",VLOOKUP($D738,'Malzeme Kartları'!$B$5:$D$204,3,FALSE)),"")</f>
      </c>
      <c r="H738" s="17">
        <f>IFERROR(IF(OR($D738="",$F738=""),0,$F738*VLOOKUP($D738,'Malzeme Kartları'!$B$5:$G$204,6,FALSE)),0)</f>
      </c>
    </row>
    <row r="739" spans="2:8" x14ac:dyDescent="0.25">
      <c r="B739" s="8"/>
      <c r="C739" s="15">
        <f>IFERROR(IF($B739="","",VLOOKUP($B739,'Menü Kartları'!$B$5:$C$154,2,FALSE)),"")</f>
      </c>
      <c r="D739" s="8"/>
      <c r="E739" s="15">
        <f>IFERROR(IF($D739="","",VLOOKUP($D739,'Malzeme Kartları'!$B$5:$C$204,2,FALSE)),"— tanımsız —")</f>
      </c>
      <c r="F739" s="16"/>
      <c r="G739" s="15">
        <f>IFERROR(IF($D739="","",VLOOKUP($D739,'Malzeme Kartları'!$B$5:$D$204,3,FALSE)),"")</f>
      </c>
      <c r="H739" s="17">
        <f>IFERROR(IF(OR($D739="",$F739=""),0,$F739*VLOOKUP($D739,'Malzeme Kartları'!$B$5:$G$204,6,FALSE)),0)</f>
      </c>
    </row>
    <row r="740" spans="2:8" x14ac:dyDescent="0.25">
      <c r="B740" s="12"/>
      <c r="C740" s="15">
        <f>IFERROR(IF($B740="","",VLOOKUP($B740,'Menü Kartları'!$B$5:$C$154,2,FALSE)),"")</f>
      </c>
      <c r="D740" s="12"/>
      <c r="E740" s="15">
        <f>IFERROR(IF($D740="","",VLOOKUP($D740,'Malzeme Kartları'!$B$5:$C$204,2,FALSE)),"— tanımsız —")</f>
      </c>
      <c r="F740" s="18"/>
      <c r="G740" s="15">
        <f>IFERROR(IF($D740="","",VLOOKUP($D740,'Malzeme Kartları'!$B$5:$D$204,3,FALSE)),"")</f>
      </c>
      <c r="H740" s="17">
        <f>IFERROR(IF(OR($D740="",$F740=""),0,$F740*VLOOKUP($D740,'Malzeme Kartları'!$B$5:$G$204,6,FALSE)),0)</f>
      </c>
    </row>
    <row r="741" spans="2:8" x14ac:dyDescent="0.25">
      <c r="B741" s="8"/>
      <c r="C741" s="15">
        <f>IFERROR(IF($B741="","",VLOOKUP($B741,'Menü Kartları'!$B$5:$C$154,2,FALSE)),"")</f>
      </c>
      <c r="D741" s="8"/>
      <c r="E741" s="15">
        <f>IFERROR(IF($D741="","",VLOOKUP($D741,'Malzeme Kartları'!$B$5:$C$204,2,FALSE)),"— tanımsız —")</f>
      </c>
      <c r="F741" s="16"/>
      <c r="G741" s="15">
        <f>IFERROR(IF($D741="","",VLOOKUP($D741,'Malzeme Kartları'!$B$5:$D$204,3,FALSE)),"")</f>
      </c>
      <c r="H741" s="17">
        <f>IFERROR(IF(OR($D741="",$F741=""),0,$F741*VLOOKUP($D741,'Malzeme Kartları'!$B$5:$G$204,6,FALSE)),0)</f>
      </c>
    </row>
    <row r="742" spans="2:8" x14ac:dyDescent="0.25">
      <c r="B742" s="12"/>
      <c r="C742" s="15">
        <f>IFERROR(IF($B742="","",VLOOKUP($B742,'Menü Kartları'!$B$5:$C$154,2,FALSE)),"")</f>
      </c>
      <c r="D742" s="12"/>
      <c r="E742" s="15">
        <f>IFERROR(IF($D742="","",VLOOKUP($D742,'Malzeme Kartları'!$B$5:$C$204,2,FALSE)),"— tanımsız —")</f>
      </c>
      <c r="F742" s="18"/>
      <c r="G742" s="15">
        <f>IFERROR(IF($D742="","",VLOOKUP($D742,'Malzeme Kartları'!$B$5:$D$204,3,FALSE)),"")</f>
      </c>
      <c r="H742" s="17">
        <f>IFERROR(IF(OR($D742="",$F742=""),0,$F742*VLOOKUP($D742,'Malzeme Kartları'!$B$5:$G$204,6,FALSE)),0)</f>
      </c>
    </row>
    <row r="743" spans="2:8" x14ac:dyDescent="0.25">
      <c r="B743" s="8"/>
      <c r="C743" s="15">
        <f>IFERROR(IF($B743="","",VLOOKUP($B743,'Menü Kartları'!$B$5:$C$154,2,FALSE)),"")</f>
      </c>
      <c r="D743" s="8"/>
      <c r="E743" s="15">
        <f>IFERROR(IF($D743="","",VLOOKUP($D743,'Malzeme Kartları'!$B$5:$C$204,2,FALSE)),"— tanımsız —")</f>
      </c>
      <c r="F743" s="16"/>
      <c r="G743" s="15">
        <f>IFERROR(IF($D743="","",VLOOKUP($D743,'Malzeme Kartları'!$B$5:$D$204,3,FALSE)),"")</f>
      </c>
      <c r="H743" s="17">
        <f>IFERROR(IF(OR($D743="",$F743=""),0,$F743*VLOOKUP($D743,'Malzeme Kartları'!$B$5:$G$204,6,FALSE)),0)</f>
      </c>
    </row>
    <row r="744" spans="2:8" x14ac:dyDescent="0.25">
      <c r="B744" s="12"/>
      <c r="C744" s="15">
        <f>IFERROR(IF($B744="","",VLOOKUP($B744,'Menü Kartları'!$B$5:$C$154,2,FALSE)),"")</f>
      </c>
      <c r="D744" s="12"/>
      <c r="E744" s="15">
        <f>IFERROR(IF($D744="","",VLOOKUP($D744,'Malzeme Kartları'!$B$5:$C$204,2,FALSE)),"— tanımsız —")</f>
      </c>
      <c r="F744" s="18"/>
      <c r="G744" s="15">
        <f>IFERROR(IF($D744="","",VLOOKUP($D744,'Malzeme Kartları'!$B$5:$D$204,3,FALSE)),"")</f>
      </c>
      <c r="H744" s="17">
        <f>IFERROR(IF(OR($D744="",$F744=""),0,$F744*VLOOKUP($D744,'Malzeme Kartları'!$B$5:$G$204,6,FALSE)),0)</f>
      </c>
    </row>
    <row r="745" spans="2:8" x14ac:dyDescent="0.25">
      <c r="B745" s="8"/>
      <c r="C745" s="15">
        <f>IFERROR(IF($B745="","",VLOOKUP($B745,'Menü Kartları'!$B$5:$C$154,2,FALSE)),"")</f>
      </c>
      <c r="D745" s="8"/>
      <c r="E745" s="15">
        <f>IFERROR(IF($D745="","",VLOOKUP($D745,'Malzeme Kartları'!$B$5:$C$204,2,FALSE)),"— tanımsız —")</f>
      </c>
      <c r="F745" s="16"/>
      <c r="G745" s="15">
        <f>IFERROR(IF($D745="","",VLOOKUP($D745,'Malzeme Kartları'!$B$5:$D$204,3,FALSE)),"")</f>
      </c>
      <c r="H745" s="17">
        <f>IFERROR(IF(OR($D745="",$F745=""),0,$F745*VLOOKUP($D745,'Malzeme Kartları'!$B$5:$G$204,6,FALSE)),0)</f>
      </c>
    </row>
    <row r="746" spans="2:8" x14ac:dyDescent="0.25">
      <c r="B746" s="12"/>
      <c r="C746" s="15">
        <f>IFERROR(IF($B746="","",VLOOKUP($B746,'Menü Kartları'!$B$5:$C$154,2,FALSE)),"")</f>
      </c>
      <c r="D746" s="12"/>
      <c r="E746" s="15">
        <f>IFERROR(IF($D746="","",VLOOKUP($D746,'Malzeme Kartları'!$B$5:$C$204,2,FALSE)),"— tanımsız —")</f>
      </c>
      <c r="F746" s="18"/>
      <c r="G746" s="15">
        <f>IFERROR(IF($D746="","",VLOOKUP($D746,'Malzeme Kartları'!$B$5:$D$204,3,FALSE)),"")</f>
      </c>
      <c r="H746" s="17">
        <f>IFERROR(IF(OR($D746="",$F746=""),0,$F746*VLOOKUP($D746,'Malzeme Kartları'!$B$5:$G$204,6,FALSE)),0)</f>
      </c>
    </row>
    <row r="747" spans="2:8" x14ac:dyDescent="0.25">
      <c r="B747" s="8"/>
      <c r="C747" s="15">
        <f>IFERROR(IF($B747="","",VLOOKUP($B747,'Menü Kartları'!$B$5:$C$154,2,FALSE)),"")</f>
      </c>
      <c r="D747" s="8"/>
      <c r="E747" s="15">
        <f>IFERROR(IF($D747="","",VLOOKUP($D747,'Malzeme Kartları'!$B$5:$C$204,2,FALSE)),"— tanımsız —")</f>
      </c>
      <c r="F747" s="16"/>
      <c r="G747" s="15">
        <f>IFERROR(IF($D747="","",VLOOKUP($D747,'Malzeme Kartları'!$B$5:$D$204,3,FALSE)),"")</f>
      </c>
      <c r="H747" s="17">
        <f>IFERROR(IF(OR($D747="",$F747=""),0,$F747*VLOOKUP($D747,'Malzeme Kartları'!$B$5:$G$204,6,FALSE)),0)</f>
      </c>
    </row>
    <row r="748" spans="2:8" x14ac:dyDescent="0.25">
      <c r="B748" s="12"/>
      <c r="C748" s="15">
        <f>IFERROR(IF($B748="","",VLOOKUP($B748,'Menü Kartları'!$B$5:$C$154,2,FALSE)),"")</f>
      </c>
      <c r="D748" s="12"/>
      <c r="E748" s="15">
        <f>IFERROR(IF($D748="","",VLOOKUP($D748,'Malzeme Kartları'!$B$5:$C$204,2,FALSE)),"— tanımsız —")</f>
      </c>
      <c r="F748" s="18"/>
      <c r="G748" s="15">
        <f>IFERROR(IF($D748="","",VLOOKUP($D748,'Malzeme Kartları'!$B$5:$D$204,3,FALSE)),"")</f>
      </c>
      <c r="H748" s="17">
        <f>IFERROR(IF(OR($D748="",$F748=""),0,$F748*VLOOKUP($D748,'Malzeme Kartları'!$B$5:$G$204,6,FALSE)),0)</f>
      </c>
    </row>
    <row r="749" spans="2:8" x14ac:dyDescent="0.25">
      <c r="B749" s="8"/>
      <c r="C749" s="15">
        <f>IFERROR(IF($B749="","",VLOOKUP($B749,'Menü Kartları'!$B$5:$C$154,2,FALSE)),"")</f>
      </c>
      <c r="D749" s="8"/>
      <c r="E749" s="15">
        <f>IFERROR(IF($D749="","",VLOOKUP($D749,'Malzeme Kartları'!$B$5:$C$204,2,FALSE)),"— tanımsız —")</f>
      </c>
      <c r="F749" s="16"/>
      <c r="G749" s="15">
        <f>IFERROR(IF($D749="","",VLOOKUP($D749,'Malzeme Kartları'!$B$5:$D$204,3,FALSE)),"")</f>
      </c>
      <c r="H749" s="17">
        <f>IFERROR(IF(OR($D749="",$F749=""),0,$F749*VLOOKUP($D749,'Malzeme Kartları'!$B$5:$G$204,6,FALSE)),0)</f>
      </c>
    </row>
    <row r="750" spans="2:8" x14ac:dyDescent="0.25">
      <c r="B750" s="12"/>
      <c r="C750" s="15">
        <f>IFERROR(IF($B750="","",VLOOKUP($B750,'Menü Kartları'!$B$5:$C$154,2,FALSE)),"")</f>
      </c>
      <c r="D750" s="12"/>
      <c r="E750" s="15">
        <f>IFERROR(IF($D750="","",VLOOKUP($D750,'Malzeme Kartları'!$B$5:$C$204,2,FALSE)),"— tanımsız —")</f>
      </c>
      <c r="F750" s="18"/>
      <c r="G750" s="15">
        <f>IFERROR(IF($D750="","",VLOOKUP($D750,'Malzeme Kartları'!$B$5:$D$204,3,FALSE)),"")</f>
      </c>
      <c r="H750" s="17">
        <f>IFERROR(IF(OR($D750="",$F750=""),0,$F750*VLOOKUP($D750,'Malzeme Kartları'!$B$5:$G$204,6,FALSE)),0)</f>
      </c>
    </row>
    <row r="751" spans="2:8" x14ac:dyDescent="0.25">
      <c r="B751" s="8"/>
      <c r="C751" s="15">
        <f>IFERROR(IF($B751="","",VLOOKUP($B751,'Menü Kartları'!$B$5:$C$154,2,FALSE)),"")</f>
      </c>
      <c r="D751" s="8"/>
      <c r="E751" s="15">
        <f>IFERROR(IF($D751="","",VLOOKUP($D751,'Malzeme Kartları'!$B$5:$C$204,2,FALSE)),"— tanımsız —")</f>
      </c>
      <c r="F751" s="16"/>
      <c r="G751" s="15">
        <f>IFERROR(IF($D751="","",VLOOKUP($D751,'Malzeme Kartları'!$B$5:$D$204,3,FALSE)),"")</f>
      </c>
      <c r="H751" s="17">
        <f>IFERROR(IF(OR($D751="",$F751=""),0,$F751*VLOOKUP($D751,'Malzeme Kartları'!$B$5:$G$204,6,FALSE)),0)</f>
      </c>
    </row>
    <row r="752" spans="2:8" x14ac:dyDescent="0.25">
      <c r="B752" s="12"/>
      <c r="C752" s="15">
        <f>IFERROR(IF($B752="","",VLOOKUP($B752,'Menü Kartları'!$B$5:$C$154,2,FALSE)),"")</f>
      </c>
      <c r="D752" s="12"/>
      <c r="E752" s="15">
        <f>IFERROR(IF($D752="","",VLOOKUP($D752,'Malzeme Kartları'!$B$5:$C$204,2,FALSE)),"— tanımsız —")</f>
      </c>
      <c r="F752" s="18"/>
      <c r="G752" s="15">
        <f>IFERROR(IF($D752="","",VLOOKUP($D752,'Malzeme Kartları'!$B$5:$D$204,3,FALSE)),"")</f>
      </c>
      <c r="H752" s="17">
        <f>IFERROR(IF(OR($D752="",$F752=""),0,$F752*VLOOKUP($D752,'Malzeme Kartları'!$B$5:$G$204,6,FALSE)),0)</f>
      </c>
    </row>
    <row r="753" spans="2:8" x14ac:dyDescent="0.25">
      <c r="B753" s="8"/>
      <c r="C753" s="15">
        <f>IFERROR(IF($B753="","",VLOOKUP($B753,'Menü Kartları'!$B$5:$C$154,2,FALSE)),"")</f>
      </c>
      <c r="D753" s="8"/>
      <c r="E753" s="15">
        <f>IFERROR(IF($D753="","",VLOOKUP($D753,'Malzeme Kartları'!$B$5:$C$204,2,FALSE)),"— tanımsız —")</f>
      </c>
      <c r="F753" s="16"/>
      <c r="G753" s="15">
        <f>IFERROR(IF($D753="","",VLOOKUP($D753,'Malzeme Kartları'!$B$5:$D$204,3,FALSE)),"")</f>
      </c>
      <c r="H753" s="17">
        <f>IFERROR(IF(OR($D753="",$F753=""),0,$F753*VLOOKUP($D753,'Malzeme Kartları'!$B$5:$G$204,6,FALSE)),0)</f>
      </c>
    </row>
    <row r="754" spans="2:8" x14ac:dyDescent="0.25">
      <c r="B754" s="12"/>
      <c r="C754" s="15">
        <f>IFERROR(IF($B754="","",VLOOKUP($B754,'Menü Kartları'!$B$5:$C$154,2,FALSE)),"")</f>
      </c>
      <c r="D754" s="12"/>
      <c r="E754" s="15">
        <f>IFERROR(IF($D754="","",VLOOKUP($D754,'Malzeme Kartları'!$B$5:$C$204,2,FALSE)),"— tanımsız —")</f>
      </c>
      <c r="F754" s="18"/>
      <c r="G754" s="15">
        <f>IFERROR(IF($D754="","",VLOOKUP($D754,'Malzeme Kartları'!$B$5:$D$204,3,FALSE)),"")</f>
      </c>
      <c r="H754" s="17">
        <f>IFERROR(IF(OR($D754="",$F754=""),0,$F754*VLOOKUP($D754,'Malzeme Kartları'!$B$5:$G$204,6,FALSE)),0)</f>
      </c>
    </row>
    <row r="755" spans="2:8" x14ac:dyDescent="0.25">
      <c r="B755" s="8"/>
      <c r="C755" s="15">
        <f>IFERROR(IF($B755="","",VLOOKUP($B755,'Menü Kartları'!$B$5:$C$154,2,FALSE)),"")</f>
      </c>
      <c r="D755" s="8"/>
      <c r="E755" s="15">
        <f>IFERROR(IF($D755="","",VLOOKUP($D755,'Malzeme Kartları'!$B$5:$C$204,2,FALSE)),"— tanımsız —")</f>
      </c>
      <c r="F755" s="16"/>
      <c r="G755" s="15">
        <f>IFERROR(IF($D755="","",VLOOKUP($D755,'Malzeme Kartları'!$B$5:$D$204,3,FALSE)),"")</f>
      </c>
      <c r="H755" s="17">
        <f>IFERROR(IF(OR($D755="",$F755=""),0,$F755*VLOOKUP($D755,'Malzeme Kartları'!$B$5:$G$204,6,FALSE)),0)</f>
      </c>
    </row>
    <row r="756" spans="2:8" x14ac:dyDescent="0.25">
      <c r="B756" s="12"/>
      <c r="C756" s="15">
        <f>IFERROR(IF($B756="","",VLOOKUP($B756,'Menü Kartları'!$B$5:$C$154,2,FALSE)),"")</f>
      </c>
      <c r="D756" s="12"/>
      <c r="E756" s="15">
        <f>IFERROR(IF($D756="","",VLOOKUP($D756,'Malzeme Kartları'!$B$5:$C$204,2,FALSE)),"— tanımsız —")</f>
      </c>
      <c r="F756" s="18"/>
      <c r="G756" s="15">
        <f>IFERROR(IF($D756="","",VLOOKUP($D756,'Malzeme Kartları'!$B$5:$D$204,3,FALSE)),"")</f>
      </c>
      <c r="H756" s="17">
        <f>IFERROR(IF(OR($D756="",$F756=""),0,$F756*VLOOKUP($D756,'Malzeme Kartları'!$B$5:$G$204,6,FALSE)),0)</f>
      </c>
    </row>
    <row r="757" spans="2:8" x14ac:dyDescent="0.25">
      <c r="B757" s="8"/>
      <c r="C757" s="15">
        <f>IFERROR(IF($B757="","",VLOOKUP($B757,'Menü Kartları'!$B$5:$C$154,2,FALSE)),"")</f>
      </c>
      <c r="D757" s="8"/>
      <c r="E757" s="15">
        <f>IFERROR(IF($D757="","",VLOOKUP($D757,'Malzeme Kartları'!$B$5:$C$204,2,FALSE)),"— tanımsız —")</f>
      </c>
      <c r="F757" s="16"/>
      <c r="G757" s="15">
        <f>IFERROR(IF($D757="","",VLOOKUP($D757,'Malzeme Kartları'!$B$5:$D$204,3,FALSE)),"")</f>
      </c>
      <c r="H757" s="17">
        <f>IFERROR(IF(OR($D757="",$F757=""),0,$F757*VLOOKUP($D757,'Malzeme Kartları'!$B$5:$G$204,6,FALSE)),0)</f>
      </c>
    </row>
    <row r="758" spans="2:8" x14ac:dyDescent="0.25">
      <c r="B758" s="12"/>
      <c r="C758" s="15">
        <f>IFERROR(IF($B758="","",VLOOKUP($B758,'Menü Kartları'!$B$5:$C$154,2,FALSE)),"")</f>
      </c>
      <c r="D758" s="12"/>
      <c r="E758" s="15">
        <f>IFERROR(IF($D758="","",VLOOKUP($D758,'Malzeme Kartları'!$B$5:$C$204,2,FALSE)),"— tanımsız —")</f>
      </c>
      <c r="F758" s="18"/>
      <c r="G758" s="15">
        <f>IFERROR(IF($D758="","",VLOOKUP($D758,'Malzeme Kartları'!$B$5:$D$204,3,FALSE)),"")</f>
      </c>
      <c r="H758" s="17">
        <f>IFERROR(IF(OR($D758="",$F758=""),0,$F758*VLOOKUP($D758,'Malzeme Kartları'!$B$5:$G$204,6,FALSE)),0)</f>
      </c>
    </row>
    <row r="759" spans="2:8" x14ac:dyDescent="0.25">
      <c r="B759" s="8"/>
      <c r="C759" s="15">
        <f>IFERROR(IF($B759="","",VLOOKUP($B759,'Menü Kartları'!$B$5:$C$154,2,FALSE)),"")</f>
      </c>
      <c r="D759" s="8"/>
      <c r="E759" s="15">
        <f>IFERROR(IF($D759="","",VLOOKUP($D759,'Malzeme Kartları'!$B$5:$C$204,2,FALSE)),"— tanımsız —")</f>
      </c>
      <c r="F759" s="16"/>
      <c r="G759" s="15">
        <f>IFERROR(IF($D759="","",VLOOKUP($D759,'Malzeme Kartları'!$B$5:$D$204,3,FALSE)),"")</f>
      </c>
      <c r="H759" s="17">
        <f>IFERROR(IF(OR($D759="",$F759=""),0,$F759*VLOOKUP($D759,'Malzeme Kartları'!$B$5:$G$204,6,FALSE)),0)</f>
      </c>
    </row>
    <row r="760" spans="2:8" x14ac:dyDescent="0.25">
      <c r="B760" s="12"/>
      <c r="C760" s="15">
        <f>IFERROR(IF($B760="","",VLOOKUP($B760,'Menü Kartları'!$B$5:$C$154,2,FALSE)),"")</f>
      </c>
      <c r="D760" s="12"/>
      <c r="E760" s="15">
        <f>IFERROR(IF($D760="","",VLOOKUP($D760,'Malzeme Kartları'!$B$5:$C$204,2,FALSE)),"— tanımsız —")</f>
      </c>
      <c r="F760" s="18"/>
      <c r="G760" s="15">
        <f>IFERROR(IF($D760="","",VLOOKUP($D760,'Malzeme Kartları'!$B$5:$D$204,3,FALSE)),"")</f>
      </c>
      <c r="H760" s="17">
        <f>IFERROR(IF(OR($D760="",$F760=""),0,$F760*VLOOKUP($D760,'Malzeme Kartları'!$B$5:$G$204,6,FALSE)),0)</f>
      </c>
    </row>
    <row r="761" spans="2:8" x14ac:dyDescent="0.25">
      <c r="B761" s="8"/>
      <c r="C761" s="15">
        <f>IFERROR(IF($B761="","",VLOOKUP($B761,'Menü Kartları'!$B$5:$C$154,2,FALSE)),"")</f>
      </c>
      <c r="D761" s="8"/>
      <c r="E761" s="15">
        <f>IFERROR(IF($D761="","",VLOOKUP($D761,'Malzeme Kartları'!$B$5:$C$204,2,FALSE)),"— tanımsız —")</f>
      </c>
      <c r="F761" s="16"/>
      <c r="G761" s="15">
        <f>IFERROR(IF($D761="","",VLOOKUP($D761,'Malzeme Kartları'!$B$5:$D$204,3,FALSE)),"")</f>
      </c>
      <c r="H761" s="17">
        <f>IFERROR(IF(OR($D761="",$F761=""),0,$F761*VLOOKUP($D761,'Malzeme Kartları'!$B$5:$G$204,6,FALSE)),0)</f>
      </c>
    </row>
    <row r="762" spans="2:8" x14ac:dyDescent="0.25">
      <c r="B762" s="12"/>
      <c r="C762" s="15">
        <f>IFERROR(IF($B762="","",VLOOKUP($B762,'Menü Kartları'!$B$5:$C$154,2,FALSE)),"")</f>
      </c>
      <c r="D762" s="12"/>
      <c r="E762" s="15">
        <f>IFERROR(IF($D762="","",VLOOKUP($D762,'Malzeme Kartları'!$B$5:$C$204,2,FALSE)),"— tanımsız —")</f>
      </c>
      <c r="F762" s="18"/>
      <c r="G762" s="15">
        <f>IFERROR(IF($D762="","",VLOOKUP($D762,'Malzeme Kartları'!$B$5:$D$204,3,FALSE)),"")</f>
      </c>
      <c r="H762" s="17">
        <f>IFERROR(IF(OR($D762="",$F762=""),0,$F762*VLOOKUP($D762,'Malzeme Kartları'!$B$5:$G$204,6,FALSE)),0)</f>
      </c>
    </row>
    <row r="763" spans="2:8" x14ac:dyDescent="0.25">
      <c r="B763" s="8"/>
      <c r="C763" s="15">
        <f>IFERROR(IF($B763="","",VLOOKUP($B763,'Menü Kartları'!$B$5:$C$154,2,FALSE)),"")</f>
      </c>
      <c r="D763" s="8"/>
      <c r="E763" s="15">
        <f>IFERROR(IF($D763="","",VLOOKUP($D763,'Malzeme Kartları'!$B$5:$C$204,2,FALSE)),"— tanımsız —")</f>
      </c>
      <c r="F763" s="16"/>
      <c r="G763" s="15">
        <f>IFERROR(IF($D763="","",VLOOKUP($D763,'Malzeme Kartları'!$B$5:$D$204,3,FALSE)),"")</f>
      </c>
      <c r="H763" s="17">
        <f>IFERROR(IF(OR($D763="",$F763=""),0,$F763*VLOOKUP($D763,'Malzeme Kartları'!$B$5:$G$204,6,FALSE)),0)</f>
      </c>
    </row>
    <row r="764" spans="2:8" x14ac:dyDescent="0.25">
      <c r="B764" s="12"/>
      <c r="C764" s="15">
        <f>IFERROR(IF($B764="","",VLOOKUP($B764,'Menü Kartları'!$B$5:$C$154,2,FALSE)),"")</f>
      </c>
      <c r="D764" s="12"/>
      <c r="E764" s="15">
        <f>IFERROR(IF($D764="","",VLOOKUP($D764,'Malzeme Kartları'!$B$5:$C$204,2,FALSE)),"— tanımsız —")</f>
      </c>
      <c r="F764" s="18"/>
      <c r="G764" s="15">
        <f>IFERROR(IF($D764="","",VLOOKUP($D764,'Malzeme Kartları'!$B$5:$D$204,3,FALSE)),"")</f>
      </c>
      <c r="H764" s="17">
        <f>IFERROR(IF(OR($D764="",$F764=""),0,$F764*VLOOKUP($D764,'Malzeme Kartları'!$B$5:$G$204,6,FALSE)),0)</f>
      </c>
    </row>
    <row r="765" spans="2:8" x14ac:dyDescent="0.25">
      <c r="B765" s="8"/>
      <c r="C765" s="15">
        <f>IFERROR(IF($B765="","",VLOOKUP($B765,'Menü Kartları'!$B$5:$C$154,2,FALSE)),"")</f>
      </c>
      <c r="D765" s="8"/>
      <c r="E765" s="15">
        <f>IFERROR(IF($D765="","",VLOOKUP($D765,'Malzeme Kartları'!$B$5:$C$204,2,FALSE)),"— tanımsız —")</f>
      </c>
      <c r="F765" s="16"/>
      <c r="G765" s="15">
        <f>IFERROR(IF($D765="","",VLOOKUP($D765,'Malzeme Kartları'!$B$5:$D$204,3,FALSE)),"")</f>
      </c>
      <c r="H765" s="17">
        <f>IFERROR(IF(OR($D765="",$F765=""),0,$F765*VLOOKUP($D765,'Malzeme Kartları'!$B$5:$G$204,6,FALSE)),0)</f>
      </c>
    </row>
    <row r="766" spans="2:8" x14ac:dyDescent="0.25">
      <c r="B766" s="12"/>
      <c r="C766" s="15">
        <f>IFERROR(IF($B766="","",VLOOKUP($B766,'Menü Kartları'!$B$5:$C$154,2,FALSE)),"")</f>
      </c>
      <c r="D766" s="12"/>
      <c r="E766" s="15">
        <f>IFERROR(IF($D766="","",VLOOKUP($D766,'Malzeme Kartları'!$B$5:$C$204,2,FALSE)),"— tanımsız —")</f>
      </c>
      <c r="F766" s="18"/>
      <c r="G766" s="15">
        <f>IFERROR(IF($D766="","",VLOOKUP($D766,'Malzeme Kartları'!$B$5:$D$204,3,FALSE)),"")</f>
      </c>
      <c r="H766" s="17">
        <f>IFERROR(IF(OR($D766="",$F766=""),0,$F766*VLOOKUP($D766,'Malzeme Kartları'!$B$5:$G$204,6,FALSE)),0)</f>
      </c>
    </row>
    <row r="767" spans="2:8" x14ac:dyDescent="0.25">
      <c r="B767" s="8"/>
      <c r="C767" s="15">
        <f>IFERROR(IF($B767="","",VLOOKUP($B767,'Menü Kartları'!$B$5:$C$154,2,FALSE)),"")</f>
      </c>
      <c r="D767" s="8"/>
      <c r="E767" s="15">
        <f>IFERROR(IF($D767="","",VLOOKUP($D767,'Malzeme Kartları'!$B$5:$C$204,2,FALSE)),"— tanımsız —")</f>
      </c>
      <c r="F767" s="16"/>
      <c r="G767" s="15">
        <f>IFERROR(IF($D767="","",VLOOKUP($D767,'Malzeme Kartları'!$B$5:$D$204,3,FALSE)),"")</f>
      </c>
      <c r="H767" s="17">
        <f>IFERROR(IF(OR($D767="",$F767=""),0,$F767*VLOOKUP($D767,'Malzeme Kartları'!$B$5:$G$204,6,FALSE)),0)</f>
      </c>
    </row>
    <row r="768" spans="2:8" x14ac:dyDescent="0.25">
      <c r="B768" s="12"/>
      <c r="C768" s="15">
        <f>IFERROR(IF($B768="","",VLOOKUP($B768,'Menü Kartları'!$B$5:$C$154,2,FALSE)),"")</f>
      </c>
      <c r="D768" s="12"/>
      <c r="E768" s="15">
        <f>IFERROR(IF($D768="","",VLOOKUP($D768,'Malzeme Kartları'!$B$5:$C$204,2,FALSE)),"— tanımsız —")</f>
      </c>
      <c r="F768" s="18"/>
      <c r="G768" s="15">
        <f>IFERROR(IF($D768="","",VLOOKUP($D768,'Malzeme Kartları'!$B$5:$D$204,3,FALSE)),"")</f>
      </c>
      <c r="H768" s="17">
        <f>IFERROR(IF(OR($D768="",$F768=""),0,$F768*VLOOKUP($D768,'Malzeme Kartları'!$B$5:$G$204,6,FALSE)),0)</f>
      </c>
    </row>
    <row r="769" spans="2:8" x14ac:dyDescent="0.25">
      <c r="B769" s="8"/>
      <c r="C769" s="15">
        <f>IFERROR(IF($B769="","",VLOOKUP($B769,'Menü Kartları'!$B$5:$C$154,2,FALSE)),"")</f>
      </c>
      <c r="D769" s="8"/>
      <c r="E769" s="15">
        <f>IFERROR(IF($D769="","",VLOOKUP($D769,'Malzeme Kartları'!$B$5:$C$204,2,FALSE)),"— tanımsız —")</f>
      </c>
      <c r="F769" s="16"/>
      <c r="G769" s="15">
        <f>IFERROR(IF($D769="","",VLOOKUP($D769,'Malzeme Kartları'!$B$5:$D$204,3,FALSE)),"")</f>
      </c>
      <c r="H769" s="17">
        <f>IFERROR(IF(OR($D769="",$F769=""),0,$F769*VLOOKUP($D769,'Malzeme Kartları'!$B$5:$G$204,6,FALSE)),0)</f>
      </c>
    </row>
    <row r="770" spans="2:8" x14ac:dyDescent="0.25">
      <c r="B770" s="12"/>
      <c r="C770" s="15">
        <f>IFERROR(IF($B770="","",VLOOKUP($B770,'Menü Kartları'!$B$5:$C$154,2,FALSE)),"")</f>
      </c>
      <c r="D770" s="12"/>
      <c r="E770" s="15">
        <f>IFERROR(IF($D770="","",VLOOKUP($D770,'Malzeme Kartları'!$B$5:$C$204,2,FALSE)),"— tanımsız —")</f>
      </c>
      <c r="F770" s="18"/>
      <c r="G770" s="15">
        <f>IFERROR(IF($D770="","",VLOOKUP($D770,'Malzeme Kartları'!$B$5:$D$204,3,FALSE)),"")</f>
      </c>
      <c r="H770" s="17">
        <f>IFERROR(IF(OR($D770="",$F770=""),0,$F770*VLOOKUP($D770,'Malzeme Kartları'!$B$5:$G$204,6,FALSE)),0)</f>
      </c>
    </row>
    <row r="771" spans="2:8" x14ac:dyDescent="0.25">
      <c r="B771" s="8"/>
      <c r="C771" s="15">
        <f>IFERROR(IF($B771="","",VLOOKUP($B771,'Menü Kartları'!$B$5:$C$154,2,FALSE)),"")</f>
      </c>
      <c r="D771" s="8"/>
      <c r="E771" s="15">
        <f>IFERROR(IF($D771="","",VLOOKUP($D771,'Malzeme Kartları'!$B$5:$C$204,2,FALSE)),"— tanımsız —")</f>
      </c>
      <c r="F771" s="16"/>
      <c r="G771" s="15">
        <f>IFERROR(IF($D771="","",VLOOKUP($D771,'Malzeme Kartları'!$B$5:$D$204,3,FALSE)),"")</f>
      </c>
      <c r="H771" s="17">
        <f>IFERROR(IF(OR($D771="",$F771=""),0,$F771*VLOOKUP($D771,'Malzeme Kartları'!$B$5:$G$204,6,FALSE)),0)</f>
      </c>
    </row>
    <row r="772" spans="2:8" x14ac:dyDescent="0.25">
      <c r="B772" s="12"/>
      <c r="C772" s="15">
        <f>IFERROR(IF($B772="","",VLOOKUP($B772,'Menü Kartları'!$B$5:$C$154,2,FALSE)),"")</f>
      </c>
      <c r="D772" s="12"/>
      <c r="E772" s="15">
        <f>IFERROR(IF($D772="","",VLOOKUP($D772,'Malzeme Kartları'!$B$5:$C$204,2,FALSE)),"— tanımsız —")</f>
      </c>
      <c r="F772" s="18"/>
      <c r="G772" s="15">
        <f>IFERROR(IF($D772="","",VLOOKUP($D772,'Malzeme Kartları'!$B$5:$D$204,3,FALSE)),"")</f>
      </c>
      <c r="H772" s="17">
        <f>IFERROR(IF(OR($D772="",$F772=""),0,$F772*VLOOKUP($D772,'Malzeme Kartları'!$B$5:$G$204,6,FALSE)),0)</f>
      </c>
    </row>
    <row r="773" spans="2:8" x14ac:dyDescent="0.25">
      <c r="B773" s="8"/>
      <c r="C773" s="15">
        <f>IFERROR(IF($B773="","",VLOOKUP($B773,'Menü Kartları'!$B$5:$C$154,2,FALSE)),"")</f>
      </c>
      <c r="D773" s="8"/>
      <c r="E773" s="15">
        <f>IFERROR(IF($D773="","",VLOOKUP($D773,'Malzeme Kartları'!$B$5:$C$204,2,FALSE)),"— tanımsız —")</f>
      </c>
      <c r="F773" s="16"/>
      <c r="G773" s="15">
        <f>IFERROR(IF($D773="","",VLOOKUP($D773,'Malzeme Kartları'!$B$5:$D$204,3,FALSE)),"")</f>
      </c>
      <c r="H773" s="17">
        <f>IFERROR(IF(OR($D773="",$F773=""),0,$F773*VLOOKUP($D773,'Malzeme Kartları'!$B$5:$G$204,6,FALSE)),0)</f>
      </c>
    </row>
    <row r="774" spans="2:8" x14ac:dyDescent="0.25">
      <c r="B774" s="12"/>
      <c r="C774" s="15">
        <f>IFERROR(IF($B774="","",VLOOKUP($B774,'Menü Kartları'!$B$5:$C$154,2,FALSE)),"")</f>
      </c>
      <c r="D774" s="12"/>
      <c r="E774" s="15">
        <f>IFERROR(IF($D774="","",VLOOKUP($D774,'Malzeme Kartları'!$B$5:$C$204,2,FALSE)),"— tanımsız —")</f>
      </c>
      <c r="F774" s="18"/>
      <c r="G774" s="15">
        <f>IFERROR(IF($D774="","",VLOOKUP($D774,'Malzeme Kartları'!$B$5:$D$204,3,FALSE)),"")</f>
      </c>
      <c r="H774" s="17">
        <f>IFERROR(IF(OR($D774="",$F774=""),0,$F774*VLOOKUP($D774,'Malzeme Kartları'!$B$5:$G$204,6,FALSE)),0)</f>
      </c>
    </row>
    <row r="775" spans="2:8" x14ac:dyDescent="0.25">
      <c r="B775" s="8"/>
      <c r="C775" s="15">
        <f>IFERROR(IF($B775="","",VLOOKUP($B775,'Menü Kartları'!$B$5:$C$154,2,FALSE)),"")</f>
      </c>
      <c r="D775" s="8"/>
      <c r="E775" s="15">
        <f>IFERROR(IF($D775="","",VLOOKUP($D775,'Malzeme Kartları'!$B$5:$C$204,2,FALSE)),"— tanımsız —")</f>
      </c>
      <c r="F775" s="16"/>
      <c r="G775" s="15">
        <f>IFERROR(IF($D775="","",VLOOKUP($D775,'Malzeme Kartları'!$B$5:$D$204,3,FALSE)),"")</f>
      </c>
      <c r="H775" s="17">
        <f>IFERROR(IF(OR($D775="",$F775=""),0,$F775*VLOOKUP($D775,'Malzeme Kartları'!$B$5:$G$204,6,FALSE)),0)</f>
      </c>
    </row>
    <row r="776" spans="2:8" x14ac:dyDescent="0.25">
      <c r="B776" s="12"/>
      <c r="C776" s="15">
        <f>IFERROR(IF($B776="","",VLOOKUP($B776,'Menü Kartları'!$B$5:$C$154,2,FALSE)),"")</f>
      </c>
      <c r="D776" s="12"/>
      <c r="E776" s="15">
        <f>IFERROR(IF($D776="","",VLOOKUP($D776,'Malzeme Kartları'!$B$5:$C$204,2,FALSE)),"— tanımsız —")</f>
      </c>
      <c r="F776" s="18"/>
      <c r="G776" s="15">
        <f>IFERROR(IF($D776="","",VLOOKUP($D776,'Malzeme Kartları'!$B$5:$D$204,3,FALSE)),"")</f>
      </c>
      <c r="H776" s="17">
        <f>IFERROR(IF(OR($D776="",$F776=""),0,$F776*VLOOKUP($D776,'Malzeme Kartları'!$B$5:$G$204,6,FALSE)),0)</f>
      </c>
    </row>
    <row r="777" spans="2:8" x14ac:dyDescent="0.25">
      <c r="B777" s="8"/>
      <c r="C777" s="15">
        <f>IFERROR(IF($B777="","",VLOOKUP($B777,'Menü Kartları'!$B$5:$C$154,2,FALSE)),"")</f>
      </c>
      <c r="D777" s="8"/>
      <c r="E777" s="15">
        <f>IFERROR(IF($D777="","",VLOOKUP($D777,'Malzeme Kartları'!$B$5:$C$204,2,FALSE)),"— tanımsız —")</f>
      </c>
      <c r="F777" s="16"/>
      <c r="G777" s="15">
        <f>IFERROR(IF($D777="","",VLOOKUP($D777,'Malzeme Kartları'!$B$5:$D$204,3,FALSE)),"")</f>
      </c>
      <c r="H777" s="17">
        <f>IFERROR(IF(OR($D777="",$F777=""),0,$F777*VLOOKUP($D777,'Malzeme Kartları'!$B$5:$G$204,6,FALSE)),0)</f>
      </c>
    </row>
    <row r="778" spans="2:8" x14ac:dyDescent="0.25">
      <c r="B778" s="12"/>
      <c r="C778" s="15">
        <f>IFERROR(IF($B778="","",VLOOKUP($B778,'Menü Kartları'!$B$5:$C$154,2,FALSE)),"")</f>
      </c>
      <c r="D778" s="12"/>
      <c r="E778" s="15">
        <f>IFERROR(IF($D778="","",VLOOKUP($D778,'Malzeme Kartları'!$B$5:$C$204,2,FALSE)),"— tanımsız —")</f>
      </c>
      <c r="F778" s="18"/>
      <c r="G778" s="15">
        <f>IFERROR(IF($D778="","",VLOOKUP($D778,'Malzeme Kartları'!$B$5:$D$204,3,FALSE)),"")</f>
      </c>
      <c r="H778" s="17">
        <f>IFERROR(IF(OR($D778="",$F778=""),0,$F778*VLOOKUP($D778,'Malzeme Kartları'!$B$5:$G$204,6,FALSE)),0)</f>
      </c>
    </row>
    <row r="779" spans="2:8" x14ac:dyDescent="0.25">
      <c r="B779" s="8"/>
      <c r="C779" s="15">
        <f>IFERROR(IF($B779="","",VLOOKUP($B779,'Menü Kartları'!$B$5:$C$154,2,FALSE)),"")</f>
      </c>
      <c r="D779" s="8"/>
      <c r="E779" s="15">
        <f>IFERROR(IF($D779="","",VLOOKUP($D779,'Malzeme Kartları'!$B$5:$C$204,2,FALSE)),"— tanımsız —")</f>
      </c>
      <c r="F779" s="16"/>
      <c r="G779" s="15">
        <f>IFERROR(IF($D779="","",VLOOKUP($D779,'Malzeme Kartları'!$B$5:$D$204,3,FALSE)),"")</f>
      </c>
      <c r="H779" s="17">
        <f>IFERROR(IF(OR($D779="",$F779=""),0,$F779*VLOOKUP($D779,'Malzeme Kartları'!$B$5:$G$204,6,FALSE)),0)</f>
      </c>
    </row>
    <row r="780" spans="2:8" x14ac:dyDescent="0.25">
      <c r="B780" s="12"/>
      <c r="C780" s="15">
        <f>IFERROR(IF($B780="","",VLOOKUP($B780,'Menü Kartları'!$B$5:$C$154,2,FALSE)),"")</f>
      </c>
      <c r="D780" s="12"/>
      <c r="E780" s="15">
        <f>IFERROR(IF($D780="","",VLOOKUP($D780,'Malzeme Kartları'!$B$5:$C$204,2,FALSE)),"— tanımsız —")</f>
      </c>
      <c r="F780" s="18"/>
      <c r="G780" s="15">
        <f>IFERROR(IF($D780="","",VLOOKUP($D780,'Malzeme Kartları'!$B$5:$D$204,3,FALSE)),"")</f>
      </c>
      <c r="H780" s="17">
        <f>IFERROR(IF(OR($D780="",$F780=""),0,$F780*VLOOKUP($D780,'Malzeme Kartları'!$B$5:$G$204,6,FALSE)),0)</f>
      </c>
    </row>
    <row r="781" spans="2:8" x14ac:dyDescent="0.25">
      <c r="B781" s="8"/>
      <c r="C781" s="15">
        <f>IFERROR(IF($B781="","",VLOOKUP($B781,'Menü Kartları'!$B$5:$C$154,2,FALSE)),"")</f>
      </c>
      <c r="D781" s="8"/>
      <c r="E781" s="15">
        <f>IFERROR(IF($D781="","",VLOOKUP($D781,'Malzeme Kartları'!$B$5:$C$204,2,FALSE)),"— tanımsız —")</f>
      </c>
      <c r="F781" s="16"/>
      <c r="G781" s="15">
        <f>IFERROR(IF($D781="","",VLOOKUP($D781,'Malzeme Kartları'!$B$5:$D$204,3,FALSE)),"")</f>
      </c>
      <c r="H781" s="17">
        <f>IFERROR(IF(OR($D781="",$F781=""),0,$F781*VLOOKUP($D781,'Malzeme Kartları'!$B$5:$G$204,6,FALSE)),0)</f>
      </c>
    </row>
    <row r="782" spans="2:8" x14ac:dyDescent="0.25">
      <c r="B782" s="12"/>
      <c r="C782" s="15">
        <f>IFERROR(IF($B782="","",VLOOKUP($B782,'Menü Kartları'!$B$5:$C$154,2,FALSE)),"")</f>
      </c>
      <c r="D782" s="12"/>
      <c r="E782" s="15">
        <f>IFERROR(IF($D782="","",VLOOKUP($D782,'Malzeme Kartları'!$B$5:$C$204,2,FALSE)),"— tanımsız —")</f>
      </c>
      <c r="F782" s="18"/>
      <c r="G782" s="15">
        <f>IFERROR(IF($D782="","",VLOOKUP($D782,'Malzeme Kartları'!$B$5:$D$204,3,FALSE)),"")</f>
      </c>
      <c r="H782" s="17">
        <f>IFERROR(IF(OR($D782="",$F782=""),0,$F782*VLOOKUP($D782,'Malzeme Kartları'!$B$5:$G$204,6,FALSE)),0)</f>
      </c>
    </row>
    <row r="783" spans="2:8" x14ac:dyDescent="0.25">
      <c r="B783" s="8"/>
      <c r="C783" s="15">
        <f>IFERROR(IF($B783="","",VLOOKUP($B783,'Menü Kartları'!$B$5:$C$154,2,FALSE)),"")</f>
      </c>
      <c r="D783" s="8"/>
      <c r="E783" s="15">
        <f>IFERROR(IF($D783="","",VLOOKUP($D783,'Malzeme Kartları'!$B$5:$C$204,2,FALSE)),"— tanımsız —")</f>
      </c>
      <c r="F783" s="16"/>
      <c r="G783" s="15">
        <f>IFERROR(IF($D783="","",VLOOKUP($D783,'Malzeme Kartları'!$B$5:$D$204,3,FALSE)),"")</f>
      </c>
      <c r="H783" s="17">
        <f>IFERROR(IF(OR($D783="",$F783=""),0,$F783*VLOOKUP($D783,'Malzeme Kartları'!$B$5:$G$204,6,FALSE)),0)</f>
      </c>
    </row>
    <row r="784" spans="2:8" x14ac:dyDescent="0.25">
      <c r="B784" s="12"/>
      <c r="C784" s="15">
        <f>IFERROR(IF($B784="","",VLOOKUP($B784,'Menü Kartları'!$B$5:$C$154,2,FALSE)),"")</f>
      </c>
      <c r="D784" s="12"/>
      <c r="E784" s="15">
        <f>IFERROR(IF($D784="","",VLOOKUP($D784,'Malzeme Kartları'!$B$5:$C$204,2,FALSE)),"— tanımsız —")</f>
      </c>
      <c r="F784" s="18"/>
      <c r="G784" s="15">
        <f>IFERROR(IF($D784="","",VLOOKUP($D784,'Malzeme Kartları'!$B$5:$D$204,3,FALSE)),"")</f>
      </c>
      <c r="H784" s="17">
        <f>IFERROR(IF(OR($D784="",$F784=""),0,$F784*VLOOKUP($D784,'Malzeme Kartları'!$B$5:$G$204,6,FALSE)),0)</f>
      </c>
    </row>
    <row r="785" spans="2:8" x14ac:dyDescent="0.25">
      <c r="B785" s="8"/>
      <c r="C785" s="15">
        <f>IFERROR(IF($B785="","",VLOOKUP($B785,'Menü Kartları'!$B$5:$C$154,2,FALSE)),"")</f>
      </c>
      <c r="D785" s="8"/>
      <c r="E785" s="15">
        <f>IFERROR(IF($D785="","",VLOOKUP($D785,'Malzeme Kartları'!$B$5:$C$204,2,FALSE)),"— tanımsız —")</f>
      </c>
      <c r="F785" s="16"/>
      <c r="G785" s="15">
        <f>IFERROR(IF($D785="","",VLOOKUP($D785,'Malzeme Kartları'!$B$5:$D$204,3,FALSE)),"")</f>
      </c>
      <c r="H785" s="17">
        <f>IFERROR(IF(OR($D785="",$F785=""),0,$F785*VLOOKUP($D785,'Malzeme Kartları'!$B$5:$G$204,6,FALSE)),0)</f>
      </c>
    </row>
    <row r="786" spans="2:8" x14ac:dyDescent="0.25">
      <c r="B786" s="12"/>
      <c r="C786" s="15">
        <f>IFERROR(IF($B786="","",VLOOKUP($B786,'Menü Kartları'!$B$5:$C$154,2,FALSE)),"")</f>
      </c>
      <c r="D786" s="12"/>
      <c r="E786" s="15">
        <f>IFERROR(IF($D786="","",VLOOKUP($D786,'Malzeme Kartları'!$B$5:$C$204,2,FALSE)),"— tanımsız —")</f>
      </c>
      <c r="F786" s="18"/>
      <c r="G786" s="15">
        <f>IFERROR(IF($D786="","",VLOOKUP($D786,'Malzeme Kartları'!$B$5:$D$204,3,FALSE)),"")</f>
      </c>
      <c r="H786" s="17">
        <f>IFERROR(IF(OR($D786="",$F786=""),0,$F786*VLOOKUP($D786,'Malzeme Kartları'!$B$5:$G$204,6,FALSE)),0)</f>
      </c>
    </row>
    <row r="787" spans="2:8" x14ac:dyDescent="0.25">
      <c r="B787" s="8"/>
      <c r="C787" s="15">
        <f>IFERROR(IF($B787="","",VLOOKUP($B787,'Menü Kartları'!$B$5:$C$154,2,FALSE)),"")</f>
      </c>
      <c r="D787" s="8"/>
      <c r="E787" s="15">
        <f>IFERROR(IF($D787="","",VLOOKUP($D787,'Malzeme Kartları'!$B$5:$C$204,2,FALSE)),"— tanımsız —")</f>
      </c>
      <c r="F787" s="16"/>
      <c r="G787" s="15">
        <f>IFERROR(IF($D787="","",VLOOKUP($D787,'Malzeme Kartları'!$B$5:$D$204,3,FALSE)),"")</f>
      </c>
      <c r="H787" s="17">
        <f>IFERROR(IF(OR($D787="",$F787=""),0,$F787*VLOOKUP($D787,'Malzeme Kartları'!$B$5:$G$204,6,FALSE)),0)</f>
      </c>
    </row>
    <row r="788" spans="2:8" x14ac:dyDescent="0.25">
      <c r="B788" s="12"/>
      <c r="C788" s="15">
        <f>IFERROR(IF($B788="","",VLOOKUP($B788,'Menü Kartları'!$B$5:$C$154,2,FALSE)),"")</f>
      </c>
      <c r="D788" s="12"/>
      <c r="E788" s="15">
        <f>IFERROR(IF($D788="","",VLOOKUP($D788,'Malzeme Kartları'!$B$5:$C$204,2,FALSE)),"— tanımsız —")</f>
      </c>
      <c r="F788" s="18"/>
      <c r="G788" s="15">
        <f>IFERROR(IF($D788="","",VLOOKUP($D788,'Malzeme Kartları'!$B$5:$D$204,3,FALSE)),"")</f>
      </c>
      <c r="H788" s="17">
        <f>IFERROR(IF(OR($D788="",$F788=""),0,$F788*VLOOKUP($D788,'Malzeme Kartları'!$B$5:$G$204,6,FALSE)),0)</f>
      </c>
    </row>
    <row r="789" spans="2:8" x14ac:dyDescent="0.25">
      <c r="B789" s="8"/>
      <c r="C789" s="15">
        <f>IFERROR(IF($B789="","",VLOOKUP($B789,'Menü Kartları'!$B$5:$C$154,2,FALSE)),"")</f>
      </c>
      <c r="D789" s="8"/>
      <c r="E789" s="15">
        <f>IFERROR(IF($D789="","",VLOOKUP($D789,'Malzeme Kartları'!$B$5:$C$204,2,FALSE)),"— tanımsız —")</f>
      </c>
      <c r="F789" s="16"/>
      <c r="G789" s="15">
        <f>IFERROR(IF($D789="","",VLOOKUP($D789,'Malzeme Kartları'!$B$5:$D$204,3,FALSE)),"")</f>
      </c>
      <c r="H789" s="17">
        <f>IFERROR(IF(OR($D789="",$F789=""),0,$F789*VLOOKUP($D789,'Malzeme Kartları'!$B$5:$G$204,6,FALSE)),0)</f>
      </c>
    </row>
    <row r="790" spans="2:8" x14ac:dyDescent="0.25">
      <c r="B790" s="12"/>
      <c r="C790" s="15">
        <f>IFERROR(IF($B790="","",VLOOKUP($B790,'Menü Kartları'!$B$5:$C$154,2,FALSE)),"")</f>
      </c>
      <c r="D790" s="12"/>
      <c r="E790" s="15">
        <f>IFERROR(IF($D790="","",VLOOKUP($D790,'Malzeme Kartları'!$B$5:$C$204,2,FALSE)),"— tanımsız —")</f>
      </c>
      <c r="F790" s="18"/>
      <c r="G790" s="15">
        <f>IFERROR(IF($D790="","",VLOOKUP($D790,'Malzeme Kartları'!$B$5:$D$204,3,FALSE)),"")</f>
      </c>
      <c r="H790" s="17">
        <f>IFERROR(IF(OR($D790="",$F790=""),0,$F790*VLOOKUP($D790,'Malzeme Kartları'!$B$5:$G$204,6,FALSE)),0)</f>
      </c>
    </row>
    <row r="791" spans="2:8" x14ac:dyDescent="0.25">
      <c r="B791" s="8"/>
      <c r="C791" s="15">
        <f>IFERROR(IF($B791="","",VLOOKUP($B791,'Menü Kartları'!$B$5:$C$154,2,FALSE)),"")</f>
      </c>
      <c r="D791" s="8"/>
      <c r="E791" s="15">
        <f>IFERROR(IF($D791="","",VLOOKUP($D791,'Malzeme Kartları'!$B$5:$C$204,2,FALSE)),"— tanımsız —")</f>
      </c>
      <c r="F791" s="16"/>
      <c r="G791" s="15">
        <f>IFERROR(IF($D791="","",VLOOKUP($D791,'Malzeme Kartları'!$B$5:$D$204,3,FALSE)),"")</f>
      </c>
      <c r="H791" s="17">
        <f>IFERROR(IF(OR($D791="",$F791=""),0,$F791*VLOOKUP($D791,'Malzeme Kartları'!$B$5:$G$204,6,FALSE)),0)</f>
      </c>
    </row>
    <row r="792" spans="2:8" x14ac:dyDescent="0.25">
      <c r="B792" s="12"/>
      <c r="C792" s="15">
        <f>IFERROR(IF($B792="","",VLOOKUP($B792,'Menü Kartları'!$B$5:$C$154,2,FALSE)),"")</f>
      </c>
      <c r="D792" s="12"/>
      <c r="E792" s="15">
        <f>IFERROR(IF($D792="","",VLOOKUP($D792,'Malzeme Kartları'!$B$5:$C$204,2,FALSE)),"— tanımsız —")</f>
      </c>
      <c r="F792" s="18"/>
      <c r="G792" s="15">
        <f>IFERROR(IF($D792="","",VLOOKUP($D792,'Malzeme Kartları'!$B$5:$D$204,3,FALSE)),"")</f>
      </c>
      <c r="H792" s="17">
        <f>IFERROR(IF(OR($D792="",$F792=""),0,$F792*VLOOKUP($D792,'Malzeme Kartları'!$B$5:$G$204,6,FALSE)),0)</f>
      </c>
    </row>
    <row r="793" spans="2:8" x14ac:dyDescent="0.25">
      <c r="B793" s="8"/>
      <c r="C793" s="15">
        <f>IFERROR(IF($B793="","",VLOOKUP($B793,'Menü Kartları'!$B$5:$C$154,2,FALSE)),"")</f>
      </c>
      <c r="D793" s="8"/>
      <c r="E793" s="15">
        <f>IFERROR(IF($D793="","",VLOOKUP($D793,'Malzeme Kartları'!$B$5:$C$204,2,FALSE)),"— tanımsız —")</f>
      </c>
      <c r="F793" s="16"/>
      <c r="G793" s="15">
        <f>IFERROR(IF($D793="","",VLOOKUP($D793,'Malzeme Kartları'!$B$5:$D$204,3,FALSE)),"")</f>
      </c>
      <c r="H793" s="17">
        <f>IFERROR(IF(OR($D793="",$F793=""),0,$F793*VLOOKUP($D793,'Malzeme Kartları'!$B$5:$G$204,6,FALSE)),0)</f>
      </c>
    </row>
    <row r="794" spans="2:8" x14ac:dyDescent="0.25">
      <c r="B794" s="12"/>
      <c r="C794" s="15">
        <f>IFERROR(IF($B794="","",VLOOKUP($B794,'Menü Kartları'!$B$5:$C$154,2,FALSE)),"")</f>
      </c>
      <c r="D794" s="12"/>
      <c r="E794" s="15">
        <f>IFERROR(IF($D794="","",VLOOKUP($D794,'Malzeme Kartları'!$B$5:$C$204,2,FALSE)),"— tanımsız —")</f>
      </c>
      <c r="F794" s="18"/>
      <c r="G794" s="15">
        <f>IFERROR(IF($D794="","",VLOOKUP($D794,'Malzeme Kartları'!$B$5:$D$204,3,FALSE)),"")</f>
      </c>
      <c r="H794" s="17">
        <f>IFERROR(IF(OR($D794="",$F794=""),0,$F794*VLOOKUP($D794,'Malzeme Kartları'!$B$5:$G$204,6,FALSE)),0)</f>
      </c>
    </row>
    <row r="795" spans="2:8" x14ac:dyDescent="0.25">
      <c r="B795" s="8"/>
      <c r="C795" s="15">
        <f>IFERROR(IF($B795="","",VLOOKUP($B795,'Menü Kartları'!$B$5:$C$154,2,FALSE)),"")</f>
      </c>
      <c r="D795" s="8"/>
      <c r="E795" s="15">
        <f>IFERROR(IF($D795="","",VLOOKUP($D795,'Malzeme Kartları'!$B$5:$C$204,2,FALSE)),"— tanımsız —")</f>
      </c>
      <c r="F795" s="16"/>
      <c r="G795" s="15">
        <f>IFERROR(IF($D795="","",VLOOKUP($D795,'Malzeme Kartları'!$B$5:$D$204,3,FALSE)),"")</f>
      </c>
      <c r="H795" s="17">
        <f>IFERROR(IF(OR($D795="",$F795=""),0,$F795*VLOOKUP($D795,'Malzeme Kartları'!$B$5:$G$204,6,FALSE)),0)</f>
      </c>
    </row>
    <row r="796" spans="2:8" x14ac:dyDescent="0.25">
      <c r="B796" s="12"/>
      <c r="C796" s="15">
        <f>IFERROR(IF($B796="","",VLOOKUP($B796,'Menü Kartları'!$B$5:$C$154,2,FALSE)),"")</f>
      </c>
      <c r="D796" s="12"/>
      <c r="E796" s="15">
        <f>IFERROR(IF($D796="","",VLOOKUP($D796,'Malzeme Kartları'!$B$5:$C$204,2,FALSE)),"— tanımsız —")</f>
      </c>
      <c r="F796" s="18"/>
      <c r="G796" s="15">
        <f>IFERROR(IF($D796="","",VLOOKUP($D796,'Malzeme Kartları'!$B$5:$D$204,3,FALSE)),"")</f>
      </c>
      <c r="H796" s="17">
        <f>IFERROR(IF(OR($D796="",$F796=""),0,$F796*VLOOKUP($D796,'Malzeme Kartları'!$B$5:$G$204,6,FALSE)),0)</f>
      </c>
    </row>
    <row r="797" spans="2:8" x14ac:dyDescent="0.25">
      <c r="B797" s="8"/>
      <c r="C797" s="15">
        <f>IFERROR(IF($B797="","",VLOOKUP($B797,'Menü Kartları'!$B$5:$C$154,2,FALSE)),"")</f>
      </c>
      <c r="D797" s="8"/>
      <c r="E797" s="15">
        <f>IFERROR(IF($D797="","",VLOOKUP($D797,'Malzeme Kartları'!$B$5:$C$204,2,FALSE)),"— tanımsız —")</f>
      </c>
      <c r="F797" s="16"/>
      <c r="G797" s="15">
        <f>IFERROR(IF($D797="","",VLOOKUP($D797,'Malzeme Kartları'!$B$5:$D$204,3,FALSE)),"")</f>
      </c>
      <c r="H797" s="17">
        <f>IFERROR(IF(OR($D797="",$F797=""),0,$F797*VLOOKUP($D797,'Malzeme Kartları'!$B$5:$G$204,6,FALSE)),0)</f>
      </c>
    </row>
    <row r="798" spans="2:8" x14ac:dyDescent="0.25">
      <c r="B798" s="12"/>
      <c r="C798" s="15">
        <f>IFERROR(IF($B798="","",VLOOKUP($B798,'Menü Kartları'!$B$5:$C$154,2,FALSE)),"")</f>
      </c>
      <c r="D798" s="12"/>
      <c r="E798" s="15">
        <f>IFERROR(IF($D798="","",VLOOKUP($D798,'Malzeme Kartları'!$B$5:$C$204,2,FALSE)),"— tanımsız —")</f>
      </c>
      <c r="F798" s="18"/>
      <c r="G798" s="15">
        <f>IFERROR(IF($D798="","",VLOOKUP($D798,'Malzeme Kartları'!$B$5:$D$204,3,FALSE)),"")</f>
      </c>
      <c r="H798" s="17">
        <f>IFERROR(IF(OR($D798="",$F798=""),0,$F798*VLOOKUP($D798,'Malzeme Kartları'!$B$5:$G$204,6,FALSE)),0)</f>
      </c>
    </row>
    <row r="799" spans="2:8" x14ac:dyDescent="0.25">
      <c r="B799" s="8"/>
      <c r="C799" s="15">
        <f>IFERROR(IF($B799="","",VLOOKUP($B799,'Menü Kartları'!$B$5:$C$154,2,FALSE)),"")</f>
      </c>
      <c r="D799" s="8"/>
      <c r="E799" s="15">
        <f>IFERROR(IF($D799="","",VLOOKUP($D799,'Malzeme Kartları'!$B$5:$C$204,2,FALSE)),"— tanımsız —")</f>
      </c>
      <c r="F799" s="16"/>
      <c r="G799" s="15">
        <f>IFERROR(IF($D799="","",VLOOKUP($D799,'Malzeme Kartları'!$B$5:$D$204,3,FALSE)),"")</f>
      </c>
      <c r="H799" s="17">
        <f>IFERROR(IF(OR($D799="",$F799=""),0,$F799*VLOOKUP($D799,'Malzeme Kartları'!$B$5:$G$204,6,FALSE)),0)</f>
      </c>
    </row>
    <row r="800" spans="2:8" x14ac:dyDescent="0.25">
      <c r="B800" s="12"/>
      <c r="C800" s="15">
        <f>IFERROR(IF($B800="","",VLOOKUP($B800,'Menü Kartları'!$B$5:$C$154,2,FALSE)),"")</f>
      </c>
      <c r="D800" s="12"/>
      <c r="E800" s="15">
        <f>IFERROR(IF($D800="","",VLOOKUP($D800,'Malzeme Kartları'!$B$5:$C$204,2,FALSE)),"— tanımsız —")</f>
      </c>
      <c r="F800" s="18"/>
      <c r="G800" s="15">
        <f>IFERROR(IF($D800="","",VLOOKUP($D800,'Malzeme Kartları'!$B$5:$D$204,3,FALSE)),"")</f>
      </c>
      <c r="H800" s="17">
        <f>IFERROR(IF(OR($D800="",$F800=""),0,$F800*VLOOKUP($D800,'Malzeme Kartları'!$B$5:$G$204,6,FALSE)),0)</f>
      </c>
    </row>
    <row r="801" spans="2:8" x14ac:dyDescent="0.25">
      <c r="B801" s="8"/>
      <c r="C801" s="15">
        <f>IFERROR(IF($B801="","",VLOOKUP($B801,'Menü Kartları'!$B$5:$C$154,2,FALSE)),"")</f>
      </c>
      <c r="D801" s="8"/>
      <c r="E801" s="15">
        <f>IFERROR(IF($D801="","",VLOOKUP($D801,'Malzeme Kartları'!$B$5:$C$204,2,FALSE)),"— tanımsız —")</f>
      </c>
      <c r="F801" s="16"/>
      <c r="G801" s="15">
        <f>IFERROR(IF($D801="","",VLOOKUP($D801,'Malzeme Kartları'!$B$5:$D$204,3,FALSE)),"")</f>
      </c>
      <c r="H801" s="17">
        <f>IFERROR(IF(OR($D801="",$F801=""),0,$F801*VLOOKUP($D801,'Malzeme Kartları'!$B$5:$G$204,6,FALSE)),0)</f>
      </c>
    </row>
    <row r="802" spans="2:8" x14ac:dyDescent="0.25">
      <c r="B802" s="12"/>
      <c r="C802" s="15">
        <f>IFERROR(IF($B802="","",VLOOKUP($B802,'Menü Kartları'!$B$5:$C$154,2,FALSE)),"")</f>
      </c>
      <c r="D802" s="12"/>
      <c r="E802" s="15">
        <f>IFERROR(IF($D802="","",VLOOKUP($D802,'Malzeme Kartları'!$B$5:$C$204,2,FALSE)),"— tanımsız —")</f>
      </c>
      <c r="F802" s="18"/>
      <c r="G802" s="15">
        <f>IFERROR(IF($D802="","",VLOOKUP($D802,'Malzeme Kartları'!$B$5:$D$204,3,FALSE)),"")</f>
      </c>
      <c r="H802" s="17">
        <f>IFERROR(IF(OR($D802="",$F802=""),0,$F802*VLOOKUP($D802,'Malzeme Kartları'!$B$5:$G$204,6,FALSE)),0)</f>
      </c>
    </row>
    <row r="803" spans="2:8" x14ac:dyDescent="0.25">
      <c r="B803" s="8"/>
      <c r="C803" s="15">
        <f>IFERROR(IF($B803="","",VLOOKUP($B803,'Menü Kartları'!$B$5:$C$154,2,FALSE)),"")</f>
      </c>
      <c r="D803" s="8"/>
      <c r="E803" s="15">
        <f>IFERROR(IF($D803="","",VLOOKUP($D803,'Malzeme Kartları'!$B$5:$C$204,2,FALSE)),"— tanımsız —")</f>
      </c>
      <c r="F803" s="16"/>
      <c r="G803" s="15">
        <f>IFERROR(IF($D803="","",VLOOKUP($D803,'Malzeme Kartları'!$B$5:$D$204,3,FALSE)),"")</f>
      </c>
      <c r="H803" s="17">
        <f>IFERROR(IF(OR($D803="",$F803=""),0,$F803*VLOOKUP($D803,'Malzeme Kartları'!$B$5:$G$204,6,FALSE)),0)</f>
      </c>
    </row>
    <row r="804" spans="2:8" x14ac:dyDescent="0.25">
      <c r="B804" s="12"/>
      <c r="C804" s="15">
        <f>IFERROR(IF($B804="","",VLOOKUP($B804,'Menü Kartları'!$B$5:$C$154,2,FALSE)),"")</f>
      </c>
      <c r="D804" s="12"/>
      <c r="E804" s="15">
        <f>IFERROR(IF($D804="","",VLOOKUP($D804,'Malzeme Kartları'!$B$5:$C$204,2,FALSE)),"— tanımsız —")</f>
      </c>
      <c r="F804" s="18"/>
      <c r="G804" s="15">
        <f>IFERROR(IF($D804="","",VLOOKUP($D804,'Malzeme Kartları'!$B$5:$D$204,3,FALSE)),"")</f>
      </c>
      <c r="H804" s="17">
        <f>IFERROR(IF(OR($D804="",$F804=""),0,$F804*VLOOKUP($D804,'Malzeme Kartları'!$B$5:$G$204,6,FALSE)),0)</f>
      </c>
    </row>
  </sheetData>
  <mergeCells count="2">
    <mergeCell ref="A1:H1"/>
    <mergeCell ref="A2:H2"/>
  </mergeCells>
  <dataValidations count="2">
    <dataValidation type="list" allowBlank="1" sqref="B5:B804">
      <formula1>=MenuKodlari</formula1>
    </dataValidation>
    <dataValidation type="list" allowBlank="1" sqref="D5:D804">
      <formula1>=MalzemeKodlari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J1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28" customWidth="1"/>
    <col min="4" max="4" width="18" customWidth="1"/>
    <col min="5" max="5" width="16" customWidth="1"/>
    <col min="6" max="6" width="10" customWidth="1"/>
    <col min="7" max="8" width="18" customWidth="1"/>
    <col min="9" max="9" width="14" customWidth="1"/>
    <col min="10" max="10" width="16" customWidth="1"/>
  </cols>
  <sheetData>
    <row r="1" ht="34" customHeight="1" spans="1:10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7" t="s">
        <v>20</v>
      </c>
      <c r="B4" s="7" t="s">
        <v>50</v>
      </c>
      <c r="C4" s="7" t="s">
        <v>51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  <c r="J4" s="7" t="s">
        <v>64</v>
      </c>
    </row>
    <row r="5" spans="2:10" x14ac:dyDescent="0.25">
      <c r="B5" s="8" t="s">
        <v>54</v>
      </c>
      <c r="C5" s="8" t="s">
        <v>65</v>
      </c>
      <c r="D5" s="8" t="s">
        <v>66</v>
      </c>
      <c r="E5" s="9">
        <v>385</v>
      </c>
      <c r="F5" s="10">
        <v>0.1</v>
      </c>
      <c r="G5" s="11">
        <f>IF($B5="",0,SUMIF('Reçeteler'!$B$5:$B$804,$B5,'Reçeteler'!$H$5:$H$804))</f>
      </c>
      <c r="H5" s="17">
        <f>IF($B5="","",$E5/(1+IF($F5="",0,$F5))-$G5)</f>
      </c>
      <c r="I5" s="19">
        <f>IF(OR($B5="",$E5=0),"",$G5/($E5/(1+IF($F5="",0,$F5))))</f>
      </c>
      <c r="J5" s="15">
        <f>IF($B5="","",IF($I5&gt;0.4,"YÜKSEK",IF($I5&gt;0.35,"DİKKAT","Sağlıklı")))</f>
      </c>
    </row>
    <row r="6" spans="2:10" x14ac:dyDescent="0.25">
      <c r="B6" s="12" t="s">
        <v>55</v>
      </c>
      <c r="C6" s="12" t="s">
        <v>67</v>
      </c>
      <c r="D6" s="12" t="s">
        <v>68</v>
      </c>
      <c r="E6" s="13">
        <v>145</v>
      </c>
      <c r="F6" s="14">
        <v>0.1</v>
      </c>
      <c r="G6" s="11">
        <f>IF($B6="",0,SUMIF('Reçeteler'!$B$5:$B$804,$B6,'Reçeteler'!$H$5:$H$804))</f>
      </c>
      <c r="H6" s="17">
        <f>IF($B6="","",$E6/(1+IF($F6="",0,$F6))-$G6)</f>
      </c>
      <c r="I6" s="19">
        <f>IF(OR($B6="",$E6=0),"",$G6/($E6/(1+IF($F6="",0,$F6))))</f>
      </c>
      <c r="J6" s="15">
        <f>IF($B6="","",IF($I6&gt;0.4,"YÜKSEK",IF($I6&gt;0.35,"DİKKAT","Sağlıklı")))</f>
      </c>
    </row>
    <row r="7" spans="2:10" x14ac:dyDescent="0.25">
      <c r="B7" s="8"/>
      <c r="C7" s="8"/>
      <c r="D7" s="8"/>
      <c r="E7" s="9"/>
      <c r="F7" s="10"/>
      <c r="G7" s="11">
        <f>IF($B7="",0,SUMIF('Reçeteler'!$B$5:$B$804,$B7,'Reçeteler'!$H$5:$H$804))</f>
      </c>
      <c r="H7" s="17">
        <f>IF($B7="","",$E7/(1+IF($F7="",0,$F7))-$G7)</f>
      </c>
      <c r="I7" s="19">
        <f>IF(OR($B7="",$E7=0),"",$G7/($E7/(1+IF($F7="",0,$F7))))</f>
      </c>
      <c r="J7" s="15">
        <f>IF($B7="","",IF($I7&gt;0.4,"YÜKSEK",IF($I7&gt;0.35,"DİKKAT","Sağlıklı")))</f>
      </c>
    </row>
    <row r="8" spans="2:10" x14ac:dyDescent="0.25">
      <c r="B8" s="12"/>
      <c r="C8" s="12"/>
      <c r="D8" s="12"/>
      <c r="E8" s="13"/>
      <c r="F8" s="14"/>
      <c r="G8" s="11">
        <f>IF($B8="",0,SUMIF('Reçeteler'!$B$5:$B$804,$B8,'Reçeteler'!$H$5:$H$804))</f>
      </c>
      <c r="H8" s="17">
        <f>IF($B8="","",$E8/(1+IF($F8="",0,$F8))-$G8)</f>
      </c>
      <c r="I8" s="19">
        <f>IF(OR($B8="",$E8=0),"",$G8/($E8/(1+IF($F8="",0,$F8))))</f>
      </c>
      <c r="J8" s="15">
        <f>IF($B8="","",IF($I8&gt;0.4,"YÜKSEK",IF($I8&gt;0.35,"DİKKAT","Sağlıklı")))</f>
      </c>
    </row>
    <row r="9" spans="2:10" x14ac:dyDescent="0.25">
      <c r="B9" s="8"/>
      <c r="C9" s="8"/>
      <c r="D9" s="8"/>
      <c r="E9" s="9"/>
      <c r="F9" s="10"/>
      <c r="G9" s="11">
        <f>IF($B9="",0,SUMIF('Reçeteler'!$B$5:$B$804,$B9,'Reçeteler'!$H$5:$H$804))</f>
      </c>
      <c r="H9" s="17">
        <f>IF($B9="","",$E9/(1+IF($F9="",0,$F9))-$G9)</f>
      </c>
      <c r="I9" s="19">
        <f>IF(OR($B9="",$E9=0),"",$G9/($E9/(1+IF($F9="",0,$F9))))</f>
      </c>
      <c r="J9" s="15">
        <f>IF($B9="","",IF($I9&gt;0.4,"YÜKSEK",IF($I9&gt;0.35,"DİKKAT","Sağlıklı")))</f>
      </c>
    </row>
    <row r="10" spans="2:10" x14ac:dyDescent="0.25">
      <c r="B10" s="12"/>
      <c r="C10" s="12"/>
      <c r="D10" s="12"/>
      <c r="E10" s="13"/>
      <c r="F10" s="14"/>
      <c r="G10" s="11">
        <f>IF($B10="",0,SUMIF('Reçeteler'!$B$5:$B$804,$B10,'Reçeteler'!$H$5:$H$804))</f>
      </c>
      <c r="H10" s="17">
        <f>IF($B10="","",$E10/(1+IF($F10="",0,$F10))-$G10)</f>
      </c>
      <c r="I10" s="19">
        <f>IF(OR($B10="",$E10=0),"",$G10/($E10/(1+IF($F10="",0,$F10))))</f>
      </c>
      <c r="J10" s="15">
        <f>IF($B10="","",IF($I10&gt;0.4,"YÜKSEK",IF($I10&gt;0.35,"DİKKAT","Sağlıklı")))</f>
      </c>
    </row>
    <row r="11" spans="2:10" x14ac:dyDescent="0.25">
      <c r="B11" s="8"/>
      <c r="C11" s="8"/>
      <c r="D11" s="8"/>
      <c r="E11" s="9"/>
      <c r="F11" s="10"/>
      <c r="G11" s="11">
        <f>IF($B11="",0,SUMIF('Reçeteler'!$B$5:$B$804,$B11,'Reçeteler'!$H$5:$H$804))</f>
      </c>
      <c r="H11" s="17">
        <f>IF($B11="","",$E11/(1+IF($F11="",0,$F11))-$G11)</f>
      </c>
      <c r="I11" s="19">
        <f>IF(OR($B11="",$E11=0),"",$G11/($E11/(1+IF($F11="",0,$F11))))</f>
      </c>
      <c r="J11" s="15">
        <f>IF($B11="","",IF($I11&gt;0.4,"YÜKSEK",IF($I11&gt;0.35,"DİKKAT","Sağlıklı")))</f>
      </c>
    </row>
    <row r="12" spans="2:10" x14ac:dyDescent="0.25">
      <c r="B12" s="12"/>
      <c r="C12" s="12"/>
      <c r="D12" s="12"/>
      <c r="E12" s="13"/>
      <c r="F12" s="14"/>
      <c r="G12" s="11">
        <f>IF($B12="",0,SUMIF('Reçeteler'!$B$5:$B$804,$B12,'Reçeteler'!$H$5:$H$804))</f>
      </c>
      <c r="H12" s="17">
        <f>IF($B12="","",$E12/(1+IF($F12="",0,$F12))-$G12)</f>
      </c>
      <c r="I12" s="19">
        <f>IF(OR($B12="",$E12=0),"",$G12/($E12/(1+IF($F12="",0,$F12))))</f>
      </c>
      <c r="J12" s="15">
        <f>IF($B12="","",IF($I12&gt;0.4,"YÜKSEK",IF($I12&gt;0.35,"DİKKAT","Sağlıklı")))</f>
      </c>
    </row>
    <row r="13" spans="2:10" x14ac:dyDescent="0.25">
      <c r="B13" s="8"/>
      <c r="C13" s="8"/>
      <c r="D13" s="8"/>
      <c r="E13" s="9"/>
      <c r="F13" s="10"/>
      <c r="G13" s="11">
        <f>IF($B13="",0,SUMIF('Reçeteler'!$B$5:$B$804,$B13,'Reçeteler'!$H$5:$H$804))</f>
      </c>
      <c r="H13" s="17">
        <f>IF($B13="","",$E13/(1+IF($F13="",0,$F13))-$G13)</f>
      </c>
      <c r="I13" s="19">
        <f>IF(OR($B13="",$E13=0),"",$G13/($E13/(1+IF($F13="",0,$F13))))</f>
      </c>
      <c r="J13" s="15">
        <f>IF($B13="","",IF($I13&gt;0.4,"YÜKSEK",IF($I13&gt;0.35,"DİKKAT","Sağlıklı")))</f>
      </c>
    </row>
    <row r="14" spans="2:10" x14ac:dyDescent="0.25">
      <c r="B14" s="12"/>
      <c r="C14" s="12"/>
      <c r="D14" s="12"/>
      <c r="E14" s="13"/>
      <c r="F14" s="14"/>
      <c r="G14" s="11">
        <f>IF($B14="",0,SUMIF('Reçeteler'!$B$5:$B$804,$B14,'Reçeteler'!$H$5:$H$804))</f>
      </c>
      <c r="H14" s="17">
        <f>IF($B14="","",$E14/(1+IF($F14="",0,$F14))-$G14)</f>
      </c>
      <c r="I14" s="19">
        <f>IF(OR($B14="",$E14=0),"",$G14/($E14/(1+IF($F14="",0,$F14))))</f>
      </c>
      <c r="J14" s="15">
        <f>IF($B14="","",IF($I14&gt;0.4,"YÜKSEK",IF($I14&gt;0.35,"DİKKAT","Sağlıklı")))</f>
      </c>
    </row>
    <row r="15" spans="2:10" x14ac:dyDescent="0.25">
      <c r="B15" s="8"/>
      <c r="C15" s="8"/>
      <c r="D15" s="8"/>
      <c r="E15" s="9"/>
      <c r="F15" s="10"/>
      <c r="G15" s="11">
        <f>IF($B15="",0,SUMIF('Reçeteler'!$B$5:$B$804,$B15,'Reçeteler'!$H$5:$H$804))</f>
      </c>
      <c r="H15" s="17">
        <f>IF($B15="","",$E15/(1+IF($F15="",0,$F15))-$G15)</f>
      </c>
      <c r="I15" s="19">
        <f>IF(OR($B15="",$E15=0),"",$G15/($E15/(1+IF($F15="",0,$F15))))</f>
      </c>
      <c r="J15" s="15">
        <f>IF($B15="","",IF($I15&gt;0.4,"YÜKSEK",IF($I15&gt;0.35,"DİKKAT","Sağlıklı")))</f>
      </c>
    </row>
    <row r="16" spans="2:10" x14ac:dyDescent="0.25">
      <c r="B16" s="12"/>
      <c r="C16" s="12"/>
      <c r="D16" s="12"/>
      <c r="E16" s="13"/>
      <c r="F16" s="14"/>
      <c r="G16" s="11">
        <f>IF($B16="",0,SUMIF('Reçeteler'!$B$5:$B$804,$B16,'Reçeteler'!$H$5:$H$804))</f>
      </c>
      <c r="H16" s="17">
        <f>IF($B16="","",$E16/(1+IF($F16="",0,$F16))-$G16)</f>
      </c>
      <c r="I16" s="19">
        <f>IF(OR($B16="",$E16=0),"",$G16/($E16/(1+IF($F16="",0,$F16))))</f>
      </c>
      <c r="J16" s="15">
        <f>IF($B16="","",IF($I16&gt;0.4,"YÜKSEK",IF($I16&gt;0.35,"DİKKAT","Sağlıklı")))</f>
      </c>
    </row>
    <row r="17" spans="2:10" x14ac:dyDescent="0.25">
      <c r="B17" s="8"/>
      <c r="C17" s="8"/>
      <c r="D17" s="8"/>
      <c r="E17" s="9"/>
      <c r="F17" s="10"/>
      <c r="G17" s="11">
        <f>IF($B17="",0,SUMIF('Reçeteler'!$B$5:$B$804,$B17,'Reçeteler'!$H$5:$H$804))</f>
      </c>
      <c r="H17" s="17">
        <f>IF($B17="","",$E17/(1+IF($F17="",0,$F17))-$G17)</f>
      </c>
      <c r="I17" s="19">
        <f>IF(OR($B17="",$E17=0),"",$G17/($E17/(1+IF($F17="",0,$F17))))</f>
      </c>
      <c r="J17" s="15">
        <f>IF($B17="","",IF($I17&gt;0.4,"YÜKSEK",IF($I17&gt;0.35,"DİKKAT","Sağlıklı")))</f>
      </c>
    </row>
    <row r="18" spans="2:10" x14ac:dyDescent="0.25">
      <c r="B18" s="12"/>
      <c r="C18" s="12"/>
      <c r="D18" s="12"/>
      <c r="E18" s="13"/>
      <c r="F18" s="14"/>
      <c r="G18" s="11">
        <f>IF($B18="",0,SUMIF('Reçeteler'!$B$5:$B$804,$B18,'Reçeteler'!$H$5:$H$804))</f>
      </c>
      <c r="H18" s="17">
        <f>IF($B18="","",$E18/(1+IF($F18="",0,$F18))-$G18)</f>
      </c>
      <c r="I18" s="19">
        <f>IF(OR($B18="",$E18=0),"",$G18/($E18/(1+IF($F18="",0,$F18))))</f>
      </c>
      <c r="J18" s="15">
        <f>IF($B18="","",IF($I18&gt;0.4,"YÜKSEK",IF($I18&gt;0.35,"DİKKAT","Sağlıklı")))</f>
      </c>
    </row>
    <row r="19" spans="2:10" x14ac:dyDescent="0.25">
      <c r="B19" s="8"/>
      <c r="C19" s="8"/>
      <c r="D19" s="8"/>
      <c r="E19" s="9"/>
      <c r="F19" s="10"/>
      <c r="G19" s="11">
        <f>IF($B19="",0,SUMIF('Reçeteler'!$B$5:$B$804,$B19,'Reçeteler'!$H$5:$H$804))</f>
      </c>
      <c r="H19" s="17">
        <f>IF($B19="","",$E19/(1+IF($F19="",0,$F19))-$G19)</f>
      </c>
      <c r="I19" s="19">
        <f>IF(OR($B19="",$E19=0),"",$G19/($E19/(1+IF($F19="",0,$F19))))</f>
      </c>
      <c r="J19" s="15">
        <f>IF($B19="","",IF($I19&gt;0.4,"YÜKSEK",IF($I19&gt;0.35,"DİKKAT","Sağlıklı")))</f>
      </c>
    </row>
    <row r="20" spans="2:10" x14ac:dyDescent="0.25">
      <c r="B20" s="12"/>
      <c r="C20" s="12"/>
      <c r="D20" s="12"/>
      <c r="E20" s="13"/>
      <c r="F20" s="14"/>
      <c r="G20" s="11">
        <f>IF($B20="",0,SUMIF('Reçeteler'!$B$5:$B$804,$B20,'Reçeteler'!$H$5:$H$804))</f>
      </c>
      <c r="H20" s="17">
        <f>IF($B20="","",$E20/(1+IF($F20="",0,$F20))-$G20)</f>
      </c>
      <c r="I20" s="19">
        <f>IF(OR($B20="",$E20=0),"",$G20/($E20/(1+IF($F20="",0,$F20))))</f>
      </c>
      <c r="J20" s="15">
        <f>IF($B20="","",IF($I20&gt;0.4,"YÜKSEK",IF($I20&gt;0.35,"DİKKAT","Sağlıklı")))</f>
      </c>
    </row>
    <row r="21" spans="2:10" x14ac:dyDescent="0.25">
      <c r="B21" s="8"/>
      <c r="C21" s="8"/>
      <c r="D21" s="8"/>
      <c r="E21" s="9"/>
      <c r="F21" s="10"/>
      <c r="G21" s="11">
        <f>IF($B21="",0,SUMIF('Reçeteler'!$B$5:$B$804,$B21,'Reçeteler'!$H$5:$H$804))</f>
      </c>
      <c r="H21" s="17">
        <f>IF($B21="","",$E21/(1+IF($F21="",0,$F21))-$G21)</f>
      </c>
      <c r="I21" s="19">
        <f>IF(OR($B21="",$E21=0),"",$G21/($E21/(1+IF($F21="",0,$F21))))</f>
      </c>
      <c r="J21" s="15">
        <f>IF($B21="","",IF($I21&gt;0.4,"YÜKSEK",IF($I21&gt;0.35,"DİKKAT","Sağlıklı")))</f>
      </c>
    </row>
    <row r="22" spans="2:10" x14ac:dyDescent="0.25">
      <c r="B22" s="12"/>
      <c r="C22" s="12"/>
      <c r="D22" s="12"/>
      <c r="E22" s="13"/>
      <c r="F22" s="14"/>
      <c r="G22" s="11">
        <f>IF($B22="",0,SUMIF('Reçeteler'!$B$5:$B$804,$B22,'Reçeteler'!$H$5:$H$804))</f>
      </c>
      <c r="H22" s="17">
        <f>IF($B22="","",$E22/(1+IF($F22="",0,$F22))-$G22)</f>
      </c>
      <c r="I22" s="19">
        <f>IF(OR($B22="",$E22=0),"",$G22/($E22/(1+IF($F22="",0,$F22))))</f>
      </c>
      <c r="J22" s="15">
        <f>IF($B22="","",IF($I22&gt;0.4,"YÜKSEK",IF($I22&gt;0.35,"DİKKAT","Sağlıklı")))</f>
      </c>
    </row>
    <row r="23" spans="2:10" x14ac:dyDescent="0.25">
      <c r="B23" s="8"/>
      <c r="C23" s="8"/>
      <c r="D23" s="8"/>
      <c r="E23" s="9"/>
      <c r="F23" s="10"/>
      <c r="G23" s="11">
        <f>IF($B23="",0,SUMIF('Reçeteler'!$B$5:$B$804,$B23,'Reçeteler'!$H$5:$H$804))</f>
      </c>
      <c r="H23" s="17">
        <f>IF($B23="","",$E23/(1+IF($F23="",0,$F23))-$G23)</f>
      </c>
      <c r="I23" s="19">
        <f>IF(OR($B23="",$E23=0),"",$G23/($E23/(1+IF($F23="",0,$F23))))</f>
      </c>
      <c r="J23" s="15">
        <f>IF($B23="","",IF($I23&gt;0.4,"YÜKSEK",IF($I23&gt;0.35,"DİKKAT","Sağlıklı")))</f>
      </c>
    </row>
    <row r="24" spans="2:10" x14ac:dyDescent="0.25">
      <c r="B24" s="12"/>
      <c r="C24" s="12"/>
      <c r="D24" s="12"/>
      <c r="E24" s="13"/>
      <c r="F24" s="14"/>
      <c r="G24" s="11">
        <f>IF($B24="",0,SUMIF('Reçeteler'!$B$5:$B$804,$B24,'Reçeteler'!$H$5:$H$804))</f>
      </c>
      <c r="H24" s="17">
        <f>IF($B24="","",$E24/(1+IF($F24="",0,$F24))-$G24)</f>
      </c>
      <c r="I24" s="19">
        <f>IF(OR($B24="",$E24=0),"",$G24/($E24/(1+IF($F24="",0,$F24))))</f>
      </c>
      <c r="J24" s="15">
        <f>IF($B24="","",IF($I24&gt;0.4,"YÜKSEK",IF($I24&gt;0.35,"DİKKAT","Sağlıklı")))</f>
      </c>
    </row>
    <row r="25" spans="2:10" x14ac:dyDescent="0.25">
      <c r="B25" s="8"/>
      <c r="C25" s="8"/>
      <c r="D25" s="8"/>
      <c r="E25" s="9"/>
      <c r="F25" s="10"/>
      <c r="G25" s="11">
        <f>IF($B25="",0,SUMIF('Reçeteler'!$B$5:$B$804,$B25,'Reçeteler'!$H$5:$H$804))</f>
      </c>
      <c r="H25" s="17">
        <f>IF($B25="","",$E25/(1+IF($F25="",0,$F25))-$G25)</f>
      </c>
      <c r="I25" s="19">
        <f>IF(OR($B25="",$E25=0),"",$G25/($E25/(1+IF($F25="",0,$F25))))</f>
      </c>
      <c r="J25" s="15">
        <f>IF($B25="","",IF($I25&gt;0.4,"YÜKSEK",IF($I25&gt;0.35,"DİKKAT","Sağlıklı")))</f>
      </c>
    </row>
    <row r="26" spans="2:10" x14ac:dyDescent="0.25">
      <c r="B26" s="12"/>
      <c r="C26" s="12"/>
      <c r="D26" s="12"/>
      <c r="E26" s="13"/>
      <c r="F26" s="14"/>
      <c r="G26" s="11">
        <f>IF($B26="",0,SUMIF('Reçeteler'!$B$5:$B$804,$B26,'Reçeteler'!$H$5:$H$804))</f>
      </c>
      <c r="H26" s="17">
        <f>IF($B26="","",$E26/(1+IF($F26="",0,$F26))-$G26)</f>
      </c>
      <c r="I26" s="19">
        <f>IF(OR($B26="",$E26=0),"",$G26/($E26/(1+IF($F26="",0,$F26))))</f>
      </c>
      <c r="J26" s="15">
        <f>IF($B26="","",IF($I26&gt;0.4,"YÜKSEK",IF($I26&gt;0.35,"DİKKAT","Sağlıklı")))</f>
      </c>
    </row>
    <row r="27" spans="2:10" x14ac:dyDescent="0.25">
      <c r="B27" s="8"/>
      <c r="C27" s="8"/>
      <c r="D27" s="8"/>
      <c r="E27" s="9"/>
      <c r="F27" s="10"/>
      <c r="G27" s="11">
        <f>IF($B27="",0,SUMIF('Reçeteler'!$B$5:$B$804,$B27,'Reçeteler'!$H$5:$H$804))</f>
      </c>
      <c r="H27" s="17">
        <f>IF($B27="","",$E27/(1+IF($F27="",0,$F27))-$G27)</f>
      </c>
      <c r="I27" s="19">
        <f>IF(OR($B27="",$E27=0),"",$G27/($E27/(1+IF($F27="",0,$F27))))</f>
      </c>
      <c r="J27" s="15">
        <f>IF($B27="","",IF($I27&gt;0.4,"YÜKSEK",IF($I27&gt;0.35,"DİKKAT","Sağlıklı")))</f>
      </c>
    </row>
    <row r="28" spans="2:10" x14ac:dyDescent="0.25">
      <c r="B28" s="12"/>
      <c r="C28" s="12"/>
      <c r="D28" s="12"/>
      <c r="E28" s="13"/>
      <c r="F28" s="14"/>
      <c r="G28" s="11">
        <f>IF($B28="",0,SUMIF('Reçeteler'!$B$5:$B$804,$B28,'Reçeteler'!$H$5:$H$804))</f>
      </c>
      <c r="H28" s="17">
        <f>IF($B28="","",$E28/(1+IF($F28="",0,$F28))-$G28)</f>
      </c>
      <c r="I28" s="19">
        <f>IF(OR($B28="",$E28=0),"",$G28/($E28/(1+IF($F28="",0,$F28))))</f>
      </c>
      <c r="J28" s="15">
        <f>IF($B28="","",IF($I28&gt;0.4,"YÜKSEK",IF($I28&gt;0.35,"DİKKAT","Sağlıklı")))</f>
      </c>
    </row>
    <row r="29" spans="2:10" x14ac:dyDescent="0.25">
      <c r="B29" s="8"/>
      <c r="C29" s="8"/>
      <c r="D29" s="8"/>
      <c r="E29" s="9"/>
      <c r="F29" s="10"/>
      <c r="G29" s="11">
        <f>IF($B29="",0,SUMIF('Reçeteler'!$B$5:$B$804,$B29,'Reçeteler'!$H$5:$H$804))</f>
      </c>
      <c r="H29" s="17">
        <f>IF($B29="","",$E29/(1+IF($F29="",0,$F29))-$G29)</f>
      </c>
      <c r="I29" s="19">
        <f>IF(OR($B29="",$E29=0),"",$G29/($E29/(1+IF($F29="",0,$F29))))</f>
      </c>
      <c r="J29" s="15">
        <f>IF($B29="","",IF($I29&gt;0.4,"YÜKSEK",IF($I29&gt;0.35,"DİKKAT","Sağlıklı")))</f>
      </c>
    </row>
    <row r="30" spans="2:10" x14ac:dyDescent="0.25">
      <c r="B30" s="12"/>
      <c r="C30" s="12"/>
      <c r="D30" s="12"/>
      <c r="E30" s="13"/>
      <c r="F30" s="14"/>
      <c r="G30" s="11">
        <f>IF($B30="",0,SUMIF('Reçeteler'!$B$5:$B$804,$B30,'Reçeteler'!$H$5:$H$804))</f>
      </c>
      <c r="H30" s="17">
        <f>IF($B30="","",$E30/(1+IF($F30="",0,$F30))-$G30)</f>
      </c>
      <c r="I30" s="19">
        <f>IF(OR($B30="",$E30=0),"",$G30/($E30/(1+IF($F30="",0,$F30))))</f>
      </c>
      <c r="J30" s="15">
        <f>IF($B30="","",IF($I30&gt;0.4,"YÜKSEK",IF($I30&gt;0.35,"DİKKAT","Sağlıklı")))</f>
      </c>
    </row>
    <row r="31" spans="2:10" x14ac:dyDescent="0.25">
      <c r="B31" s="8"/>
      <c r="C31" s="8"/>
      <c r="D31" s="8"/>
      <c r="E31" s="9"/>
      <c r="F31" s="10"/>
      <c r="G31" s="11">
        <f>IF($B31="",0,SUMIF('Reçeteler'!$B$5:$B$804,$B31,'Reçeteler'!$H$5:$H$804))</f>
      </c>
      <c r="H31" s="17">
        <f>IF($B31="","",$E31/(1+IF($F31="",0,$F31))-$G31)</f>
      </c>
      <c r="I31" s="19">
        <f>IF(OR($B31="",$E31=0),"",$G31/($E31/(1+IF($F31="",0,$F31))))</f>
      </c>
      <c r="J31" s="15">
        <f>IF($B31="","",IF($I31&gt;0.4,"YÜKSEK",IF($I31&gt;0.35,"DİKKAT","Sağlıklı")))</f>
      </c>
    </row>
    <row r="32" spans="2:10" x14ac:dyDescent="0.25">
      <c r="B32" s="12"/>
      <c r="C32" s="12"/>
      <c r="D32" s="12"/>
      <c r="E32" s="13"/>
      <c r="F32" s="14"/>
      <c r="G32" s="11">
        <f>IF($B32="",0,SUMIF('Reçeteler'!$B$5:$B$804,$B32,'Reçeteler'!$H$5:$H$804))</f>
      </c>
      <c r="H32" s="17">
        <f>IF($B32="","",$E32/(1+IF($F32="",0,$F32))-$G32)</f>
      </c>
      <c r="I32" s="19">
        <f>IF(OR($B32="",$E32=0),"",$G32/($E32/(1+IF($F32="",0,$F32))))</f>
      </c>
      <c r="J32" s="15">
        <f>IF($B32="","",IF($I32&gt;0.4,"YÜKSEK",IF($I32&gt;0.35,"DİKKAT","Sağlıklı")))</f>
      </c>
    </row>
    <row r="33" spans="2:10" x14ac:dyDescent="0.25">
      <c r="B33" s="8"/>
      <c r="C33" s="8"/>
      <c r="D33" s="8"/>
      <c r="E33" s="9"/>
      <c r="F33" s="10"/>
      <c r="G33" s="11">
        <f>IF($B33="",0,SUMIF('Reçeteler'!$B$5:$B$804,$B33,'Reçeteler'!$H$5:$H$804))</f>
      </c>
      <c r="H33" s="17">
        <f>IF($B33="","",$E33/(1+IF($F33="",0,$F33))-$G33)</f>
      </c>
      <c r="I33" s="19">
        <f>IF(OR($B33="",$E33=0),"",$G33/($E33/(1+IF($F33="",0,$F33))))</f>
      </c>
      <c r="J33" s="15">
        <f>IF($B33="","",IF($I33&gt;0.4,"YÜKSEK",IF($I33&gt;0.35,"DİKKAT","Sağlıklı")))</f>
      </c>
    </row>
    <row r="34" spans="2:10" x14ac:dyDescent="0.25">
      <c r="B34" s="12"/>
      <c r="C34" s="12"/>
      <c r="D34" s="12"/>
      <c r="E34" s="13"/>
      <c r="F34" s="14"/>
      <c r="G34" s="11">
        <f>IF($B34="",0,SUMIF('Reçeteler'!$B$5:$B$804,$B34,'Reçeteler'!$H$5:$H$804))</f>
      </c>
      <c r="H34" s="17">
        <f>IF($B34="","",$E34/(1+IF($F34="",0,$F34))-$G34)</f>
      </c>
      <c r="I34" s="19">
        <f>IF(OR($B34="",$E34=0),"",$G34/($E34/(1+IF($F34="",0,$F34))))</f>
      </c>
      <c r="J34" s="15">
        <f>IF($B34="","",IF($I34&gt;0.4,"YÜKSEK",IF($I34&gt;0.35,"DİKKAT","Sağlıklı")))</f>
      </c>
    </row>
    <row r="35" spans="2:10" x14ac:dyDescent="0.25">
      <c r="B35" s="8"/>
      <c r="C35" s="8"/>
      <c r="D35" s="8"/>
      <c r="E35" s="9"/>
      <c r="F35" s="10"/>
      <c r="G35" s="11">
        <f>IF($B35="",0,SUMIF('Reçeteler'!$B$5:$B$804,$B35,'Reçeteler'!$H$5:$H$804))</f>
      </c>
      <c r="H35" s="17">
        <f>IF($B35="","",$E35/(1+IF($F35="",0,$F35))-$G35)</f>
      </c>
      <c r="I35" s="19">
        <f>IF(OR($B35="",$E35=0),"",$G35/($E35/(1+IF($F35="",0,$F35))))</f>
      </c>
      <c r="J35" s="15">
        <f>IF($B35="","",IF($I35&gt;0.4,"YÜKSEK",IF($I35&gt;0.35,"DİKKAT","Sağlıklı")))</f>
      </c>
    </row>
    <row r="36" spans="2:10" x14ac:dyDescent="0.25">
      <c r="B36" s="12"/>
      <c r="C36" s="12"/>
      <c r="D36" s="12"/>
      <c r="E36" s="13"/>
      <c r="F36" s="14"/>
      <c r="G36" s="11">
        <f>IF($B36="",0,SUMIF('Reçeteler'!$B$5:$B$804,$B36,'Reçeteler'!$H$5:$H$804))</f>
      </c>
      <c r="H36" s="17">
        <f>IF($B36="","",$E36/(1+IF($F36="",0,$F36))-$G36)</f>
      </c>
      <c r="I36" s="19">
        <f>IF(OR($B36="",$E36=0),"",$G36/($E36/(1+IF($F36="",0,$F36))))</f>
      </c>
      <c r="J36" s="15">
        <f>IF($B36="","",IF($I36&gt;0.4,"YÜKSEK",IF($I36&gt;0.35,"DİKKAT","Sağlıklı")))</f>
      </c>
    </row>
    <row r="37" spans="2:10" x14ac:dyDescent="0.25">
      <c r="B37" s="8"/>
      <c r="C37" s="8"/>
      <c r="D37" s="8"/>
      <c r="E37" s="9"/>
      <c r="F37" s="10"/>
      <c r="G37" s="11">
        <f>IF($B37="",0,SUMIF('Reçeteler'!$B$5:$B$804,$B37,'Reçeteler'!$H$5:$H$804))</f>
      </c>
      <c r="H37" s="17">
        <f>IF($B37="","",$E37/(1+IF($F37="",0,$F37))-$G37)</f>
      </c>
      <c r="I37" s="19">
        <f>IF(OR($B37="",$E37=0),"",$G37/($E37/(1+IF($F37="",0,$F37))))</f>
      </c>
      <c r="J37" s="15">
        <f>IF($B37="","",IF($I37&gt;0.4,"YÜKSEK",IF($I37&gt;0.35,"DİKKAT","Sağlıklı")))</f>
      </c>
    </row>
    <row r="38" spans="2:10" x14ac:dyDescent="0.25">
      <c r="B38" s="12"/>
      <c r="C38" s="12"/>
      <c r="D38" s="12"/>
      <c r="E38" s="13"/>
      <c r="F38" s="14"/>
      <c r="G38" s="11">
        <f>IF($B38="",0,SUMIF('Reçeteler'!$B$5:$B$804,$B38,'Reçeteler'!$H$5:$H$804))</f>
      </c>
      <c r="H38" s="17">
        <f>IF($B38="","",$E38/(1+IF($F38="",0,$F38))-$G38)</f>
      </c>
      <c r="I38" s="19">
        <f>IF(OR($B38="",$E38=0),"",$G38/($E38/(1+IF($F38="",0,$F38))))</f>
      </c>
      <c r="J38" s="15">
        <f>IF($B38="","",IF($I38&gt;0.4,"YÜKSEK",IF($I38&gt;0.35,"DİKKAT","Sağlıklı")))</f>
      </c>
    </row>
    <row r="39" spans="2:10" x14ac:dyDescent="0.25">
      <c r="B39" s="8"/>
      <c r="C39" s="8"/>
      <c r="D39" s="8"/>
      <c r="E39" s="9"/>
      <c r="F39" s="10"/>
      <c r="G39" s="11">
        <f>IF($B39="",0,SUMIF('Reçeteler'!$B$5:$B$804,$B39,'Reçeteler'!$H$5:$H$804))</f>
      </c>
      <c r="H39" s="17">
        <f>IF($B39="","",$E39/(1+IF($F39="",0,$F39))-$G39)</f>
      </c>
      <c r="I39" s="19">
        <f>IF(OR($B39="",$E39=0),"",$G39/($E39/(1+IF($F39="",0,$F39))))</f>
      </c>
      <c r="J39" s="15">
        <f>IF($B39="","",IF($I39&gt;0.4,"YÜKSEK",IF($I39&gt;0.35,"DİKKAT","Sağlıklı")))</f>
      </c>
    </row>
    <row r="40" spans="2:10" x14ac:dyDescent="0.25">
      <c r="B40" s="12"/>
      <c r="C40" s="12"/>
      <c r="D40" s="12"/>
      <c r="E40" s="13"/>
      <c r="F40" s="14"/>
      <c r="G40" s="11">
        <f>IF($B40="",0,SUMIF('Reçeteler'!$B$5:$B$804,$B40,'Reçeteler'!$H$5:$H$804))</f>
      </c>
      <c r="H40" s="17">
        <f>IF($B40="","",$E40/(1+IF($F40="",0,$F40))-$G40)</f>
      </c>
      <c r="I40" s="19">
        <f>IF(OR($B40="",$E40=0),"",$G40/($E40/(1+IF($F40="",0,$F40))))</f>
      </c>
      <c r="J40" s="15">
        <f>IF($B40="","",IF($I40&gt;0.4,"YÜKSEK",IF($I40&gt;0.35,"DİKKAT","Sağlıklı")))</f>
      </c>
    </row>
    <row r="41" spans="2:10" x14ac:dyDescent="0.25">
      <c r="B41" s="8"/>
      <c r="C41" s="8"/>
      <c r="D41" s="8"/>
      <c r="E41" s="9"/>
      <c r="F41" s="10"/>
      <c r="G41" s="11">
        <f>IF($B41="",0,SUMIF('Reçeteler'!$B$5:$B$804,$B41,'Reçeteler'!$H$5:$H$804))</f>
      </c>
      <c r="H41" s="17">
        <f>IF($B41="","",$E41/(1+IF($F41="",0,$F41))-$G41)</f>
      </c>
      <c r="I41" s="19">
        <f>IF(OR($B41="",$E41=0),"",$G41/($E41/(1+IF($F41="",0,$F41))))</f>
      </c>
      <c r="J41" s="15">
        <f>IF($B41="","",IF($I41&gt;0.4,"YÜKSEK",IF($I41&gt;0.35,"DİKKAT","Sağlıklı")))</f>
      </c>
    </row>
    <row r="42" spans="2:10" x14ac:dyDescent="0.25">
      <c r="B42" s="12"/>
      <c r="C42" s="12"/>
      <c r="D42" s="12"/>
      <c r="E42" s="13"/>
      <c r="F42" s="14"/>
      <c r="G42" s="11">
        <f>IF($B42="",0,SUMIF('Reçeteler'!$B$5:$B$804,$B42,'Reçeteler'!$H$5:$H$804))</f>
      </c>
      <c r="H42" s="17">
        <f>IF($B42="","",$E42/(1+IF($F42="",0,$F42))-$G42)</f>
      </c>
      <c r="I42" s="19">
        <f>IF(OR($B42="",$E42=0),"",$G42/($E42/(1+IF($F42="",0,$F42))))</f>
      </c>
      <c r="J42" s="15">
        <f>IF($B42="","",IF($I42&gt;0.4,"YÜKSEK",IF($I42&gt;0.35,"DİKKAT","Sağlıklı")))</f>
      </c>
    </row>
    <row r="43" spans="2:10" x14ac:dyDescent="0.25">
      <c r="B43" s="8"/>
      <c r="C43" s="8"/>
      <c r="D43" s="8"/>
      <c r="E43" s="9"/>
      <c r="F43" s="10"/>
      <c r="G43" s="11">
        <f>IF($B43="",0,SUMIF('Reçeteler'!$B$5:$B$804,$B43,'Reçeteler'!$H$5:$H$804))</f>
      </c>
      <c r="H43" s="17">
        <f>IF($B43="","",$E43/(1+IF($F43="",0,$F43))-$G43)</f>
      </c>
      <c r="I43" s="19">
        <f>IF(OR($B43="",$E43=0),"",$G43/($E43/(1+IF($F43="",0,$F43))))</f>
      </c>
      <c r="J43" s="15">
        <f>IF($B43="","",IF($I43&gt;0.4,"YÜKSEK",IF($I43&gt;0.35,"DİKKAT","Sağlıklı")))</f>
      </c>
    </row>
    <row r="44" spans="2:10" x14ac:dyDescent="0.25">
      <c r="B44" s="12"/>
      <c r="C44" s="12"/>
      <c r="D44" s="12"/>
      <c r="E44" s="13"/>
      <c r="F44" s="14"/>
      <c r="G44" s="11">
        <f>IF($B44="",0,SUMIF('Reçeteler'!$B$5:$B$804,$B44,'Reçeteler'!$H$5:$H$804))</f>
      </c>
      <c r="H44" s="17">
        <f>IF($B44="","",$E44/(1+IF($F44="",0,$F44))-$G44)</f>
      </c>
      <c r="I44" s="19">
        <f>IF(OR($B44="",$E44=0),"",$G44/($E44/(1+IF($F44="",0,$F44))))</f>
      </c>
      <c r="J44" s="15">
        <f>IF($B44="","",IF($I44&gt;0.4,"YÜKSEK",IF($I44&gt;0.35,"DİKKAT","Sağlıklı")))</f>
      </c>
    </row>
    <row r="45" spans="2:10" x14ac:dyDescent="0.25">
      <c r="B45" s="8"/>
      <c r="C45" s="8"/>
      <c r="D45" s="8"/>
      <c r="E45" s="9"/>
      <c r="F45" s="10"/>
      <c r="G45" s="11">
        <f>IF($B45="",0,SUMIF('Reçeteler'!$B$5:$B$804,$B45,'Reçeteler'!$H$5:$H$804))</f>
      </c>
      <c r="H45" s="17">
        <f>IF($B45="","",$E45/(1+IF($F45="",0,$F45))-$G45)</f>
      </c>
      <c r="I45" s="19">
        <f>IF(OR($B45="",$E45=0),"",$G45/($E45/(1+IF($F45="",0,$F45))))</f>
      </c>
      <c r="J45" s="15">
        <f>IF($B45="","",IF($I45&gt;0.4,"YÜKSEK",IF($I45&gt;0.35,"DİKKAT","Sağlıklı")))</f>
      </c>
    </row>
    <row r="46" spans="2:10" x14ac:dyDescent="0.25">
      <c r="B46" s="12"/>
      <c r="C46" s="12"/>
      <c r="D46" s="12"/>
      <c r="E46" s="13"/>
      <c r="F46" s="14"/>
      <c r="G46" s="11">
        <f>IF($B46="",0,SUMIF('Reçeteler'!$B$5:$B$804,$B46,'Reçeteler'!$H$5:$H$804))</f>
      </c>
      <c r="H46" s="17">
        <f>IF($B46="","",$E46/(1+IF($F46="",0,$F46))-$G46)</f>
      </c>
      <c r="I46" s="19">
        <f>IF(OR($B46="",$E46=0),"",$G46/($E46/(1+IF($F46="",0,$F46))))</f>
      </c>
      <c r="J46" s="15">
        <f>IF($B46="","",IF($I46&gt;0.4,"YÜKSEK",IF($I46&gt;0.35,"DİKKAT","Sağlıklı")))</f>
      </c>
    </row>
    <row r="47" spans="2:10" x14ac:dyDescent="0.25">
      <c r="B47" s="8"/>
      <c r="C47" s="8"/>
      <c r="D47" s="8"/>
      <c r="E47" s="9"/>
      <c r="F47" s="10"/>
      <c r="G47" s="11">
        <f>IF($B47="",0,SUMIF('Reçeteler'!$B$5:$B$804,$B47,'Reçeteler'!$H$5:$H$804))</f>
      </c>
      <c r="H47" s="17">
        <f>IF($B47="","",$E47/(1+IF($F47="",0,$F47))-$G47)</f>
      </c>
      <c r="I47" s="19">
        <f>IF(OR($B47="",$E47=0),"",$G47/($E47/(1+IF($F47="",0,$F47))))</f>
      </c>
      <c r="J47" s="15">
        <f>IF($B47="","",IF($I47&gt;0.4,"YÜKSEK",IF($I47&gt;0.35,"DİKKAT","Sağlıklı")))</f>
      </c>
    </row>
    <row r="48" spans="2:10" x14ac:dyDescent="0.25">
      <c r="B48" s="12"/>
      <c r="C48" s="12"/>
      <c r="D48" s="12"/>
      <c r="E48" s="13"/>
      <c r="F48" s="14"/>
      <c r="G48" s="11">
        <f>IF($B48="",0,SUMIF('Reçeteler'!$B$5:$B$804,$B48,'Reçeteler'!$H$5:$H$804))</f>
      </c>
      <c r="H48" s="17">
        <f>IF($B48="","",$E48/(1+IF($F48="",0,$F48))-$G48)</f>
      </c>
      <c r="I48" s="19">
        <f>IF(OR($B48="",$E48=0),"",$G48/($E48/(1+IF($F48="",0,$F48))))</f>
      </c>
      <c r="J48" s="15">
        <f>IF($B48="","",IF($I48&gt;0.4,"YÜKSEK",IF($I48&gt;0.35,"DİKKAT","Sağlıklı")))</f>
      </c>
    </row>
    <row r="49" spans="2:10" x14ac:dyDescent="0.25">
      <c r="B49" s="8"/>
      <c r="C49" s="8"/>
      <c r="D49" s="8"/>
      <c r="E49" s="9"/>
      <c r="F49" s="10"/>
      <c r="G49" s="11">
        <f>IF($B49="",0,SUMIF('Reçeteler'!$B$5:$B$804,$B49,'Reçeteler'!$H$5:$H$804))</f>
      </c>
      <c r="H49" s="17">
        <f>IF($B49="","",$E49/(1+IF($F49="",0,$F49))-$G49)</f>
      </c>
      <c r="I49" s="19">
        <f>IF(OR($B49="",$E49=0),"",$G49/($E49/(1+IF($F49="",0,$F49))))</f>
      </c>
      <c r="J49" s="15">
        <f>IF($B49="","",IF($I49&gt;0.4,"YÜKSEK",IF($I49&gt;0.35,"DİKKAT","Sağlıklı")))</f>
      </c>
    </row>
    <row r="50" spans="2:10" x14ac:dyDescent="0.25">
      <c r="B50" s="12"/>
      <c r="C50" s="12"/>
      <c r="D50" s="12"/>
      <c r="E50" s="13"/>
      <c r="F50" s="14"/>
      <c r="G50" s="11">
        <f>IF($B50="",0,SUMIF('Reçeteler'!$B$5:$B$804,$B50,'Reçeteler'!$H$5:$H$804))</f>
      </c>
      <c r="H50" s="17">
        <f>IF($B50="","",$E50/(1+IF($F50="",0,$F50))-$G50)</f>
      </c>
      <c r="I50" s="19">
        <f>IF(OR($B50="",$E50=0),"",$G50/($E50/(1+IF($F50="",0,$F50))))</f>
      </c>
      <c r="J50" s="15">
        <f>IF($B50="","",IF($I50&gt;0.4,"YÜKSEK",IF($I50&gt;0.35,"DİKKAT","Sağlıklı")))</f>
      </c>
    </row>
    <row r="51" spans="2:10" x14ac:dyDescent="0.25">
      <c r="B51" s="8"/>
      <c r="C51" s="8"/>
      <c r="D51" s="8"/>
      <c r="E51" s="9"/>
      <c r="F51" s="10"/>
      <c r="G51" s="11">
        <f>IF($B51="",0,SUMIF('Reçeteler'!$B$5:$B$804,$B51,'Reçeteler'!$H$5:$H$804))</f>
      </c>
      <c r="H51" s="17">
        <f>IF($B51="","",$E51/(1+IF($F51="",0,$F51))-$G51)</f>
      </c>
      <c r="I51" s="19">
        <f>IF(OR($B51="",$E51=0),"",$G51/($E51/(1+IF($F51="",0,$F51))))</f>
      </c>
      <c r="J51" s="15">
        <f>IF($B51="","",IF($I51&gt;0.4,"YÜKSEK",IF($I51&gt;0.35,"DİKKAT","Sağlıklı")))</f>
      </c>
    </row>
    <row r="52" spans="2:10" x14ac:dyDescent="0.25">
      <c r="B52" s="12"/>
      <c r="C52" s="12"/>
      <c r="D52" s="12"/>
      <c r="E52" s="13"/>
      <c r="F52" s="14"/>
      <c r="G52" s="11">
        <f>IF($B52="",0,SUMIF('Reçeteler'!$B$5:$B$804,$B52,'Reçeteler'!$H$5:$H$804))</f>
      </c>
      <c r="H52" s="17">
        <f>IF($B52="","",$E52/(1+IF($F52="",0,$F52))-$G52)</f>
      </c>
      <c r="I52" s="19">
        <f>IF(OR($B52="",$E52=0),"",$G52/($E52/(1+IF($F52="",0,$F52))))</f>
      </c>
      <c r="J52" s="15">
        <f>IF($B52="","",IF($I52&gt;0.4,"YÜKSEK",IF($I52&gt;0.35,"DİKKAT","Sağlıklı")))</f>
      </c>
    </row>
    <row r="53" spans="2:10" x14ac:dyDescent="0.25">
      <c r="B53" s="8"/>
      <c r="C53" s="8"/>
      <c r="D53" s="8"/>
      <c r="E53" s="9"/>
      <c r="F53" s="10"/>
      <c r="G53" s="11">
        <f>IF($B53="",0,SUMIF('Reçeteler'!$B$5:$B$804,$B53,'Reçeteler'!$H$5:$H$804))</f>
      </c>
      <c r="H53" s="17">
        <f>IF($B53="","",$E53/(1+IF($F53="",0,$F53))-$G53)</f>
      </c>
      <c r="I53" s="19">
        <f>IF(OR($B53="",$E53=0),"",$G53/($E53/(1+IF($F53="",0,$F53))))</f>
      </c>
      <c r="J53" s="15">
        <f>IF($B53="","",IF($I53&gt;0.4,"YÜKSEK",IF($I53&gt;0.35,"DİKKAT","Sağlıklı")))</f>
      </c>
    </row>
    <row r="54" spans="2:10" x14ac:dyDescent="0.25">
      <c r="B54" s="12"/>
      <c r="C54" s="12"/>
      <c r="D54" s="12"/>
      <c r="E54" s="13"/>
      <c r="F54" s="14"/>
      <c r="G54" s="11">
        <f>IF($B54="",0,SUMIF('Reçeteler'!$B$5:$B$804,$B54,'Reçeteler'!$H$5:$H$804))</f>
      </c>
      <c r="H54" s="17">
        <f>IF($B54="","",$E54/(1+IF($F54="",0,$F54))-$G54)</f>
      </c>
      <c r="I54" s="19">
        <f>IF(OR($B54="",$E54=0),"",$G54/($E54/(1+IF($F54="",0,$F54))))</f>
      </c>
      <c r="J54" s="15">
        <f>IF($B54="","",IF($I54&gt;0.4,"YÜKSEK",IF($I54&gt;0.35,"DİKKAT","Sağlıklı")))</f>
      </c>
    </row>
    <row r="55" spans="2:10" x14ac:dyDescent="0.25">
      <c r="B55" s="8"/>
      <c r="C55" s="8"/>
      <c r="D55" s="8"/>
      <c r="E55" s="9"/>
      <c r="F55" s="10"/>
      <c r="G55" s="11">
        <f>IF($B55="",0,SUMIF('Reçeteler'!$B$5:$B$804,$B55,'Reçeteler'!$H$5:$H$804))</f>
      </c>
      <c r="H55" s="17">
        <f>IF($B55="","",$E55/(1+IF($F55="",0,$F55))-$G55)</f>
      </c>
      <c r="I55" s="19">
        <f>IF(OR($B55="",$E55=0),"",$G55/($E55/(1+IF($F55="",0,$F55))))</f>
      </c>
      <c r="J55" s="15">
        <f>IF($B55="","",IF($I55&gt;0.4,"YÜKSEK",IF($I55&gt;0.35,"DİKKAT","Sağlıklı")))</f>
      </c>
    </row>
    <row r="56" spans="2:10" x14ac:dyDescent="0.25">
      <c r="B56" s="12"/>
      <c r="C56" s="12"/>
      <c r="D56" s="12"/>
      <c r="E56" s="13"/>
      <c r="F56" s="14"/>
      <c r="G56" s="11">
        <f>IF($B56="",0,SUMIF('Reçeteler'!$B$5:$B$804,$B56,'Reçeteler'!$H$5:$H$804))</f>
      </c>
      <c r="H56" s="17">
        <f>IF($B56="","",$E56/(1+IF($F56="",0,$F56))-$G56)</f>
      </c>
      <c r="I56" s="19">
        <f>IF(OR($B56="",$E56=0),"",$G56/($E56/(1+IF($F56="",0,$F56))))</f>
      </c>
      <c r="J56" s="15">
        <f>IF($B56="","",IF($I56&gt;0.4,"YÜKSEK",IF($I56&gt;0.35,"DİKKAT","Sağlıklı")))</f>
      </c>
    </row>
    <row r="57" spans="2:10" x14ac:dyDescent="0.25">
      <c r="B57" s="8"/>
      <c r="C57" s="8"/>
      <c r="D57" s="8"/>
      <c r="E57" s="9"/>
      <c r="F57" s="10"/>
      <c r="G57" s="11">
        <f>IF($B57="",0,SUMIF('Reçeteler'!$B$5:$B$804,$B57,'Reçeteler'!$H$5:$H$804))</f>
      </c>
      <c r="H57" s="17">
        <f>IF($B57="","",$E57/(1+IF($F57="",0,$F57))-$G57)</f>
      </c>
      <c r="I57" s="19">
        <f>IF(OR($B57="",$E57=0),"",$G57/($E57/(1+IF($F57="",0,$F57))))</f>
      </c>
      <c r="J57" s="15">
        <f>IF($B57="","",IF($I57&gt;0.4,"YÜKSEK",IF($I57&gt;0.35,"DİKKAT","Sağlıklı")))</f>
      </c>
    </row>
    <row r="58" spans="2:10" x14ac:dyDescent="0.25">
      <c r="B58" s="12"/>
      <c r="C58" s="12"/>
      <c r="D58" s="12"/>
      <c r="E58" s="13"/>
      <c r="F58" s="14"/>
      <c r="G58" s="11">
        <f>IF($B58="",0,SUMIF('Reçeteler'!$B$5:$B$804,$B58,'Reçeteler'!$H$5:$H$804))</f>
      </c>
      <c r="H58" s="17">
        <f>IF($B58="","",$E58/(1+IF($F58="",0,$F58))-$G58)</f>
      </c>
      <c r="I58" s="19">
        <f>IF(OR($B58="",$E58=0),"",$G58/($E58/(1+IF($F58="",0,$F58))))</f>
      </c>
      <c r="J58" s="15">
        <f>IF($B58="","",IF($I58&gt;0.4,"YÜKSEK",IF($I58&gt;0.35,"DİKKAT","Sağlıklı")))</f>
      </c>
    </row>
    <row r="59" spans="2:10" x14ac:dyDescent="0.25">
      <c r="B59" s="8"/>
      <c r="C59" s="8"/>
      <c r="D59" s="8"/>
      <c r="E59" s="9"/>
      <c r="F59" s="10"/>
      <c r="G59" s="11">
        <f>IF($B59="",0,SUMIF('Reçeteler'!$B$5:$B$804,$B59,'Reçeteler'!$H$5:$H$804))</f>
      </c>
      <c r="H59" s="17">
        <f>IF($B59="","",$E59/(1+IF($F59="",0,$F59))-$G59)</f>
      </c>
      <c r="I59" s="19">
        <f>IF(OR($B59="",$E59=0),"",$G59/($E59/(1+IF($F59="",0,$F59))))</f>
      </c>
      <c r="J59" s="15">
        <f>IF($B59="","",IF($I59&gt;0.4,"YÜKSEK",IF($I59&gt;0.35,"DİKKAT","Sağlıklı")))</f>
      </c>
    </row>
    <row r="60" spans="2:10" x14ac:dyDescent="0.25">
      <c r="B60" s="12"/>
      <c r="C60" s="12"/>
      <c r="D60" s="12"/>
      <c r="E60" s="13"/>
      <c r="F60" s="14"/>
      <c r="G60" s="11">
        <f>IF($B60="",0,SUMIF('Reçeteler'!$B$5:$B$804,$B60,'Reçeteler'!$H$5:$H$804))</f>
      </c>
      <c r="H60" s="17">
        <f>IF($B60="","",$E60/(1+IF($F60="",0,$F60))-$G60)</f>
      </c>
      <c r="I60" s="19">
        <f>IF(OR($B60="",$E60=0),"",$G60/($E60/(1+IF($F60="",0,$F60))))</f>
      </c>
      <c r="J60" s="15">
        <f>IF($B60="","",IF($I60&gt;0.4,"YÜKSEK",IF($I60&gt;0.35,"DİKKAT","Sağlıklı")))</f>
      </c>
    </row>
    <row r="61" spans="2:10" x14ac:dyDescent="0.25">
      <c r="B61" s="8"/>
      <c r="C61" s="8"/>
      <c r="D61" s="8"/>
      <c r="E61" s="9"/>
      <c r="F61" s="10"/>
      <c r="G61" s="11">
        <f>IF($B61="",0,SUMIF('Reçeteler'!$B$5:$B$804,$B61,'Reçeteler'!$H$5:$H$804))</f>
      </c>
      <c r="H61" s="17">
        <f>IF($B61="","",$E61/(1+IF($F61="",0,$F61))-$G61)</f>
      </c>
      <c r="I61" s="19">
        <f>IF(OR($B61="",$E61=0),"",$G61/($E61/(1+IF($F61="",0,$F61))))</f>
      </c>
      <c r="J61" s="15">
        <f>IF($B61="","",IF($I61&gt;0.4,"YÜKSEK",IF($I61&gt;0.35,"DİKKAT","Sağlıklı")))</f>
      </c>
    </row>
    <row r="62" spans="2:10" x14ac:dyDescent="0.25">
      <c r="B62" s="12"/>
      <c r="C62" s="12"/>
      <c r="D62" s="12"/>
      <c r="E62" s="13"/>
      <c r="F62" s="14"/>
      <c r="G62" s="11">
        <f>IF($B62="",0,SUMIF('Reçeteler'!$B$5:$B$804,$B62,'Reçeteler'!$H$5:$H$804))</f>
      </c>
      <c r="H62" s="17">
        <f>IF($B62="","",$E62/(1+IF($F62="",0,$F62))-$G62)</f>
      </c>
      <c r="I62" s="19">
        <f>IF(OR($B62="",$E62=0),"",$G62/($E62/(1+IF($F62="",0,$F62))))</f>
      </c>
      <c r="J62" s="15">
        <f>IF($B62="","",IF($I62&gt;0.4,"YÜKSEK",IF($I62&gt;0.35,"DİKKAT","Sağlıklı")))</f>
      </c>
    </row>
    <row r="63" spans="2:10" x14ac:dyDescent="0.25">
      <c r="B63" s="8"/>
      <c r="C63" s="8"/>
      <c r="D63" s="8"/>
      <c r="E63" s="9"/>
      <c r="F63" s="10"/>
      <c r="G63" s="11">
        <f>IF($B63="",0,SUMIF('Reçeteler'!$B$5:$B$804,$B63,'Reçeteler'!$H$5:$H$804))</f>
      </c>
      <c r="H63" s="17">
        <f>IF($B63="","",$E63/(1+IF($F63="",0,$F63))-$G63)</f>
      </c>
      <c r="I63" s="19">
        <f>IF(OR($B63="",$E63=0),"",$G63/($E63/(1+IF($F63="",0,$F63))))</f>
      </c>
      <c r="J63" s="15">
        <f>IF($B63="","",IF($I63&gt;0.4,"YÜKSEK",IF($I63&gt;0.35,"DİKKAT","Sağlıklı")))</f>
      </c>
    </row>
    <row r="64" spans="2:10" x14ac:dyDescent="0.25">
      <c r="B64" s="12"/>
      <c r="C64" s="12"/>
      <c r="D64" s="12"/>
      <c r="E64" s="13"/>
      <c r="F64" s="14"/>
      <c r="G64" s="11">
        <f>IF($B64="",0,SUMIF('Reçeteler'!$B$5:$B$804,$B64,'Reçeteler'!$H$5:$H$804))</f>
      </c>
      <c r="H64" s="17">
        <f>IF($B64="","",$E64/(1+IF($F64="",0,$F64))-$G64)</f>
      </c>
      <c r="I64" s="19">
        <f>IF(OR($B64="",$E64=0),"",$G64/($E64/(1+IF($F64="",0,$F64))))</f>
      </c>
      <c r="J64" s="15">
        <f>IF($B64="","",IF($I64&gt;0.4,"YÜKSEK",IF($I64&gt;0.35,"DİKKAT","Sağlıklı")))</f>
      </c>
    </row>
    <row r="65" spans="2:10" x14ac:dyDescent="0.25">
      <c r="B65" s="8"/>
      <c r="C65" s="8"/>
      <c r="D65" s="8"/>
      <c r="E65" s="9"/>
      <c r="F65" s="10"/>
      <c r="G65" s="11">
        <f>IF($B65="",0,SUMIF('Reçeteler'!$B$5:$B$804,$B65,'Reçeteler'!$H$5:$H$804))</f>
      </c>
      <c r="H65" s="17">
        <f>IF($B65="","",$E65/(1+IF($F65="",0,$F65))-$G65)</f>
      </c>
      <c r="I65" s="19">
        <f>IF(OR($B65="",$E65=0),"",$G65/($E65/(1+IF($F65="",0,$F65))))</f>
      </c>
      <c r="J65" s="15">
        <f>IF($B65="","",IF($I65&gt;0.4,"YÜKSEK",IF($I65&gt;0.35,"DİKKAT","Sağlıklı")))</f>
      </c>
    </row>
    <row r="66" spans="2:10" x14ac:dyDescent="0.25">
      <c r="B66" s="12"/>
      <c r="C66" s="12"/>
      <c r="D66" s="12"/>
      <c r="E66" s="13"/>
      <c r="F66" s="14"/>
      <c r="G66" s="11">
        <f>IF($B66="",0,SUMIF('Reçeteler'!$B$5:$B$804,$B66,'Reçeteler'!$H$5:$H$804))</f>
      </c>
      <c r="H66" s="17">
        <f>IF($B66="","",$E66/(1+IF($F66="",0,$F66))-$G66)</f>
      </c>
      <c r="I66" s="19">
        <f>IF(OR($B66="",$E66=0),"",$G66/($E66/(1+IF($F66="",0,$F66))))</f>
      </c>
      <c r="J66" s="15">
        <f>IF($B66="","",IF($I66&gt;0.4,"YÜKSEK",IF($I66&gt;0.35,"DİKKAT","Sağlıklı")))</f>
      </c>
    </row>
    <row r="67" spans="2:10" x14ac:dyDescent="0.25">
      <c r="B67" s="8"/>
      <c r="C67" s="8"/>
      <c r="D67" s="8"/>
      <c r="E67" s="9"/>
      <c r="F67" s="10"/>
      <c r="G67" s="11">
        <f>IF($B67="",0,SUMIF('Reçeteler'!$B$5:$B$804,$B67,'Reçeteler'!$H$5:$H$804))</f>
      </c>
      <c r="H67" s="17">
        <f>IF($B67="","",$E67/(1+IF($F67="",0,$F67))-$G67)</f>
      </c>
      <c r="I67" s="19">
        <f>IF(OR($B67="",$E67=0),"",$G67/($E67/(1+IF($F67="",0,$F67))))</f>
      </c>
      <c r="J67" s="15">
        <f>IF($B67="","",IF($I67&gt;0.4,"YÜKSEK",IF($I67&gt;0.35,"DİKKAT","Sağlıklı")))</f>
      </c>
    </row>
    <row r="68" spans="2:10" x14ac:dyDescent="0.25">
      <c r="B68" s="12"/>
      <c r="C68" s="12"/>
      <c r="D68" s="12"/>
      <c r="E68" s="13"/>
      <c r="F68" s="14"/>
      <c r="G68" s="11">
        <f>IF($B68="",0,SUMIF('Reçeteler'!$B$5:$B$804,$B68,'Reçeteler'!$H$5:$H$804))</f>
      </c>
      <c r="H68" s="17">
        <f>IF($B68="","",$E68/(1+IF($F68="",0,$F68))-$G68)</f>
      </c>
      <c r="I68" s="19">
        <f>IF(OR($B68="",$E68=0),"",$G68/($E68/(1+IF($F68="",0,$F68))))</f>
      </c>
      <c r="J68" s="15">
        <f>IF($B68="","",IF($I68&gt;0.4,"YÜKSEK",IF($I68&gt;0.35,"DİKKAT","Sağlıklı")))</f>
      </c>
    </row>
    <row r="69" spans="2:10" x14ac:dyDescent="0.25">
      <c r="B69" s="8"/>
      <c r="C69" s="8"/>
      <c r="D69" s="8"/>
      <c r="E69" s="9"/>
      <c r="F69" s="10"/>
      <c r="G69" s="11">
        <f>IF($B69="",0,SUMIF('Reçeteler'!$B$5:$B$804,$B69,'Reçeteler'!$H$5:$H$804))</f>
      </c>
      <c r="H69" s="17">
        <f>IF($B69="","",$E69/(1+IF($F69="",0,$F69))-$G69)</f>
      </c>
      <c r="I69" s="19">
        <f>IF(OR($B69="",$E69=0),"",$G69/($E69/(1+IF($F69="",0,$F69))))</f>
      </c>
      <c r="J69" s="15">
        <f>IF($B69="","",IF($I69&gt;0.4,"YÜKSEK",IF($I69&gt;0.35,"DİKKAT","Sağlıklı")))</f>
      </c>
    </row>
    <row r="70" spans="2:10" x14ac:dyDescent="0.25">
      <c r="B70" s="12"/>
      <c r="C70" s="12"/>
      <c r="D70" s="12"/>
      <c r="E70" s="13"/>
      <c r="F70" s="14"/>
      <c r="G70" s="11">
        <f>IF($B70="",0,SUMIF('Reçeteler'!$B$5:$B$804,$B70,'Reçeteler'!$H$5:$H$804))</f>
      </c>
      <c r="H70" s="17">
        <f>IF($B70="","",$E70/(1+IF($F70="",0,$F70))-$G70)</f>
      </c>
      <c r="I70" s="19">
        <f>IF(OR($B70="",$E70=0),"",$G70/($E70/(1+IF($F70="",0,$F70))))</f>
      </c>
      <c r="J70" s="15">
        <f>IF($B70="","",IF($I70&gt;0.4,"YÜKSEK",IF($I70&gt;0.35,"DİKKAT","Sağlıklı")))</f>
      </c>
    </row>
    <row r="71" spans="2:10" x14ac:dyDescent="0.25">
      <c r="B71" s="8"/>
      <c r="C71" s="8"/>
      <c r="D71" s="8"/>
      <c r="E71" s="9"/>
      <c r="F71" s="10"/>
      <c r="G71" s="11">
        <f>IF($B71="",0,SUMIF('Reçeteler'!$B$5:$B$804,$B71,'Reçeteler'!$H$5:$H$804))</f>
      </c>
      <c r="H71" s="17">
        <f>IF($B71="","",$E71/(1+IF($F71="",0,$F71))-$G71)</f>
      </c>
      <c r="I71" s="19">
        <f>IF(OR($B71="",$E71=0),"",$G71/($E71/(1+IF($F71="",0,$F71))))</f>
      </c>
      <c r="J71" s="15">
        <f>IF($B71="","",IF($I71&gt;0.4,"YÜKSEK",IF($I71&gt;0.35,"DİKKAT","Sağlıklı")))</f>
      </c>
    </row>
    <row r="72" spans="2:10" x14ac:dyDescent="0.25">
      <c r="B72" s="12"/>
      <c r="C72" s="12"/>
      <c r="D72" s="12"/>
      <c r="E72" s="13"/>
      <c r="F72" s="14"/>
      <c r="G72" s="11">
        <f>IF($B72="",0,SUMIF('Reçeteler'!$B$5:$B$804,$B72,'Reçeteler'!$H$5:$H$804))</f>
      </c>
      <c r="H72" s="17">
        <f>IF($B72="","",$E72/(1+IF($F72="",0,$F72))-$G72)</f>
      </c>
      <c r="I72" s="19">
        <f>IF(OR($B72="",$E72=0),"",$G72/($E72/(1+IF($F72="",0,$F72))))</f>
      </c>
      <c r="J72" s="15">
        <f>IF($B72="","",IF($I72&gt;0.4,"YÜKSEK",IF($I72&gt;0.35,"DİKKAT","Sağlıklı")))</f>
      </c>
    </row>
    <row r="73" spans="2:10" x14ac:dyDescent="0.25">
      <c r="B73" s="8"/>
      <c r="C73" s="8"/>
      <c r="D73" s="8"/>
      <c r="E73" s="9"/>
      <c r="F73" s="10"/>
      <c r="G73" s="11">
        <f>IF($B73="",0,SUMIF('Reçeteler'!$B$5:$B$804,$B73,'Reçeteler'!$H$5:$H$804))</f>
      </c>
      <c r="H73" s="17">
        <f>IF($B73="","",$E73/(1+IF($F73="",0,$F73))-$G73)</f>
      </c>
      <c r="I73" s="19">
        <f>IF(OR($B73="",$E73=0),"",$G73/($E73/(1+IF($F73="",0,$F73))))</f>
      </c>
      <c r="J73" s="15">
        <f>IF($B73="","",IF($I73&gt;0.4,"YÜKSEK",IF($I73&gt;0.35,"DİKKAT","Sağlıklı")))</f>
      </c>
    </row>
    <row r="74" spans="2:10" x14ac:dyDescent="0.25">
      <c r="B74" s="12"/>
      <c r="C74" s="12"/>
      <c r="D74" s="12"/>
      <c r="E74" s="13"/>
      <c r="F74" s="14"/>
      <c r="G74" s="11">
        <f>IF($B74="",0,SUMIF('Reçeteler'!$B$5:$B$804,$B74,'Reçeteler'!$H$5:$H$804))</f>
      </c>
      <c r="H74" s="17">
        <f>IF($B74="","",$E74/(1+IF($F74="",0,$F74))-$G74)</f>
      </c>
      <c r="I74" s="19">
        <f>IF(OR($B74="",$E74=0),"",$G74/($E74/(1+IF($F74="",0,$F74))))</f>
      </c>
      <c r="J74" s="15">
        <f>IF($B74="","",IF($I74&gt;0.4,"YÜKSEK",IF($I74&gt;0.35,"DİKKAT","Sağlıklı")))</f>
      </c>
    </row>
    <row r="75" spans="2:10" x14ac:dyDescent="0.25">
      <c r="B75" s="8"/>
      <c r="C75" s="8"/>
      <c r="D75" s="8"/>
      <c r="E75" s="9"/>
      <c r="F75" s="10"/>
      <c r="G75" s="11">
        <f>IF($B75="",0,SUMIF('Reçeteler'!$B$5:$B$804,$B75,'Reçeteler'!$H$5:$H$804))</f>
      </c>
      <c r="H75" s="17">
        <f>IF($B75="","",$E75/(1+IF($F75="",0,$F75))-$G75)</f>
      </c>
      <c r="I75" s="19">
        <f>IF(OR($B75="",$E75=0),"",$G75/($E75/(1+IF($F75="",0,$F75))))</f>
      </c>
      <c r="J75" s="15">
        <f>IF($B75="","",IF($I75&gt;0.4,"YÜKSEK",IF($I75&gt;0.35,"DİKKAT","Sağlıklı")))</f>
      </c>
    </row>
    <row r="76" spans="2:10" x14ac:dyDescent="0.25">
      <c r="B76" s="12"/>
      <c r="C76" s="12"/>
      <c r="D76" s="12"/>
      <c r="E76" s="13"/>
      <c r="F76" s="14"/>
      <c r="G76" s="11">
        <f>IF($B76="",0,SUMIF('Reçeteler'!$B$5:$B$804,$B76,'Reçeteler'!$H$5:$H$804))</f>
      </c>
      <c r="H76" s="17">
        <f>IF($B76="","",$E76/(1+IF($F76="",0,$F76))-$G76)</f>
      </c>
      <c r="I76" s="19">
        <f>IF(OR($B76="",$E76=0),"",$G76/($E76/(1+IF($F76="",0,$F76))))</f>
      </c>
      <c r="J76" s="15">
        <f>IF($B76="","",IF($I76&gt;0.4,"YÜKSEK",IF($I76&gt;0.35,"DİKKAT","Sağlıklı")))</f>
      </c>
    </row>
    <row r="77" spans="2:10" x14ac:dyDescent="0.25">
      <c r="B77" s="8"/>
      <c r="C77" s="8"/>
      <c r="D77" s="8"/>
      <c r="E77" s="9"/>
      <c r="F77" s="10"/>
      <c r="G77" s="11">
        <f>IF($B77="",0,SUMIF('Reçeteler'!$B$5:$B$804,$B77,'Reçeteler'!$H$5:$H$804))</f>
      </c>
      <c r="H77" s="17">
        <f>IF($B77="","",$E77/(1+IF($F77="",0,$F77))-$G77)</f>
      </c>
      <c r="I77" s="19">
        <f>IF(OR($B77="",$E77=0),"",$G77/($E77/(1+IF($F77="",0,$F77))))</f>
      </c>
      <c r="J77" s="15">
        <f>IF($B77="","",IF($I77&gt;0.4,"YÜKSEK",IF($I77&gt;0.35,"DİKKAT","Sağlıklı")))</f>
      </c>
    </row>
    <row r="78" spans="2:10" x14ac:dyDescent="0.25">
      <c r="B78" s="12"/>
      <c r="C78" s="12"/>
      <c r="D78" s="12"/>
      <c r="E78" s="13"/>
      <c r="F78" s="14"/>
      <c r="G78" s="11">
        <f>IF($B78="",0,SUMIF('Reçeteler'!$B$5:$B$804,$B78,'Reçeteler'!$H$5:$H$804))</f>
      </c>
      <c r="H78" s="17">
        <f>IF($B78="","",$E78/(1+IF($F78="",0,$F78))-$G78)</f>
      </c>
      <c r="I78" s="19">
        <f>IF(OR($B78="",$E78=0),"",$G78/($E78/(1+IF($F78="",0,$F78))))</f>
      </c>
      <c r="J78" s="15">
        <f>IF($B78="","",IF($I78&gt;0.4,"YÜKSEK",IF($I78&gt;0.35,"DİKKAT","Sağlıklı")))</f>
      </c>
    </row>
    <row r="79" spans="2:10" x14ac:dyDescent="0.25">
      <c r="B79" s="8"/>
      <c r="C79" s="8"/>
      <c r="D79" s="8"/>
      <c r="E79" s="9"/>
      <c r="F79" s="10"/>
      <c r="G79" s="11">
        <f>IF($B79="",0,SUMIF('Reçeteler'!$B$5:$B$804,$B79,'Reçeteler'!$H$5:$H$804))</f>
      </c>
      <c r="H79" s="17">
        <f>IF($B79="","",$E79/(1+IF($F79="",0,$F79))-$G79)</f>
      </c>
      <c r="I79" s="19">
        <f>IF(OR($B79="",$E79=0),"",$G79/($E79/(1+IF($F79="",0,$F79))))</f>
      </c>
      <c r="J79" s="15">
        <f>IF($B79="","",IF($I79&gt;0.4,"YÜKSEK",IF($I79&gt;0.35,"DİKKAT","Sağlıklı")))</f>
      </c>
    </row>
    <row r="80" spans="2:10" x14ac:dyDescent="0.25">
      <c r="B80" s="12"/>
      <c r="C80" s="12"/>
      <c r="D80" s="12"/>
      <c r="E80" s="13"/>
      <c r="F80" s="14"/>
      <c r="G80" s="11">
        <f>IF($B80="",0,SUMIF('Reçeteler'!$B$5:$B$804,$B80,'Reçeteler'!$H$5:$H$804))</f>
      </c>
      <c r="H80" s="17">
        <f>IF($B80="","",$E80/(1+IF($F80="",0,$F80))-$G80)</f>
      </c>
      <c r="I80" s="19">
        <f>IF(OR($B80="",$E80=0),"",$G80/($E80/(1+IF($F80="",0,$F80))))</f>
      </c>
      <c r="J80" s="15">
        <f>IF($B80="","",IF($I80&gt;0.4,"YÜKSEK",IF($I80&gt;0.35,"DİKKAT","Sağlıklı")))</f>
      </c>
    </row>
    <row r="81" spans="2:10" x14ac:dyDescent="0.25">
      <c r="B81" s="8"/>
      <c r="C81" s="8"/>
      <c r="D81" s="8"/>
      <c r="E81" s="9"/>
      <c r="F81" s="10"/>
      <c r="G81" s="11">
        <f>IF($B81="",0,SUMIF('Reçeteler'!$B$5:$B$804,$B81,'Reçeteler'!$H$5:$H$804))</f>
      </c>
      <c r="H81" s="17">
        <f>IF($B81="","",$E81/(1+IF($F81="",0,$F81))-$G81)</f>
      </c>
      <c r="I81" s="19">
        <f>IF(OR($B81="",$E81=0),"",$G81/($E81/(1+IF($F81="",0,$F81))))</f>
      </c>
      <c r="J81" s="15">
        <f>IF($B81="","",IF($I81&gt;0.4,"YÜKSEK",IF($I81&gt;0.35,"DİKKAT","Sağlıklı")))</f>
      </c>
    </row>
    <row r="82" spans="2:10" x14ac:dyDescent="0.25">
      <c r="B82" s="12"/>
      <c r="C82" s="12"/>
      <c r="D82" s="12"/>
      <c r="E82" s="13"/>
      <c r="F82" s="14"/>
      <c r="G82" s="11">
        <f>IF($B82="",0,SUMIF('Reçeteler'!$B$5:$B$804,$B82,'Reçeteler'!$H$5:$H$804))</f>
      </c>
      <c r="H82" s="17">
        <f>IF($B82="","",$E82/(1+IF($F82="",0,$F82))-$G82)</f>
      </c>
      <c r="I82" s="19">
        <f>IF(OR($B82="",$E82=0),"",$G82/($E82/(1+IF($F82="",0,$F82))))</f>
      </c>
      <c r="J82" s="15">
        <f>IF($B82="","",IF($I82&gt;0.4,"YÜKSEK",IF($I82&gt;0.35,"DİKKAT","Sağlıklı")))</f>
      </c>
    </row>
    <row r="83" spans="2:10" x14ac:dyDescent="0.25">
      <c r="B83" s="8"/>
      <c r="C83" s="8"/>
      <c r="D83" s="8"/>
      <c r="E83" s="9"/>
      <c r="F83" s="10"/>
      <c r="G83" s="11">
        <f>IF($B83="",0,SUMIF('Reçeteler'!$B$5:$B$804,$B83,'Reçeteler'!$H$5:$H$804))</f>
      </c>
      <c r="H83" s="17">
        <f>IF($B83="","",$E83/(1+IF($F83="",0,$F83))-$G83)</f>
      </c>
      <c r="I83" s="19">
        <f>IF(OR($B83="",$E83=0),"",$G83/($E83/(1+IF($F83="",0,$F83))))</f>
      </c>
      <c r="J83" s="15">
        <f>IF($B83="","",IF($I83&gt;0.4,"YÜKSEK",IF($I83&gt;0.35,"DİKKAT","Sağlıklı")))</f>
      </c>
    </row>
    <row r="84" spans="2:10" x14ac:dyDescent="0.25">
      <c r="B84" s="12"/>
      <c r="C84" s="12"/>
      <c r="D84" s="12"/>
      <c r="E84" s="13"/>
      <c r="F84" s="14"/>
      <c r="G84" s="11">
        <f>IF($B84="",0,SUMIF('Reçeteler'!$B$5:$B$804,$B84,'Reçeteler'!$H$5:$H$804))</f>
      </c>
      <c r="H84" s="17">
        <f>IF($B84="","",$E84/(1+IF($F84="",0,$F84))-$G84)</f>
      </c>
      <c r="I84" s="19">
        <f>IF(OR($B84="",$E84=0),"",$G84/($E84/(1+IF($F84="",0,$F84))))</f>
      </c>
      <c r="J84" s="15">
        <f>IF($B84="","",IF($I84&gt;0.4,"YÜKSEK",IF($I84&gt;0.35,"DİKKAT","Sağlıklı")))</f>
      </c>
    </row>
    <row r="85" spans="2:10" x14ac:dyDescent="0.25">
      <c r="B85" s="8"/>
      <c r="C85" s="8"/>
      <c r="D85" s="8"/>
      <c r="E85" s="9"/>
      <c r="F85" s="10"/>
      <c r="G85" s="11">
        <f>IF($B85="",0,SUMIF('Reçeteler'!$B$5:$B$804,$B85,'Reçeteler'!$H$5:$H$804))</f>
      </c>
      <c r="H85" s="17">
        <f>IF($B85="","",$E85/(1+IF($F85="",0,$F85))-$G85)</f>
      </c>
      <c r="I85" s="19">
        <f>IF(OR($B85="",$E85=0),"",$G85/($E85/(1+IF($F85="",0,$F85))))</f>
      </c>
      <c r="J85" s="15">
        <f>IF($B85="","",IF($I85&gt;0.4,"YÜKSEK",IF($I85&gt;0.35,"DİKKAT","Sağlıklı")))</f>
      </c>
    </row>
    <row r="86" spans="2:10" x14ac:dyDescent="0.25">
      <c r="B86" s="12"/>
      <c r="C86" s="12"/>
      <c r="D86" s="12"/>
      <c r="E86" s="13"/>
      <c r="F86" s="14"/>
      <c r="G86" s="11">
        <f>IF($B86="",0,SUMIF('Reçeteler'!$B$5:$B$804,$B86,'Reçeteler'!$H$5:$H$804))</f>
      </c>
      <c r="H86" s="17">
        <f>IF($B86="","",$E86/(1+IF($F86="",0,$F86))-$G86)</f>
      </c>
      <c r="I86" s="19">
        <f>IF(OR($B86="",$E86=0),"",$G86/($E86/(1+IF($F86="",0,$F86))))</f>
      </c>
      <c r="J86" s="15">
        <f>IF($B86="","",IF($I86&gt;0.4,"YÜKSEK",IF($I86&gt;0.35,"DİKKAT","Sağlıklı")))</f>
      </c>
    </row>
    <row r="87" spans="2:10" x14ac:dyDescent="0.25">
      <c r="B87" s="8"/>
      <c r="C87" s="8"/>
      <c r="D87" s="8"/>
      <c r="E87" s="9"/>
      <c r="F87" s="10"/>
      <c r="G87" s="11">
        <f>IF($B87="",0,SUMIF('Reçeteler'!$B$5:$B$804,$B87,'Reçeteler'!$H$5:$H$804))</f>
      </c>
      <c r="H87" s="17">
        <f>IF($B87="","",$E87/(1+IF($F87="",0,$F87))-$G87)</f>
      </c>
      <c r="I87" s="19">
        <f>IF(OR($B87="",$E87=0),"",$G87/($E87/(1+IF($F87="",0,$F87))))</f>
      </c>
      <c r="J87" s="15">
        <f>IF($B87="","",IF($I87&gt;0.4,"YÜKSEK",IF($I87&gt;0.35,"DİKKAT","Sağlıklı")))</f>
      </c>
    </row>
    <row r="88" spans="2:10" x14ac:dyDescent="0.25">
      <c r="B88" s="12"/>
      <c r="C88" s="12"/>
      <c r="D88" s="12"/>
      <c r="E88" s="13"/>
      <c r="F88" s="14"/>
      <c r="G88" s="11">
        <f>IF($B88="",0,SUMIF('Reçeteler'!$B$5:$B$804,$B88,'Reçeteler'!$H$5:$H$804))</f>
      </c>
      <c r="H88" s="17">
        <f>IF($B88="","",$E88/(1+IF($F88="",0,$F88))-$G88)</f>
      </c>
      <c r="I88" s="19">
        <f>IF(OR($B88="",$E88=0),"",$G88/($E88/(1+IF($F88="",0,$F88))))</f>
      </c>
      <c r="J88" s="15">
        <f>IF($B88="","",IF($I88&gt;0.4,"YÜKSEK",IF($I88&gt;0.35,"DİKKAT","Sağlıklı")))</f>
      </c>
    </row>
    <row r="89" spans="2:10" x14ac:dyDescent="0.25">
      <c r="B89" s="8"/>
      <c r="C89" s="8"/>
      <c r="D89" s="8"/>
      <c r="E89" s="9"/>
      <c r="F89" s="10"/>
      <c r="G89" s="11">
        <f>IF($B89="",0,SUMIF('Reçeteler'!$B$5:$B$804,$B89,'Reçeteler'!$H$5:$H$804))</f>
      </c>
      <c r="H89" s="17">
        <f>IF($B89="","",$E89/(1+IF($F89="",0,$F89))-$G89)</f>
      </c>
      <c r="I89" s="19">
        <f>IF(OR($B89="",$E89=0),"",$G89/($E89/(1+IF($F89="",0,$F89))))</f>
      </c>
      <c r="J89" s="15">
        <f>IF($B89="","",IF($I89&gt;0.4,"YÜKSEK",IF($I89&gt;0.35,"DİKKAT","Sağlıklı")))</f>
      </c>
    </row>
    <row r="90" spans="2:10" x14ac:dyDescent="0.25">
      <c r="B90" s="12"/>
      <c r="C90" s="12"/>
      <c r="D90" s="12"/>
      <c r="E90" s="13"/>
      <c r="F90" s="14"/>
      <c r="G90" s="11">
        <f>IF($B90="",0,SUMIF('Reçeteler'!$B$5:$B$804,$B90,'Reçeteler'!$H$5:$H$804))</f>
      </c>
      <c r="H90" s="17">
        <f>IF($B90="","",$E90/(1+IF($F90="",0,$F90))-$G90)</f>
      </c>
      <c r="I90" s="19">
        <f>IF(OR($B90="",$E90=0),"",$G90/($E90/(1+IF($F90="",0,$F90))))</f>
      </c>
      <c r="J90" s="15">
        <f>IF($B90="","",IF($I90&gt;0.4,"YÜKSEK",IF($I90&gt;0.35,"DİKKAT","Sağlıklı")))</f>
      </c>
    </row>
    <row r="91" spans="2:10" x14ac:dyDescent="0.25">
      <c r="B91" s="8"/>
      <c r="C91" s="8"/>
      <c r="D91" s="8"/>
      <c r="E91" s="9"/>
      <c r="F91" s="10"/>
      <c r="G91" s="11">
        <f>IF($B91="",0,SUMIF('Reçeteler'!$B$5:$B$804,$B91,'Reçeteler'!$H$5:$H$804))</f>
      </c>
      <c r="H91" s="17">
        <f>IF($B91="","",$E91/(1+IF($F91="",0,$F91))-$G91)</f>
      </c>
      <c r="I91" s="19">
        <f>IF(OR($B91="",$E91=0),"",$G91/($E91/(1+IF($F91="",0,$F91))))</f>
      </c>
      <c r="J91" s="15">
        <f>IF($B91="","",IF($I91&gt;0.4,"YÜKSEK",IF($I91&gt;0.35,"DİKKAT","Sağlıklı")))</f>
      </c>
    </row>
    <row r="92" spans="2:10" x14ac:dyDescent="0.25">
      <c r="B92" s="12"/>
      <c r="C92" s="12"/>
      <c r="D92" s="12"/>
      <c r="E92" s="13"/>
      <c r="F92" s="14"/>
      <c r="G92" s="11">
        <f>IF($B92="",0,SUMIF('Reçeteler'!$B$5:$B$804,$B92,'Reçeteler'!$H$5:$H$804))</f>
      </c>
      <c r="H92" s="17">
        <f>IF($B92="","",$E92/(1+IF($F92="",0,$F92))-$G92)</f>
      </c>
      <c r="I92" s="19">
        <f>IF(OR($B92="",$E92=0),"",$G92/($E92/(1+IF($F92="",0,$F92))))</f>
      </c>
      <c r="J92" s="15">
        <f>IF($B92="","",IF($I92&gt;0.4,"YÜKSEK",IF($I92&gt;0.35,"DİKKAT","Sağlıklı")))</f>
      </c>
    </row>
    <row r="93" spans="2:10" x14ac:dyDescent="0.25">
      <c r="B93" s="8"/>
      <c r="C93" s="8"/>
      <c r="D93" s="8"/>
      <c r="E93" s="9"/>
      <c r="F93" s="10"/>
      <c r="G93" s="11">
        <f>IF($B93="",0,SUMIF('Reçeteler'!$B$5:$B$804,$B93,'Reçeteler'!$H$5:$H$804))</f>
      </c>
      <c r="H93" s="17">
        <f>IF($B93="","",$E93/(1+IF($F93="",0,$F93))-$G93)</f>
      </c>
      <c r="I93" s="19">
        <f>IF(OR($B93="",$E93=0),"",$G93/($E93/(1+IF($F93="",0,$F93))))</f>
      </c>
      <c r="J93" s="15">
        <f>IF($B93="","",IF($I93&gt;0.4,"YÜKSEK",IF($I93&gt;0.35,"DİKKAT","Sağlıklı")))</f>
      </c>
    </row>
    <row r="94" spans="2:10" x14ac:dyDescent="0.25">
      <c r="B94" s="12"/>
      <c r="C94" s="12"/>
      <c r="D94" s="12"/>
      <c r="E94" s="13"/>
      <c r="F94" s="14"/>
      <c r="G94" s="11">
        <f>IF($B94="",0,SUMIF('Reçeteler'!$B$5:$B$804,$B94,'Reçeteler'!$H$5:$H$804))</f>
      </c>
      <c r="H94" s="17">
        <f>IF($B94="","",$E94/(1+IF($F94="",0,$F94))-$G94)</f>
      </c>
      <c r="I94" s="19">
        <f>IF(OR($B94="",$E94=0),"",$G94/($E94/(1+IF($F94="",0,$F94))))</f>
      </c>
      <c r="J94" s="15">
        <f>IF($B94="","",IF($I94&gt;0.4,"YÜKSEK",IF($I94&gt;0.35,"DİKKAT","Sağlıklı")))</f>
      </c>
    </row>
    <row r="95" spans="2:10" x14ac:dyDescent="0.25">
      <c r="B95" s="8"/>
      <c r="C95" s="8"/>
      <c r="D95" s="8"/>
      <c r="E95" s="9"/>
      <c r="F95" s="10"/>
      <c r="G95" s="11">
        <f>IF($B95="",0,SUMIF('Reçeteler'!$B$5:$B$804,$B95,'Reçeteler'!$H$5:$H$804))</f>
      </c>
      <c r="H95" s="17">
        <f>IF($B95="","",$E95/(1+IF($F95="",0,$F95))-$G95)</f>
      </c>
      <c r="I95" s="19">
        <f>IF(OR($B95="",$E95=0),"",$G95/($E95/(1+IF($F95="",0,$F95))))</f>
      </c>
      <c r="J95" s="15">
        <f>IF($B95="","",IF($I95&gt;0.4,"YÜKSEK",IF($I95&gt;0.35,"DİKKAT","Sağlıklı")))</f>
      </c>
    </row>
    <row r="96" spans="2:10" x14ac:dyDescent="0.25">
      <c r="B96" s="12"/>
      <c r="C96" s="12"/>
      <c r="D96" s="12"/>
      <c r="E96" s="13"/>
      <c r="F96" s="14"/>
      <c r="G96" s="11">
        <f>IF($B96="",0,SUMIF('Reçeteler'!$B$5:$B$804,$B96,'Reçeteler'!$H$5:$H$804))</f>
      </c>
      <c r="H96" s="17">
        <f>IF($B96="","",$E96/(1+IF($F96="",0,$F96))-$G96)</f>
      </c>
      <c r="I96" s="19">
        <f>IF(OR($B96="",$E96=0),"",$G96/($E96/(1+IF($F96="",0,$F96))))</f>
      </c>
      <c r="J96" s="15">
        <f>IF($B96="","",IF($I96&gt;0.4,"YÜKSEK",IF($I96&gt;0.35,"DİKKAT","Sağlıklı")))</f>
      </c>
    </row>
    <row r="97" spans="2:10" x14ac:dyDescent="0.25">
      <c r="B97" s="8"/>
      <c r="C97" s="8"/>
      <c r="D97" s="8"/>
      <c r="E97" s="9"/>
      <c r="F97" s="10"/>
      <c r="G97" s="11">
        <f>IF($B97="",0,SUMIF('Reçeteler'!$B$5:$B$804,$B97,'Reçeteler'!$H$5:$H$804))</f>
      </c>
      <c r="H97" s="17">
        <f>IF($B97="","",$E97/(1+IF($F97="",0,$F97))-$G97)</f>
      </c>
      <c r="I97" s="19">
        <f>IF(OR($B97="",$E97=0),"",$G97/($E97/(1+IF($F97="",0,$F97))))</f>
      </c>
      <c r="J97" s="15">
        <f>IF($B97="","",IF($I97&gt;0.4,"YÜKSEK",IF($I97&gt;0.35,"DİKKAT","Sağlıklı")))</f>
      </c>
    </row>
    <row r="98" spans="2:10" x14ac:dyDescent="0.25">
      <c r="B98" s="12"/>
      <c r="C98" s="12"/>
      <c r="D98" s="12"/>
      <c r="E98" s="13"/>
      <c r="F98" s="14"/>
      <c r="G98" s="11">
        <f>IF($B98="",0,SUMIF('Reçeteler'!$B$5:$B$804,$B98,'Reçeteler'!$H$5:$H$804))</f>
      </c>
      <c r="H98" s="17">
        <f>IF($B98="","",$E98/(1+IF($F98="",0,$F98))-$G98)</f>
      </c>
      <c r="I98" s="19">
        <f>IF(OR($B98="",$E98=0),"",$G98/($E98/(1+IF($F98="",0,$F98))))</f>
      </c>
      <c r="J98" s="15">
        <f>IF($B98="","",IF($I98&gt;0.4,"YÜKSEK",IF($I98&gt;0.35,"DİKKAT","Sağlıklı")))</f>
      </c>
    </row>
    <row r="99" spans="2:10" x14ac:dyDescent="0.25">
      <c r="B99" s="8"/>
      <c r="C99" s="8"/>
      <c r="D99" s="8"/>
      <c r="E99" s="9"/>
      <c r="F99" s="10"/>
      <c r="G99" s="11">
        <f>IF($B99="",0,SUMIF('Reçeteler'!$B$5:$B$804,$B99,'Reçeteler'!$H$5:$H$804))</f>
      </c>
      <c r="H99" s="17">
        <f>IF($B99="","",$E99/(1+IF($F99="",0,$F99))-$G99)</f>
      </c>
      <c r="I99" s="19">
        <f>IF(OR($B99="",$E99=0),"",$G99/($E99/(1+IF($F99="",0,$F99))))</f>
      </c>
      <c r="J99" s="15">
        <f>IF($B99="","",IF($I99&gt;0.4,"YÜKSEK",IF($I99&gt;0.35,"DİKKAT","Sağlıklı")))</f>
      </c>
    </row>
    <row r="100" spans="2:10" x14ac:dyDescent="0.25">
      <c r="B100" s="12"/>
      <c r="C100" s="12"/>
      <c r="D100" s="12"/>
      <c r="E100" s="13"/>
      <c r="F100" s="14"/>
      <c r="G100" s="11">
        <f>IF($B100="",0,SUMIF('Reçeteler'!$B$5:$B$804,$B100,'Reçeteler'!$H$5:$H$804))</f>
      </c>
      <c r="H100" s="17">
        <f>IF($B100="","",$E100/(1+IF($F100="",0,$F100))-$G100)</f>
      </c>
      <c r="I100" s="19">
        <f>IF(OR($B100="",$E100=0),"",$G100/($E100/(1+IF($F100="",0,$F100))))</f>
      </c>
      <c r="J100" s="15">
        <f>IF($B100="","",IF($I100&gt;0.4,"YÜKSEK",IF($I100&gt;0.35,"DİKKAT","Sağlıklı")))</f>
      </c>
    </row>
    <row r="101" spans="2:10" x14ac:dyDescent="0.25">
      <c r="B101" s="8"/>
      <c r="C101" s="8"/>
      <c r="D101" s="8"/>
      <c r="E101" s="9"/>
      <c r="F101" s="10"/>
      <c r="G101" s="11">
        <f>IF($B101="",0,SUMIF('Reçeteler'!$B$5:$B$804,$B101,'Reçeteler'!$H$5:$H$804))</f>
      </c>
      <c r="H101" s="17">
        <f>IF($B101="","",$E101/(1+IF($F101="",0,$F101))-$G101)</f>
      </c>
      <c r="I101" s="19">
        <f>IF(OR($B101="",$E101=0),"",$G101/($E101/(1+IF($F101="",0,$F101))))</f>
      </c>
      <c r="J101" s="15">
        <f>IF($B101="","",IF($I101&gt;0.4,"YÜKSEK",IF($I101&gt;0.35,"DİKKAT","Sağlıklı")))</f>
      </c>
    </row>
    <row r="102" spans="2:10" x14ac:dyDescent="0.25">
      <c r="B102" s="12"/>
      <c r="C102" s="12"/>
      <c r="D102" s="12"/>
      <c r="E102" s="13"/>
      <c r="F102" s="14"/>
      <c r="G102" s="11">
        <f>IF($B102="",0,SUMIF('Reçeteler'!$B$5:$B$804,$B102,'Reçeteler'!$H$5:$H$804))</f>
      </c>
      <c r="H102" s="17">
        <f>IF($B102="","",$E102/(1+IF($F102="",0,$F102))-$G102)</f>
      </c>
      <c r="I102" s="19">
        <f>IF(OR($B102="",$E102=0),"",$G102/($E102/(1+IF($F102="",0,$F102))))</f>
      </c>
      <c r="J102" s="15">
        <f>IF($B102="","",IF($I102&gt;0.4,"YÜKSEK",IF($I102&gt;0.35,"DİKKAT","Sağlıklı")))</f>
      </c>
    </row>
    <row r="103" spans="2:10" x14ac:dyDescent="0.25">
      <c r="B103" s="8"/>
      <c r="C103" s="8"/>
      <c r="D103" s="8"/>
      <c r="E103" s="9"/>
      <c r="F103" s="10"/>
      <c r="G103" s="11">
        <f>IF($B103="",0,SUMIF('Reçeteler'!$B$5:$B$804,$B103,'Reçeteler'!$H$5:$H$804))</f>
      </c>
      <c r="H103" s="17">
        <f>IF($B103="","",$E103/(1+IF($F103="",0,$F103))-$G103)</f>
      </c>
      <c r="I103" s="19">
        <f>IF(OR($B103="",$E103=0),"",$G103/($E103/(1+IF($F103="",0,$F103))))</f>
      </c>
      <c r="J103" s="15">
        <f>IF($B103="","",IF($I103&gt;0.4,"YÜKSEK",IF($I103&gt;0.35,"DİKKAT","Sağlıklı")))</f>
      </c>
    </row>
    <row r="104" spans="2:10" x14ac:dyDescent="0.25">
      <c r="B104" s="12"/>
      <c r="C104" s="12"/>
      <c r="D104" s="12"/>
      <c r="E104" s="13"/>
      <c r="F104" s="14"/>
      <c r="G104" s="11">
        <f>IF($B104="",0,SUMIF('Reçeteler'!$B$5:$B$804,$B104,'Reçeteler'!$H$5:$H$804))</f>
      </c>
      <c r="H104" s="17">
        <f>IF($B104="","",$E104/(1+IF($F104="",0,$F104))-$G104)</f>
      </c>
      <c r="I104" s="19">
        <f>IF(OR($B104="",$E104=0),"",$G104/($E104/(1+IF($F104="",0,$F104))))</f>
      </c>
      <c r="J104" s="15">
        <f>IF($B104="","",IF($I104&gt;0.4,"YÜKSEK",IF($I104&gt;0.35,"DİKKAT","Sağlıklı")))</f>
      </c>
    </row>
    <row r="105" spans="2:10" x14ac:dyDescent="0.25">
      <c r="B105" s="8"/>
      <c r="C105" s="8"/>
      <c r="D105" s="8"/>
      <c r="E105" s="9"/>
      <c r="F105" s="10"/>
      <c r="G105" s="11">
        <f>IF($B105="",0,SUMIF('Reçeteler'!$B$5:$B$804,$B105,'Reçeteler'!$H$5:$H$804))</f>
      </c>
      <c r="H105" s="17">
        <f>IF($B105="","",$E105/(1+IF($F105="",0,$F105))-$G105)</f>
      </c>
      <c r="I105" s="19">
        <f>IF(OR($B105="",$E105=0),"",$G105/($E105/(1+IF($F105="",0,$F105))))</f>
      </c>
      <c r="J105" s="15">
        <f>IF($B105="","",IF($I105&gt;0.4,"YÜKSEK",IF($I105&gt;0.35,"DİKKAT","Sağlıklı")))</f>
      </c>
    </row>
    <row r="106" spans="2:10" x14ac:dyDescent="0.25">
      <c r="B106" s="12"/>
      <c r="C106" s="12"/>
      <c r="D106" s="12"/>
      <c r="E106" s="13"/>
      <c r="F106" s="14"/>
      <c r="G106" s="11">
        <f>IF($B106="",0,SUMIF('Reçeteler'!$B$5:$B$804,$B106,'Reçeteler'!$H$5:$H$804))</f>
      </c>
      <c r="H106" s="17">
        <f>IF($B106="","",$E106/(1+IF($F106="",0,$F106))-$G106)</f>
      </c>
      <c r="I106" s="19">
        <f>IF(OR($B106="",$E106=0),"",$G106/($E106/(1+IF($F106="",0,$F106))))</f>
      </c>
      <c r="J106" s="15">
        <f>IF($B106="","",IF($I106&gt;0.4,"YÜKSEK",IF($I106&gt;0.35,"DİKKAT","Sağlıklı")))</f>
      </c>
    </row>
    <row r="107" spans="2:10" x14ac:dyDescent="0.25">
      <c r="B107" s="8"/>
      <c r="C107" s="8"/>
      <c r="D107" s="8"/>
      <c r="E107" s="9"/>
      <c r="F107" s="10"/>
      <c r="G107" s="11">
        <f>IF($B107="",0,SUMIF('Reçeteler'!$B$5:$B$804,$B107,'Reçeteler'!$H$5:$H$804))</f>
      </c>
      <c r="H107" s="17">
        <f>IF($B107="","",$E107/(1+IF($F107="",0,$F107))-$G107)</f>
      </c>
      <c r="I107" s="19">
        <f>IF(OR($B107="",$E107=0),"",$G107/($E107/(1+IF($F107="",0,$F107))))</f>
      </c>
      <c r="J107" s="15">
        <f>IF($B107="","",IF($I107&gt;0.4,"YÜKSEK",IF($I107&gt;0.35,"DİKKAT","Sağlıklı")))</f>
      </c>
    </row>
    <row r="108" spans="2:10" x14ac:dyDescent="0.25">
      <c r="B108" s="12"/>
      <c r="C108" s="12"/>
      <c r="D108" s="12"/>
      <c r="E108" s="13"/>
      <c r="F108" s="14"/>
      <c r="G108" s="11">
        <f>IF($B108="",0,SUMIF('Reçeteler'!$B$5:$B$804,$B108,'Reçeteler'!$H$5:$H$804))</f>
      </c>
      <c r="H108" s="17">
        <f>IF($B108="","",$E108/(1+IF($F108="",0,$F108))-$G108)</f>
      </c>
      <c r="I108" s="19">
        <f>IF(OR($B108="",$E108=0),"",$G108/($E108/(1+IF($F108="",0,$F108))))</f>
      </c>
      <c r="J108" s="15">
        <f>IF($B108="","",IF($I108&gt;0.4,"YÜKSEK",IF($I108&gt;0.35,"DİKKAT","Sağlıklı")))</f>
      </c>
    </row>
    <row r="109" spans="2:10" x14ac:dyDescent="0.25">
      <c r="B109" s="8"/>
      <c r="C109" s="8"/>
      <c r="D109" s="8"/>
      <c r="E109" s="9"/>
      <c r="F109" s="10"/>
      <c r="G109" s="11">
        <f>IF($B109="",0,SUMIF('Reçeteler'!$B$5:$B$804,$B109,'Reçeteler'!$H$5:$H$804))</f>
      </c>
      <c r="H109" s="17">
        <f>IF($B109="","",$E109/(1+IF($F109="",0,$F109))-$G109)</f>
      </c>
      <c r="I109" s="19">
        <f>IF(OR($B109="",$E109=0),"",$G109/($E109/(1+IF($F109="",0,$F109))))</f>
      </c>
      <c r="J109" s="15">
        <f>IF($B109="","",IF($I109&gt;0.4,"YÜKSEK",IF($I109&gt;0.35,"DİKKAT","Sağlıklı")))</f>
      </c>
    </row>
    <row r="110" spans="2:10" x14ac:dyDescent="0.25">
      <c r="B110" s="12"/>
      <c r="C110" s="12"/>
      <c r="D110" s="12"/>
      <c r="E110" s="13"/>
      <c r="F110" s="14"/>
      <c r="G110" s="11">
        <f>IF($B110="",0,SUMIF('Reçeteler'!$B$5:$B$804,$B110,'Reçeteler'!$H$5:$H$804))</f>
      </c>
      <c r="H110" s="17">
        <f>IF($B110="","",$E110/(1+IF($F110="",0,$F110))-$G110)</f>
      </c>
      <c r="I110" s="19">
        <f>IF(OR($B110="",$E110=0),"",$G110/($E110/(1+IF($F110="",0,$F110))))</f>
      </c>
      <c r="J110" s="15">
        <f>IF($B110="","",IF($I110&gt;0.4,"YÜKSEK",IF($I110&gt;0.35,"DİKKAT","Sağlıklı")))</f>
      </c>
    </row>
    <row r="111" spans="2:10" x14ac:dyDescent="0.25">
      <c r="B111" s="8"/>
      <c r="C111" s="8"/>
      <c r="D111" s="8"/>
      <c r="E111" s="9"/>
      <c r="F111" s="10"/>
      <c r="G111" s="11">
        <f>IF($B111="",0,SUMIF('Reçeteler'!$B$5:$B$804,$B111,'Reçeteler'!$H$5:$H$804))</f>
      </c>
      <c r="H111" s="17">
        <f>IF($B111="","",$E111/(1+IF($F111="",0,$F111))-$G111)</f>
      </c>
      <c r="I111" s="19">
        <f>IF(OR($B111="",$E111=0),"",$G111/($E111/(1+IF($F111="",0,$F111))))</f>
      </c>
      <c r="J111" s="15">
        <f>IF($B111="","",IF($I111&gt;0.4,"YÜKSEK",IF($I111&gt;0.35,"DİKKAT","Sağlıklı")))</f>
      </c>
    </row>
    <row r="112" spans="2:10" x14ac:dyDescent="0.25">
      <c r="B112" s="12"/>
      <c r="C112" s="12"/>
      <c r="D112" s="12"/>
      <c r="E112" s="13"/>
      <c r="F112" s="14"/>
      <c r="G112" s="11">
        <f>IF($B112="",0,SUMIF('Reçeteler'!$B$5:$B$804,$B112,'Reçeteler'!$H$5:$H$804))</f>
      </c>
      <c r="H112" s="17">
        <f>IF($B112="","",$E112/(1+IF($F112="",0,$F112))-$G112)</f>
      </c>
      <c r="I112" s="19">
        <f>IF(OR($B112="",$E112=0),"",$G112/($E112/(1+IF($F112="",0,$F112))))</f>
      </c>
      <c r="J112" s="15">
        <f>IF($B112="","",IF($I112&gt;0.4,"YÜKSEK",IF($I112&gt;0.35,"DİKKAT","Sağlıklı")))</f>
      </c>
    </row>
    <row r="113" spans="2:10" x14ac:dyDescent="0.25">
      <c r="B113" s="8"/>
      <c r="C113" s="8"/>
      <c r="D113" s="8"/>
      <c r="E113" s="9"/>
      <c r="F113" s="10"/>
      <c r="G113" s="11">
        <f>IF($B113="",0,SUMIF('Reçeteler'!$B$5:$B$804,$B113,'Reçeteler'!$H$5:$H$804))</f>
      </c>
      <c r="H113" s="17">
        <f>IF($B113="","",$E113/(1+IF($F113="",0,$F113))-$G113)</f>
      </c>
      <c r="I113" s="19">
        <f>IF(OR($B113="",$E113=0),"",$G113/($E113/(1+IF($F113="",0,$F113))))</f>
      </c>
      <c r="J113" s="15">
        <f>IF($B113="","",IF($I113&gt;0.4,"YÜKSEK",IF($I113&gt;0.35,"DİKKAT","Sağlıklı")))</f>
      </c>
    </row>
    <row r="114" spans="2:10" x14ac:dyDescent="0.25">
      <c r="B114" s="12"/>
      <c r="C114" s="12"/>
      <c r="D114" s="12"/>
      <c r="E114" s="13"/>
      <c r="F114" s="14"/>
      <c r="G114" s="11">
        <f>IF($B114="",0,SUMIF('Reçeteler'!$B$5:$B$804,$B114,'Reçeteler'!$H$5:$H$804))</f>
      </c>
      <c r="H114" s="17">
        <f>IF($B114="","",$E114/(1+IF($F114="",0,$F114))-$G114)</f>
      </c>
      <c r="I114" s="19">
        <f>IF(OR($B114="",$E114=0),"",$G114/($E114/(1+IF($F114="",0,$F114))))</f>
      </c>
      <c r="J114" s="15">
        <f>IF($B114="","",IF($I114&gt;0.4,"YÜKSEK",IF($I114&gt;0.35,"DİKKAT","Sağlıklı")))</f>
      </c>
    </row>
    <row r="115" spans="2:10" x14ac:dyDescent="0.25">
      <c r="B115" s="8"/>
      <c r="C115" s="8"/>
      <c r="D115" s="8"/>
      <c r="E115" s="9"/>
      <c r="F115" s="10"/>
      <c r="G115" s="11">
        <f>IF($B115="",0,SUMIF('Reçeteler'!$B$5:$B$804,$B115,'Reçeteler'!$H$5:$H$804))</f>
      </c>
      <c r="H115" s="17">
        <f>IF($B115="","",$E115/(1+IF($F115="",0,$F115))-$G115)</f>
      </c>
      <c r="I115" s="19">
        <f>IF(OR($B115="",$E115=0),"",$G115/($E115/(1+IF($F115="",0,$F115))))</f>
      </c>
      <c r="J115" s="15">
        <f>IF($B115="","",IF($I115&gt;0.4,"YÜKSEK",IF($I115&gt;0.35,"DİKKAT","Sağlıklı")))</f>
      </c>
    </row>
    <row r="116" spans="2:10" x14ac:dyDescent="0.25">
      <c r="B116" s="12"/>
      <c r="C116" s="12"/>
      <c r="D116" s="12"/>
      <c r="E116" s="13"/>
      <c r="F116" s="14"/>
      <c r="G116" s="11">
        <f>IF($B116="",0,SUMIF('Reçeteler'!$B$5:$B$804,$B116,'Reçeteler'!$H$5:$H$804))</f>
      </c>
      <c r="H116" s="17">
        <f>IF($B116="","",$E116/(1+IF($F116="",0,$F116))-$G116)</f>
      </c>
      <c r="I116" s="19">
        <f>IF(OR($B116="",$E116=0),"",$G116/($E116/(1+IF($F116="",0,$F116))))</f>
      </c>
      <c r="J116" s="15">
        <f>IF($B116="","",IF($I116&gt;0.4,"YÜKSEK",IF($I116&gt;0.35,"DİKKAT","Sağlıklı")))</f>
      </c>
    </row>
    <row r="117" spans="2:10" x14ac:dyDescent="0.25">
      <c r="B117" s="8"/>
      <c r="C117" s="8"/>
      <c r="D117" s="8"/>
      <c r="E117" s="9"/>
      <c r="F117" s="10"/>
      <c r="G117" s="11">
        <f>IF($B117="",0,SUMIF('Reçeteler'!$B$5:$B$804,$B117,'Reçeteler'!$H$5:$H$804))</f>
      </c>
      <c r="H117" s="17">
        <f>IF($B117="","",$E117/(1+IF($F117="",0,$F117))-$G117)</f>
      </c>
      <c r="I117" s="19">
        <f>IF(OR($B117="",$E117=0),"",$G117/($E117/(1+IF($F117="",0,$F117))))</f>
      </c>
      <c r="J117" s="15">
        <f>IF($B117="","",IF($I117&gt;0.4,"YÜKSEK",IF($I117&gt;0.35,"DİKKAT","Sağlıklı")))</f>
      </c>
    </row>
    <row r="118" spans="2:10" x14ac:dyDescent="0.25">
      <c r="B118" s="12"/>
      <c r="C118" s="12"/>
      <c r="D118" s="12"/>
      <c r="E118" s="13"/>
      <c r="F118" s="14"/>
      <c r="G118" s="11">
        <f>IF($B118="",0,SUMIF('Reçeteler'!$B$5:$B$804,$B118,'Reçeteler'!$H$5:$H$804))</f>
      </c>
      <c r="H118" s="17">
        <f>IF($B118="","",$E118/(1+IF($F118="",0,$F118))-$G118)</f>
      </c>
      <c r="I118" s="19">
        <f>IF(OR($B118="",$E118=0),"",$G118/($E118/(1+IF($F118="",0,$F118))))</f>
      </c>
      <c r="J118" s="15">
        <f>IF($B118="","",IF($I118&gt;0.4,"YÜKSEK",IF($I118&gt;0.35,"DİKKAT","Sağlıklı")))</f>
      </c>
    </row>
    <row r="119" spans="2:10" x14ac:dyDescent="0.25">
      <c r="B119" s="8"/>
      <c r="C119" s="8"/>
      <c r="D119" s="8"/>
      <c r="E119" s="9"/>
      <c r="F119" s="10"/>
      <c r="G119" s="11">
        <f>IF($B119="",0,SUMIF('Reçeteler'!$B$5:$B$804,$B119,'Reçeteler'!$H$5:$H$804))</f>
      </c>
      <c r="H119" s="17">
        <f>IF($B119="","",$E119/(1+IF($F119="",0,$F119))-$G119)</f>
      </c>
      <c r="I119" s="19">
        <f>IF(OR($B119="",$E119=0),"",$G119/($E119/(1+IF($F119="",0,$F119))))</f>
      </c>
      <c r="J119" s="15">
        <f>IF($B119="","",IF($I119&gt;0.4,"YÜKSEK",IF($I119&gt;0.35,"DİKKAT","Sağlıklı")))</f>
      </c>
    </row>
    <row r="120" spans="2:10" x14ac:dyDescent="0.25">
      <c r="B120" s="12"/>
      <c r="C120" s="12"/>
      <c r="D120" s="12"/>
      <c r="E120" s="13"/>
      <c r="F120" s="14"/>
      <c r="G120" s="11">
        <f>IF($B120="",0,SUMIF('Reçeteler'!$B$5:$B$804,$B120,'Reçeteler'!$H$5:$H$804))</f>
      </c>
      <c r="H120" s="17">
        <f>IF($B120="","",$E120/(1+IF($F120="",0,$F120))-$G120)</f>
      </c>
      <c r="I120" s="19">
        <f>IF(OR($B120="",$E120=0),"",$G120/($E120/(1+IF($F120="",0,$F120))))</f>
      </c>
      <c r="J120" s="15">
        <f>IF($B120="","",IF($I120&gt;0.4,"YÜKSEK",IF($I120&gt;0.35,"DİKKAT","Sağlıklı")))</f>
      </c>
    </row>
    <row r="121" spans="2:10" x14ac:dyDescent="0.25">
      <c r="B121" s="8"/>
      <c r="C121" s="8"/>
      <c r="D121" s="8"/>
      <c r="E121" s="9"/>
      <c r="F121" s="10"/>
      <c r="G121" s="11">
        <f>IF($B121="",0,SUMIF('Reçeteler'!$B$5:$B$804,$B121,'Reçeteler'!$H$5:$H$804))</f>
      </c>
      <c r="H121" s="17">
        <f>IF($B121="","",$E121/(1+IF($F121="",0,$F121))-$G121)</f>
      </c>
      <c r="I121" s="19">
        <f>IF(OR($B121="",$E121=0),"",$G121/($E121/(1+IF($F121="",0,$F121))))</f>
      </c>
      <c r="J121" s="15">
        <f>IF($B121="","",IF($I121&gt;0.4,"YÜKSEK",IF($I121&gt;0.35,"DİKKAT","Sağlıklı")))</f>
      </c>
    </row>
    <row r="122" spans="2:10" x14ac:dyDescent="0.25">
      <c r="B122" s="12"/>
      <c r="C122" s="12"/>
      <c r="D122" s="12"/>
      <c r="E122" s="13"/>
      <c r="F122" s="14"/>
      <c r="G122" s="11">
        <f>IF($B122="",0,SUMIF('Reçeteler'!$B$5:$B$804,$B122,'Reçeteler'!$H$5:$H$804))</f>
      </c>
      <c r="H122" s="17">
        <f>IF($B122="","",$E122/(1+IF($F122="",0,$F122))-$G122)</f>
      </c>
      <c r="I122" s="19">
        <f>IF(OR($B122="",$E122=0),"",$G122/($E122/(1+IF($F122="",0,$F122))))</f>
      </c>
      <c r="J122" s="15">
        <f>IF($B122="","",IF($I122&gt;0.4,"YÜKSEK",IF($I122&gt;0.35,"DİKKAT","Sağlıklı")))</f>
      </c>
    </row>
    <row r="123" spans="2:10" x14ac:dyDescent="0.25">
      <c r="B123" s="8"/>
      <c r="C123" s="8"/>
      <c r="D123" s="8"/>
      <c r="E123" s="9"/>
      <c r="F123" s="10"/>
      <c r="G123" s="11">
        <f>IF($B123="",0,SUMIF('Reçeteler'!$B$5:$B$804,$B123,'Reçeteler'!$H$5:$H$804))</f>
      </c>
      <c r="H123" s="17">
        <f>IF($B123="","",$E123/(1+IF($F123="",0,$F123))-$G123)</f>
      </c>
      <c r="I123" s="19">
        <f>IF(OR($B123="",$E123=0),"",$G123/($E123/(1+IF($F123="",0,$F123))))</f>
      </c>
      <c r="J123" s="15">
        <f>IF($B123="","",IF($I123&gt;0.4,"YÜKSEK",IF($I123&gt;0.35,"DİKKAT","Sağlıklı")))</f>
      </c>
    </row>
    <row r="124" spans="2:10" x14ac:dyDescent="0.25">
      <c r="B124" s="12"/>
      <c r="C124" s="12"/>
      <c r="D124" s="12"/>
      <c r="E124" s="13"/>
      <c r="F124" s="14"/>
      <c r="G124" s="11">
        <f>IF($B124="",0,SUMIF('Reçeteler'!$B$5:$B$804,$B124,'Reçeteler'!$H$5:$H$804))</f>
      </c>
      <c r="H124" s="17">
        <f>IF($B124="","",$E124/(1+IF($F124="",0,$F124))-$G124)</f>
      </c>
      <c r="I124" s="19">
        <f>IF(OR($B124="",$E124=0),"",$G124/($E124/(1+IF($F124="",0,$F124))))</f>
      </c>
      <c r="J124" s="15">
        <f>IF($B124="","",IF($I124&gt;0.4,"YÜKSEK",IF($I124&gt;0.35,"DİKKAT","Sağlıklı")))</f>
      </c>
    </row>
    <row r="125" spans="2:10" x14ac:dyDescent="0.25">
      <c r="B125" s="8"/>
      <c r="C125" s="8"/>
      <c r="D125" s="8"/>
      <c r="E125" s="9"/>
      <c r="F125" s="10"/>
      <c r="G125" s="11">
        <f>IF($B125="",0,SUMIF('Reçeteler'!$B$5:$B$804,$B125,'Reçeteler'!$H$5:$H$804))</f>
      </c>
      <c r="H125" s="17">
        <f>IF($B125="","",$E125/(1+IF($F125="",0,$F125))-$G125)</f>
      </c>
      <c r="I125" s="19">
        <f>IF(OR($B125="",$E125=0),"",$G125/($E125/(1+IF($F125="",0,$F125))))</f>
      </c>
      <c r="J125" s="15">
        <f>IF($B125="","",IF($I125&gt;0.4,"YÜKSEK",IF($I125&gt;0.35,"DİKKAT","Sağlıklı")))</f>
      </c>
    </row>
    <row r="126" spans="2:10" x14ac:dyDescent="0.25">
      <c r="B126" s="12"/>
      <c r="C126" s="12"/>
      <c r="D126" s="12"/>
      <c r="E126" s="13"/>
      <c r="F126" s="14"/>
      <c r="G126" s="11">
        <f>IF($B126="",0,SUMIF('Reçeteler'!$B$5:$B$804,$B126,'Reçeteler'!$H$5:$H$804))</f>
      </c>
      <c r="H126" s="17">
        <f>IF($B126="","",$E126/(1+IF($F126="",0,$F126))-$G126)</f>
      </c>
      <c r="I126" s="19">
        <f>IF(OR($B126="",$E126=0),"",$G126/($E126/(1+IF($F126="",0,$F126))))</f>
      </c>
      <c r="J126" s="15">
        <f>IF($B126="","",IF($I126&gt;0.4,"YÜKSEK",IF($I126&gt;0.35,"DİKKAT","Sağlıklı")))</f>
      </c>
    </row>
    <row r="127" spans="2:10" x14ac:dyDescent="0.25">
      <c r="B127" s="8"/>
      <c r="C127" s="8"/>
      <c r="D127" s="8"/>
      <c r="E127" s="9"/>
      <c r="F127" s="10"/>
      <c r="G127" s="11">
        <f>IF($B127="",0,SUMIF('Reçeteler'!$B$5:$B$804,$B127,'Reçeteler'!$H$5:$H$804))</f>
      </c>
      <c r="H127" s="17">
        <f>IF($B127="","",$E127/(1+IF($F127="",0,$F127))-$G127)</f>
      </c>
      <c r="I127" s="19">
        <f>IF(OR($B127="",$E127=0),"",$G127/($E127/(1+IF($F127="",0,$F127))))</f>
      </c>
      <c r="J127" s="15">
        <f>IF($B127="","",IF($I127&gt;0.4,"YÜKSEK",IF($I127&gt;0.35,"DİKKAT","Sağlıklı")))</f>
      </c>
    </row>
    <row r="128" spans="2:10" x14ac:dyDescent="0.25">
      <c r="B128" s="12"/>
      <c r="C128" s="12"/>
      <c r="D128" s="12"/>
      <c r="E128" s="13"/>
      <c r="F128" s="14"/>
      <c r="G128" s="11">
        <f>IF($B128="",0,SUMIF('Reçeteler'!$B$5:$B$804,$B128,'Reçeteler'!$H$5:$H$804))</f>
      </c>
      <c r="H128" s="17">
        <f>IF($B128="","",$E128/(1+IF($F128="",0,$F128))-$G128)</f>
      </c>
      <c r="I128" s="19">
        <f>IF(OR($B128="",$E128=0),"",$G128/($E128/(1+IF($F128="",0,$F128))))</f>
      </c>
      <c r="J128" s="15">
        <f>IF($B128="","",IF($I128&gt;0.4,"YÜKSEK",IF($I128&gt;0.35,"DİKKAT","Sağlıklı")))</f>
      </c>
    </row>
    <row r="129" spans="2:10" x14ac:dyDescent="0.25">
      <c r="B129" s="8"/>
      <c r="C129" s="8"/>
      <c r="D129" s="8"/>
      <c r="E129" s="9"/>
      <c r="F129" s="10"/>
      <c r="G129" s="11">
        <f>IF($B129="",0,SUMIF('Reçeteler'!$B$5:$B$804,$B129,'Reçeteler'!$H$5:$H$804))</f>
      </c>
      <c r="H129" s="17">
        <f>IF($B129="","",$E129/(1+IF($F129="",0,$F129))-$G129)</f>
      </c>
      <c r="I129" s="19">
        <f>IF(OR($B129="",$E129=0),"",$G129/($E129/(1+IF($F129="",0,$F129))))</f>
      </c>
      <c r="J129" s="15">
        <f>IF($B129="","",IF($I129&gt;0.4,"YÜKSEK",IF($I129&gt;0.35,"DİKKAT","Sağlıklı")))</f>
      </c>
    </row>
    <row r="130" spans="2:10" x14ac:dyDescent="0.25">
      <c r="B130" s="12"/>
      <c r="C130" s="12"/>
      <c r="D130" s="12"/>
      <c r="E130" s="13"/>
      <c r="F130" s="14"/>
      <c r="G130" s="11">
        <f>IF($B130="",0,SUMIF('Reçeteler'!$B$5:$B$804,$B130,'Reçeteler'!$H$5:$H$804))</f>
      </c>
      <c r="H130" s="17">
        <f>IF($B130="","",$E130/(1+IF($F130="",0,$F130))-$G130)</f>
      </c>
      <c r="I130" s="19">
        <f>IF(OR($B130="",$E130=0),"",$G130/($E130/(1+IF($F130="",0,$F130))))</f>
      </c>
      <c r="J130" s="15">
        <f>IF($B130="","",IF($I130&gt;0.4,"YÜKSEK",IF($I130&gt;0.35,"DİKKAT","Sağlıklı")))</f>
      </c>
    </row>
    <row r="131" spans="2:10" x14ac:dyDescent="0.25">
      <c r="B131" s="8"/>
      <c r="C131" s="8"/>
      <c r="D131" s="8"/>
      <c r="E131" s="9"/>
      <c r="F131" s="10"/>
      <c r="G131" s="11">
        <f>IF($B131="",0,SUMIF('Reçeteler'!$B$5:$B$804,$B131,'Reçeteler'!$H$5:$H$804))</f>
      </c>
      <c r="H131" s="17">
        <f>IF($B131="","",$E131/(1+IF($F131="",0,$F131))-$G131)</f>
      </c>
      <c r="I131" s="19">
        <f>IF(OR($B131="",$E131=0),"",$G131/($E131/(1+IF($F131="",0,$F131))))</f>
      </c>
      <c r="J131" s="15">
        <f>IF($B131="","",IF($I131&gt;0.4,"YÜKSEK",IF($I131&gt;0.35,"DİKKAT","Sağlıklı")))</f>
      </c>
    </row>
    <row r="132" spans="2:10" x14ac:dyDescent="0.25">
      <c r="B132" s="12"/>
      <c r="C132" s="12"/>
      <c r="D132" s="12"/>
      <c r="E132" s="13"/>
      <c r="F132" s="14"/>
      <c r="G132" s="11">
        <f>IF($B132="",0,SUMIF('Reçeteler'!$B$5:$B$804,$B132,'Reçeteler'!$H$5:$H$804))</f>
      </c>
      <c r="H132" s="17">
        <f>IF($B132="","",$E132/(1+IF($F132="",0,$F132))-$G132)</f>
      </c>
      <c r="I132" s="19">
        <f>IF(OR($B132="",$E132=0),"",$G132/($E132/(1+IF($F132="",0,$F132))))</f>
      </c>
      <c r="J132" s="15">
        <f>IF($B132="","",IF($I132&gt;0.4,"YÜKSEK",IF($I132&gt;0.35,"DİKKAT","Sağlıklı")))</f>
      </c>
    </row>
    <row r="133" spans="2:10" x14ac:dyDescent="0.25">
      <c r="B133" s="8"/>
      <c r="C133" s="8"/>
      <c r="D133" s="8"/>
      <c r="E133" s="9"/>
      <c r="F133" s="10"/>
      <c r="G133" s="11">
        <f>IF($B133="",0,SUMIF('Reçeteler'!$B$5:$B$804,$B133,'Reçeteler'!$H$5:$H$804))</f>
      </c>
      <c r="H133" s="17">
        <f>IF($B133="","",$E133/(1+IF($F133="",0,$F133))-$G133)</f>
      </c>
      <c r="I133" s="19">
        <f>IF(OR($B133="",$E133=0),"",$G133/($E133/(1+IF($F133="",0,$F133))))</f>
      </c>
      <c r="J133" s="15">
        <f>IF($B133="","",IF($I133&gt;0.4,"YÜKSEK",IF($I133&gt;0.35,"DİKKAT","Sağlıklı")))</f>
      </c>
    </row>
    <row r="134" spans="2:10" x14ac:dyDescent="0.25">
      <c r="B134" s="12"/>
      <c r="C134" s="12"/>
      <c r="D134" s="12"/>
      <c r="E134" s="13"/>
      <c r="F134" s="14"/>
      <c r="G134" s="11">
        <f>IF($B134="",0,SUMIF('Reçeteler'!$B$5:$B$804,$B134,'Reçeteler'!$H$5:$H$804))</f>
      </c>
      <c r="H134" s="17">
        <f>IF($B134="","",$E134/(1+IF($F134="",0,$F134))-$G134)</f>
      </c>
      <c r="I134" s="19">
        <f>IF(OR($B134="",$E134=0),"",$G134/($E134/(1+IF($F134="",0,$F134))))</f>
      </c>
      <c r="J134" s="15">
        <f>IF($B134="","",IF($I134&gt;0.4,"YÜKSEK",IF($I134&gt;0.35,"DİKKAT","Sağlıklı")))</f>
      </c>
    </row>
    <row r="135" spans="2:10" x14ac:dyDescent="0.25">
      <c r="B135" s="8"/>
      <c r="C135" s="8"/>
      <c r="D135" s="8"/>
      <c r="E135" s="9"/>
      <c r="F135" s="10"/>
      <c r="G135" s="11">
        <f>IF($B135="",0,SUMIF('Reçeteler'!$B$5:$B$804,$B135,'Reçeteler'!$H$5:$H$804))</f>
      </c>
      <c r="H135" s="17">
        <f>IF($B135="","",$E135/(1+IF($F135="",0,$F135))-$G135)</f>
      </c>
      <c r="I135" s="19">
        <f>IF(OR($B135="",$E135=0),"",$G135/($E135/(1+IF($F135="",0,$F135))))</f>
      </c>
      <c r="J135" s="15">
        <f>IF($B135="","",IF($I135&gt;0.4,"YÜKSEK",IF($I135&gt;0.35,"DİKKAT","Sağlıklı")))</f>
      </c>
    </row>
    <row r="136" spans="2:10" x14ac:dyDescent="0.25">
      <c r="B136" s="12"/>
      <c r="C136" s="12"/>
      <c r="D136" s="12"/>
      <c r="E136" s="13"/>
      <c r="F136" s="14"/>
      <c r="G136" s="11">
        <f>IF($B136="",0,SUMIF('Reçeteler'!$B$5:$B$804,$B136,'Reçeteler'!$H$5:$H$804))</f>
      </c>
      <c r="H136" s="17">
        <f>IF($B136="","",$E136/(1+IF($F136="",0,$F136))-$G136)</f>
      </c>
      <c r="I136" s="19">
        <f>IF(OR($B136="",$E136=0),"",$G136/($E136/(1+IF($F136="",0,$F136))))</f>
      </c>
      <c r="J136" s="15">
        <f>IF($B136="","",IF($I136&gt;0.4,"YÜKSEK",IF($I136&gt;0.35,"DİKKAT","Sağlıklı")))</f>
      </c>
    </row>
    <row r="137" spans="2:10" x14ac:dyDescent="0.25">
      <c r="B137" s="8"/>
      <c r="C137" s="8"/>
      <c r="D137" s="8"/>
      <c r="E137" s="9"/>
      <c r="F137" s="10"/>
      <c r="G137" s="11">
        <f>IF($B137="",0,SUMIF('Reçeteler'!$B$5:$B$804,$B137,'Reçeteler'!$H$5:$H$804))</f>
      </c>
      <c r="H137" s="17">
        <f>IF($B137="","",$E137/(1+IF($F137="",0,$F137))-$G137)</f>
      </c>
      <c r="I137" s="19">
        <f>IF(OR($B137="",$E137=0),"",$G137/($E137/(1+IF($F137="",0,$F137))))</f>
      </c>
      <c r="J137" s="15">
        <f>IF($B137="","",IF($I137&gt;0.4,"YÜKSEK",IF($I137&gt;0.35,"DİKKAT","Sağlıklı")))</f>
      </c>
    </row>
    <row r="138" spans="2:10" x14ac:dyDescent="0.25">
      <c r="B138" s="12"/>
      <c r="C138" s="12"/>
      <c r="D138" s="12"/>
      <c r="E138" s="13"/>
      <c r="F138" s="14"/>
      <c r="G138" s="11">
        <f>IF($B138="",0,SUMIF('Reçeteler'!$B$5:$B$804,$B138,'Reçeteler'!$H$5:$H$804))</f>
      </c>
      <c r="H138" s="17">
        <f>IF($B138="","",$E138/(1+IF($F138="",0,$F138))-$G138)</f>
      </c>
      <c r="I138" s="19">
        <f>IF(OR($B138="",$E138=0),"",$G138/($E138/(1+IF($F138="",0,$F138))))</f>
      </c>
      <c r="J138" s="15">
        <f>IF($B138="","",IF($I138&gt;0.4,"YÜKSEK",IF($I138&gt;0.35,"DİKKAT","Sağlıklı")))</f>
      </c>
    </row>
    <row r="139" spans="2:10" x14ac:dyDescent="0.25">
      <c r="B139" s="8"/>
      <c r="C139" s="8"/>
      <c r="D139" s="8"/>
      <c r="E139" s="9"/>
      <c r="F139" s="10"/>
      <c r="G139" s="11">
        <f>IF($B139="",0,SUMIF('Reçeteler'!$B$5:$B$804,$B139,'Reçeteler'!$H$5:$H$804))</f>
      </c>
      <c r="H139" s="17">
        <f>IF($B139="","",$E139/(1+IF($F139="",0,$F139))-$G139)</f>
      </c>
      <c r="I139" s="19">
        <f>IF(OR($B139="",$E139=0),"",$G139/($E139/(1+IF($F139="",0,$F139))))</f>
      </c>
      <c r="J139" s="15">
        <f>IF($B139="","",IF($I139&gt;0.4,"YÜKSEK",IF($I139&gt;0.35,"DİKKAT","Sağlıklı")))</f>
      </c>
    </row>
    <row r="140" spans="2:10" x14ac:dyDescent="0.25">
      <c r="B140" s="12"/>
      <c r="C140" s="12"/>
      <c r="D140" s="12"/>
      <c r="E140" s="13"/>
      <c r="F140" s="14"/>
      <c r="G140" s="11">
        <f>IF($B140="",0,SUMIF('Reçeteler'!$B$5:$B$804,$B140,'Reçeteler'!$H$5:$H$804))</f>
      </c>
      <c r="H140" s="17">
        <f>IF($B140="","",$E140/(1+IF($F140="",0,$F140))-$G140)</f>
      </c>
      <c r="I140" s="19">
        <f>IF(OR($B140="",$E140=0),"",$G140/($E140/(1+IF($F140="",0,$F140))))</f>
      </c>
      <c r="J140" s="15">
        <f>IF($B140="","",IF($I140&gt;0.4,"YÜKSEK",IF($I140&gt;0.35,"DİKKAT","Sağlıklı")))</f>
      </c>
    </row>
    <row r="141" spans="2:10" x14ac:dyDescent="0.25">
      <c r="B141" s="8"/>
      <c r="C141" s="8"/>
      <c r="D141" s="8"/>
      <c r="E141" s="9"/>
      <c r="F141" s="10"/>
      <c r="G141" s="11">
        <f>IF($B141="",0,SUMIF('Reçeteler'!$B$5:$B$804,$B141,'Reçeteler'!$H$5:$H$804))</f>
      </c>
      <c r="H141" s="17">
        <f>IF($B141="","",$E141/(1+IF($F141="",0,$F141))-$G141)</f>
      </c>
      <c r="I141" s="19">
        <f>IF(OR($B141="",$E141=0),"",$G141/($E141/(1+IF($F141="",0,$F141))))</f>
      </c>
      <c r="J141" s="15">
        <f>IF($B141="","",IF($I141&gt;0.4,"YÜKSEK",IF($I141&gt;0.35,"DİKKAT","Sağlıklı")))</f>
      </c>
    </row>
    <row r="142" spans="2:10" x14ac:dyDescent="0.25">
      <c r="B142" s="12"/>
      <c r="C142" s="12"/>
      <c r="D142" s="12"/>
      <c r="E142" s="13"/>
      <c r="F142" s="14"/>
      <c r="G142" s="11">
        <f>IF($B142="",0,SUMIF('Reçeteler'!$B$5:$B$804,$B142,'Reçeteler'!$H$5:$H$804))</f>
      </c>
      <c r="H142" s="17">
        <f>IF($B142="","",$E142/(1+IF($F142="",0,$F142))-$G142)</f>
      </c>
      <c r="I142" s="19">
        <f>IF(OR($B142="",$E142=0),"",$G142/($E142/(1+IF($F142="",0,$F142))))</f>
      </c>
      <c r="J142" s="15">
        <f>IF($B142="","",IF($I142&gt;0.4,"YÜKSEK",IF($I142&gt;0.35,"DİKKAT","Sağlıklı")))</f>
      </c>
    </row>
    <row r="143" spans="2:10" x14ac:dyDescent="0.25">
      <c r="B143" s="8"/>
      <c r="C143" s="8"/>
      <c r="D143" s="8"/>
      <c r="E143" s="9"/>
      <c r="F143" s="10"/>
      <c r="G143" s="11">
        <f>IF($B143="",0,SUMIF('Reçeteler'!$B$5:$B$804,$B143,'Reçeteler'!$H$5:$H$804))</f>
      </c>
      <c r="H143" s="17">
        <f>IF($B143="","",$E143/(1+IF($F143="",0,$F143))-$G143)</f>
      </c>
      <c r="I143" s="19">
        <f>IF(OR($B143="",$E143=0),"",$G143/($E143/(1+IF($F143="",0,$F143))))</f>
      </c>
      <c r="J143" s="15">
        <f>IF($B143="","",IF($I143&gt;0.4,"YÜKSEK",IF($I143&gt;0.35,"DİKKAT","Sağlıklı")))</f>
      </c>
    </row>
    <row r="144" spans="2:10" x14ac:dyDescent="0.25">
      <c r="B144" s="12"/>
      <c r="C144" s="12"/>
      <c r="D144" s="12"/>
      <c r="E144" s="13"/>
      <c r="F144" s="14"/>
      <c r="G144" s="11">
        <f>IF($B144="",0,SUMIF('Reçeteler'!$B$5:$B$804,$B144,'Reçeteler'!$H$5:$H$804))</f>
      </c>
      <c r="H144" s="17">
        <f>IF($B144="","",$E144/(1+IF($F144="",0,$F144))-$G144)</f>
      </c>
      <c r="I144" s="19">
        <f>IF(OR($B144="",$E144=0),"",$G144/($E144/(1+IF($F144="",0,$F144))))</f>
      </c>
      <c r="J144" s="15">
        <f>IF($B144="","",IF($I144&gt;0.4,"YÜKSEK",IF($I144&gt;0.35,"DİKKAT","Sağlıklı")))</f>
      </c>
    </row>
    <row r="145" spans="2:10" x14ac:dyDescent="0.25">
      <c r="B145" s="8"/>
      <c r="C145" s="8"/>
      <c r="D145" s="8"/>
      <c r="E145" s="9"/>
      <c r="F145" s="10"/>
      <c r="G145" s="11">
        <f>IF($B145="",0,SUMIF('Reçeteler'!$B$5:$B$804,$B145,'Reçeteler'!$H$5:$H$804))</f>
      </c>
      <c r="H145" s="17">
        <f>IF($B145="","",$E145/(1+IF($F145="",0,$F145))-$G145)</f>
      </c>
      <c r="I145" s="19">
        <f>IF(OR($B145="",$E145=0),"",$G145/($E145/(1+IF($F145="",0,$F145))))</f>
      </c>
      <c r="J145" s="15">
        <f>IF($B145="","",IF($I145&gt;0.4,"YÜKSEK",IF($I145&gt;0.35,"DİKKAT","Sağlıklı")))</f>
      </c>
    </row>
    <row r="146" spans="2:10" x14ac:dyDescent="0.25">
      <c r="B146" s="12"/>
      <c r="C146" s="12"/>
      <c r="D146" s="12"/>
      <c r="E146" s="13"/>
      <c r="F146" s="14"/>
      <c r="G146" s="11">
        <f>IF($B146="",0,SUMIF('Reçeteler'!$B$5:$B$804,$B146,'Reçeteler'!$H$5:$H$804))</f>
      </c>
      <c r="H146" s="17">
        <f>IF($B146="","",$E146/(1+IF($F146="",0,$F146))-$G146)</f>
      </c>
      <c r="I146" s="19">
        <f>IF(OR($B146="",$E146=0),"",$G146/($E146/(1+IF($F146="",0,$F146))))</f>
      </c>
      <c r="J146" s="15">
        <f>IF($B146="","",IF($I146&gt;0.4,"YÜKSEK",IF($I146&gt;0.35,"DİKKAT","Sağlıklı")))</f>
      </c>
    </row>
    <row r="147" spans="2:10" x14ac:dyDescent="0.25">
      <c r="B147" s="8"/>
      <c r="C147" s="8"/>
      <c r="D147" s="8"/>
      <c r="E147" s="9"/>
      <c r="F147" s="10"/>
      <c r="G147" s="11">
        <f>IF($B147="",0,SUMIF('Reçeteler'!$B$5:$B$804,$B147,'Reçeteler'!$H$5:$H$804))</f>
      </c>
      <c r="H147" s="17">
        <f>IF($B147="","",$E147/(1+IF($F147="",0,$F147))-$G147)</f>
      </c>
      <c r="I147" s="19">
        <f>IF(OR($B147="",$E147=0),"",$G147/($E147/(1+IF($F147="",0,$F147))))</f>
      </c>
      <c r="J147" s="15">
        <f>IF($B147="","",IF($I147&gt;0.4,"YÜKSEK",IF($I147&gt;0.35,"DİKKAT","Sağlıklı")))</f>
      </c>
    </row>
    <row r="148" spans="2:10" x14ac:dyDescent="0.25">
      <c r="B148" s="12"/>
      <c r="C148" s="12"/>
      <c r="D148" s="12"/>
      <c r="E148" s="13"/>
      <c r="F148" s="14"/>
      <c r="G148" s="11">
        <f>IF($B148="",0,SUMIF('Reçeteler'!$B$5:$B$804,$B148,'Reçeteler'!$H$5:$H$804))</f>
      </c>
      <c r="H148" s="17">
        <f>IF($B148="","",$E148/(1+IF($F148="",0,$F148))-$G148)</f>
      </c>
      <c r="I148" s="19">
        <f>IF(OR($B148="",$E148=0),"",$G148/($E148/(1+IF($F148="",0,$F148))))</f>
      </c>
      <c r="J148" s="15">
        <f>IF($B148="","",IF($I148&gt;0.4,"YÜKSEK",IF($I148&gt;0.35,"DİKKAT","Sağlıklı")))</f>
      </c>
    </row>
    <row r="149" spans="2:10" x14ac:dyDescent="0.25">
      <c r="B149" s="8"/>
      <c r="C149" s="8"/>
      <c r="D149" s="8"/>
      <c r="E149" s="9"/>
      <c r="F149" s="10"/>
      <c r="G149" s="11">
        <f>IF($B149="",0,SUMIF('Reçeteler'!$B$5:$B$804,$B149,'Reçeteler'!$H$5:$H$804))</f>
      </c>
      <c r="H149" s="17">
        <f>IF($B149="","",$E149/(1+IF($F149="",0,$F149))-$G149)</f>
      </c>
      <c r="I149" s="19">
        <f>IF(OR($B149="",$E149=0),"",$G149/($E149/(1+IF($F149="",0,$F149))))</f>
      </c>
      <c r="J149" s="15">
        <f>IF($B149="","",IF($I149&gt;0.4,"YÜKSEK",IF($I149&gt;0.35,"DİKKAT","Sağlıklı")))</f>
      </c>
    </row>
    <row r="150" spans="2:10" x14ac:dyDescent="0.25">
      <c r="B150" s="12"/>
      <c r="C150" s="12"/>
      <c r="D150" s="12"/>
      <c r="E150" s="13"/>
      <c r="F150" s="14"/>
      <c r="G150" s="11">
        <f>IF($B150="",0,SUMIF('Reçeteler'!$B$5:$B$804,$B150,'Reçeteler'!$H$5:$H$804))</f>
      </c>
      <c r="H150" s="17">
        <f>IF($B150="","",$E150/(1+IF($F150="",0,$F150))-$G150)</f>
      </c>
      <c r="I150" s="19">
        <f>IF(OR($B150="",$E150=0),"",$G150/($E150/(1+IF($F150="",0,$F150))))</f>
      </c>
      <c r="J150" s="15">
        <f>IF($B150="","",IF($I150&gt;0.4,"YÜKSEK",IF($I150&gt;0.35,"DİKKAT","Sağlıklı")))</f>
      </c>
    </row>
    <row r="151" spans="2:10" x14ac:dyDescent="0.25">
      <c r="B151" s="8"/>
      <c r="C151" s="8"/>
      <c r="D151" s="8"/>
      <c r="E151" s="9"/>
      <c r="F151" s="10"/>
      <c r="G151" s="11">
        <f>IF($B151="",0,SUMIF('Reçeteler'!$B$5:$B$804,$B151,'Reçeteler'!$H$5:$H$804))</f>
      </c>
      <c r="H151" s="17">
        <f>IF($B151="","",$E151/(1+IF($F151="",0,$F151))-$G151)</f>
      </c>
      <c r="I151" s="19">
        <f>IF(OR($B151="",$E151=0),"",$G151/($E151/(1+IF($F151="",0,$F151))))</f>
      </c>
      <c r="J151" s="15">
        <f>IF($B151="","",IF($I151&gt;0.4,"YÜKSEK",IF($I151&gt;0.35,"DİKKAT","Sağlıklı")))</f>
      </c>
    </row>
    <row r="152" spans="2:10" x14ac:dyDescent="0.25">
      <c r="B152" s="12"/>
      <c r="C152" s="12"/>
      <c r="D152" s="12"/>
      <c r="E152" s="13"/>
      <c r="F152" s="14"/>
      <c r="G152" s="11">
        <f>IF($B152="",0,SUMIF('Reçeteler'!$B$5:$B$804,$B152,'Reçeteler'!$H$5:$H$804))</f>
      </c>
      <c r="H152" s="17">
        <f>IF($B152="","",$E152/(1+IF($F152="",0,$F152))-$G152)</f>
      </c>
      <c r="I152" s="19">
        <f>IF(OR($B152="",$E152=0),"",$G152/($E152/(1+IF($F152="",0,$F152))))</f>
      </c>
      <c r="J152" s="15">
        <f>IF($B152="","",IF($I152&gt;0.4,"YÜKSEK",IF($I152&gt;0.35,"DİKKAT","Sağlıklı")))</f>
      </c>
    </row>
    <row r="153" spans="2:10" x14ac:dyDescent="0.25">
      <c r="B153" s="8"/>
      <c r="C153" s="8"/>
      <c r="D153" s="8"/>
      <c r="E153" s="9"/>
      <c r="F153" s="10"/>
      <c r="G153" s="11">
        <f>IF($B153="",0,SUMIF('Reçeteler'!$B$5:$B$804,$B153,'Reçeteler'!$H$5:$H$804))</f>
      </c>
      <c r="H153" s="17">
        <f>IF($B153="","",$E153/(1+IF($F153="",0,$F153))-$G153)</f>
      </c>
      <c r="I153" s="19">
        <f>IF(OR($B153="",$E153=0),"",$G153/($E153/(1+IF($F153="",0,$F153))))</f>
      </c>
      <c r="J153" s="15">
        <f>IF($B153="","",IF($I153&gt;0.4,"YÜKSEK",IF($I153&gt;0.35,"DİKKAT","Sağlıklı")))</f>
      </c>
    </row>
    <row r="154" spans="2:10" x14ac:dyDescent="0.25">
      <c r="B154" s="12"/>
      <c r="C154" s="12"/>
      <c r="D154" s="12"/>
      <c r="E154" s="13"/>
      <c r="F154" s="14"/>
      <c r="G154" s="11">
        <f>IF($B154="",0,SUMIF('Reçeteler'!$B$5:$B$804,$B154,'Reçeteler'!$H$5:$H$804))</f>
      </c>
      <c r="H154" s="17">
        <f>IF($B154="","",$E154/(1+IF($F154="",0,$F154))-$G154)</f>
      </c>
      <c r="I154" s="19">
        <f>IF(OR($B154="",$E154=0),"",$G154/($E154/(1+IF($F154="",0,$F154))))</f>
      </c>
      <c r="J154" s="15">
        <f>IF($B154="","",IF($I154&gt;0.4,"YÜKSEK",IF($I154&gt;0.35,"DİKKAT","Sağlıklı")))</f>
      </c>
    </row>
  </sheetData>
  <mergeCells count="2">
    <mergeCell ref="A1:J1"/>
    <mergeCell ref="A2:J2"/>
  </mergeCells>
  <conditionalFormatting sqref="J5:J154">
    <cfRule type="containsText" dxfId="0" priority="1">
      <formula>NOT(ISERROR(SEARCH("YÜKSEK",J5)))</formula>
    </cfRule>
    <cfRule type="containsText" dxfId="1" priority="2">
      <formula>NOT(ISERROR(SEARCH("DİKKAT",J5)))</formula>
    </cfRule>
  </conditionalFormatting>
  <dataValidations count="1">
    <dataValidation type="list" allowBlank="1" sqref="D5:D154">
      <formula1>=Kategoriler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8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12" customWidth="1"/>
    <col min="4" max="4" width="28" customWidth="1"/>
    <col min="5" max="5" width="10" customWidth="1"/>
    <col min="6" max="8" width="16" customWidth="1"/>
  </cols>
  <sheetData>
    <row r="1" ht="34" customHeight="1" spans="1:8" x14ac:dyDescent="0.25">
      <c r="A1" s="1" t="s">
        <v>69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70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7" t="s">
        <v>20</v>
      </c>
      <c r="B4" s="7" t="s">
        <v>71</v>
      </c>
      <c r="C4" s="7" t="s">
        <v>50</v>
      </c>
      <c r="D4" s="7" t="s">
        <v>51</v>
      </c>
      <c r="E4" s="7" t="s">
        <v>72</v>
      </c>
      <c r="F4" s="7" t="s">
        <v>73</v>
      </c>
      <c r="G4" s="7" t="s">
        <v>74</v>
      </c>
      <c r="H4" s="7" t="s">
        <v>75</v>
      </c>
    </row>
    <row r="5" spans="2:8" x14ac:dyDescent="0.25">
      <c r="B5" s="20"/>
      <c r="C5" s="8"/>
      <c r="D5" s="15">
        <f>IFERROR(IF($C5="","",VLOOKUP($C5,'Menü Kartları'!$B$5:$C$154,2,FALSE)),"— tanımsız —")</f>
      </c>
      <c r="E5" s="21"/>
      <c r="F5" s="11">
        <f>IFERROR(IF(OR($C5="",$E5=""),0,$E5*VLOOKUP($C5,'Menü Kartları'!$B$5:$E$154,4,FALSE)),0)</f>
      </c>
      <c r="G5" s="11">
        <f>IFERROR(IF(OR($C5="",$E5=""),0,$E5*VLOOKUP($C5,'Menü Kartları'!$B$5:$G$154,6,FALSE)),0)</f>
      </c>
      <c r="H5" s="17">
        <f>IF($C5="","",$F5-$G5)</f>
      </c>
    </row>
    <row r="6" spans="2:8" x14ac:dyDescent="0.25">
      <c r="B6" s="22"/>
      <c r="C6" s="12"/>
      <c r="D6" s="15">
        <f>IFERROR(IF($C6="","",VLOOKUP($C6,'Menü Kartları'!$B$5:$C$154,2,FALSE)),"— tanımsız —")</f>
      </c>
      <c r="E6" s="23"/>
      <c r="F6" s="11">
        <f>IFERROR(IF(OR($C6="",$E6=""),0,$E6*VLOOKUP($C6,'Menü Kartları'!$B$5:$E$154,4,FALSE)),0)</f>
      </c>
      <c r="G6" s="11">
        <f>IFERROR(IF(OR($C6="",$E6=""),0,$E6*VLOOKUP($C6,'Menü Kartları'!$B$5:$G$154,6,FALSE)),0)</f>
      </c>
      <c r="H6" s="17">
        <f>IF($C6="","",$F6-$G6)</f>
      </c>
    </row>
    <row r="7" spans="2:8" x14ac:dyDescent="0.25">
      <c r="B7" s="20"/>
      <c r="C7" s="8"/>
      <c r="D7" s="15">
        <f>IFERROR(IF($C7="","",VLOOKUP($C7,'Menü Kartları'!$B$5:$C$154,2,FALSE)),"— tanımsız —")</f>
      </c>
      <c r="E7" s="21"/>
      <c r="F7" s="11">
        <f>IFERROR(IF(OR($C7="",$E7=""),0,$E7*VLOOKUP($C7,'Menü Kartları'!$B$5:$E$154,4,FALSE)),0)</f>
      </c>
      <c r="G7" s="11">
        <f>IFERROR(IF(OR($C7="",$E7=""),0,$E7*VLOOKUP($C7,'Menü Kartları'!$B$5:$G$154,6,FALSE)),0)</f>
      </c>
      <c r="H7" s="17">
        <f>IF($C7="","",$F7-$G7)</f>
      </c>
    </row>
    <row r="8" spans="2:8" x14ac:dyDescent="0.25">
      <c r="B8" s="22"/>
      <c r="C8" s="12"/>
      <c r="D8" s="15">
        <f>IFERROR(IF($C8="","",VLOOKUP($C8,'Menü Kartları'!$B$5:$C$154,2,FALSE)),"— tanımsız —")</f>
      </c>
      <c r="E8" s="23"/>
      <c r="F8" s="11">
        <f>IFERROR(IF(OR($C8="",$E8=""),0,$E8*VLOOKUP($C8,'Menü Kartları'!$B$5:$E$154,4,FALSE)),0)</f>
      </c>
      <c r="G8" s="11">
        <f>IFERROR(IF(OR($C8="",$E8=""),0,$E8*VLOOKUP($C8,'Menü Kartları'!$B$5:$G$154,6,FALSE)),0)</f>
      </c>
      <c r="H8" s="17">
        <f>IF($C8="","",$F8-$G8)</f>
      </c>
    </row>
    <row r="9" spans="2:8" x14ac:dyDescent="0.25">
      <c r="B9" s="20"/>
      <c r="C9" s="8"/>
      <c r="D9" s="15">
        <f>IFERROR(IF($C9="","",VLOOKUP($C9,'Menü Kartları'!$B$5:$C$154,2,FALSE)),"— tanımsız —")</f>
      </c>
      <c r="E9" s="21"/>
      <c r="F9" s="11">
        <f>IFERROR(IF(OR($C9="",$E9=""),0,$E9*VLOOKUP($C9,'Menü Kartları'!$B$5:$E$154,4,FALSE)),0)</f>
      </c>
      <c r="G9" s="11">
        <f>IFERROR(IF(OR($C9="",$E9=""),0,$E9*VLOOKUP($C9,'Menü Kartları'!$B$5:$G$154,6,FALSE)),0)</f>
      </c>
      <c r="H9" s="17">
        <f>IF($C9="","",$F9-$G9)</f>
      </c>
    </row>
    <row r="10" spans="2:8" x14ac:dyDescent="0.25">
      <c r="B10" s="22"/>
      <c r="C10" s="12"/>
      <c r="D10" s="15">
        <f>IFERROR(IF($C10="","",VLOOKUP($C10,'Menü Kartları'!$B$5:$C$154,2,FALSE)),"— tanımsız —")</f>
      </c>
      <c r="E10" s="23"/>
      <c r="F10" s="11">
        <f>IFERROR(IF(OR($C10="",$E10=""),0,$E10*VLOOKUP($C10,'Menü Kartları'!$B$5:$E$154,4,FALSE)),0)</f>
      </c>
      <c r="G10" s="11">
        <f>IFERROR(IF(OR($C10="",$E10=""),0,$E10*VLOOKUP($C10,'Menü Kartları'!$B$5:$G$154,6,FALSE)),0)</f>
      </c>
      <c r="H10" s="17">
        <f>IF($C10="","",$F10-$G10)</f>
      </c>
    </row>
    <row r="11" spans="2:8" x14ac:dyDescent="0.25">
      <c r="B11" s="20"/>
      <c r="C11" s="8"/>
      <c r="D11" s="15">
        <f>IFERROR(IF($C11="","",VLOOKUP($C11,'Menü Kartları'!$B$5:$C$154,2,FALSE)),"— tanımsız —")</f>
      </c>
      <c r="E11" s="21"/>
      <c r="F11" s="11">
        <f>IFERROR(IF(OR($C11="",$E11=""),0,$E11*VLOOKUP($C11,'Menü Kartları'!$B$5:$E$154,4,FALSE)),0)</f>
      </c>
      <c r="G11" s="11">
        <f>IFERROR(IF(OR($C11="",$E11=""),0,$E11*VLOOKUP($C11,'Menü Kartları'!$B$5:$G$154,6,FALSE)),0)</f>
      </c>
      <c r="H11" s="17">
        <f>IF($C11="","",$F11-$G11)</f>
      </c>
    </row>
    <row r="12" spans="2:8" x14ac:dyDescent="0.25">
      <c r="B12" s="22"/>
      <c r="C12" s="12"/>
      <c r="D12" s="15">
        <f>IFERROR(IF($C12="","",VLOOKUP($C12,'Menü Kartları'!$B$5:$C$154,2,FALSE)),"— tanımsız —")</f>
      </c>
      <c r="E12" s="23"/>
      <c r="F12" s="11">
        <f>IFERROR(IF(OR($C12="",$E12=""),0,$E12*VLOOKUP($C12,'Menü Kartları'!$B$5:$E$154,4,FALSE)),0)</f>
      </c>
      <c r="G12" s="11">
        <f>IFERROR(IF(OR($C12="",$E12=""),0,$E12*VLOOKUP($C12,'Menü Kartları'!$B$5:$G$154,6,FALSE)),0)</f>
      </c>
      <c r="H12" s="17">
        <f>IF($C12="","",$F12-$G12)</f>
      </c>
    </row>
    <row r="13" spans="2:8" x14ac:dyDescent="0.25">
      <c r="B13" s="20"/>
      <c r="C13" s="8"/>
      <c r="D13" s="15">
        <f>IFERROR(IF($C13="","",VLOOKUP($C13,'Menü Kartları'!$B$5:$C$154,2,FALSE)),"— tanımsız —")</f>
      </c>
      <c r="E13" s="21"/>
      <c r="F13" s="11">
        <f>IFERROR(IF(OR($C13="",$E13=""),0,$E13*VLOOKUP($C13,'Menü Kartları'!$B$5:$E$154,4,FALSE)),0)</f>
      </c>
      <c r="G13" s="11">
        <f>IFERROR(IF(OR($C13="",$E13=""),0,$E13*VLOOKUP($C13,'Menü Kartları'!$B$5:$G$154,6,FALSE)),0)</f>
      </c>
      <c r="H13" s="17">
        <f>IF($C13="","",$F13-$G13)</f>
      </c>
    </row>
    <row r="14" spans="2:8" x14ac:dyDescent="0.25">
      <c r="B14" s="22"/>
      <c r="C14" s="12"/>
      <c r="D14" s="15">
        <f>IFERROR(IF($C14="","",VLOOKUP($C14,'Menü Kartları'!$B$5:$C$154,2,FALSE)),"— tanımsız —")</f>
      </c>
      <c r="E14" s="23"/>
      <c r="F14" s="11">
        <f>IFERROR(IF(OR($C14="",$E14=""),0,$E14*VLOOKUP($C14,'Menü Kartları'!$B$5:$E$154,4,FALSE)),0)</f>
      </c>
      <c r="G14" s="11">
        <f>IFERROR(IF(OR($C14="",$E14=""),0,$E14*VLOOKUP($C14,'Menü Kartları'!$B$5:$G$154,6,FALSE)),0)</f>
      </c>
      <c r="H14" s="17">
        <f>IF($C14="","",$F14-$G14)</f>
      </c>
    </row>
    <row r="15" spans="2:8" x14ac:dyDescent="0.25">
      <c r="B15" s="20"/>
      <c r="C15" s="8"/>
      <c r="D15" s="15">
        <f>IFERROR(IF($C15="","",VLOOKUP($C15,'Menü Kartları'!$B$5:$C$154,2,FALSE)),"— tanımsız —")</f>
      </c>
      <c r="E15" s="21"/>
      <c r="F15" s="11">
        <f>IFERROR(IF(OR($C15="",$E15=""),0,$E15*VLOOKUP($C15,'Menü Kartları'!$B$5:$E$154,4,FALSE)),0)</f>
      </c>
      <c r="G15" s="11">
        <f>IFERROR(IF(OR($C15="",$E15=""),0,$E15*VLOOKUP($C15,'Menü Kartları'!$B$5:$G$154,6,FALSE)),0)</f>
      </c>
      <c r="H15" s="17">
        <f>IF($C15="","",$F15-$G15)</f>
      </c>
    </row>
    <row r="16" spans="2:8" x14ac:dyDescent="0.25">
      <c r="B16" s="22"/>
      <c r="C16" s="12"/>
      <c r="D16" s="15">
        <f>IFERROR(IF($C16="","",VLOOKUP($C16,'Menü Kartları'!$B$5:$C$154,2,FALSE)),"— tanımsız —")</f>
      </c>
      <c r="E16" s="23"/>
      <c r="F16" s="11">
        <f>IFERROR(IF(OR($C16="",$E16=""),0,$E16*VLOOKUP($C16,'Menü Kartları'!$B$5:$E$154,4,FALSE)),0)</f>
      </c>
      <c r="G16" s="11">
        <f>IFERROR(IF(OR($C16="",$E16=""),0,$E16*VLOOKUP($C16,'Menü Kartları'!$B$5:$G$154,6,FALSE)),0)</f>
      </c>
      <c r="H16" s="17">
        <f>IF($C16="","",$F16-$G16)</f>
      </c>
    </row>
    <row r="17" spans="2:8" x14ac:dyDescent="0.25">
      <c r="B17" s="20"/>
      <c r="C17" s="8"/>
      <c r="D17" s="15">
        <f>IFERROR(IF($C17="","",VLOOKUP($C17,'Menü Kartları'!$B$5:$C$154,2,FALSE)),"— tanımsız —")</f>
      </c>
      <c r="E17" s="21"/>
      <c r="F17" s="11">
        <f>IFERROR(IF(OR($C17="",$E17=""),0,$E17*VLOOKUP($C17,'Menü Kartları'!$B$5:$E$154,4,FALSE)),0)</f>
      </c>
      <c r="G17" s="11">
        <f>IFERROR(IF(OR($C17="",$E17=""),0,$E17*VLOOKUP($C17,'Menü Kartları'!$B$5:$G$154,6,FALSE)),0)</f>
      </c>
      <c r="H17" s="17">
        <f>IF($C17="","",$F17-$G17)</f>
      </c>
    </row>
    <row r="18" spans="2:8" x14ac:dyDescent="0.25">
      <c r="B18" s="22"/>
      <c r="C18" s="12"/>
      <c r="D18" s="15">
        <f>IFERROR(IF($C18="","",VLOOKUP($C18,'Menü Kartları'!$B$5:$C$154,2,FALSE)),"— tanımsız —")</f>
      </c>
      <c r="E18" s="23"/>
      <c r="F18" s="11">
        <f>IFERROR(IF(OR($C18="",$E18=""),0,$E18*VLOOKUP($C18,'Menü Kartları'!$B$5:$E$154,4,FALSE)),0)</f>
      </c>
      <c r="G18" s="11">
        <f>IFERROR(IF(OR($C18="",$E18=""),0,$E18*VLOOKUP($C18,'Menü Kartları'!$B$5:$G$154,6,FALSE)),0)</f>
      </c>
      <c r="H18" s="17">
        <f>IF($C18="","",$F18-$G18)</f>
      </c>
    </row>
    <row r="19" spans="2:8" x14ac:dyDescent="0.25">
      <c r="B19" s="20"/>
      <c r="C19" s="8"/>
      <c r="D19" s="15">
        <f>IFERROR(IF($C19="","",VLOOKUP($C19,'Menü Kartları'!$B$5:$C$154,2,FALSE)),"— tanımsız —")</f>
      </c>
      <c r="E19" s="21"/>
      <c r="F19" s="11">
        <f>IFERROR(IF(OR($C19="",$E19=""),0,$E19*VLOOKUP($C19,'Menü Kartları'!$B$5:$E$154,4,FALSE)),0)</f>
      </c>
      <c r="G19" s="11">
        <f>IFERROR(IF(OR($C19="",$E19=""),0,$E19*VLOOKUP($C19,'Menü Kartları'!$B$5:$G$154,6,FALSE)),0)</f>
      </c>
      <c r="H19" s="17">
        <f>IF($C19="","",$F19-$G19)</f>
      </c>
    </row>
    <row r="20" spans="2:8" x14ac:dyDescent="0.25">
      <c r="B20" s="22"/>
      <c r="C20" s="12"/>
      <c r="D20" s="15">
        <f>IFERROR(IF($C20="","",VLOOKUP($C20,'Menü Kartları'!$B$5:$C$154,2,FALSE)),"— tanımsız —")</f>
      </c>
      <c r="E20" s="23"/>
      <c r="F20" s="11">
        <f>IFERROR(IF(OR($C20="",$E20=""),0,$E20*VLOOKUP($C20,'Menü Kartları'!$B$5:$E$154,4,FALSE)),0)</f>
      </c>
      <c r="G20" s="11">
        <f>IFERROR(IF(OR($C20="",$E20=""),0,$E20*VLOOKUP($C20,'Menü Kartları'!$B$5:$G$154,6,FALSE)),0)</f>
      </c>
      <c r="H20" s="17">
        <f>IF($C20="","",$F20-$G20)</f>
      </c>
    </row>
    <row r="21" spans="2:8" x14ac:dyDescent="0.25">
      <c r="B21" s="20"/>
      <c r="C21" s="8"/>
      <c r="D21" s="15">
        <f>IFERROR(IF($C21="","",VLOOKUP($C21,'Menü Kartları'!$B$5:$C$154,2,FALSE)),"— tanımsız —")</f>
      </c>
      <c r="E21" s="21"/>
      <c r="F21" s="11">
        <f>IFERROR(IF(OR($C21="",$E21=""),0,$E21*VLOOKUP($C21,'Menü Kartları'!$B$5:$E$154,4,FALSE)),0)</f>
      </c>
      <c r="G21" s="11">
        <f>IFERROR(IF(OR($C21="",$E21=""),0,$E21*VLOOKUP($C21,'Menü Kartları'!$B$5:$G$154,6,FALSE)),0)</f>
      </c>
      <c r="H21" s="17">
        <f>IF($C21="","",$F21-$G21)</f>
      </c>
    </row>
    <row r="22" spans="2:8" x14ac:dyDescent="0.25">
      <c r="B22" s="22"/>
      <c r="C22" s="12"/>
      <c r="D22" s="15">
        <f>IFERROR(IF($C22="","",VLOOKUP($C22,'Menü Kartları'!$B$5:$C$154,2,FALSE)),"— tanımsız —")</f>
      </c>
      <c r="E22" s="23"/>
      <c r="F22" s="11">
        <f>IFERROR(IF(OR($C22="",$E22=""),0,$E22*VLOOKUP($C22,'Menü Kartları'!$B$5:$E$154,4,FALSE)),0)</f>
      </c>
      <c r="G22" s="11">
        <f>IFERROR(IF(OR($C22="",$E22=""),0,$E22*VLOOKUP($C22,'Menü Kartları'!$B$5:$G$154,6,FALSE)),0)</f>
      </c>
      <c r="H22" s="17">
        <f>IF($C22="","",$F22-$G22)</f>
      </c>
    </row>
    <row r="23" spans="2:8" x14ac:dyDescent="0.25">
      <c r="B23" s="20"/>
      <c r="C23" s="8"/>
      <c r="D23" s="15">
        <f>IFERROR(IF($C23="","",VLOOKUP($C23,'Menü Kartları'!$B$5:$C$154,2,FALSE)),"— tanımsız —")</f>
      </c>
      <c r="E23" s="21"/>
      <c r="F23" s="11">
        <f>IFERROR(IF(OR($C23="",$E23=""),0,$E23*VLOOKUP($C23,'Menü Kartları'!$B$5:$E$154,4,FALSE)),0)</f>
      </c>
      <c r="G23" s="11">
        <f>IFERROR(IF(OR($C23="",$E23=""),0,$E23*VLOOKUP($C23,'Menü Kartları'!$B$5:$G$154,6,FALSE)),0)</f>
      </c>
      <c r="H23" s="17">
        <f>IF($C23="","",$F23-$G23)</f>
      </c>
    </row>
    <row r="24" spans="2:8" x14ac:dyDescent="0.25">
      <c r="B24" s="22"/>
      <c r="C24" s="12"/>
      <c r="D24" s="15">
        <f>IFERROR(IF($C24="","",VLOOKUP($C24,'Menü Kartları'!$B$5:$C$154,2,FALSE)),"— tanımsız —")</f>
      </c>
      <c r="E24" s="23"/>
      <c r="F24" s="11">
        <f>IFERROR(IF(OR($C24="",$E24=""),0,$E24*VLOOKUP($C24,'Menü Kartları'!$B$5:$E$154,4,FALSE)),0)</f>
      </c>
      <c r="G24" s="11">
        <f>IFERROR(IF(OR($C24="",$E24=""),0,$E24*VLOOKUP($C24,'Menü Kartları'!$B$5:$G$154,6,FALSE)),0)</f>
      </c>
      <c r="H24" s="17">
        <f>IF($C24="","",$F24-$G24)</f>
      </c>
    </row>
    <row r="25" spans="2:8" x14ac:dyDescent="0.25">
      <c r="B25" s="20"/>
      <c r="C25" s="8"/>
      <c r="D25" s="15">
        <f>IFERROR(IF($C25="","",VLOOKUP($C25,'Menü Kartları'!$B$5:$C$154,2,FALSE)),"— tanımsız —")</f>
      </c>
      <c r="E25" s="21"/>
      <c r="F25" s="11">
        <f>IFERROR(IF(OR($C25="",$E25=""),0,$E25*VLOOKUP($C25,'Menü Kartları'!$B$5:$E$154,4,FALSE)),0)</f>
      </c>
      <c r="G25" s="11">
        <f>IFERROR(IF(OR($C25="",$E25=""),0,$E25*VLOOKUP($C25,'Menü Kartları'!$B$5:$G$154,6,FALSE)),0)</f>
      </c>
      <c r="H25" s="17">
        <f>IF($C25="","",$F25-$G25)</f>
      </c>
    </row>
    <row r="26" spans="2:8" x14ac:dyDescent="0.25">
      <c r="B26" s="22"/>
      <c r="C26" s="12"/>
      <c r="D26" s="15">
        <f>IFERROR(IF($C26="","",VLOOKUP($C26,'Menü Kartları'!$B$5:$C$154,2,FALSE)),"— tanımsız —")</f>
      </c>
      <c r="E26" s="23"/>
      <c r="F26" s="11">
        <f>IFERROR(IF(OR($C26="",$E26=""),0,$E26*VLOOKUP($C26,'Menü Kartları'!$B$5:$E$154,4,FALSE)),0)</f>
      </c>
      <c r="G26" s="11">
        <f>IFERROR(IF(OR($C26="",$E26=""),0,$E26*VLOOKUP($C26,'Menü Kartları'!$B$5:$G$154,6,FALSE)),0)</f>
      </c>
      <c r="H26" s="17">
        <f>IF($C26="","",$F26-$G26)</f>
      </c>
    </row>
    <row r="27" spans="2:8" x14ac:dyDescent="0.25">
      <c r="B27" s="20"/>
      <c r="C27" s="8"/>
      <c r="D27" s="15">
        <f>IFERROR(IF($C27="","",VLOOKUP($C27,'Menü Kartları'!$B$5:$C$154,2,FALSE)),"— tanımsız —")</f>
      </c>
      <c r="E27" s="21"/>
      <c r="F27" s="11">
        <f>IFERROR(IF(OR($C27="",$E27=""),0,$E27*VLOOKUP($C27,'Menü Kartları'!$B$5:$E$154,4,FALSE)),0)</f>
      </c>
      <c r="G27" s="11">
        <f>IFERROR(IF(OR($C27="",$E27=""),0,$E27*VLOOKUP($C27,'Menü Kartları'!$B$5:$G$154,6,FALSE)),0)</f>
      </c>
      <c r="H27" s="17">
        <f>IF($C27="","",$F27-$G27)</f>
      </c>
    </row>
    <row r="28" spans="2:8" x14ac:dyDescent="0.25">
      <c r="B28" s="22"/>
      <c r="C28" s="12"/>
      <c r="D28" s="15">
        <f>IFERROR(IF($C28="","",VLOOKUP($C28,'Menü Kartları'!$B$5:$C$154,2,FALSE)),"— tanımsız —")</f>
      </c>
      <c r="E28" s="23"/>
      <c r="F28" s="11">
        <f>IFERROR(IF(OR($C28="",$E28=""),0,$E28*VLOOKUP($C28,'Menü Kartları'!$B$5:$E$154,4,FALSE)),0)</f>
      </c>
      <c r="G28" s="11">
        <f>IFERROR(IF(OR($C28="",$E28=""),0,$E28*VLOOKUP($C28,'Menü Kartları'!$B$5:$G$154,6,FALSE)),0)</f>
      </c>
      <c r="H28" s="17">
        <f>IF($C28="","",$F28-$G28)</f>
      </c>
    </row>
    <row r="29" spans="2:8" x14ac:dyDescent="0.25">
      <c r="B29" s="20"/>
      <c r="C29" s="8"/>
      <c r="D29" s="15">
        <f>IFERROR(IF($C29="","",VLOOKUP($C29,'Menü Kartları'!$B$5:$C$154,2,FALSE)),"— tanımsız —")</f>
      </c>
      <c r="E29" s="21"/>
      <c r="F29" s="11">
        <f>IFERROR(IF(OR($C29="",$E29=""),0,$E29*VLOOKUP($C29,'Menü Kartları'!$B$5:$E$154,4,FALSE)),0)</f>
      </c>
      <c r="G29" s="11">
        <f>IFERROR(IF(OR($C29="",$E29=""),0,$E29*VLOOKUP($C29,'Menü Kartları'!$B$5:$G$154,6,FALSE)),0)</f>
      </c>
      <c r="H29" s="17">
        <f>IF($C29="","",$F29-$G29)</f>
      </c>
    </row>
    <row r="30" spans="2:8" x14ac:dyDescent="0.25">
      <c r="B30" s="22"/>
      <c r="C30" s="12"/>
      <c r="D30" s="15">
        <f>IFERROR(IF($C30="","",VLOOKUP($C30,'Menü Kartları'!$B$5:$C$154,2,FALSE)),"— tanımsız —")</f>
      </c>
      <c r="E30" s="23"/>
      <c r="F30" s="11">
        <f>IFERROR(IF(OR($C30="",$E30=""),0,$E30*VLOOKUP($C30,'Menü Kartları'!$B$5:$E$154,4,FALSE)),0)</f>
      </c>
      <c r="G30" s="11">
        <f>IFERROR(IF(OR($C30="",$E30=""),0,$E30*VLOOKUP($C30,'Menü Kartları'!$B$5:$G$154,6,FALSE)),0)</f>
      </c>
      <c r="H30" s="17">
        <f>IF($C30="","",$F30-$G30)</f>
      </c>
    </row>
    <row r="31" spans="2:8" x14ac:dyDescent="0.25">
      <c r="B31" s="20"/>
      <c r="C31" s="8"/>
      <c r="D31" s="15">
        <f>IFERROR(IF($C31="","",VLOOKUP($C31,'Menü Kartları'!$B$5:$C$154,2,FALSE)),"— tanımsız —")</f>
      </c>
      <c r="E31" s="21"/>
      <c r="F31" s="11">
        <f>IFERROR(IF(OR($C31="",$E31=""),0,$E31*VLOOKUP($C31,'Menü Kartları'!$B$5:$E$154,4,FALSE)),0)</f>
      </c>
      <c r="G31" s="11">
        <f>IFERROR(IF(OR($C31="",$E31=""),0,$E31*VLOOKUP($C31,'Menü Kartları'!$B$5:$G$154,6,FALSE)),0)</f>
      </c>
      <c r="H31" s="17">
        <f>IF($C31="","",$F31-$G31)</f>
      </c>
    </row>
    <row r="32" spans="2:8" x14ac:dyDescent="0.25">
      <c r="B32" s="22"/>
      <c r="C32" s="12"/>
      <c r="D32" s="15">
        <f>IFERROR(IF($C32="","",VLOOKUP($C32,'Menü Kartları'!$B$5:$C$154,2,FALSE)),"— tanımsız —")</f>
      </c>
      <c r="E32" s="23"/>
      <c r="F32" s="11">
        <f>IFERROR(IF(OR($C32="",$E32=""),0,$E32*VLOOKUP($C32,'Menü Kartları'!$B$5:$E$154,4,FALSE)),0)</f>
      </c>
      <c r="G32" s="11">
        <f>IFERROR(IF(OR($C32="",$E32=""),0,$E32*VLOOKUP($C32,'Menü Kartları'!$B$5:$G$154,6,FALSE)),0)</f>
      </c>
      <c r="H32" s="17">
        <f>IF($C32="","",$F32-$G32)</f>
      </c>
    </row>
    <row r="33" spans="2:8" x14ac:dyDescent="0.25">
      <c r="B33" s="20"/>
      <c r="C33" s="8"/>
      <c r="D33" s="15">
        <f>IFERROR(IF($C33="","",VLOOKUP($C33,'Menü Kartları'!$B$5:$C$154,2,FALSE)),"— tanımsız —")</f>
      </c>
      <c r="E33" s="21"/>
      <c r="F33" s="11">
        <f>IFERROR(IF(OR($C33="",$E33=""),0,$E33*VLOOKUP($C33,'Menü Kartları'!$B$5:$E$154,4,FALSE)),0)</f>
      </c>
      <c r="G33" s="11">
        <f>IFERROR(IF(OR($C33="",$E33=""),0,$E33*VLOOKUP($C33,'Menü Kartları'!$B$5:$G$154,6,FALSE)),0)</f>
      </c>
      <c r="H33" s="17">
        <f>IF($C33="","",$F33-$G33)</f>
      </c>
    </row>
    <row r="34" spans="2:8" x14ac:dyDescent="0.25">
      <c r="B34" s="22"/>
      <c r="C34" s="12"/>
      <c r="D34" s="15">
        <f>IFERROR(IF($C34="","",VLOOKUP($C34,'Menü Kartları'!$B$5:$C$154,2,FALSE)),"— tanımsız —")</f>
      </c>
      <c r="E34" s="23"/>
      <c r="F34" s="11">
        <f>IFERROR(IF(OR($C34="",$E34=""),0,$E34*VLOOKUP($C34,'Menü Kartları'!$B$5:$E$154,4,FALSE)),0)</f>
      </c>
      <c r="G34" s="11">
        <f>IFERROR(IF(OR($C34="",$E34=""),0,$E34*VLOOKUP($C34,'Menü Kartları'!$B$5:$G$154,6,FALSE)),0)</f>
      </c>
      <c r="H34" s="17">
        <f>IF($C34="","",$F34-$G34)</f>
      </c>
    </row>
    <row r="35" spans="2:8" x14ac:dyDescent="0.25">
      <c r="B35" s="20"/>
      <c r="C35" s="8"/>
      <c r="D35" s="15">
        <f>IFERROR(IF($C35="","",VLOOKUP($C35,'Menü Kartları'!$B$5:$C$154,2,FALSE)),"— tanımsız —")</f>
      </c>
      <c r="E35" s="21"/>
      <c r="F35" s="11">
        <f>IFERROR(IF(OR($C35="",$E35=""),0,$E35*VLOOKUP($C35,'Menü Kartları'!$B$5:$E$154,4,FALSE)),0)</f>
      </c>
      <c r="G35" s="11">
        <f>IFERROR(IF(OR($C35="",$E35=""),0,$E35*VLOOKUP($C35,'Menü Kartları'!$B$5:$G$154,6,FALSE)),0)</f>
      </c>
      <c r="H35" s="17">
        <f>IF($C35="","",$F35-$G35)</f>
      </c>
    </row>
    <row r="36" spans="2:8" x14ac:dyDescent="0.25">
      <c r="B36" s="22"/>
      <c r="C36" s="12"/>
      <c r="D36" s="15">
        <f>IFERROR(IF($C36="","",VLOOKUP($C36,'Menü Kartları'!$B$5:$C$154,2,FALSE)),"— tanımsız —")</f>
      </c>
      <c r="E36" s="23"/>
      <c r="F36" s="11">
        <f>IFERROR(IF(OR($C36="",$E36=""),0,$E36*VLOOKUP($C36,'Menü Kartları'!$B$5:$E$154,4,FALSE)),0)</f>
      </c>
      <c r="G36" s="11">
        <f>IFERROR(IF(OR($C36="",$E36=""),0,$E36*VLOOKUP($C36,'Menü Kartları'!$B$5:$G$154,6,FALSE)),0)</f>
      </c>
      <c r="H36" s="17">
        <f>IF($C36="","",$F36-$G36)</f>
      </c>
    </row>
    <row r="37" spans="2:8" x14ac:dyDescent="0.25">
      <c r="B37" s="20"/>
      <c r="C37" s="8"/>
      <c r="D37" s="15">
        <f>IFERROR(IF($C37="","",VLOOKUP($C37,'Menü Kartları'!$B$5:$C$154,2,FALSE)),"— tanımsız —")</f>
      </c>
      <c r="E37" s="21"/>
      <c r="F37" s="11">
        <f>IFERROR(IF(OR($C37="",$E37=""),0,$E37*VLOOKUP($C37,'Menü Kartları'!$B$5:$E$154,4,FALSE)),0)</f>
      </c>
      <c r="G37" s="11">
        <f>IFERROR(IF(OR($C37="",$E37=""),0,$E37*VLOOKUP($C37,'Menü Kartları'!$B$5:$G$154,6,FALSE)),0)</f>
      </c>
      <c r="H37" s="17">
        <f>IF($C37="","",$F37-$G37)</f>
      </c>
    </row>
    <row r="38" spans="2:8" x14ac:dyDescent="0.25">
      <c r="B38" s="22"/>
      <c r="C38" s="12"/>
      <c r="D38" s="15">
        <f>IFERROR(IF($C38="","",VLOOKUP($C38,'Menü Kartları'!$B$5:$C$154,2,FALSE)),"— tanımsız —")</f>
      </c>
      <c r="E38" s="23"/>
      <c r="F38" s="11">
        <f>IFERROR(IF(OR($C38="",$E38=""),0,$E38*VLOOKUP($C38,'Menü Kartları'!$B$5:$E$154,4,FALSE)),0)</f>
      </c>
      <c r="G38" s="11">
        <f>IFERROR(IF(OR($C38="",$E38=""),0,$E38*VLOOKUP($C38,'Menü Kartları'!$B$5:$G$154,6,FALSE)),0)</f>
      </c>
      <c r="H38" s="17">
        <f>IF($C38="","",$F38-$G38)</f>
      </c>
    </row>
    <row r="39" spans="2:8" x14ac:dyDescent="0.25">
      <c r="B39" s="20"/>
      <c r="C39" s="8"/>
      <c r="D39" s="15">
        <f>IFERROR(IF($C39="","",VLOOKUP($C39,'Menü Kartları'!$B$5:$C$154,2,FALSE)),"— tanımsız —")</f>
      </c>
      <c r="E39" s="21"/>
      <c r="F39" s="11">
        <f>IFERROR(IF(OR($C39="",$E39=""),0,$E39*VLOOKUP($C39,'Menü Kartları'!$B$5:$E$154,4,FALSE)),0)</f>
      </c>
      <c r="G39" s="11">
        <f>IFERROR(IF(OR($C39="",$E39=""),0,$E39*VLOOKUP($C39,'Menü Kartları'!$B$5:$G$154,6,FALSE)),0)</f>
      </c>
      <c r="H39" s="17">
        <f>IF($C39="","",$F39-$G39)</f>
      </c>
    </row>
    <row r="40" spans="2:8" x14ac:dyDescent="0.25">
      <c r="B40" s="22"/>
      <c r="C40" s="12"/>
      <c r="D40" s="15">
        <f>IFERROR(IF($C40="","",VLOOKUP($C40,'Menü Kartları'!$B$5:$C$154,2,FALSE)),"— tanımsız —")</f>
      </c>
      <c r="E40" s="23"/>
      <c r="F40" s="11">
        <f>IFERROR(IF(OR($C40="",$E40=""),0,$E40*VLOOKUP($C40,'Menü Kartları'!$B$5:$E$154,4,FALSE)),0)</f>
      </c>
      <c r="G40" s="11">
        <f>IFERROR(IF(OR($C40="",$E40=""),0,$E40*VLOOKUP($C40,'Menü Kartları'!$B$5:$G$154,6,FALSE)),0)</f>
      </c>
      <c r="H40" s="17">
        <f>IF($C40="","",$F40-$G40)</f>
      </c>
    </row>
    <row r="41" spans="2:8" x14ac:dyDescent="0.25">
      <c r="B41" s="20"/>
      <c r="C41" s="8"/>
      <c r="D41" s="15">
        <f>IFERROR(IF($C41="","",VLOOKUP($C41,'Menü Kartları'!$B$5:$C$154,2,FALSE)),"— tanımsız —")</f>
      </c>
      <c r="E41" s="21"/>
      <c r="F41" s="11">
        <f>IFERROR(IF(OR($C41="",$E41=""),0,$E41*VLOOKUP($C41,'Menü Kartları'!$B$5:$E$154,4,FALSE)),0)</f>
      </c>
      <c r="G41" s="11">
        <f>IFERROR(IF(OR($C41="",$E41=""),0,$E41*VLOOKUP($C41,'Menü Kartları'!$B$5:$G$154,6,FALSE)),0)</f>
      </c>
      <c r="H41" s="17">
        <f>IF($C41="","",$F41-$G41)</f>
      </c>
    </row>
    <row r="42" spans="2:8" x14ac:dyDescent="0.25">
      <c r="B42" s="22"/>
      <c r="C42" s="12"/>
      <c r="D42" s="15">
        <f>IFERROR(IF($C42="","",VLOOKUP($C42,'Menü Kartları'!$B$5:$C$154,2,FALSE)),"— tanımsız —")</f>
      </c>
      <c r="E42" s="23"/>
      <c r="F42" s="11">
        <f>IFERROR(IF(OR($C42="",$E42=""),0,$E42*VLOOKUP($C42,'Menü Kartları'!$B$5:$E$154,4,FALSE)),0)</f>
      </c>
      <c r="G42" s="11">
        <f>IFERROR(IF(OR($C42="",$E42=""),0,$E42*VLOOKUP($C42,'Menü Kartları'!$B$5:$G$154,6,FALSE)),0)</f>
      </c>
      <c r="H42" s="17">
        <f>IF($C42="","",$F42-$G42)</f>
      </c>
    </row>
    <row r="43" spans="2:8" x14ac:dyDescent="0.25">
      <c r="B43" s="20"/>
      <c r="C43" s="8"/>
      <c r="D43" s="15">
        <f>IFERROR(IF($C43="","",VLOOKUP($C43,'Menü Kartları'!$B$5:$C$154,2,FALSE)),"— tanımsız —")</f>
      </c>
      <c r="E43" s="21"/>
      <c r="F43" s="11">
        <f>IFERROR(IF(OR($C43="",$E43=""),0,$E43*VLOOKUP($C43,'Menü Kartları'!$B$5:$E$154,4,FALSE)),0)</f>
      </c>
      <c r="G43" s="11">
        <f>IFERROR(IF(OR($C43="",$E43=""),0,$E43*VLOOKUP($C43,'Menü Kartları'!$B$5:$G$154,6,FALSE)),0)</f>
      </c>
      <c r="H43" s="17">
        <f>IF($C43="","",$F43-$G43)</f>
      </c>
    </row>
    <row r="44" spans="2:8" x14ac:dyDescent="0.25">
      <c r="B44" s="22"/>
      <c r="C44" s="12"/>
      <c r="D44" s="15">
        <f>IFERROR(IF($C44="","",VLOOKUP($C44,'Menü Kartları'!$B$5:$C$154,2,FALSE)),"— tanımsız —")</f>
      </c>
      <c r="E44" s="23"/>
      <c r="F44" s="11">
        <f>IFERROR(IF(OR($C44="",$E44=""),0,$E44*VLOOKUP($C44,'Menü Kartları'!$B$5:$E$154,4,FALSE)),0)</f>
      </c>
      <c r="G44" s="11">
        <f>IFERROR(IF(OR($C44="",$E44=""),0,$E44*VLOOKUP($C44,'Menü Kartları'!$B$5:$G$154,6,FALSE)),0)</f>
      </c>
      <c r="H44" s="17">
        <f>IF($C44="","",$F44-$G44)</f>
      </c>
    </row>
    <row r="45" spans="2:8" x14ac:dyDescent="0.25">
      <c r="B45" s="20"/>
      <c r="C45" s="8"/>
      <c r="D45" s="15">
        <f>IFERROR(IF($C45="","",VLOOKUP($C45,'Menü Kartları'!$B$5:$C$154,2,FALSE)),"— tanımsız —")</f>
      </c>
      <c r="E45" s="21"/>
      <c r="F45" s="11">
        <f>IFERROR(IF(OR($C45="",$E45=""),0,$E45*VLOOKUP($C45,'Menü Kartları'!$B$5:$E$154,4,FALSE)),0)</f>
      </c>
      <c r="G45" s="11">
        <f>IFERROR(IF(OR($C45="",$E45=""),0,$E45*VLOOKUP($C45,'Menü Kartları'!$B$5:$G$154,6,FALSE)),0)</f>
      </c>
      <c r="H45" s="17">
        <f>IF($C45="","",$F45-$G45)</f>
      </c>
    </row>
    <row r="46" spans="2:8" x14ac:dyDescent="0.25">
      <c r="B46" s="22"/>
      <c r="C46" s="12"/>
      <c r="D46" s="15">
        <f>IFERROR(IF($C46="","",VLOOKUP($C46,'Menü Kartları'!$B$5:$C$154,2,FALSE)),"— tanımsız —")</f>
      </c>
      <c r="E46" s="23"/>
      <c r="F46" s="11">
        <f>IFERROR(IF(OR($C46="",$E46=""),0,$E46*VLOOKUP($C46,'Menü Kartları'!$B$5:$E$154,4,FALSE)),0)</f>
      </c>
      <c r="G46" s="11">
        <f>IFERROR(IF(OR($C46="",$E46=""),0,$E46*VLOOKUP($C46,'Menü Kartları'!$B$5:$G$154,6,FALSE)),0)</f>
      </c>
      <c r="H46" s="17">
        <f>IF($C46="","",$F46-$G46)</f>
      </c>
    </row>
    <row r="47" spans="2:8" x14ac:dyDescent="0.25">
      <c r="B47" s="20"/>
      <c r="C47" s="8"/>
      <c r="D47" s="15">
        <f>IFERROR(IF($C47="","",VLOOKUP($C47,'Menü Kartları'!$B$5:$C$154,2,FALSE)),"— tanımsız —")</f>
      </c>
      <c r="E47" s="21"/>
      <c r="F47" s="11">
        <f>IFERROR(IF(OR($C47="",$E47=""),0,$E47*VLOOKUP($C47,'Menü Kartları'!$B$5:$E$154,4,FALSE)),0)</f>
      </c>
      <c r="G47" s="11">
        <f>IFERROR(IF(OR($C47="",$E47=""),0,$E47*VLOOKUP($C47,'Menü Kartları'!$B$5:$G$154,6,FALSE)),0)</f>
      </c>
      <c r="H47" s="17">
        <f>IF($C47="","",$F47-$G47)</f>
      </c>
    </row>
    <row r="48" spans="2:8" x14ac:dyDescent="0.25">
      <c r="B48" s="22"/>
      <c r="C48" s="12"/>
      <c r="D48" s="15">
        <f>IFERROR(IF($C48="","",VLOOKUP($C48,'Menü Kartları'!$B$5:$C$154,2,FALSE)),"— tanımsız —")</f>
      </c>
      <c r="E48" s="23"/>
      <c r="F48" s="11">
        <f>IFERROR(IF(OR($C48="",$E48=""),0,$E48*VLOOKUP($C48,'Menü Kartları'!$B$5:$E$154,4,FALSE)),0)</f>
      </c>
      <c r="G48" s="11">
        <f>IFERROR(IF(OR($C48="",$E48=""),0,$E48*VLOOKUP($C48,'Menü Kartları'!$B$5:$G$154,6,FALSE)),0)</f>
      </c>
      <c r="H48" s="17">
        <f>IF($C48="","",$F48-$G48)</f>
      </c>
    </row>
    <row r="49" spans="2:8" x14ac:dyDescent="0.25">
      <c r="B49" s="20"/>
      <c r="C49" s="8"/>
      <c r="D49" s="15">
        <f>IFERROR(IF($C49="","",VLOOKUP($C49,'Menü Kartları'!$B$5:$C$154,2,FALSE)),"— tanımsız —")</f>
      </c>
      <c r="E49" s="21"/>
      <c r="F49" s="11">
        <f>IFERROR(IF(OR($C49="",$E49=""),0,$E49*VLOOKUP($C49,'Menü Kartları'!$B$5:$E$154,4,FALSE)),0)</f>
      </c>
      <c r="G49" s="11">
        <f>IFERROR(IF(OR($C49="",$E49=""),0,$E49*VLOOKUP($C49,'Menü Kartları'!$B$5:$G$154,6,FALSE)),0)</f>
      </c>
      <c r="H49" s="17">
        <f>IF($C49="","",$F49-$G49)</f>
      </c>
    </row>
    <row r="50" spans="2:8" x14ac:dyDescent="0.25">
      <c r="B50" s="22"/>
      <c r="C50" s="12"/>
      <c r="D50" s="15">
        <f>IFERROR(IF($C50="","",VLOOKUP($C50,'Menü Kartları'!$B$5:$C$154,2,FALSE)),"— tanımsız —")</f>
      </c>
      <c r="E50" s="23"/>
      <c r="F50" s="11">
        <f>IFERROR(IF(OR($C50="",$E50=""),0,$E50*VLOOKUP($C50,'Menü Kartları'!$B$5:$E$154,4,FALSE)),0)</f>
      </c>
      <c r="G50" s="11">
        <f>IFERROR(IF(OR($C50="",$E50=""),0,$E50*VLOOKUP($C50,'Menü Kartları'!$B$5:$G$154,6,FALSE)),0)</f>
      </c>
      <c r="H50" s="17">
        <f>IF($C50="","",$F50-$G50)</f>
      </c>
    </row>
    <row r="51" spans="2:8" x14ac:dyDescent="0.25">
      <c r="B51" s="20"/>
      <c r="C51" s="8"/>
      <c r="D51" s="15">
        <f>IFERROR(IF($C51="","",VLOOKUP($C51,'Menü Kartları'!$B$5:$C$154,2,FALSE)),"— tanımsız —")</f>
      </c>
      <c r="E51" s="21"/>
      <c r="F51" s="11">
        <f>IFERROR(IF(OR($C51="",$E51=""),0,$E51*VLOOKUP($C51,'Menü Kartları'!$B$5:$E$154,4,FALSE)),0)</f>
      </c>
      <c r="G51" s="11">
        <f>IFERROR(IF(OR($C51="",$E51=""),0,$E51*VLOOKUP($C51,'Menü Kartları'!$B$5:$G$154,6,FALSE)),0)</f>
      </c>
      <c r="H51" s="17">
        <f>IF($C51="","",$F51-$G51)</f>
      </c>
    </row>
    <row r="52" spans="2:8" x14ac:dyDescent="0.25">
      <c r="B52" s="22"/>
      <c r="C52" s="12"/>
      <c r="D52" s="15">
        <f>IFERROR(IF($C52="","",VLOOKUP($C52,'Menü Kartları'!$B$5:$C$154,2,FALSE)),"— tanımsız —")</f>
      </c>
      <c r="E52" s="23"/>
      <c r="F52" s="11">
        <f>IFERROR(IF(OR($C52="",$E52=""),0,$E52*VLOOKUP($C52,'Menü Kartları'!$B$5:$E$154,4,FALSE)),0)</f>
      </c>
      <c r="G52" s="11">
        <f>IFERROR(IF(OR($C52="",$E52=""),0,$E52*VLOOKUP($C52,'Menü Kartları'!$B$5:$G$154,6,FALSE)),0)</f>
      </c>
      <c r="H52" s="17">
        <f>IF($C52="","",$F52-$G52)</f>
      </c>
    </row>
    <row r="53" spans="2:8" x14ac:dyDescent="0.25">
      <c r="B53" s="20"/>
      <c r="C53" s="8"/>
      <c r="D53" s="15">
        <f>IFERROR(IF($C53="","",VLOOKUP($C53,'Menü Kartları'!$B$5:$C$154,2,FALSE)),"— tanımsız —")</f>
      </c>
      <c r="E53" s="21"/>
      <c r="F53" s="11">
        <f>IFERROR(IF(OR($C53="",$E53=""),0,$E53*VLOOKUP($C53,'Menü Kartları'!$B$5:$E$154,4,FALSE)),0)</f>
      </c>
      <c r="G53" s="11">
        <f>IFERROR(IF(OR($C53="",$E53=""),0,$E53*VLOOKUP($C53,'Menü Kartları'!$B$5:$G$154,6,FALSE)),0)</f>
      </c>
      <c r="H53" s="17">
        <f>IF($C53="","",$F53-$G53)</f>
      </c>
    </row>
    <row r="54" spans="2:8" x14ac:dyDescent="0.25">
      <c r="B54" s="22"/>
      <c r="C54" s="12"/>
      <c r="D54" s="15">
        <f>IFERROR(IF($C54="","",VLOOKUP($C54,'Menü Kartları'!$B$5:$C$154,2,FALSE)),"— tanımsız —")</f>
      </c>
      <c r="E54" s="23"/>
      <c r="F54" s="11">
        <f>IFERROR(IF(OR($C54="",$E54=""),0,$E54*VLOOKUP($C54,'Menü Kartları'!$B$5:$E$154,4,FALSE)),0)</f>
      </c>
      <c r="G54" s="11">
        <f>IFERROR(IF(OR($C54="",$E54=""),0,$E54*VLOOKUP($C54,'Menü Kartları'!$B$5:$G$154,6,FALSE)),0)</f>
      </c>
      <c r="H54" s="17">
        <f>IF($C54="","",$F54-$G54)</f>
      </c>
    </row>
    <row r="55" spans="2:8" x14ac:dyDescent="0.25">
      <c r="B55" s="20"/>
      <c r="C55" s="8"/>
      <c r="D55" s="15">
        <f>IFERROR(IF($C55="","",VLOOKUP($C55,'Menü Kartları'!$B$5:$C$154,2,FALSE)),"— tanımsız —")</f>
      </c>
      <c r="E55" s="21"/>
      <c r="F55" s="11">
        <f>IFERROR(IF(OR($C55="",$E55=""),0,$E55*VLOOKUP($C55,'Menü Kartları'!$B$5:$E$154,4,FALSE)),0)</f>
      </c>
      <c r="G55" s="11">
        <f>IFERROR(IF(OR($C55="",$E55=""),0,$E55*VLOOKUP($C55,'Menü Kartları'!$B$5:$G$154,6,FALSE)),0)</f>
      </c>
      <c r="H55" s="17">
        <f>IF($C55="","",$F55-$G55)</f>
      </c>
    </row>
    <row r="56" spans="2:8" x14ac:dyDescent="0.25">
      <c r="B56" s="22"/>
      <c r="C56" s="12"/>
      <c r="D56" s="15">
        <f>IFERROR(IF($C56="","",VLOOKUP($C56,'Menü Kartları'!$B$5:$C$154,2,FALSE)),"— tanımsız —")</f>
      </c>
      <c r="E56" s="23"/>
      <c r="F56" s="11">
        <f>IFERROR(IF(OR($C56="",$E56=""),0,$E56*VLOOKUP($C56,'Menü Kartları'!$B$5:$E$154,4,FALSE)),0)</f>
      </c>
      <c r="G56" s="11">
        <f>IFERROR(IF(OR($C56="",$E56=""),0,$E56*VLOOKUP($C56,'Menü Kartları'!$B$5:$G$154,6,FALSE)),0)</f>
      </c>
      <c r="H56" s="17">
        <f>IF($C56="","",$F56-$G56)</f>
      </c>
    </row>
    <row r="57" spans="2:8" x14ac:dyDescent="0.25">
      <c r="B57" s="20"/>
      <c r="C57" s="8"/>
      <c r="D57" s="15">
        <f>IFERROR(IF($C57="","",VLOOKUP($C57,'Menü Kartları'!$B$5:$C$154,2,FALSE)),"— tanımsız —")</f>
      </c>
      <c r="E57" s="21"/>
      <c r="F57" s="11">
        <f>IFERROR(IF(OR($C57="",$E57=""),0,$E57*VLOOKUP($C57,'Menü Kartları'!$B$5:$E$154,4,FALSE)),0)</f>
      </c>
      <c r="G57" s="11">
        <f>IFERROR(IF(OR($C57="",$E57=""),0,$E57*VLOOKUP($C57,'Menü Kartları'!$B$5:$G$154,6,FALSE)),0)</f>
      </c>
      <c r="H57" s="17">
        <f>IF($C57="","",$F57-$G57)</f>
      </c>
    </row>
    <row r="58" spans="2:8" x14ac:dyDescent="0.25">
      <c r="B58" s="22"/>
      <c r="C58" s="12"/>
      <c r="D58" s="15">
        <f>IFERROR(IF($C58="","",VLOOKUP($C58,'Menü Kartları'!$B$5:$C$154,2,FALSE)),"— tanımsız —")</f>
      </c>
      <c r="E58" s="23"/>
      <c r="F58" s="11">
        <f>IFERROR(IF(OR($C58="",$E58=""),0,$E58*VLOOKUP($C58,'Menü Kartları'!$B$5:$E$154,4,FALSE)),0)</f>
      </c>
      <c r="G58" s="11">
        <f>IFERROR(IF(OR($C58="",$E58=""),0,$E58*VLOOKUP($C58,'Menü Kartları'!$B$5:$G$154,6,FALSE)),0)</f>
      </c>
      <c r="H58" s="17">
        <f>IF($C58="","",$F58-$G58)</f>
      </c>
    </row>
    <row r="59" spans="2:8" x14ac:dyDescent="0.25">
      <c r="B59" s="20"/>
      <c r="C59" s="8"/>
      <c r="D59" s="15">
        <f>IFERROR(IF($C59="","",VLOOKUP($C59,'Menü Kartları'!$B$5:$C$154,2,FALSE)),"— tanımsız —")</f>
      </c>
      <c r="E59" s="21"/>
      <c r="F59" s="11">
        <f>IFERROR(IF(OR($C59="",$E59=""),0,$E59*VLOOKUP($C59,'Menü Kartları'!$B$5:$E$154,4,FALSE)),0)</f>
      </c>
      <c r="G59" s="11">
        <f>IFERROR(IF(OR($C59="",$E59=""),0,$E59*VLOOKUP($C59,'Menü Kartları'!$B$5:$G$154,6,FALSE)),0)</f>
      </c>
      <c r="H59" s="17">
        <f>IF($C59="","",$F59-$G59)</f>
      </c>
    </row>
    <row r="60" spans="2:8" x14ac:dyDescent="0.25">
      <c r="B60" s="22"/>
      <c r="C60" s="12"/>
      <c r="D60" s="15">
        <f>IFERROR(IF($C60="","",VLOOKUP($C60,'Menü Kartları'!$B$5:$C$154,2,FALSE)),"— tanımsız —")</f>
      </c>
      <c r="E60" s="23"/>
      <c r="F60" s="11">
        <f>IFERROR(IF(OR($C60="",$E60=""),0,$E60*VLOOKUP($C60,'Menü Kartları'!$B$5:$E$154,4,FALSE)),0)</f>
      </c>
      <c r="G60" s="11">
        <f>IFERROR(IF(OR($C60="",$E60=""),0,$E60*VLOOKUP($C60,'Menü Kartları'!$B$5:$G$154,6,FALSE)),0)</f>
      </c>
      <c r="H60" s="17">
        <f>IF($C60="","",$F60-$G60)</f>
      </c>
    </row>
    <row r="61" spans="2:8" x14ac:dyDescent="0.25">
      <c r="B61" s="20"/>
      <c r="C61" s="8"/>
      <c r="D61" s="15">
        <f>IFERROR(IF($C61="","",VLOOKUP($C61,'Menü Kartları'!$B$5:$C$154,2,FALSE)),"— tanımsız —")</f>
      </c>
      <c r="E61" s="21"/>
      <c r="F61" s="11">
        <f>IFERROR(IF(OR($C61="",$E61=""),0,$E61*VLOOKUP($C61,'Menü Kartları'!$B$5:$E$154,4,FALSE)),0)</f>
      </c>
      <c r="G61" s="11">
        <f>IFERROR(IF(OR($C61="",$E61=""),0,$E61*VLOOKUP($C61,'Menü Kartları'!$B$5:$G$154,6,FALSE)),0)</f>
      </c>
      <c r="H61" s="17">
        <f>IF($C61="","",$F61-$G61)</f>
      </c>
    </row>
    <row r="62" spans="2:8" x14ac:dyDescent="0.25">
      <c r="B62" s="22"/>
      <c r="C62" s="12"/>
      <c r="D62" s="15">
        <f>IFERROR(IF($C62="","",VLOOKUP($C62,'Menü Kartları'!$B$5:$C$154,2,FALSE)),"— tanımsız —")</f>
      </c>
      <c r="E62" s="23"/>
      <c r="F62" s="11">
        <f>IFERROR(IF(OR($C62="",$E62=""),0,$E62*VLOOKUP($C62,'Menü Kartları'!$B$5:$E$154,4,FALSE)),0)</f>
      </c>
      <c r="G62" s="11">
        <f>IFERROR(IF(OR($C62="",$E62=""),0,$E62*VLOOKUP($C62,'Menü Kartları'!$B$5:$G$154,6,FALSE)),0)</f>
      </c>
      <c r="H62" s="17">
        <f>IF($C62="","",$F62-$G62)</f>
      </c>
    </row>
    <row r="63" spans="2:8" x14ac:dyDescent="0.25">
      <c r="B63" s="20"/>
      <c r="C63" s="8"/>
      <c r="D63" s="15">
        <f>IFERROR(IF($C63="","",VLOOKUP($C63,'Menü Kartları'!$B$5:$C$154,2,FALSE)),"— tanımsız —")</f>
      </c>
      <c r="E63" s="21"/>
      <c r="F63" s="11">
        <f>IFERROR(IF(OR($C63="",$E63=""),0,$E63*VLOOKUP($C63,'Menü Kartları'!$B$5:$E$154,4,FALSE)),0)</f>
      </c>
      <c r="G63" s="11">
        <f>IFERROR(IF(OR($C63="",$E63=""),0,$E63*VLOOKUP($C63,'Menü Kartları'!$B$5:$G$154,6,FALSE)),0)</f>
      </c>
      <c r="H63" s="17">
        <f>IF($C63="","",$F63-$G63)</f>
      </c>
    </row>
    <row r="64" spans="2:8" x14ac:dyDescent="0.25">
      <c r="B64" s="22"/>
      <c r="C64" s="12"/>
      <c r="D64" s="15">
        <f>IFERROR(IF($C64="","",VLOOKUP($C64,'Menü Kartları'!$B$5:$C$154,2,FALSE)),"— tanımsız —")</f>
      </c>
      <c r="E64" s="23"/>
      <c r="F64" s="11">
        <f>IFERROR(IF(OR($C64="",$E64=""),0,$E64*VLOOKUP($C64,'Menü Kartları'!$B$5:$E$154,4,FALSE)),0)</f>
      </c>
      <c r="G64" s="11">
        <f>IFERROR(IF(OR($C64="",$E64=""),0,$E64*VLOOKUP($C64,'Menü Kartları'!$B$5:$G$154,6,FALSE)),0)</f>
      </c>
      <c r="H64" s="17">
        <f>IF($C64="","",$F64-$G64)</f>
      </c>
    </row>
    <row r="65" spans="2:8" x14ac:dyDescent="0.25">
      <c r="B65" s="20"/>
      <c r="C65" s="8"/>
      <c r="D65" s="15">
        <f>IFERROR(IF($C65="","",VLOOKUP($C65,'Menü Kartları'!$B$5:$C$154,2,FALSE)),"— tanımsız —")</f>
      </c>
      <c r="E65" s="21"/>
      <c r="F65" s="11">
        <f>IFERROR(IF(OR($C65="",$E65=""),0,$E65*VLOOKUP($C65,'Menü Kartları'!$B$5:$E$154,4,FALSE)),0)</f>
      </c>
      <c r="G65" s="11">
        <f>IFERROR(IF(OR($C65="",$E65=""),0,$E65*VLOOKUP($C65,'Menü Kartları'!$B$5:$G$154,6,FALSE)),0)</f>
      </c>
      <c r="H65" s="17">
        <f>IF($C65="","",$F65-$G65)</f>
      </c>
    </row>
    <row r="66" spans="2:8" x14ac:dyDescent="0.25">
      <c r="B66" s="22"/>
      <c r="C66" s="12"/>
      <c r="D66" s="15">
        <f>IFERROR(IF($C66="","",VLOOKUP($C66,'Menü Kartları'!$B$5:$C$154,2,FALSE)),"— tanımsız —")</f>
      </c>
      <c r="E66" s="23"/>
      <c r="F66" s="11">
        <f>IFERROR(IF(OR($C66="",$E66=""),0,$E66*VLOOKUP($C66,'Menü Kartları'!$B$5:$E$154,4,FALSE)),0)</f>
      </c>
      <c r="G66" s="11">
        <f>IFERROR(IF(OR($C66="",$E66=""),0,$E66*VLOOKUP($C66,'Menü Kartları'!$B$5:$G$154,6,FALSE)),0)</f>
      </c>
      <c r="H66" s="17">
        <f>IF($C66="","",$F66-$G66)</f>
      </c>
    </row>
    <row r="67" spans="2:8" x14ac:dyDescent="0.25">
      <c r="B67" s="20"/>
      <c r="C67" s="8"/>
      <c r="D67" s="15">
        <f>IFERROR(IF($C67="","",VLOOKUP($C67,'Menü Kartları'!$B$5:$C$154,2,FALSE)),"— tanımsız —")</f>
      </c>
      <c r="E67" s="21"/>
      <c r="F67" s="11">
        <f>IFERROR(IF(OR($C67="",$E67=""),0,$E67*VLOOKUP($C67,'Menü Kartları'!$B$5:$E$154,4,FALSE)),0)</f>
      </c>
      <c r="G67" s="11">
        <f>IFERROR(IF(OR($C67="",$E67=""),0,$E67*VLOOKUP($C67,'Menü Kartları'!$B$5:$G$154,6,FALSE)),0)</f>
      </c>
      <c r="H67" s="17">
        <f>IF($C67="","",$F67-$G67)</f>
      </c>
    </row>
    <row r="68" spans="2:8" x14ac:dyDescent="0.25">
      <c r="B68" s="22"/>
      <c r="C68" s="12"/>
      <c r="D68" s="15">
        <f>IFERROR(IF($C68="","",VLOOKUP($C68,'Menü Kartları'!$B$5:$C$154,2,FALSE)),"— tanımsız —")</f>
      </c>
      <c r="E68" s="23"/>
      <c r="F68" s="11">
        <f>IFERROR(IF(OR($C68="",$E68=""),0,$E68*VLOOKUP($C68,'Menü Kartları'!$B$5:$E$154,4,FALSE)),0)</f>
      </c>
      <c r="G68" s="11">
        <f>IFERROR(IF(OR($C68="",$E68=""),0,$E68*VLOOKUP($C68,'Menü Kartları'!$B$5:$G$154,6,FALSE)),0)</f>
      </c>
      <c r="H68" s="17">
        <f>IF($C68="","",$F68-$G68)</f>
      </c>
    </row>
    <row r="69" spans="2:8" x14ac:dyDescent="0.25">
      <c r="B69" s="20"/>
      <c r="C69" s="8"/>
      <c r="D69" s="15">
        <f>IFERROR(IF($C69="","",VLOOKUP($C69,'Menü Kartları'!$B$5:$C$154,2,FALSE)),"— tanımsız —")</f>
      </c>
      <c r="E69" s="21"/>
      <c r="F69" s="11">
        <f>IFERROR(IF(OR($C69="",$E69=""),0,$E69*VLOOKUP($C69,'Menü Kartları'!$B$5:$E$154,4,FALSE)),0)</f>
      </c>
      <c r="G69" s="11">
        <f>IFERROR(IF(OR($C69="",$E69=""),0,$E69*VLOOKUP($C69,'Menü Kartları'!$B$5:$G$154,6,FALSE)),0)</f>
      </c>
      <c r="H69" s="17">
        <f>IF($C69="","",$F69-$G69)</f>
      </c>
    </row>
    <row r="70" spans="2:8" x14ac:dyDescent="0.25">
      <c r="B70" s="22"/>
      <c r="C70" s="12"/>
      <c r="D70" s="15">
        <f>IFERROR(IF($C70="","",VLOOKUP($C70,'Menü Kartları'!$B$5:$C$154,2,FALSE)),"— tanımsız —")</f>
      </c>
      <c r="E70" s="23"/>
      <c r="F70" s="11">
        <f>IFERROR(IF(OR($C70="",$E70=""),0,$E70*VLOOKUP($C70,'Menü Kartları'!$B$5:$E$154,4,FALSE)),0)</f>
      </c>
      <c r="G70" s="11">
        <f>IFERROR(IF(OR($C70="",$E70=""),0,$E70*VLOOKUP($C70,'Menü Kartları'!$B$5:$G$154,6,FALSE)),0)</f>
      </c>
      <c r="H70" s="17">
        <f>IF($C70="","",$F70-$G70)</f>
      </c>
    </row>
    <row r="71" spans="2:8" x14ac:dyDescent="0.25">
      <c r="B71" s="20"/>
      <c r="C71" s="8"/>
      <c r="D71" s="15">
        <f>IFERROR(IF($C71="","",VLOOKUP($C71,'Menü Kartları'!$B$5:$C$154,2,FALSE)),"— tanımsız —")</f>
      </c>
      <c r="E71" s="21"/>
      <c r="F71" s="11">
        <f>IFERROR(IF(OR($C71="",$E71=""),0,$E71*VLOOKUP($C71,'Menü Kartları'!$B$5:$E$154,4,FALSE)),0)</f>
      </c>
      <c r="G71" s="11">
        <f>IFERROR(IF(OR($C71="",$E71=""),0,$E71*VLOOKUP($C71,'Menü Kartları'!$B$5:$G$154,6,FALSE)),0)</f>
      </c>
      <c r="H71" s="17">
        <f>IF($C71="","",$F71-$G71)</f>
      </c>
    </row>
    <row r="72" spans="2:8" x14ac:dyDescent="0.25">
      <c r="B72" s="22"/>
      <c r="C72" s="12"/>
      <c r="D72" s="15">
        <f>IFERROR(IF($C72="","",VLOOKUP($C72,'Menü Kartları'!$B$5:$C$154,2,FALSE)),"— tanımsız —")</f>
      </c>
      <c r="E72" s="23"/>
      <c r="F72" s="11">
        <f>IFERROR(IF(OR($C72="",$E72=""),0,$E72*VLOOKUP($C72,'Menü Kartları'!$B$5:$E$154,4,FALSE)),0)</f>
      </c>
      <c r="G72" s="11">
        <f>IFERROR(IF(OR($C72="",$E72=""),0,$E72*VLOOKUP($C72,'Menü Kartları'!$B$5:$G$154,6,FALSE)),0)</f>
      </c>
      <c r="H72" s="17">
        <f>IF($C72="","",$F72-$G72)</f>
      </c>
    </row>
    <row r="73" spans="2:8" x14ac:dyDescent="0.25">
      <c r="B73" s="20"/>
      <c r="C73" s="8"/>
      <c r="D73" s="15">
        <f>IFERROR(IF($C73="","",VLOOKUP($C73,'Menü Kartları'!$B$5:$C$154,2,FALSE)),"— tanımsız —")</f>
      </c>
      <c r="E73" s="21"/>
      <c r="F73" s="11">
        <f>IFERROR(IF(OR($C73="",$E73=""),0,$E73*VLOOKUP($C73,'Menü Kartları'!$B$5:$E$154,4,FALSE)),0)</f>
      </c>
      <c r="G73" s="11">
        <f>IFERROR(IF(OR($C73="",$E73=""),0,$E73*VLOOKUP($C73,'Menü Kartları'!$B$5:$G$154,6,FALSE)),0)</f>
      </c>
      <c r="H73" s="17">
        <f>IF($C73="","",$F73-$G73)</f>
      </c>
    </row>
    <row r="74" spans="2:8" x14ac:dyDescent="0.25">
      <c r="B74" s="22"/>
      <c r="C74" s="12"/>
      <c r="D74" s="15">
        <f>IFERROR(IF($C74="","",VLOOKUP($C74,'Menü Kartları'!$B$5:$C$154,2,FALSE)),"— tanımsız —")</f>
      </c>
      <c r="E74" s="23"/>
      <c r="F74" s="11">
        <f>IFERROR(IF(OR($C74="",$E74=""),0,$E74*VLOOKUP($C74,'Menü Kartları'!$B$5:$E$154,4,FALSE)),0)</f>
      </c>
      <c r="G74" s="11">
        <f>IFERROR(IF(OR($C74="",$E74=""),0,$E74*VLOOKUP($C74,'Menü Kartları'!$B$5:$G$154,6,FALSE)),0)</f>
      </c>
      <c r="H74" s="17">
        <f>IF($C74="","",$F74-$G74)</f>
      </c>
    </row>
    <row r="75" spans="2:8" x14ac:dyDescent="0.25">
      <c r="B75" s="20"/>
      <c r="C75" s="8"/>
      <c r="D75" s="15">
        <f>IFERROR(IF($C75="","",VLOOKUP($C75,'Menü Kartları'!$B$5:$C$154,2,FALSE)),"— tanımsız —")</f>
      </c>
      <c r="E75" s="21"/>
      <c r="F75" s="11">
        <f>IFERROR(IF(OR($C75="",$E75=""),0,$E75*VLOOKUP($C75,'Menü Kartları'!$B$5:$E$154,4,FALSE)),0)</f>
      </c>
      <c r="G75" s="11">
        <f>IFERROR(IF(OR($C75="",$E75=""),0,$E75*VLOOKUP($C75,'Menü Kartları'!$B$5:$G$154,6,FALSE)),0)</f>
      </c>
      <c r="H75" s="17">
        <f>IF($C75="","",$F75-$G75)</f>
      </c>
    </row>
    <row r="76" spans="2:8" x14ac:dyDescent="0.25">
      <c r="B76" s="22"/>
      <c r="C76" s="12"/>
      <c r="D76" s="15">
        <f>IFERROR(IF($C76="","",VLOOKUP($C76,'Menü Kartları'!$B$5:$C$154,2,FALSE)),"— tanımsız —")</f>
      </c>
      <c r="E76" s="23"/>
      <c r="F76" s="11">
        <f>IFERROR(IF(OR($C76="",$E76=""),0,$E76*VLOOKUP($C76,'Menü Kartları'!$B$5:$E$154,4,FALSE)),0)</f>
      </c>
      <c r="G76" s="11">
        <f>IFERROR(IF(OR($C76="",$E76=""),0,$E76*VLOOKUP($C76,'Menü Kartları'!$B$5:$G$154,6,FALSE)),0)</f>
      </c>
      <c r="H76" s="17">
        <f>IF($C76="","",$F76-$G76)</f>
      </c>
    </row>
    <row r="77" spans="2:8" x14ac:dyDescent="0.25">
      <c r="B77" s="20"/>
      <c r="C77" s="8"/>
      <c r="D77" s="15">
        <f>IFERROR(IF($C77="","",VLOOKUP($C77,'Menü Kartları'!$B$5:$C$154,2,FALSE)),"— tanımsız —")</f>
      </c>
      <c r="E77" s="21"/>
      <c r="F77" s="11">
        <f>IFERROR(IF(OR($C77="",$E77=""),0,$E77*VLOOKUP($C77,'Menü Kartları'!$B$5:$E$154,4,FALSE)),0)</f>
      </c>
      <c r="G77" s="11">
        <f>IFERROR(IF(OR($C77="",$E77=""),0,$E77*VLOOKUP($C77,'Menü Kartları'!$B$5:$G$154,6,FALSE)),0)</f>
      </c>
      <c r="H77" s="17">
        <f>IF($C77="","",$F77-$G77)</f>
      </c>
    </row>
    <row r="78" spans="2:8" x14ac:dyDescent="0.25">
      <c r="B78" s="22"/>
      <c r="C78" s="12"/>
      <c r="D78" s="15">
        <f>IFERROR(IF($C78="","",VLOOKUP($C78,'Menü Kartları'!$B$5:$C$154,2,FALSE)),"— tanımsız —")</f>
      </c>
      <c r="E78" s="23"/>
      <c r="F78" s="11">
        <f>IFERROR(IF(OR($C78="",$E78=""),0,$E78*VLOOKUP($C78,'Menü Kartları'!$B$5:$E$154,4,FALSE)),0)</f>
      </c>
      <c r="G78" s="11">
        <f>IFERROR(IF(OR($C78="",$E78=""),0,$E78*VLOOKUP($C78,'Menü Kartları'!$B$5:$G$154,6,FALSE)),0)</f>
      </c>
      <c r="H78" s="17">
        <f>IF($C78="","",$F78-$G78)</f>
      </c>
    </row>
    <row r="79" spans="2:8" x14ac:dyDescent="0.25">
      <c r="B79" s="20"/>
      <c r="C79" s="8"/>
      <c r="D79" s="15">
        <f>IFERROR(IF($C79="","",VLOOKUP($C79,'Menü Kartları'!$B$5:$C$154,2,FALSE)),"— tanımsız —")</f>
      </c>
      <c r="E79" s="21"/>
      <c r="F79" s="11">
        <f>IFERROR(IF(OR($C79="",$E79=""),0,$E79*VLOOKUP($C79,'Menü Kartları'!$B$5:$E$154,4,FALSE)),0)</f>
      </c>
      <c r="G79" s="11">
        <f>IFERROR(IF(OR($C79="",$E79=""),0,$E79*VLOOKUP($C79,'Menü Kartları'!$B$5:$G$154,6,FALSE)),0)</f>
      </c>
      <c r="H79" s="17">
        <f>IF($C79="","",$F79-$G79)</f>
      </c>
    </row>
    <row r="80" spans="2:8" x14ac:dyDescent="0.25">
      <c r="B80" s="22"/>
      <c r="C80" s="12"/>
      <c r="D80" s="15">
        <f>IFERROR(IF($C80="","",VLOOKUP($C80,'Menü Kartları'!$B$5:$C$154,2,FALSE)),"— tanımsız —")</f>
      </c>
      <c r="E80" s="23"/>
      <c r="F80" s="11">
        <f>IFERROR(IF(OR($C80="",$E80=""),0,$E80*VLOOKUP($C80,'Menü Kartları'!$B$5:$E$154,4,FALSE)),0)</f>
      </c>
      <c r="G80" s="11">
        <f>IFERROR(IF(OR($C80="",$E80=""),0,$E80*VLOOKUP($C80,'Menü Kartları'!$B$5:$G$154,6,FALSE)),0)</f>
      </c>
      <c r="H80" s="17">
        <f>IF($C80="","",$F80-$G80)</f>
      </c>
    </row>
    <row r="81" spans="2:8" x14ac:dyDescent="0.25">
      <c r="B81" s="20"/>
      <c r="C81" s="8"/>
      <c r="D81" s="15">
        <f>IFERROR(IF($C81="","",VLOOKUP($C81,'Menü Kartları'!$B$5:$C$154,2,FALSE)),"— tanımsız —")</f>
      </c>
      <c r="E81" s="21"/>
      <c r="F81" s="11">
        <f>IFERROR(IF(OR($C81="",$E81=""),0,$E81*VLOOKUP($C81,'Menü Kartları'!$B$5:$E$154,4,FALSE)),0)</f>
      </c>
      <c r="G81" s="11">
        <f>IFERROR(IF(OR($C81="",$E81=""),0,$E81*VLOOKUP($C81,'Menü Kartları'!$B$5:$G$154,6,FALSE)),0)</f>
      </c>
      <c r="H81" s="17">
        <f>IF($C81="","",$F81-$G81)</f>
      </c>
    </row>
    <row r="82" spans="2:8" x14ac:dyDescent="0.25">
      <c r="B82" s="22"/>
      <c r="C82" s="12"/>
      <c r="D82" s="15">
        <f>IFERROR(IF($C82="","",VLOOKUP($C82,'Menü Kartları'!$B$5:$C$154,2,FALSE)),"— tanımsız —")</f>
      </c>
      <c r="E82" s="23"/>
      <c r="F82" s="11">
        <f>IFERROR(IF(OR($C82="",$E82=""),0,$E82*VLOOKUP($C82,'Menü Kartları'!$B$5:$E$154,4,FALSE)),0)</f>
      </c>
      <c r="G82" s="11">
        <f>IFERROR(IF(OR($C82="",$E82=""),0,$E82*VLOOKUP($C82,'Menü Kartları'!$B$5:$G$154,6,FALSE)),0)</f>
      </c>
      <c r="H82" s="17">
        <f>IF($C82="","",$F82-$G82)</f>
      </c>
    </row>
    <row r="83" spans="2:8" x14ac:dyDescent="0.25">
      <c r="B83" s="20"/>
      <c r="C83" s="8"/>
      <c r="D83" s="15">
        <f>IFERROR(IF($C83="","",VLOOKUP($C83,'Menü Kartları'!$B$5:$C$154,2,FALSE)),"— tanımsız —")</f>
      </c>
      <c r="E83" s="21"/>
      <c r="F83" s="11">
        <f>IFERROR(IF(OR($C83="",$E83=""),0,$E83*VLOOKUP($C83,'Menü Kartları'!$B$5:$E$154,4,FALSE)),0)</f>
      </c>
      <c r="G83" s="11">
        <f>IFERROR(IF(OR($C83="",$E83=""),0,$E83*VLOOKUP($C83,'Menü Kartları'!$B$5:$G$154,6,FALSE)),0)</f>
      </c>
      <c r="H83" s="17">
        <f>IF($C83="","",$F83-$G83)</f>
      </c>
    </row>
    <row r="84" spans="2:8" x14ac:dyDescent="0.25">
      <c r="B84" s="22"/>
      <c r="C84" s="12"/>
      <c r="D84" s="15">
        <f>IFERROR(IF($C84="","",VLOOKUP($C84,'Menü Kartları'!$B$5:$C$154,2,FALSE)),"— tanımsız —")</f>
      </c>
      <c r="E84" s="23"/>
      <c r="F84" s="11">
        <f>IFERROR(IF(OR($C84="",$E84=""),0,$E84*VLOOKUP($C84,'Menü Kartları'!$B$5:$E$154,4,FALSE)),0)</f>
      </c>
      <c r="G84" s="11">
        <f>IFERROR(IF(OR($C84="",$E84=""),0,$E84*VLOOKUP($C84,'Menü Kartları'!$B$5:$G$154,6,FALSE)),0)</f>
      </c>
      <c r="H84" s="17">
        <f>IF($C84="","",$F84-$G84)</f>
      </c>
    </row>
    <row r="85" spans="2:8" x14ac:dyDescent="0.25">
      <c r="B85" s="20"/>
      <c r="C85" s="8"/>
      <c r="D85" s="15">
        <f>IFERROR(IF($C85="","",VLOOKUP($C85,'Menü Kartları'!$B$5:$C$154,2,FALSE)),"— tanımsız —")</f>
      </c>
      <c r="E85" s="21"/>
      <c r="F85" s="11">
        <f>IFERROR(IF(OR($C85="",$E85=""),0,$E85*VLOOKUP($C85,'Menü Kartları'!$B$5:$E$154,4,FALSE)),0)</f>
      </c>
      <c r="G85" s="11">
        <f>IFERROR(IF(OR($C85="",$E85=""),0,$E85*VLOOKUP($C85,'Menü Kartları'!$B$5:$G$154,6,FALSE)),0)</f>
      </c>
      <c r="H85" s="17">
        <f>IF($C85="","",$F85-$G85)</f>
      </c>
    </row>
    <row r="86" spans="2:8" x14ac:dyDescent="0.25">
      <c r="B86" s="22"/>
      <c r="C86" s="12"/>
      <c r="D86" s="15">
        <f>IFERROR(IF($C86="","",VLOOKUP($C86,'Menü Kartları'!$B$5:$C$154,2,FALSE)),"— tanımsız —")</f>
      </c>
      <c r="E86" s="23"/>
      <c r="F86" s="11">
        <f>IFERROR(IF(OR($C86="",$E86=""),0,$E86*VLOOKUP($C86,'Menü Kartları'!$B$5:$E$154,4,FALSE)),0)</f>
      </c>
      <c r="G86" s="11">
        <f>IFERROR(IF(OR($C86="",$E86=""),0,$E86*VLOOKUP($C86,'Menü Kartları'!$B$5:$G$154,6,FALSE)),0)</f>
      </c>
      <c r="H86" s="17">
        <f>IF($C86="","",$F86-$G86)</f>
      </c>
    </row>
    <row r="87" spans="2:8" x14ac:dyDescent="0.25">
      <c r="B87" s="20"/>
      <c r="C87" s="8"/>
      <c r="D87" s="15">
        <f>IFERROR(IF($C87="","",VLOOKUP($C87,'Menü Kartları'!$B$5:$C$154,2,FALSE)),"— tanımsız —")</f>
      </c>
      <c r="E87" s="21"/>
      <c r="F87" s="11">
        <f>IFERROR(IF(OR($C87="",$E87=""),0,$E87*VLOOKUP($C87,'Menü Kartları'!$B$5:$E$154,4,FALSE)),0)</f>
      </c>
      <c r="G87" s="11">
        <f>IFERROR(IF(OR($C87="",$E87=""),0,$E87*VLOOKUP($C87,'Menü Kartları'!$B$5:$G$154,6,FALSE)),0)</f>
      </c>
      <c r="H87" s="17">
        <f>IF($C87="","",$F87-$G87)</f>
      </c>
    </row>
    <row r="88" spans="2:8" x14ac:dyDescent="0.25">
      <c r="B88" s="22"/>
      <c r="C88" s="12"/>
      <c r="D88" s="15">
        <f>IFERROR(IF($C88="","",VLOOKUP($C88,'Menü Kartları'!$B$5:$C$154,2,FALSE)),"— tanımsız —")</f>
      </c>
      <c r="E88" s="23"/>
      <c r="F88" s="11">
        <f>IFERROR(IF(OR($C88="",$E88=""),0,$E88*VLOOKUP($C88,'Menü Kartları'!$B$5:$E$154,4,FALSE)),0)</f>
      </c>
      <c r="G88" s="11">
        <f>IFERROR(IF(OR($C88="",$E88=""),0,$E88*VLOOKUP($C88,'Menü Kartları'!$B$5:$G$154,6,FALSE)),0)</f>
      </c>
      <c r="H88" s="17">
        <f>IF($C88="","",$F88-$G88)</f>
      </c>
    </row>
    <row r="89" spans="2:8" x14ac:dyDescent="0.25">
      <c r="B89" s="20"/>
      <c r="C89" s="8"/>
      <c r="D89" s="15">
        <f>IFERROR(IF($C89="","",VLOOKUP($C89,'Menü Kartları'!$B$5:$C$154,2,FALSE)),"— tanımsız —")</f>
      </c>
      <c r="E89" s="21"/>
      <c r="F89" s="11">
        <f>IFERROR(IF(OR($C89="",$E89=""),0,$E89*VLOOKUP($C89,'Menü Kartları'!$B$5:$E$154,4,FALSE)),0)</f>
      </c>
      <c r="G89" s="11">
        <f>IFERROR(IF(OR($C89="",$E89=""),0,$E89*VLOOKUP($C89,'Menü Kartları'!$B$5:$G$154,6,FALSE)),0)</f>
      </c>
      <c r="H89" s="17">
        <f>IF($C89="","",$F89-$G89)</f>
      </c>
    </row>
    <row r="90" spans="2:8" x14ac:dyDescent="0.25">
      <c r="B90" s="22"/>
      <c r="C90" s="12"/>
      <c r="D90" s="15">
        <f>IFERROR(IF($C90="","",VLOOKUP($C90,'Menü Kartları'!$B$5:$C$154,2,FALSE)),"— tanımsız —")</f>
      </c>
      <c r="E90" s="23"/>
      <c r="F90" s="11">
        <f>IFERROR(IF(OR($C90="",$E90=""),0,$E90*VLOOKUP($C90,'Menü Kartları'!$B$5:$E$154,4,FALSE)),0)</f>
      </c>
      <c r="G90" s="11">
        <f>IFERROR(IF(OR($C90="",$E90=""),0,$E90*VLOOKUP($C90,'Menü Kartları'!$B$5:$G$154,6,FALSE)),0)</f>
      </c>
      <c r="H90" s="17">
        <f>IF($C90="","",$F90-$G90)</f>
      </c>
    </row>
    <row r="91" spans="2:8" x14ac:dyDescent="0.25">
      <c r="B91" s="20"/>
      <c r="C91" s="8"/>
      <c r="D91" s="15">
        <f>IFERROR(IF($C91="","",VLOOKUP($C91,'Menü Kartları'!$B$5:$C$154,2,FALSE)),"— tanımsız —")</f>
      </c>
      <c r="E91" s="21"/>
      <c r="F91" s="11">
        <f>IFERROR(IF(OR($C91="",$E91=""),0,$E91*VLOOKUP($C91,'Menü Kartları'!$B$5:$E$154,4,FALSE)),0)</f>
      </c>
      <c r="G91" s="11">
        <f>IFERROR(IF(OR($C91="",$E91=""),0,$E91*VLOOKUP($C91,'Menü Kartları'!$B$5:$G$154,6,FALSE)),0)</f>
      </c>
      <c r="H91" s="17">
        <f>IF($C91="","",$F91-$G91)</f>
      </c>
    </row>
    <row r="92" spans="2:8" x14ac:dyDescent="0.25">
      <c r="B92" s="22"/>
      <c r="C92" s="12"/>
      <c r="D92" s="15">
        <f>IFERROR(IF($C92="","",VLOOKUP($C92,'Menü Kartları'!$B$5:$C$154,2,FALSE)),"— tanımsız —")</f>
      </c>
      <c r="E92" s="23"/>
      <c r="F92" s="11">
        <f>IFERROR(IF(OR($C92="",$E92=""),0,$E92*VLOOKUP($C92,'Menü Kartları'!$B$5:$E$154,4,FALSE)),0)</f>
      </c>
      <c r="G92" s="11">
        <f>IFERROR(IF(OR($C92="",$E92=""),0,$E92*VLOOKUP($C92,'Menü Kartları'!$B$5:$G$154,6,FALSE)),0)</f>
      </c>
      <c r="H92" s="17">
        <f>IF($C92="","",$F92-$G92)</f>
      </c>
    </row>
    <row r="93" spans="2:8" x14ac:dyDescent="0.25">
      <c r="B93" s="20"/>
      <c r="C93" s="8"/>
      <c r="D93" s="15">
        <f>IFERROR(IF($C93="","",VLOOKUP($C93,'Menü Kartları'!$B$5:$C$154,2,FALSE)),"— tanımsız —")</f>
      </c>
      <c r="E93" s="21"/>
      <c r="F93" s="11">
        <f>IFERROR(IF(OR($C93="",$E93=""),0,$E93*VLOOKUP($C93,'Menü Kartları'!$B$5:$E$154,4,FALSE)),0)</f>
      </c>
      <c r="G93" s="11">
        <f>IFERROR(IF(OR($C93="",$E93=""),0,$E93*VLOOKUP($C93,'Menü Kartları'!$B$5:$G$154,6,FALSE)),0)</f>
      </c>
      <c r="H93" s="17">
        <f>IF($C93="","",$F93-$G93)</f>
      </c>
    </row>
    <row r="94" spans="2:8" x14ac:dyDescent="0.25">
      <c r="B94" s="22"/>
      <c r="C94" s="12"/>
      <c r="D94" s="15">
        <f>IFERROR(IF($C94="","",VLOOKUP($C94,'Menü Kartları'!$B$5:$C$154,2,FALSE)),"— tanımsız —")</f>
      </c>
      <c r="E94" s="23"/>
      <c r="F94" s="11">
        <f>IFERROR(IF(OR($C94="",$E94=""),0,$E94*VLOOKUP($C94,'Menü Kartları'!$B$5:$E$154,4,FALSE)),0)</f>
      </c>
      <c r="G94" s="11">
        <f>IFERROR(IF(OR($C94="",$E94=""),0,$E94*VLOOKUP($C94,'Menü Kartları'!$B$5:$G$154,6,FALSE)),0)</f>
      </c>
      <c r="H94" s="17">
        <f>IF($C94="","",$F94-$G94)</f>
      </c>
    </row>
    <row r="95" spans="2:8" x14ac:dyDescent="0.25">
      <c r="B95" s="20"/>
      <c r="C95" s="8"/>
      <c r="D95" s="15">
        <f>IFERROR(IF($C95="","",VLOOKUP($C95,'Menü Kartları'!$B$5:$C$154,2,FALSE)),"— tanımsız —")</f>
      </c>
      <c r="E95" s="21"/>
      <c r="F95" s="11">
        <f>IFERROR(IF(OR($C95="",$E95=""),0,$E95*VLOOKUP($C95,'Menü Kartları'!$B$5:$E$154,4,FALSE)),0)</f>
      </c>
      <c r="G95" s="11">
        <f>IFERROR(IF(OR($C95="",$E95=""),0,$E95*VLOOKUP($C95,'Menü Kartları'!$B$5:$G$154,6,FALSE)),0)</f>
      </c>
      <c r="H95" s="17">
        <f>IF($C95="","",$F95-$G95)</f>
      </c>
    </row>
    <row r="96" spans="2:8" x14ac:dyDescent="0.25">
      <c r="B96" s="22"/>
      <c r="C96" s="12"/>
      <c r="D96" s="15">
        <f>IFERROR(IF($C96="","",VLOOKUP($C96,'Menü Kartları'!$B$5:$C$154,2,FALSE)),"— tanımsız —")</f>
      </c>
      <c r="E96" s="23"/>
      <c r="F96" s="11">
        <f>IFERROR(IF(OR($C96="",$E96=""),0,$E96*VLOOKUP($C96,'Menü Kartları'!$B$5:$E$154,4,FALSE)),0)</f>
      </c>
      <c r="G96" s="11">
        <f>IFERROR(IF(OR($C96="",$E96=""),0,$E96*VLOOKUP($C96,'Menü Kartları'!$B$5:$G$154,6,FALSE)),0)</f>
      </c>
      <c r="H96" s="17">
        <f>IF($C96="","",$F96-$G96)</f>
      </c>
    </row>
    <row r="97" spans="2:8" x14ac:dyDescent="0.25">
      <c r="B97" s="20"/>
      <c r="C97" s="8"/>
      <c r="D97" s="15">
        <f>IFERROR(IF($C97="","",VLOOKUP($C97,'Menü Kartları'!$B$5:$C$154,2,FALSE)),"— tanımsız —")</f>
      </c>
      <c r="E97" s="21"/>
      <c r="F97" s="11">
        <f>IFERROR(IF(OR($C97="",$E97=""),0,$E97*VLOOKUP($C97,'Menü Kartları'!$B$5:$E$154,4,FALSE)),0)</f>
      </c>
      <c r="G97" s="11">
        <f>IFERROR(IF(OR($C97="",$E97=""),0,$E97*VLOOKUP($C97,'Menü Kartları'!$B$5:$G$154,6,FALSE)),0)</f>
      </c>
      <c r="H97" s="17">
        <f>IF($C97="","",$F97-$G97)</f>
      </c>
    </row>
    <row r="98" spans="2:8" x14ac:dyDescent="0.25">
      <c r="B98" s="22"/>
      <c r="C98" s="12"/>
      <c r="D98" s="15">
        <f>IFERROR(IF($C98="","",VLOOKUP($C98,'Menü Kartları'!$B$5:$C$154,2,FALSE)),"— tanımsız —")</f>
      </c>
      <c r="E98" s="23"/>
      <c r="F98" s="11">
        <f>IFERROR(IF(OR($C98="",$E98=""),0,$E98*VLOOKUP($C98,'Menü Kartları'!$B$5:$E$154,4,FALSE)),0)</f>
      </c>
      <c r="G98" s="11">
        <f>IFERROR(IF(OR($C98="",$E98=""),0,$E98*VLOOKUP($C98,'Menü Kartları'!$B$5:$G$154,6,FALSE)),0)</f>
      </c>
      <c r="H98" s="17">
        <f>IF($C98="","",$F98-$G98)</f>
      </c>
    </row>
    <row r="99" spans="2:8" x14ac:dyDescent="0.25">
      <c r="B99" s="20"/>
      <c r="C99" s="8"/>
      <c r="D99" s="15">
        <f>IFERROR(IF($C99="","",VLOOKUP($C99,'Menü Kartları'!$B$5:$C$154,2,FALSE)),"— tanımsız —")</f>
      </c>
      <c r="E99" s="21"/>
      <c r="F99" s="11">
        <f>IFERROR(IF(OR($C99="",$E99=""),0,$E99*VLOOKUP($C99,'Menü Kartları'!$B$5:$E$154,4,FALSE)),0)</f>
      </c>
      <c r="G99" s="11">
        <f>IFERROR(IF(OR($C99="",$E99=""),0,$E99*VLOOKUP($C99,'Menü Kartları'!$B$5:$G$154,6,FALSE)),0)</f>
      </c>
      <c r="H99" s="17">
        <f>IF($C99="","",$F99-$G99)</f>
      </c>
    </row>
    <row r="100" spans="2:8" x14ac:dyDescent="0.25">
      <c r="B100" s="22"/>
      <c r="C100" s="12"/>
      <c r="D100" s="15">
        <f>IFERROR(IF($C100="","",VLOOKUP($C100,'Menü Kartları'!$B$5:$C$154,2,FALSE)),"— tanımsız —")</f>
      </c>
      <c r="E100" s="23"/>
      <c r="F100" s="11">
        <f>IFERROR(IF(OR($C100="",$E100=""),0,$E100*VLOOKUP($C100,'Menü Kartları'!$B$5:$E$154,4,FALSE)),0)</f>
      </c>
      <c r="G100" s="11">
        <f>IFERROR(IF(OR($C100="",$E100=""),0,$E100*VLOOKUP($C100,'Menü Kartları'!$B$5:$G$154,6,FALSE)),0)</f>
      </c>
      <c r="H100" s="17">
        <f>IF($C100="","",$F100-$G100)</f>
      </c>
    </row>
    <row r="101" spans="2:8" x14ac:dyDescent="0.25">
      <c r="B101" s="20"/>
      <c r="C101" s="8"/>
      <c r="D101" s="15">
        <f>IFERROR(IF($C101="","",VLOOKUP($C101,'Menü Kartları'!$B$5:$C$154,2,FALSE)),"— tanımsız —")</f>
      </c>
      <c r="E101" s="21"/>
      <c r="F101" s="11">
        <f>IFERROR(IF(OR($C101="",$E101=""),0,$E101*VLOOKUP($C101,'Menü Kartları'!$B$5:$E$154,4,FALSE)),0)</f>
      </c>
      <c r="G101" s="11">
        <f>IFERROR(IF(OR($C101="",$E101=""),0,$E101*VLOOKUP($C101,'Menü Kartları'!$B$5:$G$154,6,FALSE)),0)</f>
      </c>
      <c r="H101" s="17">
        <f>IF($C101="","",$F101-$G101)</f>
      </c>
    </row>
    <row r="102" spans="2:8" x14ac:dyDescent="0.25">
      <c r="B102" s="22"/>
      <c r="C102" s="12"/>
      <c r="D102" s="15">
        <f>IFERROR(IF($C102="","",VLOOKUP($C102,'Menü Kartları'!$B$5:$C$154,2,FALSE)),"— tanımsız —")</f>
      </c>
      <c r="E102" s="23"/>
      <c r="F102" s="11">
        <f>IFERROR(IF(OR($C102="",$E102=""),0,$E102*VLOOKUP($C102,'Menü Kartları'!$B$5:$E$154,4,FALSE)),0)</f>
      </c>
      <c r="G102" s="11">
        <f>IFERROR(IF(OR($C102="",$E102=""),0,$E102*VLOOKUP($C102,'Menü Kartları'!$B$5:$G$154,6,FALSE)),0)</f>
      </c>
      <c r="H102" s="17">
        <f>IF($C102="","",$F102-$G102)</f>
      </c>
    </row>
    <row r="103" spans="2:8" x14ac:dyDescent="0.25">
      <c r="B103" s="20"/>
      <c r="C103" s="8"/>
      <c r="D103" s="15">
        <f>IFERROR(IF($C103="","",VLOOKUP($C103,'Menü Kartları'!$B$5:$C$154,2,FALSE)),"— tanımsız —")</f>
      </c>
      <c r="E103" s="21"/>
      <c r="F103" s="11">
        <f>IFERROR(IF(OR($C103="",$E103=""),0,$E103*VLOOKUP($C103,'Menü Kartları'!$B$5:$E$154,4,FALSE)),0)</f>
      </c>
      <c r="G103" s="11">
        <f>IFERROR(IF(OR($C103="",$E103=""),0,$E103*VLOOKUP($C103,'Menü Kartları'!$B$5:$G$154,6,FALSE)),0)</f>
      </c>
      <c r="H103" s="17">
        <f>IF($C103="","",$F103-$G103)</f>
      </c>
    </row>
    <row r="104" spans="2:8" x14ac:dyDescent="0.25">
      <c r="B104" s="22"/>
      <c r="C104" s="12"/>
      <c r="D104" s="15">
        <f>IFERROR(IF($C104="","",VLOOKUP($C104,'Menü Kartları'!$B$5:$C$154,2,FALSE)),"— tanımsız —")</f>
      </c>
      <c r="E104" s="23"/>
      <c r="F104" s="11">
        <f>IFERROR(IF(OR($C104="",$E104=""),0,$E104*VLOOKUP($C104,'Menü Kartları'!$B$5:$E$154,4,FALSE)),0)</f>
      </c>
      <c r="G104" s="11">
        <f>IFERROR(IF(OR($C104="",$E104=""),0,$E104*VLOOKUP($C104,'Menü Kartları'!$B$5:$G$154,6,FALSE)),0)</f>
      </c>
      <c r="H104" s="17">
        <f>IF($C104="","",$F104-$G104)</f>
      </c>
    </row>
    <row r="105" spans="2:8" x14ac:dyDescent="0.25">
      <c r="B105" s="20"/>
      <c r="C105" s="8"/>
      <c r="D105" s="15">
        <f>IFERROR(IF($C105="","",VLOOKUP($C105,'Menü Kartları'!$B$5:$C$154,2,FALSE)),"— tanımsız —")</f>
      </c>
      <c r="E105" s="21"/>
      <c r="F105" s="11">
        <f>IFERROR(IF(OR($C105="",$E105=""),0,$E105*VLOOKUP($C105,'Menü Kartları'!$B$5:$E$154,4,FALSE)),0)</f>
      </c>
      <c r="G105" s="11">
        <f>IFERROR(IF(OR($C105="",$E105=""),0,$E105*VLOOKUP($C105,'Menü Kartları'!$B$5:$G$154,6,FALSE)),0)</f>
      </c>
      <c r="H105" s="17">
        <f>IF($C105="","",$F105-$G105)</f>
      </c>
    </row>
    <row r="106" spans="2:8" x14ac:dyDescent="0.25">
      <c r="B106" s="22"/>
      <c r="C106" s="12"/>
      <c r="D106" s="15">
        <f>IFERROR(IF($C106="","",VLOOKUP($C106,'Menü Kartları'!$B$5:$C$154,2,FALSE)),"— tanımsız —")</f>
      </c>
      <c r="E106" s="23"/>
      <c r="F106" s="11">
        <f>IFERROR(IF(OR($C106="",$E106=""),0,$E106*VLOOKUP($C106,'Menü Kartları'!$B$5:$E$154,4,FALSE)),0)</f>
      </c>
      <c r="G106" s="11">
        <f>IFERROR(IF(OR($C106="",$E106=""),0,$E106*VLOOKUP($C106,'Menü Kartları'!$B$5:$G$154,6,FALSE)),0)</f>
      </c>
      <c r="H106" s="17">
        <f>IF($C106="","",$F106-$G106)</f>
      </c>
    </row>
    <row r="107" spans="2:8" x14ac:dyDescent="0.25">
      <c r="B107" s="20"/>
      <c r="C107" s="8"/>
      <c r="D107" s="15">
        <f>IFERROR(IF($C107="","",VLOOKUP($C107,'Menü Kartları'!$B$5:$C$154,2,FALSE)),"— tanımsız —")</f>
      </c>
      <c r="E107" s="21"/>
      <c r="F107" s="11">
        <f>IFERROR(IF(OR($C107="",$E107=""),0,$E107*VLOOKUP($C107,'Menü Kartları'!$B$5:$E$154,4,FALSE)),0)</f>
      </c>
      <c r="G107" s="11">
        <f>IFERROR(IF(OR($C107="",$E107=""),0,$E107*VLOOKUP($C107,'Menü Kartları'!$B$5:$G$154,6,FALSE)),0)</f>
      </c>
      <c r="H107" s="17">
        <f>IF($C107="","",$F107-$G107)</f>
      </c>
    </row>
    <row r="108" spans="2:8" x14ac:dyDescent="0.25">
      <c r="B108" s="22"/>
      <c r="C108" s="12"/>
      <c r="D108" s="15">
        <f>IFERROR(IF($C108="","",VLOOKUP($C108,'Menü Kartları'!$B$5:$C$154,2,FALSE)),"— tanımsız —")</f>
      </c>
      <c r="E108" s="23"/>
      <c r="F108" s="11">
        <f>IFERROR(IF(OR($C108="",$E108=""),0,$E108*VLOOKUP($C108,'Menü Kartları'!$B$5:$E$154,4,FALSE)),0)</f>
      </c>
      <c r="G108" s="11">
        <f>IFERROR(IF(OR($C108="",$E108=""),0,$E108*VLOOKUP($C108,'Menü Kartları'!$B$5:$G$154,6,FALSE)),0)</f>
      </c>
      <c r="H108" s="17">
        <f>IF($C108="","",$F108-$G108)</f>
      </c>
    </row>
    <row r="109" spans="2:8" x14ac:dyDescent="0.25">
      <c r="B109" s="20"/>
      <c r="C109" s="8"/>
      <c r="D109" s="15">
        <f>IFERROR(IF($C109="","",VLOOKUP($C109,'Menü Kartları'!$B$5:$C$154,2,FALSE)),"— tanımsız —")</f>
      </c>
      <c r="E109" s="21"/>
      <c r="F109" s="11">
        <f>IFERROR(IF(OR($C109="",$E109=""),0,$E109*VLOOKUP($C109,'Menü Kartları'!$B$5:$E$154,4,FALSE)),0)</f>
      </c>
      <c r="G109" s="11">
        <f>IFERROR(IF(OR($C109="",$E109=""),0,$E109*VLOOKUP($C109,'Menü Kartları'!$B$5:$G$154,6,FALSE)),0)</f>
      </c>
      <c r="H109" s="17">
        <f>IF($C109="","",$F109-$G109)</f>
      </c>
    </row>
    <row r="110" spans="2:8" x14ac:dyDescent="0.25">
      <c r="B110" s="22"/>
      <c r="C110" s="12"/>
      <c r="D110" s="15">
        <f>IFERROR(IF($C110="","",VLOOKUP($C110,'Menü Kartları'!$B$5:$C$154,2,FALSE)),"— tanımsız —")</f>
      </c>
      <c r="E110" s="23"/>
      <c r="F110" s="11">
        <f>IFERROR(IF(OR($C110="",$E110=""),0,$E110*VLOOKUP($C110,'Menü Kartları'!$B$5:$E$154,4,FALSE)),0)</f>
      </c>
      <c r="G110" s="11">
        <f>IFERROR(IF(OR($C110="",$E110=""),0,$E110*VLOOKUP($C110,'Menü Kartları'!$B$5:$G$154,6,FALSE)),0)</f>
      </c>
      <c r="H110" s="17">
        <f>IF($C110="","",$F110-$G110)</f>
      </c>
    </row>
    <row r="111" spans="2:8" x14ac:dyDescent="0.25">
      <c r="B111" s="20"/>
      <c r="C111" s="8"/>
      <c r="D111" s="15">
        <f>IFERROR(IF($C111="","",VLOOKUP($C111,'Menü Kartları'!$B$5:$C$154,2,FALSE)),"— tanımsız —")</f>
      </c>
      <c r="E111" s="21"/>
      <c r="F111" s="11">
        <f>IFERROR(IF(OR($C111="",$E111=""),0,$E111*VLOOKUP($C111,'Menü Kartları'!$B$5:$E$154,4,FALSE)),0)</f>
      </c>
      <c r="G111" s="11">
        <f>IFERROR(IF(OR($C111="",$E111=""),0,$E111*VLOOKUP($C111,'Menü Kartları'!$B$5:$G$154,6,FALSE)),0)</f>
      </c>
      <c r="H111" s="17">
        <f>IF($C111="","",$F111-$G111)</f>
      </c>
    </row>
    <row r="112" spans="2:8" x14ac:dyDescent="0.25">
      <c r="B112" s="22"/>
      <c r="C112" s="12"/>
      <c r="D112" s="15">
        <f>IFERROR(IF($C112="","",VLOOKUP($C112,'Menü Kartları'!$B$5:$C$154,2,FALSE)),"— tanımsız —")</f>
      </c>
      <c r="E112" s="23"/>
      <c r="F112" s="11">
        <f>IFERROR(IF(OR($C112="",$E112=""),0,$E112*VLOOKUP($C112,'Menü Kartları'!$B$5:$E$154,4,FALSE)),0)</f>
      </c>
      <c r="G112" s="11">
        <f>IFERROR(IF(OR($C112="",$E112=""),0,$E112*VLOOKUP($C112,'Menü Kartları'!$B$5:$G$154,6,FALSE)),0)</f>
      </c>
      <c r="H112" s="17">
        <f>IF($C112="","",$F112-$G112)</f>
      </c>
    </row>
    <row r="113" spans="2:8" x14ac:dyDescent="0.25">
      <c r="B113" s="20"/>
      <c r="C113" s="8"/>
      <c r="D113" s="15">
        <f>IFERROR(IF($C113="","",VLOOKUP($C113,'Menü Kartları'!$B$5:$C$154,2,FALSE)),"— tanımsız —")</f>
      </c>
      <c r="E113" s="21"/>
      <c r="F113" s="11">
        <f>IFERROR(IF(OR($C113="",$E113=""),0,$E113*VLOOKUP($C113,'Menü Kartları'!$B$5:$E$154,4,FALSE)),0)</f>
      </c>
      <c r="G113" s="11">
        <f>IFERROR(IF(OR($C113="",$E113=""),0,$E113*VLOOKUP($C113,'Menü Kartları'!$B$5:$G$154,6,FALSE)),0)</f>
      </c>
      <c r="H113" s="17">
        <f>IF($C113="","",$F113-$G113)</f>
      </c>
    </row>
    <row r="114" spans="2:8" x14ac:dyDescent="0.25">
      <c r="B114" s="22"/>
      <c r="C114" s="12"/>
      <c r="D114" s="15">
        <f>IFERROR(IF($C114="","",VLOOKUP($C114,'Menü Kartları'!$B$5:$C$154,2,FALSE)),"— tanımsız —")</f>
      </c>
      <c r="E114" s="23"/>
      <c r="F114" s="11">
        <f>IFERROR(IF(OR($C114="",$E114=""),0,$E114*VLOOKUP($C114,'Menü Kartları'!$B$5:$E$154,4,FALSE)),0)</f>
      </c>
      <c r="G114" s="11">
        <f>IFERROR(IF(OR($C114="",$E114=""),0,$E114*VLOOKUP($C114,'Menü Kartları'!$B$5:$G$154,6,FALSE)),0)</f>
      </c>
      <c r="H114" s="17">
        <f>IF($C114="","",$F114-$G114)</f>
      </c>
    </row>
    <row r="115" spans="2:8" x14ac:dyDescent="0.25">
      <c r="B115" s="20"/>
      <c r="C115" s="8"/>
      <c r="D115" s="15">
        <f>IFERROR(IF($C115="","",VLOOKUP($C115,'Menü Kartları'!$B$5:$C$154,2,FALSE)),"— tanımsız —")</f>
      </c>
      <c r="E115" s="21"/>
      <c r="F115" s="11">
        <f>IFERROR(IF(OR($C115="",$E115=""),0,$E115*VLOOKUP($C115,'Menü Kartları'!$B$5:$E$154,4,FALSE)),0)</f>
      </c>
      <c r="G115" s="11">
        <f>IFERROR(IF(OR($C115="",$E115=""),0,$E115*VLOOKUP($C115,'Menü Kartları'!$B$5:$G$154,6,FALSE)),0)</f>
      </c>
      <c r="H115" s="17">
        <f>IF($C115="","",$F115-$G115)</f>
      </c>
    </row>
    <row r="116" spans="2:8" x14ac:dyDescent="0.25">
      <c r="B116" s="22"/>
      <c r="C116" s="12"/>
      <c r="D116" s="15">
        <f>IFERROR(IF($C116="","",VLOOKUP($C116,'Menü Kartları'!$B$5:$C$154,2,FALSE)),"— tanımsız —")</f>
      </c>
      <c r="E116" s="23"/>
      <c r="F116" s="11">
        <f>IFERROR(IF(OR($C116="",$E116=""),0,$E116*VLOOKUP($C116,'Menü Kartları'!$B$5:$E$154,4,FALSE)),0)</f>
      </c>
      <c r="G116" s="11">
        <f>IFERROR(IF(OR($C116="",$E116=""),0,$E116*VLOOKUP($C116,'Menü Kartları'!$B$5:$G$154,6,FALSE)),0)</f>
      </c>
      <c r="H116" s="17">
        <f>IF($C116="","",$F116-$G116)</f>
      </c>
    </row>
    <row r="117" spans="2:8" x14ac:dyDescent="0.25">
      <c r="B117" s="20"/>
      <c r="C117" s="8"/>
      <c r="D117" s="15">
        <f>IFERROR(IF($C117="","",VLOOKUP($C117,'Menü Kartları'!$B$5:$C$154,2,FALSE)),"— tanımsız —")</f>
      </c>
      <c r="E117" s="21"/>
      <c r="F117" s="11">
        <f>IFERROR(IF(OR($C117="",$E117=""),0,$E117*VLOOKUP($C117,'Menü Kartları'!$B$5:$E$154,4,FALSE)),0)</f>
      </c>
      <c r="G117" s="11">
        <f>IFERROR(IF(OR($C117="",$E117=""),0,$E117*VLOOKUP($C117,'Menü Kartları'!$B$5:$G$154,6,FALSE)),0)</f>
      </c>
      <c r="H117" s="17">
        <f>IF($C117="","",$F117-$G117)</f>
      </c>
    </row>
    <row r="118" spans="2:8" x14ac:dyDescent="0.25">
      <c r="B118" s="22"/>
      <c r="C118" s="12"/>
      <c r="D118" s="15">
        <f>IFERROR(IF($C118="","",VLOOKUP($C118,'Menü Kartları'!$B$5:$C$154,2,FALSE)),"— tanımsız —")</f>
      </c>
      <c r="E118" s="23"/>
      <c r="F118" s="11">
        <f>IFERROR(IF(OR($C118="",$E118=""),0,$E118*VLOOKUP($C118,'Menü Kartları'!$B$5:$E$154,4,FALSE)),0)</f>
      </c>
      <c r="G118" s="11">
        <f>IFERROR(IF(OR($C118="",$E118=""),0,$E118*VLOOKUP($C118,'Menü Kartları'!$B$5:$G$154,6,FALSE)),0)</f>
      </c>
      <c r="H118" s="17">
        <f>IF($C118="","",$F118-$G118)</f>
      </c>
    </row>
    <row r="119" spans="2:8" x14ac:dyDescent="0.25">
      <c r="B119" s="20"/>
      <c r="C119" s="8"/>
      <c r="D119" s="15">
        <f>IFERROR(IF($C119="","",VLOOKUP($C119,'Menü Kartları'!$B$5:$C$154,2,FALSE)),"— tanımsız —")</f>
      </c>
      <c r="E119" s="21"/>
      <c r="F119" s="11">
        <f>IFERROR(IF(OR($C119="",$E119=""),0,$E119*VLOOKUP($C119,'Menü Kartları'!$B$5:$E$154,4,FALSE)),0)</f>
      </c>
      <c r="G119" s="11">
        <f>IFERROR(IF(OR($C119="",$E119=""),0,$E119*VLOOKUP($C119,'Menü Kartları'!$B$5:$G$154,6,FALSE)),0)</f>
      </c>
      <c r="H119" s="17">
        <f>IF($C119="","",$F119-$G119)</f>
      </c>
    </row>
    <row r="120" spans="2:8" x14ac:dyDescent="0.25">
      <c r="B120" s="22"/>
      <c r="C120" s="12"/>
      <c r="D120" s="15">
        <f>IFERROR(IF($C120="","",VLOOKUP($C120,'Menü Kartları'!$B$5:$C$154,2,FALSE)),"— tanımsız —")</f>
      </c>
      <c r="E120" s="23"/>
      <c r="F120" s="11">
        <f>IFERROR(IF(OR($C120="",$E120=""),0,$E120*VLOOKUP($C120,'Menü Kartları'!$B$5:$E$154,4,FALSE)),0)</f>
      </c>
      <c r="G120" s="11">
        <f>IFERROR(IF(OR($C120="",$E120=""),0,$E120*VLOOKUP($C120,'Menü Kartları'!$B$5:$G$154,6,FALSE)),0)</f>
      </c>
      <c r="H120" s="17">
        <f>IF($C120="","",$F120-$G120)</f>
      </c>
    </row>
    <row r="121" spans="2:8" x14ac:dyDescent="0.25">
      <c r="B121" s="20"/>
      <c r="C121" s="8"/>
      <c r="D121" s="15">
        <f>IFERROR(IF($C121="","",VLOOKUP($C121,'Menü Kartları'!$B$5:$C$154,2,FALSE)),"— tanımsız —")</f>
      </c>
      <c r="E121" s="21"/>
      <c r="F121" s="11">
        <f>IFERROR(IF(OR($C121="",$E121=""),0,$E121*VLOOKUP($C121,'Menü Kartları'!$B$5:$E$154,4,FALSE)),0)</f>
      </c>
      <c r="G121" s="11">
        <f>IFERROR(IF(OR($C121="",$E121=""),0,$E121*VLOOKUP($C121,'Menü Kartları'!$B$5:$G$154,6,FALSE)),0)</f>
      </c>
      <c r="H121" s="17">
        <f>IF($C121="","",$F121-$G121)</f>
      </c>
    </row>
    <row r="122" spans="2:8" x14ac:dyDescent="0.25">
      <c r="B122" s="22"/>
      <c r="C122" s="12"/>
      <c r="D122" s="15">
        <f>IFERROR(IF($C122="","",VLOOKUP($C122,'Menü Kartları'!$B$5:$C$154,2,FALSE)),"— tanımsız —")</f>
      </c>
      <c r="E122" s="23"/>
      <c r="F122" s="11">
        <f>IFERROR(IF(OR($C122="",$E122=""),0,$E122*VLOOKUP($C122,'Menü Kartları'!$B$5:$E$154,4,FALSE)),0)</f>
      </c>
      <c r="G122" s="11">
        <f>IFERROR(IF(OR($C122="",$E122=""),0,$E122*VLOOKUP($C122,'Menü Kartları'!$B$5:$G$154,6,FALSE)),0)</f>
      </c>
      <c r="H122" s="17">
        <f>IF($C122="","",$F122-$G122)</f>
      </c>
    </row>
    <row r="123" spans="2:8" x14ac:dyDescent="0.25">
      <c r="B123" s="20"/>
      <c r="C123" s="8"/>
      <c r="D123" s="15">
        <f>IFERROR(IF($C123="","",VLOOKUP($C123,'Menü Kartları'!$B$5:$C$154,2,FALSE)),"— tanımsız —")</f>
      </c>
      <c r="E123" s="21"/>
      <c r="F123" s="11">
        <f>IFERROR(IF(OR($C123="",$E123=""),0,$E123*VLOOKUP($C123,'Menü Kartları'!$B$5:$E$154,4,FALSE)),0)</f>
      </c>
      <c r="G123" s="11">
        <f>IFERROR(IF(OR($C123="",$E123=""),0,$E123*VLOOKUP($C123,'Menü Kartları'!$B$5:$G$154,6,FALSE)),0)</f>
      </c>
      <c r="H123" s="17">
        <f>IF($C123="","",$F123-$G123)</f>
      </c>
    </row>
    <row r="124" spans="2:8" x14ac:dyDescent="0.25">
      <c r="B124" s="22"/>
      <c r="C124" s="12"/>
      <c r="D124" s="15">
        <f>IFERROR(IF($C124="","",VLOOKUP($C124,'Menü Kartları'!$B$5:$C$154,2,FALSE)),"— tanımsız —")</f>
      </c>
      <c r="E124" s="23"/>
      <c r="F124" s="11">
        <f>IFERROR(IF(OR($C124="",$E124=""),0,$E124*VLOOKUP($C124,'Menü Kartları'!$B$5:$E$154,4,FALSE)),0)</f>
      </c>
      <c r="G124" s="11">
        <f>IFERROR(IF(OR($C124="",$E124=""),0,$E124*VLOOKUP($C124,'Menü Kartları'!$B$5:$G$154,6,FALSE)),0)</f>
      </c>
      <c r="H124" s="17">
        <f>IF($C124="","",$F124-$G124)</f>
      </c>
    </row>
    <row r="125" spans="2:8" x14ac:dyDescent="0.25">
      <c r="B125" s="20"/>
      <c r="C125" s="8"/>
      <c r="D125" s="15">
        <f>IFERROR(IF($C125="","",VLOOKUP($C125,'Menü Kartları'!$B$5:$C$154,2,FALSE)),"— tanımsız —")</f>
      </c>
      <c r="E125" s="21"/>
      <c r="F125" s="11">
        <f>IFERROR(IF(OR($C125="",$E125=""),0,$E125*VLOOKUP($C125,'Menü Kartları'!$B$5:$E$154,4,FALSE)),0)</f>
      </c>
      <c r="G125" s="11">
        <f>IFERROR(IF(OR($C125="",$E125=""),0,$E125*VLOOKUP($C125,'Menü Kartları'!$B$5:$G$154,6,FALSE)),0)</f>
      </c>
      <c r="H125" s="17">
        <f>IF($C125="","",$F125-$G125)</f>
      </c>
    </row>
    <row r="126" spans="2:8" x14ac:dyDescent="0.25">
      <c r="B126" s="22"/>
      <c r="C126" s="12"/>
      <c r="D126" s="15">
        <f>IFERROR(IF($C126="","",VLOOKUP($C126,'Menü Kartları'!$B$5:$C$154,2,FALSE)),"— tanımsız —")</f>
      </c>
      <c r="E126" s="23"/>
      <c r="F126" s="11">
        <f>IFERROR(IF(OR($C126="",$E126=""),0,$E126*VLOOKUP($C126,'Menü Kartları'!$B$5:$E$154,4,FALSE)),0)</f>
      </c>
      <c r="G126" s="11">
        <f>IFERROR(IF(OR($C126="",$E126=""),0,$E126*VLOOKUP($C126,'Menü Kartları'!$B$5:$G$154,6,FALSE)),0)</f>
      </c>
      <c r="H126" s="17">
        <f>IF($C126="","",$F126-$G126)</f>
      </c>
    </row>
    <row r="127" spans="2:8" x14ac:dyDescent="0.25">
      <c r="B127" s="20"/>
      <c r="C127" s="8"/>
      <c r="D127" s="15">
        <f>IFERROR(IF($C127="","",VLOOKUP($C127,'Menü Kartları'!$B$5:$C$154,2,FALSE)),"— tanımsız —")</f>
      </c>
      <c r="E127" s="21"/>
      <c r="F127" s="11">
        <f>IFERROR(IF(OR($C127="",$E127=""),0,$E127*VLOOKUP($C127,'Menü Kartları'!$B$5:$E$154,4,FALSE)),0)</f>
      </c>
      <c r="G127" s="11">
        <f>IFERROR(IF(OR($C127="",$E127=""),0,$E127*VLOOKUP($C127,'Menü Kartları'!$B$5:$G$154,6,FALSE)),0)</f>
      </c>
      <c r="H127" s="17">
        <f>IF($C127="","",$F127-$G127)</f>
      </c>
    </row>
    <row r="128" spans="2:8" x14ac:dyDescent="0.25">
      <c r="B128" s="22"/>
      <c r="C128" s="12"/>
      <c r="D128" s="15">
        <f>IFERROR(IF($C128="","",VLOOKUP($C128,'Menü Kartları'!$B$5:$C$154,2,FALSE)),"— tanımsız —")</f>
      </c>
      <c r="E128" s="23"/>
      <c r="F128" s="11">
        <f>IFERROR(IF(OR($C128="",$E128=""),0,$E128*VLOOKUP($C128,'Menü Kartları'!$B$5:$E$154,4,FALSE)),0)</f>
      </c>
      <c r="G128" s="11">
        <f>IFERROR(IF(OR($C128="",$E128=""),0,$E128*VLOOKUP($C128,'Menü Kartları'!$B$5:$G$154,6,FALSE)),0)</f>
      </c>
      <c r="H128" s="17">
        <f>IF($C128="","",$F128-$G128)</f>
      </c>
    </row>
    <row r="129" spans="2:8" x14ac:dyDescent="0.25">
      <c r="B129" s="20"/>
      <c r="C129" s="8"/>
      <c r="D129" s="15">
        <f>IFERROR(IF($C129="","",VLOOKUP($C129,'Menü Kartları'!$B$5:$C$154,2,FALSE)),"— tanımsız —")</f>
      </c>
      <c r="E129" s="21"/>
      <c r="F129" s="11">
        <f>IFERROR(IF(OR($C129="",$E129=""),0,$E129*VLOOKUP($C129,'Menü Kartları'!$B$5:$E$154,4,FALSE)),0)</f>
      </c>
      <c r="G129" s="11">
        <f>IFERROR(IF(OR($C129="",$E129=""),0,$E129*VLOOKUP($C129,'Menü Kartları'!$B$5:$G$154,6,FALSE)),0)</f>
      </c>
      <c r="H129" s="17">
        <f>IF($C129="","",$F129-$G129)</f>
      </c>
    </row>
    <row r="130" spans="2:8" x14ac:dyDescent="0.25">
      <c r="B130" s="22"/>
      <c r="C130" s="12"/>
      <c r="D130" s="15">
        <f>IFERROR(IF($C130="","",VLOOKUP($C130,'Menü Kartları'!$B$5:$C$154,2,FALSE)),"— tanımsız —")</f>
      </c>
      <c r="E130" s="23"/>
      <c r="F130" s="11">
        <f>IFERROR(IF(OR($C130="",$E130=""),0,$E130*VLOOKUP($C130,'Menü Kartları'!$B$5:$E$154,4,FALSE)),0)</f>
      </c>
      <c r="G130" s="11">
        <f>IFERROR(IF(OR($C130="",$E130=""),0,$E130*VLOOKUP($C130,'Menü Kartları'!$B$5:$G$154,6,FALSE)),0)</f>
      </c>
      <c r="H130" s="17">
        <f>IF($C130="","",$F130-$G130)</f>
      </c>
    </row>
    <row r="131" spans="2:8" x14ac:dyDescent="0.25">
      <c r="B131" s="20"/>
      <c r="C131" s="8"/>
      <c r="D131" s="15">
        <f>IFERROR(IF($C131="","",VLOOKUP($C131,'Menü Kartları'!$B$5:$C$154,2,FALSE)),"— tanımsız —")</f>
      </c>
      <c r="E131" s="21"/>
      <c r="F131" s="11">
        <f>IFERROR(IF(OR($C131="",$E131=""),0,$E131*VLOOKUP($C131,'Menü Kartları'!$B$5:$E$154,4,FALSE)),0)</f>
      </c>
      <c r="G131" s="11">
        <f>IFERROR(IF(OR($C131="",$E131=""),0,$E131*VLOOKUP($C131,'Menü Kartları'!$B$5:$G$154,6,FALSE)),0)</f>
      </c>
      <c r="H131" s="17">
        <f>IF($C131="","",$F131-$G131)</f>
      </c>
    </row>
    <row r="132" spans="2:8" x14ac:dyDescent="0.25">
      <c r="B132" s="22"/>
      <c r="C132" s="12"/>
      <c r="D132" s="15">
        <f>IFERROR(IF($C132="","",VLOOKUP($C132,'Menü Kartları'!$B$5:$C$154,2,FALSE)),"— tanımsız —")</f>
      </c>
      <c r="E132" s="23"/>
      <c r="F132" s="11">
        <f>IFERROR(IF(OR($C132="",$E132=""),0,$E132*VLOOKUP($C132,'Menü Kartları'!$B$5:$E$154,4,FALSE)),0)</f>
      </c>
      <c r="G132" s="11">
        <f>IFERROR(IF(OR($C132="",$E132=""),0,$E132*VLOOKUP($C132,'Menü Kartları'!$B$5:$G$154,6,FALSE)),0)</f>
      </c>
      <c r="H132" s="17">
        <f>IF($C132="","",$F132-$G132)</f>
      </c>
    </row>
    <row r="133" spans="2:8" x14ac:dyDescent="0.25">
      <c r="B133" s="20"/>
      <c r="C133" s="8"/>
      <c r="D133" s="15">
        <f>IFERROR(IF($C133="","",VLOOKUP($C133,'Menü Kartları'!$B$5:$C$154,2,FALSE)),"— tanımsız —")</f>
      </c>
      <c r="E133" s="21"/>
      <c r="F133" s="11">
        <f>IFERROR(IF(OR($C133="",$E133=""),0,$E133*VLOOKUP($C133,'Menü Kartları'!$B$5:$E$154,4,FALSE)),0)</f>
      </c>
      <c r="G133" s="11">
        <f>IFERROR(IF(OR($C133="",$E133=""),0,$E133*VLOOKUP($C133,'Menü Kartları'!$B$5:$G$154,6,FALSE)),0)</f>
      </c>
      <c r="H133" s="17">
        <f>IF($C133="","",$F133-$G133)</f>
      </c>
    </row>
    <row r="134" spans="2:8" x14ac:dyDescent="0.25">
      <c r="B134" s="22"/>
      <c r="C134" s="12"/>
      <c r="D134" s="15">
        <f>IFERROR(IF($C134="","",VLOOKUP($C134,'Menü Kartları'!$B$5:$C$154,2,FALSE)),"— tanımsız —")</f>
      </c>
      <c r="E134" s="23"/>
      <c r="F134" s="11">
        <f>IFERROR(IF(OR($C134="",$E134=""),0,$E134*VLOOKUP($C134,'Menü Kartları'!$B$5:$E$154,4,FALSE)),0)</f>
      </c>
      <c r="G134" s="11">
        <f>IFERROR(IF(OR($C134="",$E134=""),0,$E134*VLOOKUP($C134,'Menü Kartları'!$B$5:$G$154,6,FALSE)),0)</f>
      </c>
      <c r="H134" s="17">
        <f>IF($C134="","",$F134-$G134)</f>
      </c>
    </row>
    <row r="135" spans="2:8" x14ac:dyDescent="0.25">
      <c r="B135" s="20"/>
      <c r="C135" s="8"/>
      <c r="D135" s="15">
        <f>IFERROR(IF($C135="","",VLOOKUP($C135,'Menü Kartları'!$B$5:$C$154,2,FALSE)),"— tanımsız —")</f>
      </c>
      <c r="E135" s="21"/>
      <c r="F135" s="11">
        <f>IFERROR(IF(OR($C135="",$E135=""),0,$E135*VLOOKUP($C135,'Menü Kartları'!$B$5:$E$154,4,FALSE)),0)</f>
      </c>
      <c r="G135" s="11">
        <f>IFERROR(IF(OR($C135="",$E135=""),0,$E135*VLOOKUP($C135,'Menü Kartları'!$B$5:$G$154,6,FALSE)),0)</f>
      </c>
      <c r="H135" s="17">
        <f>IF($C135="","",$F135-$G135)</f>
      </c>
    </row>
    <row r="136" spans="2:8" x14ac:dyDescent="0.25">
      <c r="B136" s="22"/>
      <c r="C136" s="12"/>
      <c r="D136" s="15">
        <f>IFERROR(IF($C136="","",VLOOKUP($C136,'Menü Kartları'!$B$5:$C$154,2,FALSE)),"— tanımsız —")</f>
      </c>
      <c r="E136" s="23"/>
      <c r="F136" s="11">
        <f>IFERROR(IF(OR($C136="",$E136=""),0,$E136*VLOOKUP($C136,'Menü Kartları'!$B$5:$E$154,4,FALSE)),0)</f>
      </c>
      <c r="G136" s="11">
        <f>IFERROR(IF(OR($C136="",$E136=""),0,$E136*VLOOKUP($C136,'Menü Kartları'!$B$5:$G$154,6,FALSE)),0)</f>
      </c>
      <c r="H136" s="17">
        <f>IF($C136="","",$F136-$G136)</f>
      </c>
    </row>
    <row r="137" spans="2:8" x14ac:dyDescent="0.25">
      <c r="B137" s="20"/>
      <c r="C137" s="8"/>
      <c r="D137" s="15">
        <f>IFERROR(IF($C137="","",VLOOKUP($C137,'Menü Kartları'!$B$5:$C$154,2,FALSE)),"— tanımsız —")</f>
      </c>
      <c r="E137" s="21"/>
      <c r="F137" s="11">
        <f>IFERROR(IF(OR($C137="",$E137=""),0,$E137*VLOOKUP($C137,'Menü Kartları'!$B$5:$E$154,4,FALSE)),0)</f>
      </c>
      <c r="G137" s="11">
        <f>IFERROR(IF(OR($C137="",$E137=""),0,$E137*VLOOKUP($C137,'Menü Kartları'!$B$5:$G$154,6,FALSE)),0)</f>
      </c>
      <c r="H137" s="17">
        <f>IF($C137="","",$F137-$G137)</f>
      </c>
    </row>
    <row r="138" spans="2:8" x14ac:dyDescent="0.25">
      <c r="B138" s="22"/>
      <c r="C138" s="12"/>
      <c r="D138" s="15">
        <f>IFERROR(IF($C138="","",VLOOKUP($C138,'Menü Kartları'!$B$5:$C$154,2,FALSE)),"— tanımsız —")</f>
      </c>
      <c r="E138" s="23"/>
      <c r="F138" s="11">
        <f>IFERROR(IF(OR($C138="",$E138=""),0,$E138*VLOOKUP($C138,'Menü Kartları'!$B$5:$E$154,4,FALSE)),0)</f>
      </c>
      <c r="G138" s="11">
        <f>IFERROR(IF(OR($C138="",$E138=""),0,$E138*VLOOKUP($C138,'Menü Kartları'!$B$5:$G$154,6,FALSE)),0)</f>
      </c>
      <c r="H138" s="17">
        <f>IF($C138="","",$F138-$G138)</f>
      </c>
    </row>
    <row r="139" spans="2:8" x14ac:dyDescent="0.25">
      <c r="B139" s="20"/>
      <c r="C139" s="8"/>
      <c r="D139" s="15">
        <f>IFERROR(IF($C139="","",VLOOKUP($C139,'Menü Kartları'!$B$5:$C$154,2,FALSE)),"— tanımsız —")</f>
      </c>
      <c r="E139" s="21"/>
      <c r="F139" s="11">
        <f>IFERROR(IF(OR($C139="",$E139=""),0,$E139*VLOOKUP($C139,'Menü Kartları'!$B$5:$E$154,4,FALSE)),0)</f>
      </c>
      <c r="G139" s="11">
        <f>IFERROR(IF(OR($C139="",$E139=""),0,$E139*VLOOKUP($C139,'Menü Kartları'!$B$5:$G$154,6,FALSE)),0)</f>
      </c>
      <c r="H139" s="17">
        <f>IF($C139="","",$F139-$G139)</f>
      </c>
    </row>
    <row r="140" spans="2:8" x14ac:dyDescent="0.25">
      <c r="B140" s="22"/>
      <c r="C140" s="12"/>
      <c r="D140" s="15">
        <f>IFERROR(IF($C140="","",VLOOKUP($C140,'Menü Kartları'!$B$5:$C$154,2,FALSE)),"— tanımsız —")</f>
      </c>
      <c r="E140" s="23"/>
      <c r="F140" s="11">
        <f>IFERROR(IF(OR($C140="",$E140=""),0,$E140*VLOOKUP($C140,'Menü Kartları'!$B$5:$E$154,4,FALSE)),0)</f>
      </c>
      <c r="G140" s="11">
        <f>IFERROR(IF(OR($C140="",$E140=""),0,$E140*VLOOKUP($C140,'Menü Kartları'!$B$5:$G$154,6,FALSE)),0)</f>
      </c>
      <c r="H140" s="17">
        <f>IF($C140="","",$F140-$G140)</f>
      </c>
    </row>
    <row r="141" spans="2:8" x14ac:dyDescent="0.25">
      <c r="B141" s="20"/>
      <c r="C141" s="8"/>
      <c r="D141" s="15">
        <f>IFERROR(IF($C141="","",VLOOKUP($C141,'Menü Kartları'!$B$5:$C$154,2,FALSE)),"— tanımsız —")</f>
      </c>
      <c r="E141" s="21"/>
      <c r="F141" s="11">
        <f>IFERROR(IF(OR($C141="",$E141=""),0,$E141*VLOOKUP($C141,'Menü Kartları'!$B$5:$E$154,4,FALSE)),0)</f>
      </c>
      <c r="G141" s="11">
        <f>IFERROR(IF(OR($C141="",$E141=""),0,$E141*VLOOKUP($C141,'Menü Kartları'!$B$5:$G$154,6,FALSE)),0)</f>
      </c>
      <c r="H141" s="17">
        <f>IF($C141="","",$F141-$G141)</f>
      </c>
    </row>
    <row r="142" spans="2:8" x14ac:dyDescent="0.25">
      <c r="B142" s="22"/>
      <c r="C142" s="12"/>
      <c r="D142" s="15">
        <f>IFERROR(IF($C142="","",VLOOKUP($C142,'Menü Kartları'!$B$5:$C$154,2,FALSE)),"— tanımsız —")</f>
      </c>
      <c r="E142" s="23"/>
      <c r="F142" s="11">
        <f>IFERROR(IF(OR($C142="",$E142=""),0,$E142*VLOOKUP($C142,'Menü Kartları'!$B$5:$E$154,4,FALSE)),0)</f>
      </c>
      <c r="G142" s="11">
        <f>IFERROR(IF(OR($C142="",$E142=""),0,$E142*VLOOKUP($C142,'Menü Kartları'!$B$5:$G$154,6,FALSE)),0)</f>
      </c>
      <c r="H142" s="17">
        <f>IF($C142="","",$F142-$G142)</f>
      </c>
    </row>
    <row r="143" spans="2:8" x14ac:dyDescent="0.25">
      <c r="B143" s="20"/>
      <c r="C143" s="8"/>
      <c r="D143" s="15">
        <f>IFERROR(IF($C143="","",VLOOKUP($C143,'Menü Kartları'!$B$5:$C$154,2,FALSE)),"— tanımsız —")</f>
      </c>
      <c r="E143" s="21"/>
      <c r="F143" s="11">
        <f>IFERROR(IF(OR($C143="",$E143=""),0,$E143*VLOOKUP($C143,'Menü Kartları'!$B$5:$E$154,4,FALSE)),0)</f>
      </c>
      <c r="G143" s="11">
        <f>IFERROR(IF(OR($C143="",$E143=""),0,$E143*VLOOKUP($C143,'Menü Kartları'!$B$5:$G$154,6,FALSE)),0)</f>
      </c>
      <c r="H143" s="17">
        <f>IF($C143="","",$F143-$G143)</f>
      </c>
    </row>
    <row r="144" spans="2:8" x14ac:dyDescent="0.25">
      <c r="B144" s="22"/>
      <c r="C144" s="12"/>
      <c r="D144" s="15">
        <f>IFERROR(IF($C144="","",VLOOKUP($C144,'Menü Kartları'!$B$5:$C$154,2,FALSE)),"— tanımsız —")</f>
      </c>
      <c r="E144" s="23"/>
      <c r="F144" s="11">
        <f>IFERROR(IF(OR($C144="",$E144=""),0,$E144*VLOOKUP($C144,'Menü Kartları'!$B$5:$E$154,4,FALSE)),0)</f>
      </c>
      <c r="G144" s="11">
        <f>IFERROR(IF(OR($C144="",$E144=""),0,$E144*VLOOKUP($C144,'Menü Kartları'!$B$5:$G$154,6,FALSE)),0)</f>
      </c>
      <c r="H144" s="17">
        <f>IF($C144="","",$F144-$G144)</f>
      </c>
    </row>
    <row r="145" spans="2:8" x14ac:dyDescent="0.25">
      <c r="B145" s="20"/>
      <c r="C145" s="8"/>
      <c r="D145" s="15">
        <f>IFERROR(IF($C145="","",VLOOKUP($C145,'Menü Kartları'!$B$5:$C$154,2,FALSE)),"— tanımsız —")</f>
      </c>
      <c r="E145" s="21"/>
      <c r="F145" s="11">
        <f>IFERROR(IF(OR($C145="",$E145=""),0,$E145*VLOOKUP($C145,'Menü Kartları'!$B$5:$E$154,4,FALSE)),0)</f>
      </c>
      <c r="G145" s="11">
        <f>IFERROR(IF(OR($C145="",$E145=""),0,$E145*VLOOKUP($C145,'Menü Kartları'!$B$5:$G$154,6,FALSE)),0)</f>
      </c>
      <c r="H145" s="17">
        <f>IF($C145="","",$F145-$G145)</f>
      </c>
    </row>
    <row r="146" spans="2:8" x14ac:dyDescent="0.25">
      <c r="B146" s="22"/>
      <c r="C146" s="12"/>
      <c r="D146" s="15">
        <f>IFERROR(IF($C146="","",VLOOKUP($C146,'Menü Kartları'!$B$5:$C$154,2,FALSE)),"— tanımsız —")</f>
      </c>
      <c r="E146" s="23"/>
      <c r="F146" s="11">
        <f>IFERROR(IF(OR($C146="",$E146=""),0,$E146*VLOOKUP($C146,'Menü Kartları'!$B$5:$E$154,4,FALSE)),0)</f>
      </c>
      <c r="G146" s="11">
        <f>IFERROR(IF(OR($C146="",$E146=""),0,$E146*VLOOKUP($C146,'Menü Kartları'!$B$5:$G$154,6,FALSE)),0)</f>
      </c>
      <c r="H146" s="17">
        <f>IF($C146="","",$F146-$G146)</f>
      </c>
    </row>
    <row r="147" spans="2:8" x14ac:dyDescent="0.25">
      <c r="B147" s="20"/>
      <c r="C147" s="8"/>
      <c r="D147" s="15">
        <f>IFERROR(IF($C147="","",VLOOKUP($C147,'Menü Kartları'!$B$5:$C$154,2,FALSE)),"— tanımsız —")</f>
      </c>
      <c r="E147" s="21"/>
      <c r="F147" s="11">
        <f>IFERROR(IF(OR($C147="",$E147=""),0,$E147*VLOOKUP($C147,'Menü Kartları'!$B$5:$E$154,4,FALSE)),0)</f>
      </c>
      <c r="G147" s="11">
        <f>IFERROR(IF(OR($C147="",$E147=""),0,$E147*VLOOKUP($C147,'Menü Kartları'!$B$5:$G$154,6,FALSE)),0)</f>
      </c>
      <c r="H147" s="17">
        <f>IF($C147="","",$F147-$G147)</f>
      </c>
    </row>
    <row r="148" spans="2:8" x14ac:dyDescent="0.25">
      <c r="B148" s="22"/>
      <c r="C148" s="12"/>
      <c r="D148" s="15">
        <f>IFERROR(IF($C148="","",VLOOKUP($C148,'Menü Kartları'!$B$5:$C$154,2,FALSE)),"— tanımsız —")</f>
      </c>
      <c r="E148" s="23"/>
      <c r="F148" s="11">
        <f>IFERROR(IF(OR($C148="",$E148=""),0,$E148*VLOOKUP($C148,'Menü Kartları'!$B$5:$E$154,4,FALSE)),0)</f>
      </c>
      <c r="G148" s="11">
        <f>IFERROR(IF(OR($C148="",$E148=""),0,$E148*VLOOKUP($C148,'Menü Kartları'!$B$5:$G$154,6,FALSE)),0)</f>
      </c>
      <c r="H148" s="17">
        <f>IF($C148="","",$F148-$G148)</f>
      </c>
    </row>
    <row r="149" spans="2:8" x14ac:dyDescent="0.25">
      <c r="B149" s="20"/>
      <c r="C149" s="8"/>
      <c r="D149" s="15">
        <f>IFERROR(IF($C149="","",VLOOKUP($C149,'Menü Kartları'!$B$5:$C$154,2,FALSE)),"— tanımsız —")</f>
      </c>
      <c r="E149" s="21"/>
      <c r="F149" s="11">
        <f>IFERROR(IF(OR($C149="",$E149=""),0,$E149*VLOOKUP($C149,'Menü Kartları'!$B$5:$E$154,4,FALSE)),0)</f>
      </c>
      <c r="G149" s="11">
        <f>IFERROR(IF(OR($C149="",$E149=""),0,$E149*VLOOKUP($C149,'Menü Kartları'!$B$5:$G$154,6,FALSE)),0)</f>
      </c>
      <c r="H149" s="17">
        <f>IF($C149="","",$F149-$G149)</f>
      </c>
    </row>
    <row r="150" spans="2:8" x14ac:dyDescent="0.25">
      <c r="B150" s="22"/>
      <c r="C150" s="12"/>
      <c r="D150" s="15">
        <f>IFERROR(IF($C150="","",VLOOKUP($C150,'Menü Kartları'!$B$5:$C$154,2,FALSE)),"— tanımsız —")</f>
      </c>
      <c r="E150" s="23"/>
      <c r="F150" s="11">
        <f>IFERROR(IF(OR($C150="",$E150=""),0,$E150*VLOOKUP($C150,'Menü Kartları'!$B$5:$E$154,4,FALSE)),0)</f>
      </c>
      <c r="G150" s="11">
        <f>IFERROR(IF(OR($C150="",$E150=""),0,$E150*VLOOKUP($C150,'Menü Kartları'!$B$5:$G$154,6,FALSE)),0)</f>
      </c>
      <c r="H150" s="17">
        <f>IF($C150="","",$F150-$G150)</f>
      </c>
    </row>
    <row r="151" spans="2:8" x14ac:dyDescent="0.25">
      <c r="B151" s="20"/>
      <c r="C151" s="8"/>
      <c r="D151" s="15">
        <f>IFERROR(IF($C151="","",VLOOKUP($C151,'Menü Kartları'!$B$5:$C$154,2,FALSE)),"— tanımsız —")</f>
      </c>
      <c r="E151" s="21"/>
      <c r="F151" s="11">
        <f>IFERROR(IF(OR($C151="",$E151=""),0,$E151*VLOOKUP($C151,'Menü Kartları'!$B$5:$E$154,4,FALSE)),0)</f>
      </c>
      <c r="G151" s="11">
        <f>IFERROR(IF(OR($C151="",$E151=""),0,$E151*VLOOKUP($C151,'Menü Kartları'!$B$5:$G$154,6,FALSE)),0)</f>
      </c>
      <c r="H151" s="17">
        <f>IF($C151="","",$F151-$G151)</f>
      </c>
    </row>
    <row r="152" spans="2:8" x14ac:dyDescent="0.25">
      <c r="B152" s="22"/>
      <c r="C152" s="12"/>
      <c r="D152" s="15">
        <f>IFERROR(IF($C152="","",VLOOKUP($C152,'Menü Kartları'!$B$5:$C$154,2,FALSE)),"— tanımsız —")</f>
      </c>
      <c r="E152" s="23"/>
      <c r="F152" s="11">
        <f>IFERROR(IF(OR($C152="",$E152=""),0,$E152*VLOOKUP($C152,'Menü Kartları'!$B$5:$E$154,4,FALSE)),0)</f>
      </c>
      <c r="G152" s="11">
        <f>IFERROR(IF(OR($C152="",$E152=""),0,$E152*VLOOKUP($C152,'Menü Kartları'!$B$5:$G$154,6,FALSE)),0)</f>
      </c>
      <c r="H152" s="17">
        <f>IF($C152="","",$F152-$G152)</f>
      </c>
    </row>
    <row r="153" spans="2:8" x14ac:dyDescent="0.25">
      <c r="B153" s="20"/>
      <c r="C153" s="8"/>
      <c r="D153" s="15">
        <f>IFERROR(IF($C153="","",VLOOKUP($C153,'Menü Kartları'!$B$5:$C$154,2,FALSE)),"— tanımsız —")</f>
      </c>
      <c r="E153" s="21"/>
      <c r="F153" s="11">
        <f>IFERROR(IF(OR($C153="",$E153=""),0,$E153*VLOOKUP($C153,'Menü Kartları'!$B$5:$E$154,4,FALSE)),0)</f>
      </c>
      <c r="G153" s="11">
        <f>IFERROR(IF(OR($C153="",$E153=""),0,$E153*VLOOKUP($C153,'Menü Kartları'!$B$5:$G$154,6,FALSE)),0)</f>
      </c>
      <c r="H153" s="17">
        <f>IF($C153="","",$F153-$G153)</f>
      </c>
    </row>
    <row r="154" spans="2:8" x14ac:dyDescent="0.25">
      <c r="B154" s="22"/>
      <c r="C154" s="12"/>
      <c r="D154" s="15">
        <f>IFERROR(IF($C154="","",VLOOKUP($C154,'Menü Kartları'!$B$5:$C$154,2,FALSE)),"— tanımsız —")</f>
      </c>
      <c r="E154" s="23"/>
      <c r="F154" s="11">
        <f>IFERROR(IF(OR($C154="",$E154=""),0,$E154*VLOOKUP($C154,'Menü Kartları'!$B$5:$E$154,4,FALSE)),0)</f>
      </c>
      <c r="G154" s="11">
        <f>IFERROR(IF(OR($C154="",$E154=""),0,$E154*VLOOKUP($C154,'Menü Kartları'!$B$5:$G$154,6,FALSE)),0)</f>
      </c>
      <c r="H154" s="17">
        <f>IF($C154="","",$F154-$G154)</f>
      </c>
    </row>
    <row r="155" spans="2:8" x14ac:dyDescent="0.25">
      <c r="B155" s="20"/>
      <c r="C155" s="8"/>
      <c r="D155" s="15">
        <f>IFERROR(IF($C155="","",VLOOKUP($C155,'Menü Kartları'!$B$5:$C$154,2,FALSE)),"— tanımsız —")</f>
      </c>
      <c r="E155" s="21"/>
      <c r="F155" s="11">
        <f>IFERROR(IF(OR($C155="",$E155=""),0,$E155*VLOOKUP($C155,'Menü Kartları'!$B$5:$E$154,4,FALSE)),0)</f>
      </c>
      <c r="G155" s="11">
        <f>IFERROR(IF(OR($C155="",$E155=""),0,$E155*VLOOKUP($C155,'Menü Kartları'!$B$5:$G$154,6,FALSE)),0)</f>
      </c>
      <c r="H155" s="17">
        <f>IF($C155="","",$F155-$G155)</f>
      </c>
    </row>
    <row r="156" spans="2:8" x14ac:dyDescent="0.25">
      <c r="B156" s="22"/>
      <c r="C156" s="12"/>
      <c r="D156" s="15">
        <f>IFERROR(IF($C156="","",VLOOKUP($C156,'Menü Kartları'!$B$5:$C$154,2,FALSE)),"— tanımsız —")</f>
      </c>
      <c r="E156" s="23"/>
      <c r="F156" s="11">
        <f>IFERROR(IF(OR($C156="",$E156=""),0,$E156*VLOOKUP($C156,'Menü Kartları'!$B$5:$E$154,4,FALSE)),0)</f>
      </c>
      <c r="G156" s="11">
        <f>IFERROR(IF(OR($C156="",$E156=""),0,$E156*VLOOKUP($C156,'Menü Kartları'!$B$5:$G$154,6,FALSE)),0)</f>
      </c>
      <c r="H156" s="17">
        <f>IF($C156="","",$F156-$G156)</f>
      </c>
    </row>
    <row r="157" spans="2:8" x14ac:dyDescent="0.25">
      <c r="B157" s="20"/>
      <c r="C157" s="8"/>
      <c r="D157" s="15">
        <f>IFERROR(IF($C157="","",VLOOKUP($C157,'Menü Kartları'!$B$5:$C$154,2,FALSE)),"— tanımsız —")</f>
      </c>
      <c r="E157" s="21"/>
      <c r="F157" s="11">
        <f>IFERROR(IF(OR($C157="",$E157=""),0,$E157*VLOOKUP($C157,'Menü Kartları'!$B$5:$E$154,4,FALSE)),0)</f>
      </c>
      <c r="G157" s="11">
        <f>IFERROR(IF(OR($C157="",$E157=""),0,$E157*VLOOKUP($C157,'Menü Kartları'!$B$5:$G$154,6,FALSE)),0)</f>
      </c>
      <c r="H157" s="17">
        <f>IF($C157="","",$F157-$G157)</f>
      </c>
    </row>
    <row r="158" spans="2:8" x14ac:dyDescent="0.25">
      <c r="B158" s="22"/>
      <c r="C158" s="12"/>
      <c r="D158" s="15">
        <f>IFERROR(IF($C158="","",VLOOKUP($C158,'Menü Kartları'!$B$5:$C$154,2,FALSE)),"— tanımsız —")</f>
      </c>
      <c r="E158" s="23"/>
      <c r="F158" s="11">
        <f>IFERROR(IF(OR($C158="",$E158=""),0,$E158*VLOOKUP($C158,'Menü Kartları'!$B$5:$E$154,4,FALSE)),0)</f>
      </c>
      <c r="G158" s="11">
        <f>IFERROR(IF(OR($C158="",$E158=""),0,$E158*VLOOKUP($C158,'Menü Kartları'!$B$5:$G$154,6,FALSE)),0)</f>
      </c>
      <c r="H158" s="17">
        <f>IF($C158="","",$F158-$G158)</f>
      </c>
    </row>
    <row r="159" spans="2:8" x14ac:dyDescent="0.25">
      <c r="B159" s="20"/>
      <c r="C159" s="8"/>
      <c r="D159" s="15">
        <f>IFERROR(IF($C159="","",VLOOKUP($C159,'Menü Kartları'!$B$5:$C$154,2,FALSE)),"— tanımsız —")</f>
      </c>
      <c r="E159" s="21"/>
      <c r="F159" s="11">
        <f>IFERROR(IF(OR($C159="",$E159=""),0,$E159*VLOOKUP($C159,'Menü Kartları'!$B$5:$E$154,4,FALSE)),0)</f>
      </c>
      <c r="G159" s="11">
        <f>IFERROR(IF(OR($C159="",$E159=""),0,$E159*VLOOKUP($C159,'Menü Kartları'!$B$5:$G$154,6,FALSE)),0)</f>
      </c>
      <c r="H159" s="17">
        <f>IF($C159="","",$F159-$G159)</f>
      </c>
    </row>
    <row r="160" spans="2:8" x14ac:dyDescent="0.25">
      <c r="B160" s="22"/>
      <c r="C160" s="12"/>
      <c r="D160" s="15">
        <f>IFERROR(IF($C160="","",VLOOKUP($C160,'Menü Kartları'!$B$5:$C$154,2,FALSE)),"— tanımsız —")</f>
      </c>
      <c r="E160" s="23"/>
      <c r="F160" s="11">
        <f>IFERROR(IF(OR($C160="",$E160=""),0,$E160*VLOOKUP($C160,'Menü Kartları'!$B$5:$E$154,4,FALSE)),0)</f>
      </c>
      <c r="G160" s="11">
        <f>IFERROR(IF(OR($C160="",$E160=""),0,$E160*VLOOKUP($C160,'Menü Kartları'!$B$5:$G$154,6,FALSE)),0)</f>
      </c>
      <c r="H160" s="17">
        <f>IF($C160="","",$F160-$G160)</f>
      </c>
    </row>
    <row r="161" spans="2:8" x14ac:dyDescent="0.25">
      <c r="B161" s="20"/>
      <c r="C161" s="8"/>
      <c r="D161" s="15">
        <f>IFERROR(IF($C161="","",VLOOKUP($C161,'Menü Kartları'!$B$5:$C$154,2,FALSE)),"— tanımsız —")</f>
      </c>
      <c r="E161" s="21"/>
      <c r="F161" s="11">
        <f>IFERROR(IF(OR($C161="",$E161=""),0,$E161*VLOOKUP($C161,'Menü Kartları'!$B$5:$E$154,4,FALSE)),0)</f>
      </c>
      <c r="G161" s="11">
        <f>IFERROR(IF(OR($C161="",$E161=""),0,$E161*VLOOKUP($C161,'Menü Kartları'!$B$5:$G$154,6,FALSE)),0)</f>
      </c>
      <c r="H161" s="17">
        <f>IF($C161="","",$F161-$G161)</f>
      </c>
    </row>
    <row r="162" spans="2:8" x14ac:dyDescent="0.25">
      <c r="B162" s="22"/>
      <c r="C162" s="12"/>
      <c r="D162" s="15">
        <f>IFERROR(IF($C162="","",VLOOKUP($C162,'Menü Kartları'!$B$5:$C$154,2,FALSE)),"— tanımsız —")</f>
      </c>
      <c r="E162" s="23"/>
      <c r="F162" s="11">
        <f>IFERROR(IF(OR($C162="",$E162=""),0,$E162*VLOOKUP($C162,'Menü Kartları'!$B$5:$E$154,4,FALSE)),0)</f>
      </c>
      <c r="G162" s="11">
        <f>IFERROR(IF(OR($C162="",$E162=""),0,$E162*VLOOKUP($C162,'Menü Kartları'!$B$5:$G$154,6,FALSE)),0)</f>
      </c>
      <c r="H162" s="17">
        <f>IF($C162="","",$F162-$G162)</f>
      </c>
    </row>
    <row r="163" spans="2:8" x14ac:dyDescent="0.25">
      <c r="B163" s="20"/>
      <c r="C163" s="8"/>
      <c r="D163" s="15">
        <f>IFERROR(IF($C163="","",VLOOKUP($C163,'Menü Kartları'!$B$5:$C$154,2,FALSE)),"— tanımsız —")</f>
      </c>
      <c r="E163" s="21"/>
      <c r="F163" s="11">
        <f>IFERROR(IF(OR($C163="",$E163=""),0,$E163*VLOOKUP($C163,'Menü Kartları'!$B$5:$E$154,4,FALSE)),0)</f>
      </c>
      <c r="G163" s="11">
        <f>IFERROR(IF(OR($C163="",$E163=""),0,$E163*VLOOKUP($C163,'Menü Kartları'!$B$5:$G$154,6,FALSE)),0)</f>
      </c>
      <c r="H163" s="17">
        <f>IF($C163="","",$F163-$G163)</f>
      </c>
    </row>
    <row r="164" spans="2:8" x14ac:dyDescent="0.25">
      <c r="B164" s="22"/>
      <c r="C164" s="12"/>
      <c r="D164" s="15">
        <f>IFERROR(IF($C164="","",VLOOKUP($C164,'Menü Kartları'!$B$5:$C$154,2,FALSE)),"— tanımsız —")</f>
      </c>
      <c r="E164" s="23"/>
      <c r="F164" s="11">
        <f>IFERROR(IF(OR($C164="",$E164=""),0,$E164*VLOOKUP($C164,'Menü Kartları'!$B$5:$E$154,4,FALSE)),0)</f>
      </c>
      <c r="G164" s="11">
        <f>IFERROR(IF(OR($C164="",$E164=""),0,$E164*VLOOKUP($C164,'Menü Kartları'!$B$5:$G$154,6,FALSE)),0)</f>
      </c>
      <c r="H164" s="17">
        <f>IF($C164="","",$F164-$G164)</f>
      </c>
    </row>
    <row r="165" spans="2:8" x14ac:dyDescent="0.25">
      <c r="B165" s="20"/>
      <c r="C165" s="8"/>
      <c r="D165" s="15">
        <f>IFERROR(IF($C165="","",VLOOKUP($C165,'Menü Kartları'!$B$5:$C$154,2,FALSE)),"— tanımsız —")</f>
      </c>
      <c r="E165" s="21"/>
      <c r="F165" s="11">
        <f>IFERROR(IF(OR($C165="",$E165=""),0,$E165*VLOOKUP($C165,'Menü Kartları'!$B$5:$E$154,4,FALSE)),0)</f>
      </c>
      <c r="G165" s="11">
        <f>IFERROR(IF(OR($C165="",$E165=""),0,$E165*VLOOKUP($C165,'Menü Kartları'!$B$5:$G$154,6,FALSE)),0)</f>
      </c>
      <c r="H165" s="17">
        <f>IF($C165="","",$F165-$G165)</f>
      </c>
    </row>
    <row r="166" spans="2:8" x14ac:dyDescent="0.25">
      <c r="B166" s="22"/>
      <c r="C166" s="12"/>
      <c r="D166" s="15">
        <f>IFERROR(IF($C166="","",VLOOKUP($C166,'Menü Kartları'!$B$5:$C$154,2,FALSE)),"— tanımsız —")</f>
      </c>
      <c r="E166" s="23"/>
      <c r="F166" s="11">
        <f>IFERROR(IF(OR($C166="",$E166=""),0,$E166*VLOOKUP($C166,'Menü Kartları'!$B$5:$E$154,4,FALSE)),0)</f>
      </c>
      <c r="G166" s="11">
        <f>IFERROR(IF(OR($C166="",$E166=""),0,$E166*VLOOKUP($C166,'Menü Kartları'!$B$5:$G$154,6,FALSE)),0)</f>
      </c>
      <c r="H166" s="17">
        <f>IF($C166="","",$F166-$G166)</f>
      </c>
    </row>
    <row r="167" spans="2:8" x14ac:dyDescent="0.25">
      <c r="B167" s="20"/>
      <c r="C167" s="8"/>
      <c r="D167" s="15">
        <f>IFERROR(IF($C167="","",VLOOKUP($C167,'Menü Kartları'!$B$5:$C$154,2,FALSE)),"— tanımsız —")</f>
      </c>
      <c r="E167" s="21"/>
      <c r="F167" s="11">
        <f>IFERROR(IF(OR($C167="",$E167=""),0,$E167*VLOOKUP($C167,'Menü Kartları'!$B$5:$E$154,4,FALSE)),0)</f>
      </c>
      <c r="G167" s="11">
        <f>IFERROR(IF(OR($C167="",$E167=""),0,$E167*VLOOKUP($C167,'Menü Kartları'!$B$5:$G$154,6,FALSE)),0)</f>
      </c>
      <c r="H167" s="17">
        <f>IF($C167="","",$F167-$G167)</f>
      </c>
    </row>
    <row r="168" spans="2:8" x14ac:dyDescent="0.25">
      <c r="B168" s="22"/>
      <c r="C168" s="12"/>
      <c r="D168" s="15">
        <f>IFERROR(IF($C168="","",VLOOKUP($C168,'Menü Kartları'!$B$5:$C$154,2,FALSE)),"— tanımsız —")</f>
      </c>
      <c r="E168" s="23"/>
      <c r="F168" s="11">
        <f>IFERROR(IF(OR($C168="",$E168=""),0,$E168*VLOOKUP($C168,'Menü Kartları'!$B$5:$E$154,4,FALSE)),0)</f>
      </c>
      <c r="G168" s="11">
        <f>IFERROR(IF(OR($C168="",$E168=""),0,$E168*VLOOKUP($C168,'Menü Kartları'!$B$5:$G$154,6,FALSE)),0)</f>
      </c>
      <c r="H168" s="17">
        <f>IF($C168="","",$F168-$G168)</f>
      </c>
    </row>
    <row r="169" spans="2:8" x14ac:dyDescent="0.25">
      <c r="B169" s="20"/>
      <c r="C169" s="8"/>
      <c r="D169" s="15">
        <f>IFERROR(IF($C169="","",VLOOKUP($C169,'Menü Kartları'!$B$5:$C$154,2,FALSE)),"— tanımsız —")</f>
      </c>
      <c r="E169" s="21"/>
      <c r="F169" s="11">
        <f>IFERROR(IF(OR($C169="",$E169=""),0,$E169*VLOOKUP($C169,'Menü Kartları'!$B$5:$E$154,4,FALSE)),0)</f>
      </c>
      <c r="G169" s="11">
        <f>IFERROR(IF(OR($C169="",$E169=""),0,$E169*VLOOKUP($C169,'Menü Kartları'!$B$5:$G$154,6,FALSE)),0)</f>
      </c>
      <c r="H169" s="17">
        <f>IF($C169="","",$F169-$G169)</f>
      </c>
    </row>
    <row r="170" spans="2:8" x14ac:dyDescent="0.25">
      <c r="B170" s="22"/>
      <c r="C170" s="12"/>
      <c r="D170" s="15">
        <f>IFERROR(IF($C170="","",VLOOKUP($C170,'Menü Kartları'!$B$5:$C$154,2,FALSE)),"— tanımsız —")</f>
      </c>
      <c r="E170" s="23"/>
      <c r="F170" s="11">
        <f>IFERROR(IF(OR($C170="",$E170=""),0,$E170*VLOOKUP($C170,'Menü Kartları'!$B$5:$E$154,4,FALSE)),0)</f>
      </c>
      <c r="G170" s="11">
        <f>IFERROR(IF(OR($C170="",$E170=""),0,$E170*VLOOKUP($C170,'Menü Kartları'!$B$5:$G$154,6,FALSE)),0)</f>
      </c>
      <c r="H170" s="17">
        <f>IF($C170="","",$F170-$G170)</f>
      </c>
    </row>
    <row r="171" spans="2:8" x14ac:dyDescent="0.25">
      <c r="B171" s="20"/>
      <c r="C171" s="8"/>
      <c r="D171" s="15">
        <f>IFERROR(IF($C171="","",VLOOKUP($C171,'Menü Kartları'!$B$5:$C$154,2,FALSE)),"— tanımsız —")</f>
      </c>
      <c r="E171" s="21"/>
      <c r="F171" s="11">
        <f>IFERROR(IF(OR($C171="",$E171=""),0,$E171*VLOOKUP($C171,'Menü Kartları'!$B$5:$E$154,4,FALSE)),0)</f>
      </c>
      <c r="G171" s="11">
        <f>IFERROR(IF(OR($C171="",$E171=""),0,$E171*VLOOKUP($C171,'Menü Kartları'!$B$5:$G$154,6,FALSE)),0)</f>
      </c>
      <c r="H171" s="17">
        <f>IF($C171="","",$F171-$G171)</f>
      </c>
    </row>
    <row r="172" spans="2:8" x14ac:dyDescent="0.25">
      <c r="B172" s="22"/>
      <c r="C172" s="12"/>
      <c r="D172" s="15">
        <f>IFERROR(IF($C172="","",VLOOKUP($C172,'Menü Kartları'!$B$5:$C$154,2,FALSE)),"— tanımsız —")</f>
      </c>
      <c r="E172" s="23"/>
      <c r="F172" s="11">
        <f>IFERROR(IF(OR($C172="",$E172=""),0,$E172*VLOOKUP($C172,'Menü Kartları'!$B$5:$E$154,4,FALSE)),0)</f>
      </c>
      <c r="G172" s="11">
        <f>IFERROR(IF(OR($C172="",$E172=""),0,$E172*VLOOKUP($C172,'Menü Kartları'!$B$5:$G$154,6,FALSE)),0)</f>
      </c>
      <c r="H172" s="17">
        <f>IF($C172="","",$F172-$G172)</f>
      </c>
    </row>
    <row r="173" spans="2:8" x14ac:dyDescent="0.25">
      <c r="B173" s="20"/>
      <c r="C173" s="8"/>
      <c r="D173" s="15">
        <f>IFERROR(IF($C173="","",VLOOKUP($C173,'Menü Kartları'!$B$5:$C$154,2,FALSE)),"— tanımsız —")</f>
      </c>
      <c r="E173" s="21"/>
      <c r="F173" s="11">
        <f>IFERROR(IF(OR($C173="",$E173=""),0,$E173*VLOOKUP($C173,'Menü Kartları'!$B$5:$E$154,4,FALSE)),0)</f>
      </c>
      <c r="G173" s="11">
        <f>IFERROR(IF(OR($C173="",$E173=""),0,$E173*VLOOKUP($C173,'Menü Kartları'!$B$5:$G$154,6,FALSE)),0)</f>
      </c>
      <c r="H173" s="17">
        <f>IF($C173="","",$F173-$G173)</f>
      </c>
    </row>
    <row r="174" spans="2:8" x14ac:dyDescent="0.25">
      <c r="B174" s="22"/>
      <c r="C174" s="12"/>
      <c r="D174" s="15">
        <f>IFERROR(IF($C174="","",VLOOKUP($C174,'Menü Kartları'!$B$5:$C$154,2,FALSE)),"— tanımsız —")</f>
      </c>
      <c r="E174" s="23"/>
      <c r="F174" s="11">
        <f>IFERROR(IF(OR($C174="",$E174=""),0,$E174*VLOOKUP($C174,'Menü Kartları'!$B$5:$E$154,4,FALSE)),0)</f>
      </c>
      <c r="G174" s="11">
        <f>IFERROR(IF(OR($C174="",$E174=""),0,$E174*VLOOKUP($C174,'Menü Kartları'!$B$5:$G$154,6,FALSE)),0)</f>
      </c>
      <c r="H174" s="17">
        <f>IF($C174="","",$F174-$G174)</f>
      </c>
    </row>
    <row r="175" spans="2:8" x14ac:dyDescent="0.25">
      <c r="B175" s="20"/>
      <c r="C175" s="8"/>
      <c r="D175" s="15">
        <f>IFERROR(IF($C175="","",VLOOKUP($C175,'Menü Kartları'!$B$5:$C$154,2,FALSE)),"— tanımsız —")</f>
      </c>
      <c r="E175" s="21"/>
      <c r="F175" s="11">
        <f>IFERROR(IF(OR($C175="",$E175=""),0,$E175*VLOOKUP($C175,'Menü Kartları'!$B$5:$E$154,4,FALSE)),0)</f>
      </c>
      <c r="G175" s="11">
        <f>IFERROR(IF(OR($C175="",$E175=""),0,$E175*VLOOKUP($C175,'Menü Kartları'!$B$5:$G$154,6,FALSE)),0)</f>
      </c>
      <c r="H175" s="17">
        <f>IF($C175="","",$F175-$G175)</f>
      </c>
    </row>
    <row r="176" spans="2:8" x14ac:dyDescent="0.25">
      <c r="B176" s="22"/>
      <c r="C176" s="12"/>
      <c r="D176" s="15">
        <f>IFERROR(IF($C176="","",VLOOKUP($C176,'Menü Kartları'!$B$5:$C$154,2,FALSE)),"— tanımsız —")</f>
      </c>
      <c r="E176" s="23"/>
      <c r="F176" s="11">
        <f>IFERROR(IF(OR($C176="",$E176=""),0,$E176*VLOOKUP($C176,'Menü Kartları'!$B$5:$E$154,4,FALSE)),0)</f>
      </c>
      <c r="G176" s="11">
        <f>IFERROR(IF(OR($C176="",$E176=""),0,$E176*VLOOKUP($C176,'Menü Kartları'!$B$5:$G$154,6,FALSE)),0)</f>
      </c>
      <c r="H176" s="17">
        <f>IF($C176="","",$F176-$G176)</f>
      </c>
    </row>
    <row r="177" spans="2:8" x14ac:dyDescent="0.25">
      <c r="B177" s="20"/>
      <c r="C177" s="8"/>
      <c r="D177" s="15">
        <f>IFERROR(IF($C177="","",VLOOKUP($C177,'Menü Kartları'!$B$5:$C$154,2,FALSE)),"— tanımsız —")</f>
      </c>
      <c r="E177" s="21"/>
      <c r="F177" s="11">
        <f>IFERROR(IF(OR($C177="",$E177=""),0,$E177*VLOOKUP($C177,'Menü Kartları'!$B$5:$E$154,4,FALSE)),0)</f>
      </c>
      <c r="G177" s="11">
        <f>IFERROR(IF(OR($C177="",$E177=""),0,$E177*VLOOKUP($C177,'Menü Kartları'!$B$5:$G$154,6,FALSE)),0)</f>
      </c>
      <c r="H177" s="17">
        <f>IF($C177="","",$F177-$G177)</f>
      </c>
    </row>
    <row r="178" spans="2:8" x14ac:dyDescent="0.25">
      <c r="B178" s="22"/>
      <c r="C178" s="12"/>
      <c r="D178" s="15">
        <f>IFERROR(IF($C178="","",VLOOKUP($C178,'Menü Kartları'!$B$5:$C$154,2,FALSE)),"— tanımsız —")</f>
      </c>
      <c r="E178" s="23"/>
      <c r="F178" s="11">
        <f>IFERROR(IF(OR($C178="",$E178=""),0,$E178*VLOOKUP($C178,'Menü Kartları'!$B$5:$E$154,4,FALSE)),0)</f>
      </c>
      <c r="G178" s="11">
        <f>IFERROR(IF(OR($C178="",$E178=""),0,$E178*VLOOKUP($C178,'Menü Kartları'!$B$5:$G$154,6,FALSE)),0)</f>
      </c>
      <c r="H178" s="17">
        <f>IF($C178="","",$F178-$G178)</f>
      </c>
    </row>
    <row r="179" spans="2:8" x14ac:dyDescent="0.25">
      <c r="B179" s="20"/>
      <c r="C179" s="8"/>
      <c r="D179" s="15">
        <f>IFERROR(IF($C179="","",VLOOKUP($C179,'Menü Kartları'!$B$5:$C$154,2,FALSE)),"— tanımsız —")</f>
      </c>
      <c r="E179" s="21"/>
      <c r="F179" s="11">
        <f>IFERROR(IF(OR($C179="",$E179=""),0,$E179*VLOOKUP($C179,'Menü Kartları'!$B$5:$E$154,4,FALSE)),0)</f>
      </c>
      <c r="G179" s="11">
        <f>IFERROR(IF(OR($C179="",$E179=""),0,$E179*VLOOKUP($C179,'Menü Kartları'!$B$5:$G$154,6,FALSE)),0)</f>
      </c>
      <c r="H179" s="17">
        <f>IF($C179="","",$F179-$G179)</f>
      </c>
    </row>
    <row r="180" spans="2:8" x14ac:dyDescent="0.25">
      <c r="B180" s="22"/>
      <c r="C180" s="12"/>
      <c r="D180" s="15">
        <f>IFERROR(IF($C180="","",VLOOKUP($C180,'Menü Kartları'!$B$5:$C$154,2,FALSE)),"— tanımsız —")</f>
      </c>
      <c r="E180" s="23"/>
      <c r="F180" s="11">
        <f>IFERROR(IF(OR($C180="",$E180=""),0,$E180*VLOOKUP($C180,'Menü Kartları'!$B$5:$E$154,4,FALSE)),0)</f>
      </c>
      <c r="G180" s="11">
        <f>IFERROR(IF(OR($C180="",$E180=""),0,$E180*VLOOKUP($C180,'Menü Kartları'!$B$5:$G$154,6,FALSE)),0)</f>
      </c>
      <c r="H180" s="17">
        <f>IF($C180="","",$F180-$G180)</f>
      </c>
    </row>
    <row r="181" spans="2:8" x14ac:dyDescent="0.25">
      <c r="B181" s="20"/>
      <c r="C181" s="8"/>
      <c r="D181" s="15">
        <f>IFERROR(IF($C181="","",VLOOKUP($C181,'Menü Kartları'!$B$5:$C$154,2,FALSE)),"— tanımsız —")</f>
      </c>
      <c r="E181" s="21"/>
      <c r="F181" s="11">
        <f>IFERROR(IF(OR($C181="",$E181=""),0,$E181*VLOOKUP($C181,'Menü Kartları'!$B$5:$E$154,4,FALSE)),0)</f>
      </c>
      <c r="G181" s="11">
        <f>IFERROR(IF(OR($C181="",$E181=""),0,$E181*VLOOKUP($C181,'Menü Kartları'!$B$5:$G$154,6,FALSE)),0)</f>
      </c>
      <c r="H181" s="17">
        <f>IF($C181="","",$F181-$G181)</f>
      </c>
    </row>
    <row r="182" spans="2:8" x14ac:dyDescent="0.25">
      <c r="B182" s="22"/>
      <c r="C182" s="12"/>
      <c r="D182" s="15">
        <f>IFERROR(IF($C182="","",VLOOKUP($C182,'Menü Kartları'!$B$5:$C$154,2,FALSE)),"— tanımsız —")</f>
      </c>
      <c r="E182" s="23"/>
      <c r="F182" s="11">
        <f>IFERROR(IF(OR($C182="",$E182=""),0,$E182*VLOOKUP($C182,'Menü Kartları'!$B$5:$E$154,4,FALSE)),0)</f>
      </c>
      <c r="G182" s="11">
        <f>IFERROR(IF(OR($C182="",$E182=""),0,$E182*VLOOKUP($C182,'Menü Kartları'!$B$5:$G$154,6,FALSE)),0)</f>
      </c>
      <c r="H182" s="17">
        <f>IF($C182="","",$F182-$G182)</f>
      </c>
    </row>
    <row r="183" spans="2:8" x14ac:dyDescent="0.25">
      <c r="B183" s="20"/>
      <c r="C183" s="8"/>
      <c r="D183" s="15">
        <f>IFERROR(IF($C183="","",VLOOKUP($C183,'Menü Kartları'!$B$5:$C$154,2,FALSE)),"— tanımsız —")</f>
      </c>
      <c r="E183" s="21"/>
      <c r="F183" s="11">
        <f>IFERROR(IF(OR($C183="",$E183=""),0,$E183*VLOOKUP($C183,'Menü Kartları'!$B$5:$E$154,4,FALSE)),0)</f>
      </c>
      <c r="G183" s="11">
        <f>IFERROR(IF(OR($C183="",$E183=""),0,$E183*VLOOKUP($C183,'Menü Kartları'!$B$5:$G$154,6,FALSE)),0)</f>
      </c>
      <c r="H183" s="17">
        <f>IF($C183="","",$F183-$G183)</f>
      </c>
    </row>
    <row r="184" spans="2:8" x14ac:dyDescent="0.25">
      <c r="B184" s="22"/>
      <c r="C184" s="12"/>
      <c r="D184" s="15">
        <f>IFERROR(IF($C184="","",VLOOKUP($C184,'Menü Kartları'!$B$5:$C$154,2,FALSE)),"— tanımsız —")</f>
      </c>
      <c r="E184" s="23"/>
      <c r="F184" s="11">
        <f>IFERROR(IF(OR($C184="",$E184=""),0,$E184*VLOOKUP($C184,'Menü Kartları'!$B$5:$E$154,4,FALSE)),0)</f>
      </c>
      <c r="G184" s="11">
        <f>IFERROR(IF(OR($C184="",$E184=""),0,$E184*VLOOKUP($C184,'Menü Kartları'!$B$5:$G$154,6,FALSE)),0)</f>
      </c>
      <c r="H184" s="17">
        <f>IF($C184="","",$F184-$G184)</f>
      </c>
    </row>
    <row r="185" spans="2:8" x14ac:dyDescent="0.25">
      <c r="B185" s="20"/>
      <c r="C185" s="8"/>
      <c r="D185" s="15">
        <f>IFERROR(IF($C185="","",VLOOKUP($C185,'Menü Kartları'!$B$5:$C$154,2,FALSE)),"— tanımsız —")</f>
      </c>
      <c r="E185" s="21"/>
      <c r="F185" s="11">
        <f>IFERROR(IF(OR($C185="",$E185=""),0,$E185*VLOOKUP($C185,'Menü Kartları'!$B$5:$E$154,4,FALSE)),0)</f>
      </c>
      <c r="G185" s="11">
        <f>IFERROR(IF(OR($C185="",$E185=""),0,$E185*VLOOKUP($C185,'Menü Kartları'!$B$5:$G$154,6,FALSE)),0)</f>
      </c>
      <c r="H185" s="17">
        <f>IF($C185="","",$F185-$G185)</f>
      </c>
    </row>
    <row r="186" spans="2:8" x14ac:dyDescent="0.25">
      <c r="B186" s="22"/>
      <c r="C186" s="12"/>
      <c r="D186" s="15">
        <f>IFERROR(IF($C186="","",VLOOKUP($C186,'Menü Kartları'!$B$5:$C$154,2,FALSE)),"— tanımsız —")</f>
      </c>
      <c r="E186" s="23"/>
      <c r="F186" s="11">
        <f>IFERROR(IF(OR($C186="",$E186=""),0,$E186*VLOOKUP($C186,'Menü Kartları'!$B$5:$E$154,4,FALSE)),0)</f>
      </c>
      <c r="G186" s="11">
        <f>IFERROR(IF(OR($C186="",$E186=""),0,$E186*VLOOKUP($C186,'Menü Kartları'!$B$5:$G$154,6,FALSE)),0)</f>
      </c>
      <c r="H186" s="17">
        <f>IF($C186="","",$F186-$G186)</f>
      </c>
    </row>
    <row r="187" spans="2:8" x14ac:dyDescent="0.25">
      <c r="B187" s="20"/>
      <c r="C187" s="8"/>
      <c r="D187" s="15">
        <f>IFERROR(IF($C187="","",VLOOKUP($C187,'Menü Kartları'!$B$5:$C$154,2,FALSE)),"— tanımsız —")</f>
      </c>
      <c r="E187" s="21"/>
      <c r="F187" s="11">
        <f>IFERROR(IF(OR($C187="",$E187=""),0,$E187*VLOOKUP($C187,'Menü Kartları'!$B$5:$E$154,4,FALSE)),0)</f>
      </c>
      <c r="G187" s="11">
        <f>IFERROR(IF(OR($C187="",$E187=""),0,$E187*VLOOKUP($C187,'Menü Kartları'!$B$5:$G$154,6,FALSE)),0)</f>
      </c>
      <c r="H187" s="17">
        <f>IF($C187="","",$F187-$G187)</f>
      </c>
    </row>
    <row r="188" spans="2:8" x14ac:dyDescent="0.25">
      <c r="B188" s="22"/>
      <c r="C188" s="12"/>
      <c r="D188" s="15">
        <f>IFERROR(IF($C188="","",VLOOKUP($C188,'Menü Kartları'!$B$5:$C$154,2,FALSE)),"— tanımsız —")</f>
      </c>
      <c r="E188" s="23"/>
      <c r="F188" s="11">
        <f>IFERROR(IF(OR($C188="",$E188=""),0,$E188*VLOOKUP($C188,'Menü Kartları'!$B$5:$E$154,4,FALSE)),0)</f>
      </c>
      <c r="G188" s="11">
        <f>IFERROR(IF(OR($C188="",$E188=""),0,$E188*VLOOKUP($C188,'Menü Kartları'!$B$5:$G$154,6,FALSE)),0)</f>
      </c>
      <c r="H188" s="17">
        <f>IF($C188="","",$F188-$G188)</f>
      </c>
    </row>
    <row r="189" spans="2:8" x14ac:dyDescent="0.25">
      <c r="B189" s="20"/>
      <c r="C189" s="8"/>
      <c r="D189" s="15">
        <f>IFERROR(IF($C189="","",VLOOKUP($C189,'Menü Kartları'!$B$5:$C$154,2,FALSE)),"— tanımsız —")</f>
      </c>
      <c r="E189" s="21"/>
      <c r="F189" s="11">
        <f>IFERROR(IF(OR($C189="",$E189=""),0,$E189*VLOOKUP($C189,'Menü Kartları'!$B$5:$E$154,4,FALSE)),0)</f>
      </c>
      <c r="G189" s="11">
        <f>IFERROR(IF(OR($C189="",$E189=""),0,$E189*VLOOKUP($C189,'Menü Kartları'!$B$5:$G$154,6,FALSE)),0)</f>
      </c>
      <c r="H189" s="17">
        <f>IF($C189="","",$F189-$G189)</f>
      </c>
    </row>
    <row r="190" spans="2:8" x14ac:dyDescent="0.25">
      <c r="B190" s="22"/>
      <c r="C190" s="12"/>
      <c r="D190" s="15">
        <f>IFERROR(IF($C190="","",VLOOKUP($C190,'Menü Kartları'!$B$5:$C$154,2,FALSE)),"— tanımsız —")</f>
      </c>
      <c r="E190" s="23"/>
      <c r="F190" s="11">
        <f>IFERROR(IF(OR($C190="",$E190=""),0,$E190*VLOOKUP($C190,'Menü Kartları'!$B$5:$E$154,4,FALSE)),0)</f>
      </c>
      <c r="G190" s="11">
        <f>IFERROR(IF(OR($C190="",$E190=""),0,$E190*VLOOKUP($C190,'Menü Kartları'!$B$5:$G$154,6,FALSE)),0)</f>
      </c>
      <c r="H190" s="17">
        <f>IF($C190="","",$F190-$G190)</f>
      </c>
    </row>
    <row r="191" spans="2:8" x14ac:dyDescent="0.25">
      <c r="B191" s="20"/>
      <c r="C191" s="8"/>
      <c r="D191" s="15">
        <f>IFERROR(IF($C191="","",VLOOKUP($C191,'Menü Kartları'!$B$5:$C$154,2,FALSE)),"— tanımsız —")</f>
      </c>
      <c r="E191" s="21"/>
      <c r="F191" s="11">
        <f>IFERROR(IF(OR($C191="",$E191=""),0,$E191*VLOOKUP($C191,'Menü Kartları'!$B$5:$E$154,4,FALSE)),0)</f>
      </c>
      <c r="G191" s="11">
        <f>IFERROR(IF(OR($C191="",$E191=""),0,$E191*VLOOKUP($C191,'Menü Kartları'!$B$5:$G$154,6,FALSE)),0)</f>
      </c>
      <c r="H191" s="17">
        <f>IF($C191="","",$F191-$G191)</f>
      </c>
    </row>
    <row r="192" spans="2:8" x14ac:dyDescent="0.25">
      <c r="B192" s="22"/>
      <c r="C192" s="12"/>
      <c r="D192" s="15">
        <f>IFERROR(IF($C192="","",VLOOKUP($C192,'Menü Kartları'!$B$5:$C$154,2,FALSE)),"— tanımsız —")</f>
      </c>
      <c r="E192" s="23"/>
      <c r="F192" s="11">
        <f>IFERROR(IF(OR($C192="",$E192=""),0,$E192*VLOOKUP($C192,'Menü Kartları'!$B$5:$E$154,4,FALSE)),0)</f>
      </c>
      <c r="G192" s="11">
        <f>IFERROR(IF(OR($C192="",$E192=""),0,$E192*VLOOKUP($C192,'Menü Kartları'!$B$5:$G$154,6,FALSE)),0)</f>
      </c>
      <c r="H192" s="17">
        <f>IF($C192="","",$F192-$G192)</f>
      </c>
    </row>
    <row r="193" spans="2:8" x14ac:dyDescent="0.25">
      <c r="B193" s="20"/>
      <c r="C193" s="8"/>
      <c r="D193" s="15">
        <f>IFERROR(IF($C193="","",VLOOKUP($C193,'Menü Kartları'!$B$5:$C$154,2,FALSE)),"— tanımsız —")</f>
      </c>
      <c r="E193" s="21"/>
      <c r="F193" s="11">
        <f>IFERROR(IF(OR($C193="",$E193=""),0,$E193*VLOOKUP($C193,'Menü Kartları'!$B$5:$E$154,4,FALSE)),0)</f>
      </c>
      <c r="G193" s="11">
        <f>IFERROR(IF(OR($C193="",$E193=""),0,$E193*VLOOKUP($C193,'Menü Kartları'!$B$5:$G$154,6,FALSE)),0)</f>
      </c>
      <c r="H193" s="17">
        <f>IF($C193="","",$F193-$G193)</f>
      </c>
    </row>
    <row r="194" spans="2:8" x14ac:dyDescent="0.25">
      <c r="B194" s="22"/>
      <c r="C194" s="12"/>
      <c r="D194" s="15">
        <f>IFERROR(IF($C194="","",VLOOKUP($C194,'Menü Kartları'!$B$5:$C$154,2,FALSE)),"— tanımsız —")</f>
      </c>
      <c r="E194" s="23"/>
      <c r="F194" s="11">
        <f>IFERROR(IF(OR($C194="",$E194=""),0,$E194*VLOOKUP($C194,'Menü Kartları'!$B$5:$E$154,4,FALSE)),0)</f>
      </c>
      <c r="G194" s="11">
        <f>IFERROR(IF(OR($C194="",$E194=""),0,$E194*VLOOKUP($C194,'Menü Kartları'!$B$5:$G$154,6,FALSE)),0)</f>
      </c>
      <c r="H194" s="17">
        <f>IF($C194="","",$F194-$G194)</f>
      </c>
    </row>
    <row r="195" spans="2:8" x14ac:dyDescent="0.25">
      <c r="B195" s="20"/>
      <c r="C195" s="8"/>
      <c r="D195" s="15">
        <f>IFERROR(IF($C195="","",VLOOKUP($C195,'Menü Kartları'!$B$5:$C$154,2,FALSE)),"— tanımsız —")</f>
      </c>
      <c r="E195" s="21"/>
      <c r="F195" s="11">
        <f>IFERROR(IF(OR($C195="",$E195=""),0,$E195*VLOOKUP($C195,'Menü Kartları'!$B$5:$E$154,4,FALSE)),0)</f>
      </c>
      <c r="G195" s="11">
        <f>IFERROR(IF(OR($C195="",$E195=""),0,$E195*VLOOKUP($C195,'Menü Kartları'!$B$5:$G$154,6,FALSE)),0)</f>
      </c>
      <c r="H195" s="17">
        <f>IF($C195="","",$F195-$G195)</f>
      </c>
    </row>
    <row r="196" spans="2:8" x14ac:dyDescent="0.25">
      <c r="B196" s="22"/>
      <c r="C196" s="12"/>
      <c r="D196" s="15">
        <f>IFERROR(IF($C196="","",VLOOKUP($C196,'Menü Kartları'!$B$5:$C$154,2,FALSE)),"— tanımsız —")</f>
      </c>
      <c r="E196" s="23"/>
      <c r="F196" s="11">
        <f>IFERROR(IF(OR($C196="",$E196=""),0,$E196*VLOOKUP($C196,'Menü Kartları'!$B$5:$E$154,4,FALSE)),0)</f>
      </c>
      <c r="G196" s="11">
        <f>IFERROR(IF(OR($C196="",$E196=""),0,$E196*VLOOKUP($C196,'Menü Kartları'!$B$5:$G$154,6,FALSE)),0)</f>
      </c>
      <c r="H196" s="17">
        <f>IF($C196="","",$F196-$G196)</f>
      </c>
    </row>
    <row r="197" spans="2:8" x14ac:dyDescent="0.25">
      <c r="B197" s="20"/>
      <c r="C197" s="8"/>
      <c r="D197" s="15">
        <f>IFERROR(IF($C197="","",VLOOKUP($C197,'Menü Kartları'!$B$5:$C$154,2,FALSE)),"— tanımsız —")</f>
      </c>
      <c r="E197" s="21"/>
      <c r="F197" s="11">
        <f>IFERROR(IF(OR($C197="",$E197=""),0,$E197*VLOOKUP($C197,'Menü Kartları'!$B$5:$E$154,4,FALSE)),0)</f>
      </c>
      <c r="G197" s="11">
        <f>IFERROR(IF(OR($C197="",$E197=""),0,$E197*VLOOKUP($C197,'Menü Kartları'!$B$5:$G$154,6,FALSE)),0)</f>
      </c>
      <c r="H197" s="17">
        <f>IF($C197="","",$F197-$G197)</f>
      </c>
    </row>
    <row r="198" spans="2:8" x14ac:dyDescent="0.25">
      <c r="B198" s="22"/>
      <c r="C198" s="12"/>
      <c r="D198" s="15">
        <f>IFERROR(IF($C198="","",VLOOKUP($C198,'Menü Kartları'!$B$5:$C$154,2,FALSE)),"— tanımsız —")</f>
      </c>
      <c r="E198" s="23"/>
      <c r="F198" s="11">
        <f>IFERROR(IF(OR($C198="",$E198=""),0,$E198*VLOOKUP($C198,'Menü Kartları'!$B$5:$E$154,4,FALSE)),0)</f>
      </c>
      <c r="G198" s="11">
        <f>IFERROR(IF(OR($C198="",$E198=""),0,$E198*VLOOKUP($C198,'Menü Kartları'!$B$5:$G$154,6,FALSE)),0)</f>
      </c>
      <c r="H198" s="17">
        <f>IF($C198="","",$F198-$G198)</f>
      </c>
    </row>
    <row r="199" spans="2:8" x14ac:dyDescent="0.25">
      <c r="B199" s="20"/>
      <c r="C199" s="8"/>
      <c r="D199" s="15">
        <f>IFERROR(IF($C199="","",VLOOKUP($C199,'Menü Kartları'!$B$5:$C$154,2,FALSE)),"— tanımsız —")</f>
      </c>
      <c r="E199" s="21"/>
      <c r="F199" s="11">
        <f>IFERROR(IF(OR($C199="",$E199=""),0,$E199*VLOOKUP($C199,'Menü Kartları'!$B$5:$E$154,4,FALSE)),0)</f>
      </c>
      <c r="G199" s="11">
        <f>IFERROR(IF(OR($C199="",$E199=""),0,$E199*VLOOKUP($C199,'Menü Kartları'!$B$5:$G$154,6,FALSE)),0)</f>
      </c>
      <c r="H199" s="17">
        <f>IF($C199="","",$F199-$G199)</f>
      </c>
    </row>
    <row r="200" spans="2:8" x14ac:dyDescent="0.25">
      <c r="B200" s="22"/>
      <c r="C200" s="12"/>
      <c r="D200" s="15">
        <f>IFERROR(IF($C200="","",VLOOKUP($C200,'Menü Kartları'!$B$5:$C$154,2,FALSE)),"— tanımsız —")</f>
      </c>
      <c r="E200" s="23"/>
      <c r="F200" s="11">
        <f>IFERROR(IF(OR($C200="",$E200=""),0,$E200*VLOOKUP($C200,'Menü Kartları'!$B$5:$E$154,4,FALSE)),0)</f>
      </c>
      <c r="G200" s="11">
        <f>IFERROR(IF(OR($C200="",$E200=""),0,$E200*VLOOKUP($C200,'Menü Kartları'!$B$5:$G$154,6,FALSE)),0)</f>
      </c>
      <c r="H200" s="17">
        <f>IF($C200="","",$F200-$G200)</f>
      </c>
    </row>
    <row r="201" spans="2:8" x14ac:dyDescent="0.25">
      <c r="B201" s="20"/>
      <c r="C201" s="8"/>
      <c r="D201" s="15">
        <f>IFERROR(IF($C201="","",VLOOKUP($C201,'Menü Kartları'!$B$5:$C$154,2,FALSE)),"— tanımsız —")</f>
      </c>
      <c r="E201" s="21"/>
      <c r="F201" s="11">
        <f>IFERROR(IF(OR($C201="",$E201=""),0,$E201*VLOOKUP($C201,'Menü Kartları'!$B$5:$E$154,4,FALSE)),0)</f>
      </c>
      <c r="G201" s="11">
        <f>IFERROR(IF(OR($C201="",$E201=""),0,$E201*VLOOKUP($C201,'Menü Kartları'!$B$5:$G$154,6,FALSE)),0)</f>
      </c>
      <c r="H201" s="17">
        <f>IF($C201="","",$F201-$G201)</f>
      </c>
    </row>
    <row r="202" spans="2:8" x14ac:dyDescent="0.25">
      <c r="B202" s="22"/>
      <c r="C202" s="12"/>
      <c r="D202" s="15">
        <f>IFERROR(IF($C202="","",VLOOKUP($C202,'Menü Kartları'!$B$5:$C$154,2,FALSE)),"— tanımsız —")</f>
      </c>
      <c r="E202" s="23"/>
      <c r="F202" s="11">
        <f>IFERROR(IF(OR($C202="",$E202=""),0,$E202*VLOOKUP($C202,'Menü Kartları'!$B$5:$E$154,4,FALSE)),0)</f>
      </c>
      <c r="G202" s="11">
        <f>IFERROR(IF(OR($C202="",$E202=""),0,$E202*VLOOKUP($C202,'Menü Kartları'!$B$5:$G$154,6,FALSE)),0)</f>
      </c>
      <c r="H202" s="17">
        <f>IF($C202="","",$F202-$G202)</f>
      </c>
    </row>
    <row r="203" spans="2:8" x14ac:dyDescent="0.25">
      <c r="B203" s="20"/>
      <c r="C203" s="8"/>
      <c r="D203" s="15">
        <f>IFERROR(IF($C203="","",VLOOKUP($C203,'Menü Kartları'!$B$5:$C$154,2,FALSE)),"— tanımsız —")</f>
      </c>
      <c r="E203" s="21"/>
      <c r="F203" s="11">
        <f>IFERROR(IF(OR($C203="",$E203=""),0,$E203*VLOOKUP($C203,'Menü Kartları'!$B$5:$E$154,4,FALSE)),0)</f>
      </c>
      <c r="G203" s="11">
        <f>IFERROR(IF(OR($C203="",$E203=""),0,$E203*VLOOKUP($C203,'Menü Kartları'!$B$5:$G$154,6,FALSE)),0)</f>
      </c>
      <c r="H203" s="17">
        <f>IF($C203="","",$F203-$G203)</f>
      </c>
    </row>
    <row r="204" spans="2:8" x14ac:dyDescent="0.25">
      <c r="B204" s="22"/>
      <c r="C204" s="12"/>
      <c r="D204" s="15">
        <f>IFERROR(IF($C204="","",VLOOKUP($C204,'Menü Kartları'!$B$5:$C$154,2,FALSE)),"— tanımsız —")</f>
      </c>
      <c r="E204" s="23"/>
      <c r="F204" s="11">
        <f>IFERROR(IF(OR($C204="",$E204=""),0,$E204*VLOOKUP($C204,'Menü Kartları'!$B$5:$E$154,4,FALSE)),0)</f>
      </c>
      <c r="G204" s="11">
        <f>IFERROR(IF(OR($C204="",$E204=""),0,$E204*VLOOKUP($C204,'Menü Kartları'!$B$5:$G$154,6,FALSE)),0)</f>
      </c>
      <c r="H204" s="17">
        <f>IF($C204="","",$F204-$G204)</f>
      </c>
    </row>
    <row r="205" spans="2:8" x14ac:dyDescent="0.25">
      <c r="B205" s="20"/>
      <c r="C205" s="8"/>
      <c r="D205" s="15">
        <f>IFERROR(IF($C205="","",VLOOKUP($C205,'Menü Kartları'!$B$5:$C$154,2,FALSE)),"— tanımsız —")</f>
      </c>
      <c r="E205" s="21"/>
      <c r="F205" s="11">
        <f>IFERROR(IF(OR($C205="",$E205=""),0,$E205*VLOOKUP($C205,'Menü Kartları'!$B$5:$E$154,4,FALSE)),0)</f>
      </c>
      <c r="G205" s="11">
        <f>IFERROR(IF(OR($C205="",$E205=""),0,$E205*VLOOKUP($C205,'Menü Kartları'!$B$5:$G$154,6,FALSE)),0)</f>
      </c>
      <c r="H205" s="17">
        <f>IF($C205="","",$F205-$G205)</f>
      </c>
    </row>
    <row r="206" spans="2:8" x14ac:dyDescent="0.25">
      <c r="B206" s="22"/>
      <c r="C206" s="12"/>
      <c r="D206" s="15">
        <f>IFERROR(IF($C206="","",VLOOKUP($C206,'Menü Kartları'!$B$5:$C$154,2,FALSE)),"— tanımsız —")</f>
      </c>
      <c r="E206" s="23"/>
      <c r="F206" s="11">
        <f>IFERROR(IF(OR($C206="",$E206=""),0,$E206*VLOOKUP($C206,'Menü Kartları'!$B$5:$E$154,4,FALSE)),0)</f>
      </c>
      <c r="G206" s="11">
        <f>IFERROR(IF(OR($C206="",$E206=""),0,$E206*VLOOKUP($C206,'Menü Kartları'!$B$5:$G$154,6,FALSE)),0)</f>
      </c>
      <c r="H206" s="17">
        <f>IF($C206="","",$F206-$G206)</f>
      </c>
    </row>
    <row r="207" spans="2:8" x14ac:dyDescent="0.25">
      <c r="B207" s="20"/>
      <c r="C207" s="8"/>
      <c r="D207" s="15">
        <f>IFERROR(IF($C207="","",VLOOKUP($C207,'Menü Kartları'!$B$5:$C$154,2,FALSE)),"— tanımsız —")</f>
      </c>
      <c r="E207" s="21"/>
      <c r="F207" s="11">
        <f>IFERROR(IF(OR($C207="",$E207=""),0,$E207*VLOOKUP($C207,'Menü Kartları'!$B$5:$E$154,4,FALSE)),0)</f>
      </c>
      <c r="G207" s="11">
        <f>IFERROR(IF(OR($C207="",$E207=""),0,$E207*VLOOKUP($C207,'Menü Kartları'!$B$5:$G$154,6,FALSE)),0)</f>
      </c>
      <c r="H207" s="17">
        <f>IF($C207="","",$F207-$G207)</f>
      </c>
    </row>
    <row r="208" spans="2:8" x14ac:dyDescent="0.25">
      <c r="B208" s="22"/>
      <c r="C208" s="12"/>
      <c r="D208" s="15">
        <f>IFERROR(IF($C208="","",VLOOKUP($C208,'Menü Kartları'!$B$5:$C$154,2,FALSE)),"— tanımsız —")</f>
      </c>
      <c r="E208" s="23"/>
      <c r="F208" s="11">
        <f>IFERROR(IF(OR($C208="",$E208=""),0,$E208*VLOOKUP($C208,'Menü Kartları'!$B$5:$E$154,4,FALSE)),0)</f>
      </c>
      <c r="G208" s="11">
        <f>IFERROR(IF(OR($C208="",$E208=""),0,$E208*VLOOKUP($C208,'Menü Kartları'!$B$5:$G$154,6,FALSE)),0)</f>
      </c>
      <c r="H208" s="17">
        <f>IF($C208="","",$F208-$G208)</f>
      </c>
    </row>
    <row r="209" spans="2:8" x14ac:dyDescent="0.25">
      <c r="B209" s="20"/>
      <c r="C209" s="8"/>
      <c r="D209" s="15">
        <f>IFERROR(IF($C209="","",VLOOKUP($C209,'Menü Kartları'!$B$5:$C$154,2,FALSE)),"— tanımsız —")</f>
      </c>
      <c r="E209" s="21"/>
      <c r="F209" s="11">
        <f>IFERROR(IF(OR($C209="",$E209=""),0,$E209*VLOOKUP($C209,'Menü Kartları'!$B$5:$E$154,4,FALSE)),0)</f>
      </c>
      <c r="G209" s="11">
        <f>IFERROR(IF(OR($C209="",$E209=""),0,$E209*VLOOKUP($C209,'Menü Kartları'!$B$5:$G$154,6,FALSE)),0)</f>
      </c>
      <c r="H209" s="17">
        <f>IF($C209="","",$F209-$G209)</f>
      </c>
    </row>
    <row r="210" spans="2:8" x14ac:dyDescent="0.25">
      <c r="B210" s="22"/>
      <c r="C210" s="12"/>
      <c r="D210" s="15">
        <f>IFERROR(IF($C210="","",VLOOKUP($C210,'Menü Kartları'!$B$5:$C$154,2,FALSE)),"— tanımsız —")</f>
      </c>
      <c r="E210" s="23"/>
      <c r="F210" s="11">
        <f>IFERROR(IF(OR($C210="",$E210=""),0,$E210*VLOOKUP($C210,'Menü Kartları'!$B$5:$E$154,4,FALSE)),0)</f>
      </c>
      <c r="G210" s="11">
        <f>IFERROR(IF(OR($C210="",$E210=""),0,$E210*VLOOKUP($C210,'Menü Kartları'!$B$5:$G$154,6,FALSE)),0)</f>
      </c>
      <c r="H210" s="17">
        <f>IF($C210="","",$F210-$G210)</f>
      </c>
    </row>
    <row r="211" spans="2:8" x14ac:dyDescent="0.25">
      <c r="B211" s="20"/>
      <c r="C211" s="8"/>
      <c r="D211" s="15">
        <f>IFERROR(IF($C211="","",VLOOKUP($C211,'Menü Kartları'!$B$5:$C$154,2,FALSE)),"— tanımsız —")</f>
      </c>
      <c r="E211" s="21"/>
      <c r="F211" s="11">
        <f>IFERROR(IF(OR($C211="",$E211=""),0,$E211*VLOOKUP($C211,'Menü Kartları'!$B$5:$E$154,4,FALSE)),0)</f>
      </c>
      <c r="G211" s="11">
        <f>IFERROR(IF(OR($C211="",$E211=""),0,$E211*VLOOKUP($C211,'Menü Kartları'!$B$5:$G$154,6,FALSE)),0)</f>
      </c>
      <c r="H211" s="17">
        <f>IF($C211="","",$F211-$G211)</f>
      </c>
    </row>
    <row r="212" spans="2:8" x14ac:dyDescent="0.25">
      <c r="B212" s="22"/>
      <c r="C212" s="12"/>
      <c r="D212" s="15">
        <f>IFERROR(IF($C212="","",VLOOKUP($C212,'Menü Kartları'!$B$5:$C$154,2,FALSE)),"— tanımsız —")</f>
      </c>
      <c r="E212" s="23"/>
      <c r="F212" s="11">
        <f>IFERROR(IF(OR($C212="",$E212=""),0,$E212*VLOOKUP($C212,'Menü Kartları'!$B$5:$E$154,4,FALSE)),0)</f>
      </c>
      <c r="G212" s="11">
        <f>IFERROR(IF(OR($C212="",$E212=""),0,$E212*VLOOKUP($C212,'Menü Kartları'!$B$5:$G$154,6,FALSE)),0)</f>
      </c>
      <c r="H212" s="17">
        <f>IF($C212="","",$F212-$G212)</f>
      </c>
    </row>
    <row r="213" spans="2:8" x14ac:dyDescent="0.25">
      <c r="B213" s="20"/>
      <c r="C213" s="8"/>
      <c r="D213" s="15">
        <f>IFERROR(IF($C213="","",VLOOKUP($C213,'Menü Kartları'!$B$5:$C$154,2,FALSE)),"— tanımsız —")</f>
      </c>
      <c r="E213" s="21"/>
      <c r="F213" s="11">
        <f>IFERROR(IF(OR($C213="",$E213=""),0,$E213*VLOOKUP($C213,'Menü Kartları'!$B$5:$E$154,4,FALSE)),0)</f>
      </c>
      <c r="G213" s="11">
        <f>IFERROR(IF(OR($C213="",$E213=""),0,$E213*VLOOKUP($C213,'Menü Kartları'!$B$5:$G$154,6,FALSE)),0)</f>
      </c>
      <c r="H213" s="17">
        <f>IF($C213="","",$F213-$G213)</f>
      </c>
    </row>
    <row r="214" spans="2:8" x14ac:dyDescent="0.25">
      <c r="B214" s="22"/>
      <c r="C214" s="12"/>
      <c r="D214" s="15">
        <f>IFERROR(IF($C214="","",VLOOKUP($C214,'Menü Kartları'!$B$5:$C$154,2,FALSE)),"— tanımsız —")</f>
      </c>
      <c r="E214" s="23"/>
      <c r="F214" s="11">
        <f>IFERROR(IF(OR($C214="",$E214=""),0,$E214*VLOOKUP($C214,'Menü Kartları'!$B$5:$E$154,4,FALSE)),0)</f>
      </c>
      <c r="G214" s="11">
        <f>IFERROR(IF(OR($C214="",$E214=""),0,$E214*VLOOKUP($C214,'Menü Kartları'!$B$5:$G$154,6,FALSE)),0)</f>
      </c>
      <c r="H214" s="17">
        <f>IF($C214="","",$F214-$G214)</f>
      </c>
    </row>
    <row r="215" spans="2:8" x14ac:dyDescent="0.25">
      <c r="B215" s="20"/>
      <c r="C215" s="8"/>
      <c r="D215" s="15">
        <f>IFERROR(IF($C215="","",VLOOKUP($C215,'Menü Kartları'!$B$5:$C$154,2,FALSE)),"— tanımsız —")</f>
      </c>
      <c r="E215" s="21"/>
      <c r="F215" s="11">
        <f>IFERROR(IF(OR($C215="",$E215=""),0,$E215*VLOOKUP($C215,'Menü Kartları'!$B$5:$E$154,4,FALSE)),0)</f>
      </c>
      <c r="G215" s="11">
        <f>IFERROR(IF(OR($C215="",$E215=""),0,$E215*VLOOKUP($C215,'Menü Kartları'!$B$5:$G$154,6,FALSE)),0)</f>
      </c>
      <c r="H215" s="17">
        <f>IF($C215="","",$F215-$G215)</f>
      </c>
    </row>
    <row r="216" spans="2:8" x14ac:dyDescent="0.25">
      <c r="B216" s="22"/>
      <c r="C216" s="12"/>
      <c r="D216" s="15">
        <f>IFERROR(IF($C216="","",VLOOKUP($C216,'Menü Kartları'!$B$5:$C$154,2,FALSE)),"— tanımsız —")</f>
      </c>
      <c r="E216" s="23"/>
      <c r="F216" s="11">
        <f>IFERROR(IF(OR($C216="",$E216=""),0,$E216*VLOOKUP($C216,'Menü Kartları'!$B$5:$E$154,4,FALSE)),0)</f>
      </c>
      <c r="G216" s="11">
        <f>IFERROR(IF(OR($C216="",$E216=""),0,$E216*VLOOKUP($C216,'Menü Kartları'!$B$5:$G$154,6,FALSE)),0)</f>
      </c>
      <c r="H216" s="17">
        <f>IF($C216="","",$F216-$G216)</f>
      </c>
    </row>
    <row r="217" spans="2:8" x14ac:dyDescent="0.25">
      <c r="B217" s="20"/>
      <c r="C217" s="8"/>
      <c r="D217" s="15">
        <f>IFERROR(IF($C217="","",VLOOKUP($C217,'Menü Kartları'!$B$5:$C$154,2,FALSE)),"— tanımsız —")</f>
      </c>
      <c r="E217" s="21"/>
      <c r="F217" s="11">
        <f>IFERROR(IF(OR($C217="",$E217=""),0,$E217*VLOOKUP($C217,'Menü Kartları'!$B$5:$E$154,4,FALSE)),0)</f>
      </c>
      <c r="G217" s="11">
        <f>IFERROR(IF(OR($C217="",$E217=""),0,$E217*VLOOKUP($C217,'Menü Kartları'!$B$5:$G$154,6,FALSE)),0)</f>
      </c>
      <c r="H217" s="17">
        <f>IF($C217="","",$F217-$G217)</f>
      </c>
    </row>
    <row r="218" spans="2:8" x14ac:dyDescent="0.25">
      <c r="B218" s="22"/>
      <c r="C218" s="12"/>
      <c r="D218" s="15">
        <f>IFERROR(IF($C218="","",VLOOKUP($C218,'Menü Kartları'!$B$5:$C$154,2,FALSE)),"— tanımsız —")</f>
      </c>
      <c r="E218" s="23"/>
      <c r="F218" s="11">
        <f>IFERROR(IF(OR($C218="",$E218=""),0,$E218*VLOOKUP($C218,'Menü Kartları'!$B$5:$E$154,4,FALSE)),0)</f>
      </c>
      <c r="G218" s="11">
        <f>IFERROR(IF(OR($C218="",$E218=""),0,$E218*VLOOKUP($C218,'Menü Kartları'!$B$5:$G$154,6,FALSE)),0)</f>
      </c>
      <c r="H218" s="17">
        <f>IF($C218="","",$F218-$G218)</f>
      </c>
    </row>
    <row r="219" spans="2:8" x14ac:dyDescent="0.25">
      <c r="B219" s="20"/>
      <c r="C219" s="8"/>
      <c r="D219" s="15">
        <f>IFERROR(IF($C219="","",VLOOKUP($C219,'Menü Kartları'!$B$5:$C$154,2,FALSE)),"— tanımsız —")</f>
      </c>
      <c r="E219" s="21"/>
      <c r="F219" s="11">
        <f>IFERROR(IF(OR($C219="",$E219=""),0,$E219*VLOOKUP($C219,'Menü Kartları'!$B$5:$E$154,4,FALSE)),0)</f>
      </c>
      <c r="G219" s="11">
        <f>IFERROR(IF(OR($C219="",$E219=""),0,$E219*VLOOKUP($C219,'Menü Kartları'!$B$5:$G$154,6,FALSE)),0)</f>
      </c>
      <c r="H219" s="17">
        <f>IF($C219="","",$F219-$G219)</f>
      </c>
    </row>
    <row r="220" spans="2:8" x14ac:dyDescent="0.25">
      <c r="B220" s="22"/>
      <c r="C220" s="12"/>
      <c r="D220" s="15">
        <f>IFERROR(IF($C220="","",VLOOKUP($C220,'Menü Kartları'!$B$5:$C$154,2,FALSE)),"— tanımsız —")</f>
      </c>
      <c r="E220" s="23"/>
      <c r="F220" s="11">
        <f>IFERROR(IF(OR($C220="",$E220=""),0,$E220*VLOOKUP($C220,'Menü Kartları'!$B$5:$E$154,4,FALSE)),0)</f>
      </c>
      <c r="G220" s="11">
        <f>IFERROR(IF(OR($C220="",$E220=""),0,$E220*VLOOKUP($C220,'Menü Kartları'!$B$5:$G$154,6,FALSE)),0)</f>
      </c>
      <c r="H220" s="17">
        <f>IF($C220="","",$F220-$G220)</f>
      </c>
    </row>
    <row r="221" spans="2:8" x14ac:dyDescent="0.25">
      <c r="B221" s="20"/>
      <c r="C221" s="8"/>
      <c r="D221" s="15">
        <f>IFERROR(IF($C221="","",VLOOKUP($C221,'Menü Kartları'!$B$5:$C$154,2,FALSE)),"— tanımsız —")</f>
      </c>
      <c r="E221" s="21"/>
      <c r="F221" s="11">
        <f>IFERROR(IF(OR($C221="",$E221=""),0,$E221*VLOOKUP($C221,'Menü Kartları'!$B$5:$E$154,4,FALSE)),0)</f>
      </c>
      <c r="G221" s="11">
        <f>IFERROR(IF(OR($C221="",$E221=""),0,$E221*VLOOKUP($C221,'Menü Kartları'!$B$5:$G$154,6,FALSE)),0)</f>
      </c>
      <c r="H221" s="17">
        <f>IF($C221="","",$F221-$G221)</f>
      </c>
    </row>
    <row r="222" spans="2:8" x14ac:dyDescent="0.25">
      <c r="B222" s="22"/>
      <c r="C222" s="12"/>
      <c r="D222" s="15">
        <f>IFERROR(IF($C222="","",VLOOKUP($C222,'Menü Kartları'!$B$5:$C$154,2,FALSE)),"— tanımsız —")</f>
      </c>
      <c r="E222" s="23"/>
      <c r="F222" s="11">
        <f>IFERROR(IF(OR($C222="",$E222=""),0,$E222*VLOOKUP($C222,'Menü Kartları'!$B$5:$E$154,4,FALSE)),0)</f>
      </c>
      <c r="G222" s="11">
        <f>IFERROR(IF(OR($C222="",$E222=""),0,$E222*VLOOKUP($C222,'Menü Kartları'!$B$5:$G$154,6,FALSE)),0)</f>
      </c>
      <c r="H222" s="17">
        <f>IF($C222="","",$F222-$G222)</f>
      </c>
    </row>
    <row r="223" spans="2:8" x14ac:dyDescent="0.25">
      <c r="B223" s="20"/>
      <c r="C223" s="8"/>
      <c r="D223" s="15">
        <f>IFERROR(IF($C223="","",VLOOKUP($C223,'Menü Kartları'!$B$5:$C$154,2,FALSE)),"— tanımsız —")</f>
      </c>
      <c r="E223" s="21"/>
      <c r="F223" s="11">
        <f>IFERROR(IF(OR($C223="",$E223=""),0,$E223*VLOOKUP($C223,'Menü Kartları'!$B$5:$E$154,4,FALSE)),0)</f>
      </c>
      <c r="G223" s="11">
        <f>IFERROR(IF(OR($C223="",$E223=""),0,$E223*VLOOKUP($C223,'Menü Kartları'!$B$5:$G$154,6,FALSE)),0)</f>
      </c>
      <c r="H223" s="17">
        <f>IF($C223="","",$F223-$G223)</f>
      </c>
    </row>
    <row r="224" spans="2:8" x14ac:dyDescent="0.25">
      <c r="B224" s="22"/>
      <c r="C224" s="12"/>
      <c r="D224" s="15">
        <f>IFERROR(IF($C224="","",VLOOKUP($C224,'Menü Kartları'!$B$5:$C$154,2,FALSE)),"— tanımsız —")</f>
      </c>
      <c r="E224" s="23"/>
      <c r="F224" s="11">
        <f>IFERROR(IF(OR($C224="",$E224=""),0,$E224*VLOOKUP($C224,'Menü Kartları'!$B$5:$E$154,4,FALSE)),0)</f>
      </c>
      <c r="G224" s="11">
        <f>IFERROR(IF(OR($C224="",$E224=""),0,$E224*VLOOKUP($C224,'Menü Kartları'!$B$5:$G$154,6,FALSE)),0)</f>
      </c>
      <c r="H224" s="17">
        <f>IF($C224="","",$F224-$G224)</f>
      </c>
    </row>
    <row r="225" spans="2:8" x14ac:dyDescent="0.25">
      <c r="B225" s="20"/>
      <c r="C225" s="8"/>
      <c r="D225" s="15">
        <f>IFERROR(IF($C225="","",VLOOKUP($C225,'Menü Kartları'!$B$5:$C$154,2,FALSE)),"— tanımsız —")</f>
      </c>
      <c r="E225" s="21"/>
      <c r="F225" s="11">
        <f>IFERROR(IF(OR($C225="",$E225=""),0,$E225*VLOOKUP($C225,'Menü Kartları'!$B$5:$E$154,4,FALSE)),0)</f>
      </c>
      <c r="G225" s="11">
        <f>IFERROR(IF(OR($C225="",$E225=""),0,$E225*VLOOKUP($C225,'Menü Kartları'!$B$5:$G$154,6,FALSE)),0)</f>
      </c>
      <c r="H225" s="17">
        <f>IF($C225="","",$F225-$G225)</f>
      </c>
    </row>
    <row r="226" spans="2:8" x14ac:dyDescent="0.25">
      <c r="B226" s="22"/>
      <c r="C226" s="12"/>
      <c r="D226" s="15">
        <f>IFERROR(IF($C226="","",VLOOKUP($C226,'Menü Kartları'!$B$5:$C$154,2,FALSE)),"— tanımsız —")</f>
      </c>
      <c r="E226" s="23"/>
      <c r="F226" s="11">
        <f>IFERROR(IF(OR($C226="",$E226=""),0,$E226*VLOOKUP($C226,'Menü Kartları'!$B$5:$E$154,4,FALSE)),0)</f>
      </c>
      <c r="G226" s="11">
        <f>IFERROR(IF(OR($C226="",$E226=""),0,$E226*VLOOKUP($C226,'Menü Kartları'!$B$5:$G$154,6,FALSE)),0)</f>
      </c>
      <c r="H226" s="17">
        <f>IF($C226="","",$F226-$G226)</f>
      </c>
    </row>
    <row r="227" spans="2:8" x14ac:dyDescent="0.25">
      <c r="B227" s="20"/>
      <c r="C227" s="8"/>
      <c r="D227" s="15">
        <f>IFERROR(IF($C227="","",VLOOKUP($C227,'Menü Kartları'!$B$5:$C$154,2,FALSE)),"— tanımsız —")</f>
      </c>
      <c r="E227" s="21"/>
      <c r="F227" s="11">
        <f>IFERROR(IF(OR($C227="",$E227=""),0,$E227*VLOOKUP($C227,'Menü Kartları'!$B$5:$E$154,4,FALSE)),0)</f>
      </c>
      <c r="G227" s="11">
        <f>IFERROR(IF(OR($C227="",$E227=""),0,$E227*VLOOKUP($C227,'Menü Kartları'!$B$5:$G$154,6,FALSE)),0)</f>
      </c>
      <c r="H227" s="17">
        <f>IF($C227="","",$F227-$G227)</f>
      </c>
    </row>
    <row r="228" spans="2:8" x14ac:dyDescent="0.25">
      <c r="B228" s="22"/>
      <c r="C228" s="12"/>
      <c r="D228" s="15">
        <f>IFERROR(IF($C228="","",VLOOKUP($C228,'Menü Kartları'!$B$5:$C$154,2,FALSE)),"— tanımsız —")</f>
      </c>
      <c r="E228" s="23"/>
      <c r="F228" s="11">
        <f>IFERROR(IF(OR($C228="",$E228=""),0,$E228*VLOOKUP($C228,'Menü Kartları'!$B$5:$E$154,4,FALSE)),0)</f>
      </c>
      <c r="G228" s="11">
        <f>IFERROR(IF(OR($C228="",$E228=""),0,$E228*VLOOKUP($C228,'Menü Kartları'!$B$5:$G$154,6,FALSE)),0)</f>
      </c>
      <c r="H228" s="17">
        <f>IF($C228="","",$F228-$G228)</f>
      </c>
    </row>
    <row r="229" spans="2:8" x14ac:dyDescent="0.25">
      <c r="B229" s="20"/>
      <c r="C229" s="8"/>
      <c r="D229" s="15">
        <f>IFERROR(IF($C229="","",VLOOKUP($C229,'Menü Kartları'!$B$5:$C$154,2,FALSE)),"— tanımsız —")</f>
      </c>
      <c r="E229" s="21"/>
      <c r="F229" s="11">
        <f>IFERROR(IF(OR($C229="",$E229=""),0,$E229*VLOOKUP($C229,'Menü Kartları'!$B$5:$E$154,4,FALSE)),0)</f>
      </c>
      <c r="G229" s="11">
        <f>IFERROR(IF(OR($C229="",$E229=""),0,$E229*VLOOKUP($C229,'Menü Kartları'!$B$5:$G$154,6,FALSE)),0)</f>
      </c>
      <c r="H229" s="17">
        <f>IF($C229="","",$F229-$G229)</f>
      </c>
    </row>
    <row r="230" spans="2:8" x14ac:dyDescent="0.25">
      <c r="B230" s="22"/>
      <c r="C230" s="12"/>
      <c r="D230" s="15">
        <f>IFERROR(IF($C230="","",VLOOKUP($C230,'Menü Kartları'!$B$5:$C$154,2,FALSE)),"— tanımsız —")</f>
      </c>
      <c r="E230" s="23"/>
      <c r="F230" s="11">
        <f>IFERROR(IF(OR($C230="",$E230=""),0,$E230*VLOOKUP($C230,'Menü Kartları'!$B$5:$E$154,4,FALSE)),0)</f>
      </c>
      <c r="G230" s="11">
        <f>IFERROR(IF(OR($C230="",$E230=""),0,$E230*VLOOKUP($C230,'Menü Kartları'!$B$5:$G$154,6,FALSE)),0)</f>
      </c>
      <c r="H230" s="17">
        <f>IF($C230="","",$F230-$G230)</f>
      </c>
    </row>
    <row r="231" spans="2:8" x14ac:dyDescent="0.25">
      <c r="B231" s="20"/>
      <c r="C231" s="8"/>
      <c r="D231" s="15">
        <f>IFERROR(IF($C231="","",VLOOKUP($C231,'Menü Kartları'!$B$5:$C$154,2,FALSE)),"— tanımsız —")</f>
      </c>
      <c r="E231" s="21"/>
      <c r="F231" s="11">
        <f>IFERROR(IF(OR($C231="",$E231=""),0,$E231*VLOOKUP($C231,'Menü Kartları'!$B$5:$E$154,4,FALSE)),0)</f>
      </c>
      <c r="G231" s="11">
        <f>IFERROR(IF(OR($C231="",$E231=""),0,$E231*VLOOKUP($C231,'Menü Kartları'!$B$5:$G$154,6,FALSE)),0)</f>
      </c>
      <c r="H231" s="17">
        <f>IF($C231="","",$F231-$G231)</f>
      </c>
    </row>
    <row r="232" spans="2:8" x14ac:dyDescent="0.25">
      <c r="B232" s="22"/>
      <c r="C232" s="12"/>
      <c r="D232" s="15">
        <f>IFERROR(IF($C232="","",VLOOKUP($C232,'Menü Kartları'!$B$5:$C$154,2,FALSE)),"— tanımsız —")</f>
      </c>
      <c r="E232" s="23"/>
      <c r="F232" s="11">
        <f>IFERROR(IF(OR($C232="",$E232=""),0,$E232*VLOOKUP($C232,'Menü Kartları'!$B$5:$E$154,4,FALSE)),0)</f>
      </c>
      <c r="G232" s="11">
        <f>IFERROR(IF(OR($C232="",$E232=""),0,$E232*VLOOKUP($C232,'Menü Kartları'!$B$5:$G$154,6,FALSE)),0)</f>
      </c>
      <c r="H232" s="17">
        <f>IF($C232="","",$F232-$G232)</f>
      </c>
    </row>
    <row r="233" spans="2:8" x14ac:dyDescent="0.25">
      <c r="B233" s="20"/>
      <c r="C233" s="8"/>
      <c r="D233" s="15">
        <f>IFERROR(IF($C233="","",VLOOKUP($C233,'Menü Kartları'!$B$5:$C$154,2,FALSE)),"— tanımsız —")</f>
      </c>
      <c r="E233" s="21"/>
      <c r="F233" s="11">
        <f>IFERROR(IF(OR($C233="",$E233=""),0,$E233*VLOOKUP($C233,'Menü Kartları'!$B$5:$E$154,4,FALSE)),0)</f>
      </c>
      <c r="G233" s="11">
        <f>IFERROR(IF(OR($C233="",$E233=""),0,$E233*VLOOKUP($C233,'Menü Kartları'!$B$5:$G$154,6,FALSE)),0)</f>
      </c>
      <c r="H233" s="17">
        <f>IF($C233="","",$F233-$G233)</f>
      </c>
    </row>
    <row r="234" spans="2:8" x14ac:dyDescent="0.25">
      <c r="B234" s="22"/>
      <c r="C234" s="12"/>
      <c r="D234" s="15">
        <f>IFERROR(IF($C234="","",VLOOKUP($C234,'Menü Kartları'!$B$5:$C$154,2,FALSE)),"— tanımsız —")</f>
      </c>
      <c r="E234" s="23"/>
      <c r="F234" s="11">
        <f>IFERROR(IF(OR($C234="",$E234=""),0,$E234*VLOOKUP($C234,'Menü Kartları'!$B$5:$E$154,4,FALSE)),0)</f>
      </c>
      <c r="G234" s="11">
        <f>IFERROR(IF(OR($C234="",$E234=""),0,$E234*VLOOKUP($C234,'Menü Kartları'!$B$5:$G$154,6,FALSE)),0)</f>
      </c>
      <c r="H234" s="17">
        <f>IF($C234="","",$F234-$G234)</f>
      </c>
    </row>
    <row r="235" spans="2:8" x14ac:dyDescent="0.25">
      <c r="B235" s="20"/>
      <c r="C235" s="8"/>
      <c r="D235" s="15">
        <f>IFERROR(IF($C235="","",VLOOKUP($C235,'Menü Kartları'!$B$5:$C$154,2,FALSE)),"— tanımsız —")</f>
      </c>
      <c r="E235" s="21"/>
      <c r="F235" s="11">
        <f>IFERROR(IF(OR($C235="",$E235=""),0,$E235*VLOOKUP($C235,'Menü Kartları'!$B$5:$E$154,4,FALSE)),0)</f>
      </c>
      <c r="G235" s="11">
        <f>IFERROR(IF(OR($C235="",$E235=""),0,$E235*VLOOKUP($C235,'Menü Kartları'!$B$5:$G$154,6,FALSE)),0)</f>
      </c>
      <c r="H235" s="17">
        <f>IF($C235="","",$F235-$G235)</f>
      </c>
    </row>
    <row r="236" spans="2:8" x14ac:dyDescent="0.25">
      <c r="B236" s="22"/>
      <c r="C236" s="12"/>
      <c r="D236" s="15">
        <f>IFERROR(IF($C236="","",VLOOKUP($C236,'Menü Kartları'!$B$5:$C$154,2,FALSE)),"— tanımsız —")</f>
      </c>
      <c r="E236" s="23"/>
      <c r="F236" s="11">
        <f>IFERROR(IF(OR($C236="",$E236=""),0,$E236*VLOOKUP($C236,'Menü Kartları'!$B$5:$E$154,4,FALSE)),0)</f>
      </c>
      <c r="G236" s="11">
        <f>IFERROR(IF(OR($C236="",$E236=""),0,$E236*VLOOKUP($C236,'Menü Kartları'!$B$5:$G$154,6,FALSE)),0)</f>
      </c>
      <c r="H236" s="17">
        <f>IF($C236="","",$F236-$G236)</f>
      </c>
    </row>
    <row r="237" spans="2:8" x14ac:dyDescent="0.25">
      <c r="B237" s="20"/>
      <c r="C237" s="8"/>
      <c r="D237" s="15">
        <f>IFERROR(IF($C237="","",VLOOKUP($C237,'Menü Kartları'!$B$5:$C$154,2,FALSE)),"— tanımsız —")</f>
      </c>
      <c r="E237" s="21"/>
      <c r="F237" s="11">
        <f>IFERROR(IF(OR($C237="",$E237=""),0,$E237*VLOOKUP($C237,'Menü Kartları'!$B$5:$E$154,4,FALSE)),0)</f>
      </c>
      <c r="G237" s="11">
        <f>IFERROR(IF(OR($C237="",$E237=""),0,$E237*VLOOKUP($C237,'Menü Kartları'!$B$5:$G$154,6,FALSE)),0)</f>
      </c>
      <c r="H237" s="17">
        <f>IF($C237="","",$F237-$G237)</f>
      </c>
    </row>
    <row r="238" spans="2:8" x14ac:dyDescent="0.25">
      <c r="B238" s="22"/>
      <c r="C238" s="12"/>
      <c r="D238" s="15">
        <f>IFERROR(IF($C238="","",VLOOKUP($C238,'Menü Kartları'!$B$5:$C$154,2,FALSE)),"— tanımsız —")</f>
      </c>
      <c r="E238" s="23"/>
      <c r="F238" s="11">
        <f>IFERROR(IF(OR($C238="",$E238=""),0,$E238*VLOOKUP($C238,'Menü Kartları'!$B$5:$E$154,4,FALSE)),0)</f>
      </c>
      <c r="G238" s="11">
        <f>IFERROR(IF(OR($C238="",$E238=""),0,$E238*VLOOKUP($C238,'Menü Kartları'!$B$5:$G$154,6,FALSE)),0)</f>
      </c>
      <c r="H238" s="17">
        <f>IF($C238="","",$F238-$G238)</f>
      </c>
    </row>
    <row r="239" spans="2:8" x14ac:dyDescent="0.25">
      <c r="B239" s="20"/>
      <c r="C239" s="8"/>
      <c r="D239" s="15">
        <f>IFERROR(IF($C239="","",VLOOKUP($C239,'Menü Kartları'!$B$5:$C$154,2,FALSE)),"— tanımsız —")</f>
      </c>
      <c r="E239" s="21"/>
      <c r="F239" s="11">
        <f>IFERROR(IF(OR($C239="",$E239=""),0,$E239*VLOOKUP($C239,'Menü Kartları'!$B$5:$E$154,4,FALSE)),0)</f>
      </c>
      <c r="G239" s="11">
        <f>IFERROR(IF(OR($C239="",$E239=""),0,$E239*VLOOKUP($C239,'Menü Kartları'!$B$5:$G$154,6,FALSE)),0)</f>
      </c>
      <c r="H239" s="17">
        <f>IF($C239="","",$F239-$G239)</f>
      </c>
    </row>
    <row r="240" spans="2:8" x14ac:dyDescent="0.25">
      <c r="B240" s="22"/>
      <c r="C240" s="12"/>
      <c r="D240" s="15">
        <f>IFERROR(IF($C240="","",VLOOKUP($C240,'Menü Kartları'!$B$5:$C$154,2,FALSE)),"— tanımsız —")</f>
      </c>
      <c r="E240" s="23"/>
      <c r="F240" s="11">
        <f>IFERROR(IF(OR($C240="",$E240=""),0,$E240*VLOOKUP($C240,'Menü Kartları'!$B$5:$E$154,4,FALSE)),0)</f>
      </c>
      <c r="G240" s="11">
        <f>IFERROR(IF(OR($C240="",$E240=""),0,$E240*VLOOKUP($C240,'Menü Kartları'!$B$5:$G$154,6,FALSE)),0)</f>
      </c>
      <c r="H240" s="17">
        <f>IF($C240="","",$F240-$G240)</f>
      </c>
    </row>
    <row r="241" spans="2:8" x14ac:dyDescent="0.25">
      <c r="B241" s="20"/>
      <c r="C241" s="8"/>
      <c r="D241" s="15">
        <f>IFERROR(IF($C241="","",VLOOKUP($C241,'Menü Kartları'!$B$5:$C$154,2,FALSE)),"— tanımsız —")</f>
      </c>
      <c r="E241" s="21"/>
      <c r="F241" s="11">
        <f>IFERROR(IF(OR($C241="",$E241=""),0,$E241*VLOOKUP($C241,'Menü Kartları'!$B$5:$E$154,4,FALSE)),0)</f>
      </c>
      <c r="G241" s="11">
        <f>IFERROR(IF(OR($C241="",$E241=""),0,$E241*VLOOKUP($C241,'Menü Kartları'!$B$5:$G$154,6,FALSE)),0)</f>
      </c>
      <c r="H241" s="17">
        <f>IF($C241="","",$F241-$G241)</f>
      </c>
    </row>
    <row r="242" spans="2:8" x14ac:dyDescent="0.25">
      <c r="B242" s="22"/>
      <c r="C242" s="12"/>
      <c r="D242" s="15">
        <f>IFERROR(IF($C242="","",VLOOKUP($C242,'Menü Kartları'!$B$5:$C$154,2,FALSE)),"— tanımsız —")</f>
      </c>
      <c r="E242" s="23"/>
      <c r="F242" s="11">
        <f>IFERROR(IF(OR($C242="",$E242=""),0,$E242*VLOOKUP($C242,'Menü Kartları'!$B$5:$E$154,4,FALSE)),0)</f>
      </c>
      <c r="G242" s="11">
        <f>IFERROR(IF(OR($C242="",$E242=""),0,$E242*VLOOKUP($C242,'Menü Kartları'!$B$5:$G$154,6,FALSE)),0)</f>
      </c>
      <c r="H242" s="17">
        <f>IF($C242="","",$F242-$G242)</f>
      </c>
    </row>
    <row r="243" spans="2:8" x14ac:dyDescent="0.25">
      <c r="B243" s="20"/>
      <c r="C243" s="8"/>
      <c r="D243" s="15">
        <f>IFERROR(IF($C243="","",VLOOKUP($C243,'Menü Kartları'!$B$5:$C$154,2,FALSE)),"— tanımsız —")</f>
      </c>
      <c r="E243" s="21"/>
      <c r="F243" s="11">
        <f>IFERROR(IF(OR($C243="",$E243=""),0,$E243*VLOOKUP($C243,'Menü Kartları'!$B$5:$E$154,4,FALSE)),0)</f>
      </c>
      <c r="G243" s="11">
        <f>IFERROR(IF(OR($C243="",$E243=""),0,$E243*VLOOKUP($C243,'Menü Kartları'!$B$5:$G$154,6,FALSE)),0)</f>
      </c>
      <c r="H243" s="17">
        <f>IF($C243="","",$F243-$G243)</f>
      </c>
    </row>
    <row r="244" spans="2:8" x14ac:dyDescent="0.25">
      <c r="B244" s="22"/>
      <c r="C244" s="12"/>
      <c r="D244" s="15">
        <f>IFERROR(IF($C244="","",VLOOKUP($C244,'Menü Kartları'!$B$5:$C$154,2,FALSE)),"— tanımsız —")</f>
      </c>
      <c r="E244" s="23"/>
      <c r="F244" s="11">
        <f>IFERROR(IF(OR($C244="",$E244=""),0,$E244*VLOOKUP($C244,'Menü Kartları'!$B$5:$E$154,4,FALSE)),0)</f>
      </c>
      <c r="G244" s="11">
        <f>IFERROR(IF(OR($C244="",$E244=""),0,$E244*VLOOKUP($C244,'Menü Kartları'!$B$5:$G$154,6,FALSE)),0)</f>
      </c>
      <c r="H244" s="17">
        <f>IF($C244="","",$F244-$G244)</f>
      </c>
    </row>
    <row r="245" spans="2:8" x14ac:dyDescent="0.25">
      <c r="B245" s="20"/>
      <c r="C245" s="8"/>
      <c r="D245" s="15">
        <f>IFERROR(IF($C245="","",VLOOKUP($C245,'Menü Kartları'!$B$5:$C$154,2,FALSE)),"— tanımsız —")</f>
      </c>
      <c r="E245" s="21"/>
      <c r="F245" s="11">
        <f>IFERROR(IF(OR($C245="",$E245=""),0,$E245*VLOOKUP($C245,'Menü Kartları'!$B$5:$E$154,4,FALSE)),0)</f>
      </c>
      <c r="G245" s="11">
        <f>IFERROR(IF(OR($C245="",$E245=""),0,$E245*VLOOKUP($C245,'Menü Kartları'!$B$5:$G$154,6,FALSE)),0)</f>
      </c>
      <c r="H245" s="17">
        <f>IF($C245="","",$F245-$G245)</f>
      </c>
    </row>
    <row r="246" spans="2:8" x14ac:dyDescent="0.25">
      <c r="B246" s="22"/>
      <c r="C246" s="12"/>
      <c r="D246" s="15">
        <f>IFERROR(IF($C246="","",VLOOKUP($C246,'Menü Kartları'!$B$5:$C$154,2,FALSE)),"— tanımsız —")</f>
      </c>
      <c r="E246" s="23"/>
      <c r="F246" s="11">
        <f>IFERROR(IF(OR($C246="",$E246=""),0,$E246*VLOOKUP($C246,'Menü Kartları'!$B$5:$E$154,4,FALSE)),0)</f>
      </c>
      <c r="G246" s="11">
        <f>IFERROR(IF(OR($C246="",$E246=""),0,$E246*VLOOKUP($C246,'Menü Kartları'!$B$5:$G$154,6,FALSE)),0)</f>
      </c>
      <c r="H246" s="17">
        <f>IF($C246="","",$F246-$G246)</f>
      </c>
    </row>
    <row r="247" spans="2:8" x14ac:dyDescent="0.25">
      <c r="B247" s="20"/>
      <c r="C247" s="8"/>
      <c r="D247" s="15">
        <f>IFERROR(IF($C247="","",VLOOKUP($C247,'Menü Kartları'!$B$5:$C$154,2,FALSE)),"— tanımsız —")</f>
      </c>
      <c r="E247" s="21"/>
      <c r="F247" s="11">
        <f>IFERROR(IF(OR($C247="",$E247=""),0,$E247*VLOOKUP($C247,'Menü Kartları'!$B$5:$E$154,4,FALSE)),0)</f>
      </c>
      <c r="G247" s="11">
        <f>IFERROR(IF(OR($C247="",$E247=""),0,$E247*VLOOKUP($C247,'Menü Kartları'!$B$5:$G$154,6,FALSE)),0)</f>
      </c>
      <c r="H247" s="17">
        <f>IF($C247="","",$F247-$G247)</f>
      </c>
    </row>
    <row r="248" spans="2:8" x14ac:dyDescent="0.25">
      <c r="B248" s="22"/>
      <c r="C248" s="12"/>
      <c r="D248" s="15">
        <f>IFERROR(IF($C248="","",VLOOKUP($C248,'Menü Kartları'!$B$5:$C$154,2,FALSE)),"— tanımsız —")</f>
      </c>
      <c r="E248" s="23"/>
      <c r="F248" s="11">
        <f>IFERROR(IF(OR($C248="",$E248=""),0,$E248*VLOOKUP($C248,'Menü Kartları'!$B$5:$E$154,4,FALSE)),0)</f>
      </c>
      <c r="G248" s="11">
        <f>IFERROR(IF(OR($C248="",$E248=""),0,$E248*VLOOKUP($C248,'Menü Kartları'!$B$5:$G$154,6,FALSE)),0)</f>
      </c>
      <c r="H248" s="17">
        <f>IF($C248="","",$F248-$G248)</f>
      </c>
    </row>
    <row r="249" spans="2:8" x14ac:dyDescent="0.25">
      <c r="B249" s="20"/>
      <c r="C249" s="8"/>
      <c r="D249" s="15">
        <f>IFERROR(IF($C249="","",VLOOKUP($C249,'Menü Kartları'!$B$5:$C$154,2,FALSE)),"— tanımsız —")</f>
      </c>
      <c r="E249" s="21"/>
      <c r="F249" s="11">
        <f>IFERROR(IF(OR($C249="",$E249=""),0,$E249*VLOOKUP($C249,'Menü Kartları'!$B$5:$E$154,4,FALSE)),0)</f>
      </c>
      <c r="G249" s="11">
        <f>IFERROR(IF(OR($C249="",$E249=""),0,$E249*VLOOKUP($C249,'Menü Kartları'!$B$5:$G$154,6,FALSE)),0)</f>
      </c>
      <c r="H249" s="17">
        <f>IF($C249="","",$F249-$G249)</f>
      </c>
    </row>
    <row r="250" spans="2:8" x14ac:dyDescent="0.25">
      <c r="B250" s="22"/>
      <c r="C250" s="12"/>
      <c r="D250" s="15">
        <f>IFERROR(IF($C250="","",VLOOKUP($C250,'Menü Kartları'!$B$5:$C$154,2,FALSE)),"— tanımsız —")</f>
      </c>
      <c r="E250" s="23"/>
      <c r="F250" s="11">
        <f>IFERROR(IF(OR($C250="",$E250=""),0,$E250*VLOOKUP($C250,'Menü Kartları'!$B$5:$E$154,4,FALSE)),0)</f>
      </c>
      <c r="G250" s="11">
        <f>IFERROR(IF(OR($C250="",$E250=""),0,$E250*VLOOKUP($C250,'Menü Kartları'!$B$5:$G$154,6,FALSE)),0)</f>
      </c>
      <c r="H250" s="17">
        <f>IF($C250="","",$F250-$G250)</f>
      </c>
    </row>
    <row r="251" spans="2:8" x14ac:dyDescent="0.25">
      <c r="B251" s="20"/>
      <c r="C251" s="8"/>
      <c r="D251" s="15">
        <f>IFERROR(IF($C251="","",VLOOKUP($C251,'Menü Kartları'!$B$5:$C$154,2,FALSE)),"— tanımsız —")</f>
      </c>
      <c r="E251" s="21"/>
      <c r="F251" s="11">
        <f>IFERROR(IF(OR($C251="",$E251=""),0,$E251*VLOOKUP($C251,'Menü Kartları'!$B$5:$E$154,4,FALSE)),0)</f>
      </c>
      <c r="G251" s="11">
        <f>IFERROR(IF(OR($C251="",$E251=""),0,$E251*VLOOKUP($C251,'Menü Kartları'!$B$5:$G$154,6,FALSE)),0)</f>
      </c>
      <c r="H251" s="17">
        <f>IF($C251="","",$F251-$G251)</f>
      </c>
    </row>
    <row r="252" spans="2:8" x14ac:dyDescent="0.25">
      <c r="B252" s="22"/>
      <c r="C252" s="12"/>
      <c r="D252" s="15">
        <f>IFERROR(IF($C252="","",VLOOKUP($C252,'Menü Kartları'!$B$5:$C$154,2,FALSE)),"— tanımsız —")</f>
      </c>
      <c r="E252" s="23"/>
      <c r="F252" s="11">
        <f>IFERROR(IF(OR($C252="",$E252=""),0,$E252*VLOOKUP($C252,'Menü Kartları'!$B$5:$E$154,4,FALSE)),0)</f>
      </c>
      <c r="G252" s="11">
        <f>IFERROR(IF(OR($C252="",$E252=""),0,$E252*VLOOKUP($C252,'Menü Kartları'!$B$5:$G$154,6,FALSE)),0)</f>
      </c>
      <c r="H252" s="17">
        <f>IF($C252="","",$F252-$G252)</f>
      </c>
    </row>
    <row r="253" spans="2:8" x14ac:dyDescent="0.25">
      <c r="B253" s="20"/>
      <c r="C253" s="8"/>
      <c r="D253" s="15">
        <f>IFERROR(IF($C253="","",VLOOKUP($C253,'Menü Kartları'!$B$5:$C$154,2,FALSE)),"— tanımsız —")</f>
      </c>
      <c r="E253" s="21"/>
      <c r="F253" s="11">
        <f>IFERROR(IF(OR($C253="",$E253=""),0,$E253*VLOOKUP($C253,'Menü Kartları'!$B$5:$E$154,4,FALSE)),0)</f>
      </c>
      <c r="G253" s="11">
        <f>IFERROR(IF(OR($C253="",$E253=""),0,$E253*VLOOKUP($C253,'Menü Kartları'!$B$5:$G$154,6,FALSE)),0)</f>
      </c>
      <c r="H253" s="17">
        <f>IF($C253="","",$F253-$G253)</f>
      </c>
    </row>
    <row r="254" spans="2:8" x14ac:dyDescent="0.25">
      <c r="B254" s="22"/>
      <c r="C254" s="12"/>
      <c r="D254" s="15">
        <f>IFERROR(IF($C254="","",VLOOKUP($C254,'Menü Kartları'!$B$5:$C$154,2,FALSE)),"— tanımsız —")</f>
      </c>
      <c r="E254" s="23"/>
      <c r="F254" s="11">
        <f>IFERROR(IF(OR($C254="",$E254=""),0,$E254*VLOOKUP($C254,'Menü Kartları'!$B$5:$E$154,4,FALSE)),0)</f>
      </c>
      <c r="G254" s="11">
        <f>IFERROR(IF(OR($C254="",$E254=""),0,$E254*VLOOKUP($C254,'Menü Kartları'!$B$5:$G$154,6,FALSE)),0)</f>
      </c>
      <c r="H254" s="17">
        <f>IF($C254="","",$F254-$G254)</f>
      </c>
    </row>
    <row r="255" spans="2:8" x14ac:dyDescent="0.25">
      <c r="B255" s="20"/>
      <c r="C255" s="8"/>
      <c r="D255" s="15">
        <f>IFERROR(IF($C255="","",VLOOKUP($C255,'Menü Kartları'!$B$5:$C$154,2,FALSE)),"— tanımsız —")</f>
      </c>
      <c r="E255" s="21"/>
      <c r="F255" s="11">
        <f>IFERROR(IF(OR($C255="",$E255=""),0,$E255*VLOOKUP($C255,'Menü Kartları'!$B$5:$E$154,4,FALSE)),0)</f>
      </c>
      <c r="G255" s="11">
        <f>IFERROR(IF(OR($C255="",$E255=""),0,$E255*VLOOKUP($C255,'Menü Kartları'!$B$5:$G$154,6,FALSE)),0)</f>
      </c>
      <c r="H255" s="17">
        <f>IF($C255="","",$F255-$G255)</f>
      </c>
    </row>
    <row r="256" spans="2:8" x14ac:dyDescent="0.25">
      <c r="B256" s="22"/>
      <c r="C256" s="12"/>
      <c r="D256" s="15">
        <f>IFERROR(IF($C256="","",VLOOKUP($C256,'Menü Kartları'!$B$5:$C$154,2,FALSE)),"— tanımsız —")</f>
      </c>
      <c r="E256" s="23"/>
      <c r="F256" s="11">
        <f>IFERROR(IF(OR($C256="",$E256=""),0,$E256*VLOOKUP($C256,'Menü Kartları'!$B$5:$E$154,4,FALSE)),0)</f>
      </c>
      <c r="G256" s="11">
        <f>IFERROR(IF(OR($C256="",$E256=""),0,$E256*VLOOKUP($C256,'Menü Kartları'!$B$5:$G$154,6,FALSE)),0)</f>
      </c>
      <c r="H256" s="17">
        <f>IF($C256="","",$F256-$G256)</f>
      </c>
    </row>
    <row r="257" spans="2:8" x14ac:dyDescent="0.25">
      <c r="B257" s="20"/>
      <c r="C257" s="8"/>
      <c r="D257" s="15">
        <f>IFERROR(IF($C257="","",VLOOKUP($C257,'Menü Kartları'!$B$5:$C$154,2,FALSE)),"— tanımsız —")</f>
      </c>
      <c r="E257" s="21"/>
      <c r="F257" s="11">
        <f>IFERROR(IF(OR($C257="",$E257=""),0,$E257*VLOOKUP($C257,'Menü Kartları'!$B$5:$E$154,4,FALSE)),0)</f>
      </c>
      <c r="G257" s="11">
        <f>IFERROR(IF(OR($C257="",$E257=""),0,$E257*VLOOKUP($C257,'Menü Kartları'!$B$5:$G$154,6,FALSE)),0)</f>
      </c>
      <c r="H257" s="17">
        <f>IF($C257="","",$F257-$G257)</f>
      </c>
    </row>
    <row r="258" spans="2:8" x14ac:dyDescent="0.25">
      <c r="B258" s="22"/>
      <c r="C258" s="12"/>
      <c r="D258" s="15">
        <f>IFERROR(IF($C258="","",VLOOKUP($C258,'Menü Kartları'!$B$5:$C$154,2,FALSE)),"— tanımsız —")</f>
      </c>
      <c r="E258" s="23"/>
      <c r="F258" s="11">
        <f>IFERROR(IF(OR($C258="",$E258=""),0,$E258*VLOOKUP($C258,'Menü Kartları'!$B$5:$E$154,4,FALSE)),0)</f>
      </c>
      <c r="G258" s="11">
        <f>IFERROR(IF(OR($C258="",$E258=""),0,$E258*VLOOKUP($C258,'Menü Kartları'!$B$5:$G$154,6,FALSE)),0)</f>
      </c>
      <c r="H258" s="17">
        <f>IF($C258="","",$F258-$G258)</f>
      </c>
    </row>
    <row r="259" spans="2:8" x14ac:dyDescent="0.25">
      <c r="B259" s="20"/>
      <c r="C259" s="8"/>
      <c r="D259" s="15">
        <f>IFERROR(IF($C259="","",VLOOKUP($C259,'Menü Kartları'!$B$5:$C$154,2,FALSE)),"— tanımsız —")</f>
      </c>
      <c r="E259" s="21"/>
      <c r="F259" s="11">
        <f>IFERROR(IF(OR($C259="",$E259=""),0,$E259*VLOOKUP($C259,'Menü Kartları'!$B$5:$E$154,4,FALSE)),0)</f>
      </c>
      <c r="G259" s="11">
        <f>IFERROR(IF(OR($C259="",$E259=""),0,$E259*VLOOKUP($C259,'Menü Kartları'!$B$5:$G$154,6,FALSE)),0)</f>
      </c>
      <c r="H259" s="17">
        <f>IF($C259="","",$F259-$G259)</f>
      </c>
    </row>
    <row r="260" spans="2:8" x14ac:dyDescent="0.25">
      <c r="B260" s="22"/>
      <c r="C260" s="12"/>
      <c r="D260" s="15">
        <f>IFERROR(IF($C260="","",VLOOKUP($C260,'Menü Kartları'!$B$5:$C$154,2,FALSE)),"— tanımsız —")</f>
      </c>
      <c r="E260" s="23"/>
      <c r="F260" s="11">
        <f>IFERROR(IF(OR($C260="",$E260=""),0,$E260*VLOOKUP($C260,'Menü Kartları'!$B$5:$E$154,4,FALSE)),0)</f>
      </c>
      <c r="G260" s="11">
        <f>IFERROR(IF(OR($C260="",$E260=""),0,$E260*VLOOKUP($C260,'Menü Kartları'!$B$5:$G$154,6,FALSE)),0)</f>
      </c>
      <c r="H260" s="17">
        <f>IF($C260="","",$F260-$G260)</f>
      </c>
    </row>
    <row r="261" spans="2:8" x14ac:dyDescent="0.25">
      <c r="B261" s="20"/>
      <c r="C261" s="8"/>
      <c r="D261" s="15">
        <f>IFERROR(IF($C261="","",VLOOKUP($C261,'Menü Kartları'!$B$5:$C$154,2,FALSE)),"— tanımsız —")</f>
      </c>
      <c r="E261" s="21"/>
      <c r="F261" s="11">
        <f>IFERROR(IF(OR($C261="",$E261=""),0,$E261*VLOOKUP($C261,'Menü Kartları'!$B$5:$E$154,4,FALSE)),0)</f>
      </c>
      <c r="G261" s="11">
        <f>IFERROR(IF(OR($C261="",$E261=""),0,$E261*VLOOKUP($C261,'Menü Kartları'!$B$5:$G$154,6,FALSE)),0)</f>
      </c>
      <c r="H261" s="17">
        <f>IF($C261="","",$F261-$G261)</f>
      </c>
    </row>
    <row r="262" spans="2:8" x14ac:dyDescent="0.25">
      <c r="B262" s="22"/>
      <c r="C262" s="12"/>
      <c r="D262" s="15">
        <f>IFERROR(IF($C262="","",VLOOKUP($C262,'Menü Kartları'!$B$5:$C$154,2,FALSE)),"— tanımsız —")</f>
      </c>
      <c r="E262" s="23"/>
      <c r="F262" s="11">
        <f>IFERROR(IF(OR($C262="",$E262=""),0,$E262*VLOOKUP($C262,'Menü Kartları'!$B$5:$E$154,4,FALSE)),0)</f>
      </c>
      <c r="G262" s="11">
        <f>IFERROR(IF(OR($C262="",$E262=""),0,$E262*VLOOKUP($C262,'Menü Kartları'!$B$5:$G$154,6,FALSE)),0)</f>
      </c>
      <c r="H262" s="17">
        <f>IF($C262="","",$F262-$G262)</f>
      </c>
    </row>
    <row r="263" spans="2:8" x14ac:dyDescent="0.25">
      <c r="B263" s="20"/>
      <c r="C263" s="8"/>
      <c r="D263" s="15">
        <f>IFERROR(IF($C263="","",VLOOKUP($C263,'Menü Kartları'!$B$5:$C$154,2,FALSE)),"— tanımsız —")</f>
      </c>
      <c r="E263" s="21"/>
      <c r="F263" s="11">
        <f>IFERROR(IF(OR($C263="",$E263=""),0,$E263*VLOOKUP($C263,'Menü Kartları'!$B$5:$E$154,4,FALSE)),0)</f>
      </c>
      <c r="G263" s="11">
        <f>IFERROR(IF(OR($C263="",$E263=""),0,$E263*VLOOKUP($C263,'Menü Kartları'!$B$5:$G$154,6,FALSE)),0)</f>
      </c>
      <c r="H263" s="17">
        <f>IF($C263="","",$F263-$G263)</f>
      </c>
    </row>
    <row r="264" spans="2:8" x14ac:dyDescent="0.25">
      <c r="B264" s="22"/>
      <c r="C264" s="12"/>
      <c r="D264" s="15">
        <f>IFERROR(IF($C264="","",VLOOKUP($C264,'Menü Kartları'!$B$5:$C$154,2,FALSE)),"— tanımsız —")</f>
      </c>
      <c r="E264" s="23"/>
      <c r="F264" s="11">
        <f>IFERROR(IF(OR($C264="",$E264=""),0,$E264*VLOOKUP($C264,'Menü Kartları'!$B$5:$E$154,4,FALSE)),0)</f>
      </c>
      <c r="G264" s="11">
        <f>IFERROR(IF(OR($C264="",$E264=""),0,$E264*VLOOKUP($C264,'Menü Kartları'!$B$5:$G$154,6,FALSE)),0)</f>
      </c>
      <c r="H264" s="17">
        <f>IF($C264="","",$F264-$G264)</f>
      </c>
    </row>
    <row r="265" spans="2:8" x14ac:dyDescent="0.25">
      <c r="B265" s="20"/>
      <c r="C265" s="8"/>
      <c r="D265" s="15">
        <f>IFERROR(IF($C265="","",VLOOKUP($C265,'Menü Kartları'!$B$5:$C$154,2,FALSE)),"— tanımsız —")</f>
      </c>
      <c r="E265" s="21"/>
      <c r="F265" s="11">
        <f>IFERROR(IF(OR($C265="",$E265=""),0,$E265*VLOOKUP($C265,'Menü Kartları'!$B$5:$E$154,4,FALSE)),0)</f>
      </c>
      <c r="G265" s="11">
        <f>IFERROR(IF(OR($C265="",$E265=""),0,$E265*VLOOKUP($C265,'Menü Kartları'!$B$5:$G$154,6,FALSE)),0)</f>
      </c>
      <c r="H265" s="17">
        <f>IF($C265="","",$F265-$G265)</f>
      </c>
    </row>
    <row r="266" spans="2:8" x14ac:dyDescent="0.25">
      <c r="B266" s="22"/>
      <c r="C266" s="12"/>
      <c r="D266" s="15">
        <f>IFERROR(IF($C266="","",VLOOKUP($C266,'Menü Kartları'!$B$5:$C$154,2,FALSE)),"— tanımsız —")</f>
      </c>
      <c r="E266" s="23"/>
      <c r="F266" s="11">
        <f>IFERROR(IF(OR($C266="",$E266=""),0,$E266*VLOOKUP($C266,'Menü Kartları'!$B$5:$E$154,4,FALSE)),0)</f>
      </c>
      <c r="G266" s="11">
        <f>IFERROR(IF(OR($C266="",$E266=""),0,$E266*VLOOKUP($C266,'Menü Kartları'!$B$5:$G$154,6,FALSE)),0)</f>
      </c>
      <c r="H266" s="17">
        <f>IF($C266="","",$F266-$G266)</f>
      </c>
    </row>
    <row r="267" spans="2:8" x14ac:dyDescent="0.25">
      <c r="B267" s="20"/>
      <c r="C267" s="8"/>
      <c r="D267" s="15">
        <f>IFERROR(IF($C267="","",VLOOKUP($C267,'Menü Kartları'!$B$5:$C$154,2,FALSE)),"— tanımsız —")</f>
      </c>
      <c r="E267" s="21"/>
      <c r="F267" s="11">
        <f>IFERROR(IF(OR($C267="",$E267=""),0,$E267*VLOOKUP($C267,'Menü Kartları'!$B$5:$E$154,4,FALSE)),0)</f>
      </c>
      <c r="G267" s="11">
        <f>IFERROR(IF(OR($C267="",$E267=""),0,$E267*VLOOKUP($C267,'Menü Kartları'!$B$5:$G$154,6,FALSE)),0)</f>
      </c>
      <c r="H267" s="17">
        <f>IF($C267="","",$F267-$G267)</f>
      </c>
    </row>
    <row r="268" spans="2:8" x14ac:dyDescent="0.25">
      <c r="B268" s="22"/>
      <c r="C268" s="12"/>
      <c r="D268" s="15">
        <f>IFERROR(IF($C268="","",VLOOKUP($C268,'Menü Kartları'!$B$5:$C$154,2,FALSE)),"— tanımsız —")</f>
      </c>
      <c r="E268" s="23"/>
      <c r="F268" s="11">
        <f>IFERROR(IF(OR($C268="",$E268=""),0,$E268*VLOOKUP($C268,'Menü Kartları'!$B$5:$E$154,4,FALSE)),0)</f>
      </c>
      <c r="G268" s="11">
        <f>IFERROR(IF(OR($C268="",$E268=""),0,$E268*VLOOKUP($C268,'Menü Kartları'!$B$5:$G$154,6,FALSE)),0)</f>
      </c>
      <c r="H268" s="17">
        <f>IF($C268="","",$F268-$G268)</f>
      </c>
    </row>
    <row r="269" spans="2:8" x14ac:dyDescent="0.25">
      <c r="B269" s="20"/>
      <c r="C269" s="8"/>
      <c r="D269" s="15">
        <f>IFERROR(IF($C269="","",VLOOKUP($C269,'Menü Kartları'!$B$5:$C$154,2,FALSE)),"— tanımsız —")</f>
      </c>
      <c r="E269" s="21"/>
      <c r="F269" s="11">
        <f>IFERROR(IF(OR($C269="",$E269=""),0,$E269*VLOOKUP($C269,'Menü Kartları'!$B$5:$E$154,4,FALSE)),0)</f>
      </c>
      <c r="G269" s="11">
        <f>IFERROR(IF(OR($C269="",$E269=""),0,$E269*VLOOKUP($C269,'Menü Kartları'!$B$5:$G$154,6,FALSE)),0)</f>
      </c>
      <c r="H269" s="17">
        <f>IF($C269="","",$F269-$G269)</f>
      </c>
    </row>
    <row r="270" spans="2:8" x14ac:dyDescent="0.25">
      <c r="B270" s="22"/>
      <c r="C270" s="12"/>
      <c r="D270" s="15">
        <f>IFERROR(IF($C270="","",VLOOKUP($C270,'Menü Kartları'!$B$5:$C$154,2,FALSE)),"— tanımsız —")</f>
      </c>
      <c r="E270" s="23"/>
      <c r="F270" s="11">
        <f>IFERROR(IF(OR($C270="",$E270=""),0,$E270*VLOOKUP($C270,'Menü Kartları'!$B$5:$E$154,4,FALSE)),0)</f>
      </c>
      <c r="G270" s="11">
        <f>IFERROR(IF(OR($C270="",$E270=""),0,$E270*VLOOKUP($C270,'Menü Kartları'!$B$5:$G$154,6,FALSE)),0)</f>
      </c>
      <c r="H270" s="17">
        <f>IF($C270="","",$F270-$G270)</f>
      </c>
    </row>
    <row r="271" spans="2:8" x14ac:dyDescent="0.25">
      <c r="B271" s="20"/>
      <c r="C271" s="8"/>
      <c r="D271" s="15">
        <f>IFERROR(IF($C271="","",VLOOKUP($C271,'Menü Kartları'!$B$5:$C$154,2,FALSE)),"— tanımsız —")</f>
      </c>
      <c r="E271" s="21"/>
      <c r="F271" s="11">
        <f>IFERROR(IF(OR($C271="",$E271=""),0,$E271*VLOOKUP($C271,'Menü Kartları'!$B$5:$E$154,4,FALSE)),0)</f>
      </c>
      <c r="G271" s="11">
        <f>IFERROR(IF(OR($C271="",$E271=""),0,$E271*VLOOKUP($C271,'Menü Kartları'!$B$5:$G$154,6,FALSE)),0)</f>
      </c>
      <c r="H271" s="17">
        <f>IF($C271="","",$F271-$G271)</f>
      </c>
    </row>
    <row r="272" spans="2:8" x14ac:dyDescent="0.25">
      <c r="B272" s="22"/>
      <c r="C272" s="12"/>
      <c r="D272" s="15">
        <f>IFERROR(IF($C272="","",VLOOKUP($C272,'Menü Kartları'!$B$5:$C$154,2,FALSE)),"— tanımsız —")</f>
      </c>
      <c r="E272" s="23"/>
      <c r="F272" s="11">
        <f>IFERROR(IF(OR($C272="",$E272=""),0,$E272*VLOOKUP($C272,'Menü Kartları'!$B$5:$E$154,4,FALSE)),0)</f>
      </c>
      <c r="G272" s="11">
        <f>IFERROR(IF(OR($C272="",$E272=""),0,$E272*VLOOKUP($C272,'Menü Kartları'!$B$5:$G$154,6,FALSE)),0)</f>
      </c>
      <c r="H272" s="17">
        <f>IF($C272="","",$F272-$G272)</f>
      </c>
    </row>
    <row r="273" spans="2:8" x14ac:dyDescent="0.25">
      <c r="B273" s="20"/>
      <c r="C273" s="8"/>
      <c r="D273" s="15">
        <f>IFERROR(IF($C273="","",VLOOKUP($C273,'Menü Kartları'!$B$5:$C$154,2,FALSE)),"— tanımsız —")</f>
      </c>
      <c r="E273" s="21"/>
      <c r="F273" s="11">
        <f>IFERROR(IF(OR($C273="",$E273=""),0,$E273*VLOOKUP($C273,'Menü Kartları'!$B$5:$E$154,4,FALSE)),0)</f>
      </c>
      <c r="G273" s="11">
        <f>IFERROR(IF(OR($C273="",$E273=""),0,$E273*VLOOKUP($C273,'Menü Kartları'!$B$5:$G$154,6,FALSE)),0)</f>
      </c>
      <c r="H273" s="17">
        <f>IF($C273="","",$F273-$G273)</f>
      </c>
    </row>
    <row r="274" spans="2:8" x14ac:dyDescent="0.25">
      <c r="B274" s="22"/>
      <c r="C274" s="12"/>
      <c r="D274" s="15">
        <f>IFERROR(IF($C274="","",VLOOKUP($C274,'Menü Kartları'!$B$5:$C$154,2,FALSE)),"— tanımsız —")</f>
      </c>
      <c r="E274" s="23"/>
      <c r="F274" s="11">
        <f>IFERROR(IF(OR($C274="",$E274=""),0,$E274*VLOOKUP($C274,'Menü Kartları'!$B$5:$E$154,4,FALSE)),0)</f>
      </c>
      <c r="G274" s="11">
        <f>IFERROR(IF(OR($C274="",$E274=""),0,$E274*VLOOKUP($C274,'Menü Kartları'!$B$5:$G$154,6,FALSE)),0)</f>
      </c>
      <c r="H274" s="17">
        <f>IF($C274="","",$F274-$G274)</f>
      </c>
    </row>
    <row r="275" spans="2:8" x14ac:dyDescent="0.25">
      <c r="B275" s="20"/>
      <c r="C275" s="8"/>
      <c r="D275" s="15">
        <f>IFERROR(IF($C275="","",VLOOKUP($C275,'Menü Kartları'!$B$5:$C$154,2,FALSE)),"— tanımsız —")</f>
      </c>
      <c r="E275" s="21"/>
      <c r="F275" s="11">
        <f>IFERROR(IF(OR($C275="",$E275=""),0,$E275*VLOOKUP($C275,'Menü Kartları'!$B$5:$E$154,4,FALSE)),0)</f>
      </c>
      <c r="G275" s="11">
        <f>IFERROR(IF(OR($C275="",$E275=""),0,$E275*VLOOKUP($C275,'Menü Kartları'!$B$5:$G$154,6,FALSE)),0)</f>
      </c>
      <c r="H275" s="17">
        <f>IF($C275="","",$F275-$G275)</f>
      </c>
    </row>
    <row r="276" spans="2:8" x14ac:dyDescent="0.25">
      <c r="B276" s="22"/>
      <c r="C276" s="12"/>
      <c r="D276" s="15">
        <f>IFERROR(IF($C276="","",VLOOKUP($C276,'Menü Kartları'!$B$5:$C$154,2,FALSE)),"— tanımsız —")</f>
      </c>
      <c r="E276" s="23"/>
      <c r="F276" s="11">
        <f>IFERROR(IF(OR($C276="",$E276=""),0,$E276*VLOOKUP($C276,'Menü Kartları'!$B$5:$E$154,4,FALSE)),0)</f>
      </c>
      <c r="G276" s="11">
        <f>IFERROR(IF(OR($C276="",$E276=""),0,$E276*VLOOKUP($C276,'Menü Kartları'!$B$5:$G$154,6,FALSE)),0)</f>
      </c>
      <c r="H276" s="17">
        <f>IF($C276="","",$F276-$G276)</f>
      </c>
    </row>
    <row r="277" spans="2:8" x14ac:dyDescent="0.25">
      <c r="B277" s="20"/>
      <c r="C277" s="8"/>
      <c r="D277" s="15">
        <f>IFERROR(IF($C277="","",VLOOKUP($C277,'Menü Kartları'!$B$5:$C$154,2,FALSE)),"— tanımsız —")</f>
      </c>
      <c r="E277" s="21"/>
      <c r="F277" s="11">
        <f>IFERROR(IF(OR($C277="",$E277=""),0,$E277*VLOOKUP($C277,'Menü Kartları'!$B$5:$E$154,4,FALSE)),0)</f>
      </c>
      <c r="G277" s="11">
        <f>IFERROR(IF(OR($C277="",$E277=""),0,$E277*VLOOKUP($C277,'Menü Kartları'!$B$5:$G$154,6,FALSE)),0)</f>
      </c>
      <c r="H277" s="17">
        <f>IF($C277="","",$F277-$G277)</f>
      </c>
    </row>
    <row r="278" spans="2:8" x14ac:dyDescent="0.25">
      <c r="B278" s="22"/>
      <c r="C278" s="12"/>
      <c r="D278" s="15">
        <f>IFERROR(IF($C278="","",VLOOKUP($C278,'Menü Kartları'!$B$5:$C$154,2,FALSE)),"— tanımsız —")</f>
      </c>
      <c r="E278" s="23"/>
      <c r="F278" s="11">
        <f>IFERROR(IF(OR($C278="",$E278=""),0,$E278*VLOOKUP($C278,'Menü Kartları'!$B$5:$E$154,4,FALSE)),0)</f>
      </c>
      <c r="G278" s="11">
        <f>IFERROR(IF(OR($C278="",$E278=""),0,$E278*VLOOKUP($C278,'Menü Kartları'!$B$5:$G$154,6,FALSE)),0)</f>
      </c>
      <c r="H278" s="17">
        <f>IF($C278="","",$F278-$G278)</f>
      </c>
    </row>
    <row r="279" spans="2:8" x14ac:dyDescent="0.25">
      <c r="B279" s="20"/>
      <c r="C279" s="8"/>
      <c r="D279" s="15">
        <f>IFERROR(IF($C279="","",VLOOKUP($C279,'Menü Kartları'!$B$5:$C$154,2,FALSE)),"— tanımsız —")</f>
      </c>
      <c r="E279" s="21"/>
      <c r="F279" s="11">
        <f>IFERROR(IF(OR($C279="",$E279=""),0,$E279*VLOOKUP($C279,'Menü Kartları'!$B$5:$E$154,4,FALSE)),0)</f>
      </c>
      <c r="G279" s="11">
        <f>IFERROR(IF(OR($C279="",$E279=""),0,$E279*VLOOKUP($C279,'Menü Kartları'!$B$5:$G$154,6,FALSE)),0)</f>
      </c>
      <c r="H279" s="17">
        <f>IF($C279="","",$F279-$G279)</f>
      </c>
    </row>
    <row r="280" spans="2:8" x14ac:dyDescent="0.25">
      <c r="B280" s="22"/>
      <c r="C280" s="12"/>
      <c r="D280" s="15">
        <f>IFERROR(IF($C280="","",VLOOKUP($C280,'Menü Kartları'!$B$5:$C$154,2,FALSE)),"— tanımsız —")</f>
      </c>
      <c r="E280" s="23"/>
      <c r="F280" s="11">
        <f>IFERROR(IF(OR($C280="",$E280=""),0,$E280*VLOOKUP($C280,'Menü Kartları'!$B$5:$E$154,4,FALSE)),0)</f>
      </c>
      <c r="G280" s="11">
        <f>IFERROR(IF(OR($C280="",$E280=""),0,$E280*VLOOKUP($C280,'Menü Kartları'!$B$5:$G$154,6,FALSE)),0)</f>
      </c>
      <c r="H280" s="17">
        <f>IF($C280="","",$F280-$G280)</f>
      </c>
    </row>
    <row r="281" spans="2:8" x14ac:dyDescent="0.25">
      <c r="B281" s="20"/>
      <c r="C281" s="8"/>
      <c r="D281" s="15">
        <f>IFERROR(IF($C281="","",VLOOKUP($C281,'Menü Kartları'!$B$5:$C$154,2,FALSE)),"— tanımsız —")</f>
      </c>
      <c r="E281" s="21"/>
      <c r="F281" s="11">
        <f>IFERROR(IF(OR($C281="",$E281=""),0,$E281*VLOOKUP($C281,'Menü Kartları'!$B$5:$E$154,4,FALSE)),0)</f>
      </c>
      <c r="G281" s="11">
        <f>IFERROR(IF(OR($C281="",$E281=""),0,$E281*VLOOKUP($C281,'Menü Kartları'!$B$5:$G$154,6,FALSE)),0)</f>
      </c>
      <c r="H281" s="17">
        <f>IF($C281="","",$F281-$G281)</f>
      </c>
    </row>
    <row r="282" spans="2:8" x14ac:dyDescent="0.25">
      <c r="B282" s="22"/>
      <c r="C282" s="12"/>
      <c r="D282" s="15">
        <f>IFERROR(IF($C282="","",VLOOKUP($C282,'Menü Kartları'!$B$5:$C$154,2,FALSE)),"— tanımsız —")</f>
      </c>
      <c r="E282" s="23"/>
      <c r="F282" s="11">
        <f>IFERROR(IF(OR($C282="",$E282=""),0,$E282*VLOOKUP($C282,'Menü Kartları'!$B$5:$E$154,4,FALSE)),0)</f>
      </c>
      <c r="G282" s="11">
        <f>IFERROR(IF(OR($C282="",$E282=""),0,$E282*VLOOKUP($C282,'Menü Kartları'!$B$5:$G$154,6,FALSE)),0)</f>
      </c>
      <c r="H282" s="17">
        <f>IF($C282="","",$F282-$G282)</f>
      </c>
    </row>
    <row r="283" spans="2:8" x14ac:dyDescent="0.25">
      <c r="B283" s="20"/>
      <c r="C283" s="8"/>
      <c r="D283" s="15">
        <f>IFERROR(IF($C283="","",VLOOKUP($C283,'Menü Kartları'!$B$5:$C$154,2,FALSE)),"— tanımsız —")</f>
      </c>
      <c r="E283" s="21"/>
      <c r="F283" s="11">
        <f>IFERROR(IF(OR($C283="",$E283=""),0,$E283*VLOOKUP($C283,'Menü Kartları'!$B$5:$E$154,4,FALSE)),0)</f>
      </c>
      <c r="G283" s="11">
        <f>IFERROR(IF(OR($C283="",$E283=""),0,$E283*VLOOKUP($C283,'Menü Kartları'!$B$5:$G$154,6,FALSE)),0)</f>
      </c>
      <c r="H283" s="17">
        <f>IF($C283="","",$F283-$G283)</f>
      </c>
    </row>
    <row r="284" spans="2:8" x14ac:dyDescent="0.25">
      <c r="B284" s="22"/>
      <c r="C284" s="12"/>
      <c r="D284" s="15">
        <f>IFERROR(IF($C284="","",VLOOKUP($C284,'Menü Kartları'!$B$5:$C$154,2,FALSE)),"— tanımsız —")</f>
      </c>
      <c r="E284" s="23"/>
      <c r="F284" s="11">
        <f>IFERROR(IF(OR($C284="",$E284=""),0,$E284*VLOOKUP($C284,'Menü Kartları'!$B$5:$E$154,4,FALSE)),0)</f>
      </c>
      <c r="G284" s="11">
        <f>IFERROR(IF(OR($C284="",$E284=""),0,$E284*VLOOKUP($C284,'Menü Kartları'!$B$5:$G$154,6,FALSE)),0)</f>
      </c>
      <c r="H284" s="17">
        <f>IF($C284="","",$F284-$G284)</f>
      </c>
    </row>
    <row r="285" spans="2:8" x14ac:dyDescent="0.25">
      <c r="B285" s="20"/>
      <c r="C285" s="8"/>
      <c r="D285" s="15">
        <f>IFERROR(IF($C285="","",VLOOKUP($C285,'Menü Kartları'!$B$5:$C$154,2,FALSE)),"— tanımsız —")</f>
      </c>
      <c r="E285" s="21"/>
      <c r="F285" s="11">
        <f>IFERROR(IF(OR($C285="",$E285=""),0,$E285*VLOOKUP($C285,'Menü Kartları'!$B$5:$E$154,4,FALSE)),0)</f>
      </c>
      <c r="G285" s="11">
        <f>IFERROR(IF(OR($C285="",$E285=""),0,$E285*VLOOKUP($C285,'Menü Kartları'!$B$5:$G$154,6,FALSE)),0)</f>
      </c>
      <c r="H285" s="17">
        <f>IF($C285="","",$F285-$G285)</f>
      </c>
    </row>
    <row r="286" spans="2:8" x14ac:dyDescent="0.25">
      <c r="B286" s="22"/>
      <c r="C286" s="12"/>
      <c r="D286" s="15">
        <f>IFERROR(IF($C286="","",VLOOKUP($C286,'Menü Kartları'!$B$5:$C$154,2,FALSE)),"— tanımsız —")</f>
      </c>
      <c r="E286" s="23"/>
      <c r="F286" s="11">
        <f>IFERROR(IF(OR($C286="",$E286=""),0,$E286*VLOOKUP($C286,'Menü Kartları'!$B$5:$E$154,4,FALSE)),0)</f>
      </c>
      <c r="G286" s="11">
        <f>IFERROR(IF(OR($C286="",$E286=""),0,$E286*VLOOKUP($C286,'Menü Kartları'!$B$5:$G$154,6,FALSE)),0)</f>
      </c>
      <c r="H286" s="17">
        <f>IF($C286="","",$F286-$G286)</f>
      </c>
    </row>
    <row r="287" spans="2:8" x14ac:dyDescent="0.25">
      <c r="B287" s="20"/>
      <c r="C287" s="8"/>
      <c r="D287" s="15">
        <f>IFERROR(IF($C287="","",VLOOKUP($C287,'Menü Kartları'!$B$5:$C$154,2,FALSE)),"— tanımsız —")</f>
      </c>
      <c r="E287" s="21"/>
      <c r="F287" s="11">
        <f>IFERROR(IF(OR($C287="",$E287=""),0,$E287*VLOOKUP($C287,'Menü Kartları'!$B$5:$E$154,4,FALSE)),0)</f>
      </c>
      <c r="G287" s="11">
        <f>IFERROR(IF(OR($C287="",$E287=""),0,$E287*VLOOKUP($C287,'Menü Kartları'!$B$5:$G$154,6,FALSE)),0)</f>
      </c>
      <c r="H287" s="17">
        <f>IF($C287="","",$F287-$G287)</f>
      </c>
    </row>
    <row r="288" spans="2:8" x14ac:dyDescent="0.25">
      <c r="B288" s="22"/>
      <c r="C288" s="12"/>
      <c r="D288" s="15">
        <f>IFERROR(IF($C288="","",VLOOKUP($C288,'Menü Kartları'!$B$5:$C$154,2,FALSE)),"— tanımsız —")</f>
      </c>
      <c r="E288" s="23"/>
      <c r="F288" s="11">
        <f>IFERROR(IF(OR($C288="",$E288=""),0,$E288*VLOOKUP($C288,'Menü Kartları'!$B$5:$E$154,4,FALSE)),0)</f>
      </c>
      <c r="G288" s="11">
        <f>IFERROR(IF(OR($C288="",$E288=""),0,$E288*VLOOKUP($C288,'Menü Kartları'!$B$5:$G$154,6,FALSE)),0)</f>
      </c>
      <c r="H288" s="17">
        <f>IF($C288="","",$F288-$G288)</f>
      </c>
    </row>
    <row r="289" spans="2:8" x14ac:dyDescent="0.25">
      <c r="B289" s="20"/>
      <c r="C289" s="8"/>
      <c r="D289" s="15">
        <f>IFERROR(IF($C289="","",VLOOKUP($C289,'Menü Kartları'!$B$5:$C$154,2,FALSE)),"— tanımsız —")</f>
      </c>
      <c r="E289" s="21"/>
      <c r="F289" s="11">
        <f>IFERROR(IF(OR($C289="",$E289=""),0,$E289*VLOOKUP($C289,'Menü Kartları'!$B$5:$E$154,4,FALSE)),0)</f>
      </c>
      <c r="G289" s="11">
        <f>IFERROR(IF(OR($C289="",$E289=""),0,$E289*VLOOKUP($C289,'Menü Kartları'!$B$5:$G$154,6,FALSE)),0)</f>
      </c>
      <c r="H289" s="17">
        <f>IF($C289="","",$F289-$G289)</f>
      </c>
    </row>
    <row r="290" spans="2:8" x14ac:dyDescent="0.25">
      <c r="B290" s="22"/>
      <c r="C290" s="12"/>
      <c r="D290" s="15">
        <f>IFERROR(IF($C290="","",VLOOKUP($C290,'Menü Kartları'!$B$5:$C$154,2,FALSE)),"— tanımsız —")</f>
      </c>
      <c r="E290" s="23"/>
      <c r="F290" s="11">
        <f>IFERROR(IF(OR($C290="",$E290=""),0,$E290*VLOOKUP($C290,'Menü Kartları'!$B$5:$E$154,4,FALSE)),0)</f>
      </c>
      <c r="G290" s="11">
        <f>IFERROR(IF(OR($C290="",$E290=""),0,$E290*VLOOKUP($C290,'Menü Kartları'!$B$5:$G$154,6,FALSE)),0)</f>
      </c>
      <c r="H290" s="17">
        <f>IF($C290="","",$F290-$G290)</f>
      </c>
    </row>
    <row r="291" spans="2:8" x14ac:dyDescent="0.25">
      <c r="B291" s="20"/>
      <c r="C291" s="8"/>
      <c r="D291" s="15">
        <f>IFERROR(IF($C291="","",VLOOKUP($C291,'Menü Kartları'!$B$5:$C$154,2,FALSE)),"— tanımsız —")</f>
      </c>
      <c r="E291" s="21"/>
      <c r="F291" s="11">
        <f>IFERROR(IF(OR($C291="",$E291=""),0,$E291*VLOOKUP($C291,'Menü Kartları'!$B$5:$E$154,4,FALSE)),0)</f>
      </c>
      <c r="G291" s="11">
        <f>IFERROR(IF(OR($C291="",$E291=""),0,$E291*VLOOKUP($C291,'Menü Kartları'!$B$5:$G$154,6,FALSE)),0)</f>
      </c>
      <c r="H291" s="17">
        <f>IF($C291="","",$F291-$G291)</f>
      </c>
    </row>
    <row r="292" spans="2:8" x14ac:dyDescent="0.25">
      <c r="B292" s="22"/>
      <c r="C292" s="12"/>
      <c r="D292" s="15">
        <f>IFERROR(IF($C292="","",VLOOKUP($C292,'Menü Kartları'!$B$5:$C$154,2,FALSE)),"— tanımsız —")</f>
      </c>
      <c r="E292" s="23"/>
      <c r="F292" s="11">
        <f>IFERROR(IF(OR($C292="",$E292=""),0,$E292*VLOOKUP($C292,'Menü Kartları'!$B$5:$E$154,4,FALSE)),0)</f>
      </c>
      <c r="G292" s="11">
        <f>IFERROR(IF(OR($C292="",$E292=""),0,$E292*VLOOKUP($C292,'Menü Kartları'!$B$5:$G$154,6,FALSE)),0)</f>
      </c>
      <c r="H292" s="17">
        <f>IF($C292="","",$F292-$G292)</f>
      </c>
    </row>
    <row r="293" spans="2:8" x14ac:dyDescent="0.25">
      <c r="B293" s="20"/>
      <c r="C293" s="8"/>
      <c r="D293" s="15">
        <f>IFERROR(IF($C293="","",VLOOKUP($C293,'Menü Kartları'!$B$5:$C$154,2,FALSE)),"— tanımsız —")</f>
      </c>
      <c r="E293" s="21"/>
      <c r="F293" s="11">
        <f>IFERROR(IF(OR($C293="",$E293=""),0,$E293*VLOOKUP($C293,'Menü Kartları'!$B$5:$E$154,4,FALSE)),0)</f>
      </c>
      <c r="G293" s="11">
        <f>IFERROR(IF(OR($C293="",$E293=""),0,$E293*VLOOKUP($C293,'Menü Kartları'!$B$5:$G$154,6,FALSE)),0)</f>
      </c>
      <c r="H293" s="17">
        <f>IF($C293="","",$F293-$G293)</f>
      </c>
    </row>
    <row r="294" spans="2:8" x14ac:dyDescent="0.25">
      <c r="B294" s="22"/>
      <c r="C294" s="12"/>
      <c r="D294" s="15">
        <f>IFERROR(IF($C294="","",VLOOKUP($C294,'Menü Kartları'!$B$5:$C$154,2,FALSE)),"— tanımsız —")</f>
      </c>
      <c r="E294" s="23"/>
      <c r="F294" s="11">
        <f>IFERROR(IF(OR($C294="",$E294=""),0,$E294*VLOOKUP($C294,'Menü Kartları'!$B$5:$E$154,4,FALSE)),0)</f>
      </c>
      <c r="G294" s="11">
        <f>IFERROR(IF(OR($C294="",$E294=""),0,$E294*VLOOKUP($C294,'Menü Kartları'!$B$5:$G$154,6,FALSE)),0)</f>
      </c>
      <c r="H294" s="17">
        <f>IF($C294="","",$F294-$G294)</f>
      </c>
    </row>
    <row r="295" spans="2:8" x14ac:dyDescent="0.25">
      <c r="B295" s="20"/>
      <c r="C295" s="8"/>
      <c r="D295" s="15">
        <f>IFERROR(IF($C295="","",VLOOKUP($C295,'Menü Kartları'!$B$5:$C$154,2,FALSE)),"— tanımsız —")</f>
      </c>
      <c r="E295" s="21"/>
      <c r="F295" s="11">
        <f>IFERROR(IF(OR($C295="",$E295=""),0,$E295*VLOOKUP($C295,'Menü Kartları'!$B$5:$E$154,4,FALSE)),0)</f>
      </c>
      <c r="G295" s="11">
        <f>IFERROR(IF(OR($C295="",$E295=""),0,$E295*VLOOKUP($C295,'Menü Kartları'!$B$5:$G$154,6,FALSE)),0)</f>
      </c>
      <c r="H295" s="17">
        <f>IF($C295="","",$F295-$G295)</f>
      </c>
    </row>
    <row r="296" spans="2:8" x14ac:dyDescent="0.25">
      <c r="B296" s="22"/>
      <c r="C296" s="12"/>
      <c r="D296" s="15">
        <f>IFERROR(IF($C296="","",VLOOKUP($C296,'Menü Kartları'!$B$5:$C$154,2,FALSE)),"— tanımsız —")</f>
      </c>
      <c r="E296" s="23"/>
      <c r="F296" s="11">
        <f>IFERROR(IF(OR($C296="",$E296=""),0,$E296*VLOOKUP($C296,'Menü Kartları'!$B$5:$E$154,4,FALSE)),0)</f>
      </c>
      <c r="G296" s="11">
        <f>IFERROR(IF(OR($C296="",$E296=""),0,$E296*VLOOKUP($C296,'Menü Kartları'!$B$5:$G$154,6,FALSE)),0)</f>
      </c>
      <c r="H296" s="17">
        <f>IF($C296="","",$F296-$G296)</f>
      </c>
    </row>
    <row r="297" spans="2:8" x14ac:dyDescent="0.25">
      <c r="B297" s="20"/>
      <c r="C297" s="8"/>
      <c r="D297" s="15">
        <f>IFERROR(IF($C297="","",VLOOKUP($C297,'Menü Kartları'!$B$5:$C$154,2,FALSE)),"— tanımsız —")</f>
      </c>
      <c r="E297" s="21"/>
      <c r="F297" s="11">
        <f>IFERROR(IF(OR($C297="",$E297=""),0,$E297*VLOOKUP($C297,'Menü Kartları'!$B$5:$E$154,4,FALSE)),0)</f>
      </c>
      <c r="G297" s="11">
        <f>IFERROR(IF(OR($C297="",$E297=""),0,$E297*VLOOKUP($C297,'Menü Kartları'!$B$5:$G$154,6,FALSE)),0)</f>
      </c>
      <c r="H297" s="17">
        <f>IF($C297="","",$F297-$G297)</f>
      </c>
    </row>
    <row r="298" spans="2:8" x14ac:dyDescent="0.25">
      <c r="B298" s="22"/>
      <c r="C298" s="12"/>
      <c r="D298" s="15">
        <f>IFERROR(IF($C298="","",VLOOKUP($C298,'Menü Kartları'!$B$5:$C$154,2,FALSE)),"— tanımsız —")</f>
      </c>
      <c r="E298" s="23"/>
      <c r="F298" s="11">
        <f>IFERROR(IF(OR($C298="",$E298=""),0,$E298*VLOOKUP($C298,'Menü Kartları'!$B$5:$E$154,4,FALSE)),0)</f>
      </c>
      <c r="G298" s="11">
        <f>IFERROR(IF(OR($C298="",$E298=""),0,$E298*VLOOKUP($C298,'Menü Kartları'!$B$5:$G$154,6,FALSE)),0)</f>
      </c>
      <c r="H298" s="17">
        <f>IF($C298="","",$F298-$G298)</f>
      </c>
    </row>
    <row r="299" spans="2:8" x14ac:dyDescent="0.25">
      <c r="B299" s="20"/>
      <c r="C299" s="8"/>
      <c r="D299" s="15">
        <f>IFERROR(IF($C299="","",VLOOKUP($C299,'Menü Kartları'!$B$5:$C$154,2,FALSE)),"— tanımsız —")</f>
      </c>
      <c r="E299" s="21"/>
      <c r="F299" s="11">
        <f>IFERROR(IF(OR($C299="",$E299=""),0,$E299*VLOOKUP($C299,'Menü Kartları'!$B$5:$E$154,4,FALSE)),0)</f>
      </c>
      <c r="G299" s="11">
        <f>IFERROR(IF(OR($C299="",$E299=""),0,$E299*VLOOKUP($C299,'Menü Kartları'!$B$5:$G$154,6,FALSE)),0)</f>
      </c>
      <c r="H299" s="17">
        <f>IF($C299="","",$F299-$G299)</f>
      </c>
    </row>
    <row r="300" spans="2:8" x14ac:dyDescent="0.25">
      <c r="B300" s="22"/>
      <c r="C300" s="12"/>
      <c r="D300" s="15">
        <f>IFERROR(IF($C300="","",VLOOKUP($C300,'Menü Kartları'!$B$5:$C$154,2,FALSE)),"— tanımsız —")</f>
      </c>
      <c r="E300" s="23"/>
      <c r="F300" s="11">
        <f>IFERROR(IF(OR($C300="",$E300=""),0,$E300*VLOOKUP($C300,'Menü Kartları'!$B$5:$E$154,4,FALSE)),0)</f>
      </c>
      <c r="G300" s="11">
        <f>IFERROR(IF(OR($C300="",$E300=""),0,$E300*VLOOKUP($C300,'Menü Kartları'!$B$5:$G$154,6,FALSE)),0)</f>
      </c>
      <c r="H300" s="17">
        <f>IF($C300="","",$F300-$G300)</f>
      </c>
    </row>
    <row r="301" spans="2:8" x14ac:dyDescent="0.25">
      <c r="B301" s="20"/>
      <c r="C301" s="8"/>
      <c r="D301" s="15">
        <f>IFERROR(IF($C301="","",VLOOKUP($C301,'Menü Kartları'!$B$5:$C$154,2,FALSE)),"— tanımsız —")</f>
      </c>
      <c r="E301" s="21"/>
      <c r="F301" s="11">
        <f>IFERROR(IF(OR($C301="",$E301=""),0,$E301*VLOOKUP($C301,'Menü Kartları'!$B$5:$E$154,4,FALSE)),0)</f>
      </c>
      <c r="G301" s="11">
        <f>IFERROR(IF(OR($C301="",$E301=""),0,$E301*VLOOKUP($C301,'Menü Kartları'!$B$5:$G$154,6,FALSE)),0)</f>
      </c>
      <c r="H301" s="17">
        <f>IF($C301="","",$F301-$G301)</f>
      </c>
    </row>
    <row r="302" spans="2:8" x14ac:dyDescent="0.25">
      <c r="B302" s="22"/>
      <c r="C302" s="12"/>
      <c r="D302" s="15">
        <f>IFERROR(IF($C302="","",VLOOKUP($C302,'Menü Kartları'!$B$5:$C$154,2,FALSE)),"— tanımsız —")</f>
      </c>
      <c r="E302" s="23"/>
      <c r="F302" s="11">
        <f>IFERROR(IF(OR($C302="",$E302=""),0,$E302*VLOOKUP($C302,'Menü Kartları'!$B$5:$E$154,4,FALSE)),0)</f>
      </c>
      <c r="G302" s="11">
        <f>IFERROR(IF(OR($C302="",$E302=""),0,$E302*VLOOKUP($C302,'Menü Kartları'!$B$5:$G$154,6,FALSE)),0)</f>
      </c>
      <c r="H302" s="17">
        <f>IF($C302="","",$F302-$G302)</f>
      </c>
    </row>
    <row r="303" spans="2:8" x14ac:dyDescent="0.25">
      <c r="B303" s="20"/>
      <c r="C303" s="8"/>
      <c r="D303" s="15">
        <f>IFERROR(IF($C303="","",VLOOKUP($C303,'Menü Kartları'!$B$5:$C$154,2,FALSE)),"— tanımsız —")</f>
      </c>
      <c r="E303" s="21"/>
      <c r="F303" s="11">
        <f>IFERROR(IF(OR($C303="",$E303=""),0,$E303*VLOOKUP($C303,'Menü Kartları'!$B$5:$E$154,4,FALSE)),0)</f>
      </c>
      <c r="G303" s="11">
        <f>IFERROR(IF(OR($C303="",$E303=""),0,$E303*VLOOKUP($C303,'Menü Kartları'!$B$5:$G$154,6,FALSE)),0)</f>
      </c>
      <c r="H303" s="17">
        <f>IF($C303="","",$F303-$G303)</f>
      </c>
    </row>
    <row r="304" spans="2:8" x14ac:dyDescent="0.25">
      <c r="B304" s="22"/>
      <c r="C304" s="12"/>
      <c r="D304" s="15">
        <f>IFERROR(IF($C304="","",VLOOKUP($C304,'Menü Kartları'!$B$5:$C$154,2,FALSE)),"— tanımsız —")</f>
      </c>
      <c r="E304" s="23"/>
      <c r="F304" s="11">
        <f>IFERROR(IF(OR($C304="",$E304=""),0,$E304*VLOOKUP($C304,'Menü Kartları'!$B$5:$E$154,4,FALSE)),0)</f>
      </c>
      <c r="G304" s="11">
        <f>IFERROR(IF(OR($C304="",$E304=""),0,$E304*VLOOKUP($C304,'Menü Kartları'!$B$5:$G$154,6,FALSE)),0)</f>
      </c>
      <c r="H304" s="17">
        <f>IF($C304="","",$F304-$G304)</f>
      </c>
    </row>
    <row r="305" spans="2:8" x14ac:dyDescent="0.25">
      <c r="B305" s="20"/>
      <c r="C305" s="8"/>
      <c r="D305" s="15">
        <f>IFERROR(IF($C305="","",VLOOKUP($C305,'Menü Kartları'!$B$5:$C$154,2,FALSE)),"— tanımsız —")</f>
      </c>
      <c r="E305" s="21"/>
      <c r="F305" s="11">
        <f>IFERROR(IF(OR($C305="",$E305=""),0,$E305*VLOOKUP($C305,'Menü Kartları'!$B$5:$E$154,4,FALSE)),0)</f>
      </c>
      <c r="G305" s="11">
        <f>IFERROR(IF(OR($C305="",$E305=""),0,$E305*VLOOKUP($C305,'Menü Kartları'!$B$5:$G$154,6,FALSE)),0)</f>
      </c>
      <c r="H305" s="17">
        <f>IF($C305="","",$F305-$G305)</f>
      </c>
    </row>
    <row r="306" spans="2:8" x14ac:dyDescent="0.25">
      <c r="B306" s="22"/>
      <c r="C306" s="12"/>
      <c r="D306" s="15">
        <f>IFERROR(IF($C306="","",VLOOKUP($C306,'Menü Kartları'!$B$5:$C$154,2,FALSE)),"— tanımsız —")</f>
      </c>
      <c r="E306" s="23"/>
      <c r="F306" s="11">
        <f>IFERROR(IF(OR($C306="",$E306=""),0,$E306*VLOOKUP($C306,'Menü Kartları'!$B$5:$E$154,4,FALSE)),0)</f>
      </c>
      <c r="G306" s="11">
        <f>IFERROR(IF(OR($C306="",$E306=""),0,$E306*VLOOKUP($C306,'Menü Kartları'!$B$5:$G$154,6,FALSE)),0)</f>
      </c>
      <c r="H306" s="17">
        <f>IF($C306="","",$F306-$G306)</f>
      </c>
    </row>
    <row r="307" spans="2:8" x14ac:dyDescent="0.25">
      <c r="B307" s="20"/>
      <c r="C307" s="8"/>
      <c r="D307" s="15">
        <f>IFERROR(IF($C307="","",VLOOKUP($C307,'Menü Kartları'!$B$5:$C$154,2,FALSE)),"— tanımsız —")</f>
      </c>
      <c r="E307" s="21"/>
      <c r="F307" s="11">
        <f>IFERROR(IF(OR($C307="",$E307=""),0,$E307*VLOOKUP($C307,'Menü Kartları'!$B$5:$E$154,4,FALSE)),0)</f>
      </c>
      <c r="G307" s="11">
        <f>IFERROR(IF(OR($C307="",$E307=""),0,$E307*VLOOKUP($C307,'Menü Kartları'!$B$5:$G$154,6,FALSE)),0)</f>
      </c>
      <c r="H307" s="17">
        <f>IF($C307="","",$F307-$G307)</f>
      </c>
    </row>
    <row r="308" spans="2:8" x14ac:dyDescent="0.25">
      <c r="B308" s="22"/>
      <c r="C308" s="12"/>
      <c r="D308" s="15">
        <f>IFERROR(IF($C308="","",VLOOKUP($C308,'Menü Kartları'!$B$5:$C$154,2,FALSE)),"— tanımsız —")</f>
      </c>
      <c r="E308" s="23"/>
      <c r="F308" s="11">
        <f>IFERROR(IF(OR($C308="",$E308=""),0,$E308*VLOOKUP($C308,'Menü Kartları'!$B$5:$E$154,4,FALSE)),0)</f>
      </c>
      <c r="G308" s="11">
        <f>IFERROR(IF(OR($C308="",$E308=""),0,$E308*VLOOKUP($C308,'Menü Kartları'!$B$5:$G$154,6,FALSE)),0)</f>
      </c>
      <c r="H308" s="17">
        <f>IF($C308="","",$F308-$G308)</f>
      </c>
    </row>
    <row r="309" spans="2:8" x14ac:dyDescent="0.25">
      <c r="B309" s="20"/>
      <c r="C309" s="8"/>
      <c r="D309" s="15">
        <f>IFERROR(IF($C309="","",VLOOKUP($C309,'Menü Kartları'!$B$5:$C$154,2,FALSE)),"— tanımsız —")</f>
      </c>
      <c r="E309" s="21"/>
      <c r="F309" s="11">
        <f>IFERROR(IF(OR($C309="",$E309=""),0,$E309*VLOOKUP($C309,'Menü Kartları'!$B$5:$E$154,4,FALSE)),0)</f>
      </c>
      <c r="G309" s="11">
        <f>IFERROR(IF(OR($C309="",$E309=""),0,$E309*VLOOKUP($C309,'Menü Kartları'!$B$5:$G$154,6,FALSE)),0)</f>
      </c>
      <c r="H309" s="17">
        <f>IF($C309="","",$F309-$G309)</f>
      </c>
    </row>
    <row r="310" spans="2:8" x14ac:dyDescent="0.25">
      <c r="B310" s="22"/>
      <c r="C310" s="12"/>
      <c r="D310" s="15">
        <f>IFERROR(IF($C310="","",VLOOKUP($C310,'Menü Kartları'!$B$5:$C$154,2,FALSE)),"— tanımsız —")</f>
      </c>
      <c r="E310" s="23"/>
      <c r="F310" s="11">
        <f>IFERROR(IF(OR($C310="",$E310=""),0,$E310*VLOOKUP($C310,'Menü Kartları'!$B$5:$E$154,4,FALSE)),0)</f>
      </c>
      <c r="G310" s="11">
        <f>IFERROR(IF(OR($C310="",$E310=""),0,$E310*VLOOKUP($C310,'Menü Kartları'!$B$5:$G$154,6,FALSE)),0)</f>
      </c>
      <c r="H310" s="17">
        <f>IF($C310="","",$F310-$G310)</f>
      </c>
    </row>
    <row r="311" spans="2:8" x14ac:dyDescent="0.25">
      <c r="B311" s="20"/>
      <c r="C311" s="8"/>
      <c r="D311" s="15">
        <f>IFERROR(IF($C311="","",VLOOKUP($C311,'Menü Kartları'!$B$5:$C$154,2,FALSE)),"— tanımsız —")</f>
      </c>
      <c r="E311" s="21"/>
      <c r="F311" s="11">
        <f>IFERROR(IF(OR($C311="",$E311=""),0,$E311*VLOOKUP($C311,'Menü Kartları'!$B$5:$E$154,4,FALSE)),0)</f>
      </c>
      <c r="G311" s="11">
        <f>IFERROR(IF(OR($C311="",$E311=""),0,$E311*VLOOKUP($C311,'Menü Kartları'!$B$5:$G$154,6,FALSE)),0)</f>
      </c>
      <c r="H311" s="17">
        <f>IF($C311="","",$F311-$G311)</f>
      </c>
    </row>
    <row r="312" spans="2:8" x14ac:dyDescent="0.25">
      <c r="B312" s="22"/>
      <c r="C312" s="12"/>
      <c r="D312" s="15">
        <f>IFERROR(IF($C312="","",VLOOKUP($C312,'Menü Kartları'!$B$5:$C$154,2,FALSE)),"— tanımsız —")</f>
      </c>
      <c r="E312" s="23"/>
      <c r="F312" s="11">
        <f>IFERROR(IF(OR($C312="",$E312=""),0,$E312*VLOOKUP($C312,'Menü Kartları'!$B$5:$E$154,4,FALSE)),0)</f>
      </c>
      <c r="G312" s="11">
        <f>IFERROR(IF(OR($C312="",$E312=""),0,$E312*VLOOKUP($C312,'Menü Kartları'!$B$5:$G$154,6,FALSE)),0)</f>
      </c>
      <c r="H312" s="17">
        <f>IF($C312="","",$F312-$G312)</f>
      </c>
    </row>
    <row r="313" spans="2:8" x14ac:dyDescent="0.25">
      <c r="B313" s="20"/>
      <c r="C313" s="8"/>
      <c r="D313" s="15">
        <f>IFERROR(IF($C313="","",VLOOKUP($C313,'Menü Kartları'!$B$5:$C$154,2,FALSE)),"— tanımsız —")</f>
      </c>
      <c r="E313" s="21"/>
      <c r="F313" s="11">
        <f>IFERROR(IF(OR($C313="",$E313=""),0,$E313*VLOOKUP($C313,'Menü Kartları'!$B$5:$E$154,4,FALSE)),0)</f>
      </c>
      <c r="G313" s="11">
        <f>IFERROR(IF(OR($C313="",$E313=""),0,$E313*VLOOKUP($C313,'Menü Kartları'!$B$5:$G$154,6,FALSE)),0)</f>
      </c>
      <c r="H313" s="17">
        <f>IF($C313="","",$F313-$G313)</f>
      </c>
    </row>
    <row r="314" spans="2:8" x14ac:dyDescent="0.25">
      <c r="B314" s="22"/>
      <c r="C314" s="12"/>
      <c r="D314" s="15">
        <f>IFERROR(IF($C314="","",VLOOKUP($C314,'Menü Kartları'!$B$5:$C$154,2,FALSE)),"— tanımsız —")</f>
      </c>
      <c r="E314" s="23"/>
      <c r="F314" s="11">
        <f>IFERROR(IF(OR($C314="",$E314=""),0,$E314*VLOOKUP($C314,'Menü Kartları'!$B$5:$E$154,4,FALSE)),0)</f>
      </c>
      <c r="G314" s="11">
        <f>IFERROR(IF(OR($C314="",$E314=""),0,$E314*VLOOKUP($C314,'Menü Kartları'!$B$5:$G$154,6,FALSE)),0)</f>
      </c>
      <c r="H314" s="17">
        <f>IF($C314="","",$F314-$G314)</f>
      </c>
    </row>
    <row r="315" spans="2:8" x14ac:dyDescent="0.25">
      <c r="B315" s="20"/>
      <c r="C315" s="8"/>
      <c r="D315" s="15">
        <f>IFERROR(IF($C315="","",VLOOKUP($C315,'Menü Kartları'!$B$5:$C$154,2,FALSE)),"— tanımsız —")</f>
      </c>
      <c r="E315" s="21"/>
      <c r="F315" s="11">
        <f>IFERROR(IF(OR($C315="",$E315=""),0,$E315*VLOOKUP($C315,'Menü Kartları'!$B$5:$E$154,4,FALSE)),0)</f>
      </c>
      <c r="G315" s="11">
        <f>IFERROR(IF(OR($C315="",$E315=""),0,$E315*VLOOKUP($C315,'Menü Kartları'!$B$5:$G$154,6,FALSE)),0)</f>
      </c>
      <c r="H315" s="17">
        <f>IF($C315="","",$F315-$G315)</f>
      </c>
    </row>
    <row r="316" spans="2:8" x14ac:dyDescent="0.25">
      <c r="B316" s="22"/>
      <c r="C316" s="12"/>
      <c r="D316" s="15">
        <f>IFERROR(IF($C316="","",VLOOKUP($C316,'Menü Kartları'!$B$5:$C$154,2,FALSE)),"— tanımsız —")</f>
      </c>
      <c r="E316" s="23"/>
      <c r="F316" s="11">
        <f>IFERROR(IF(OR($C316="",$E316=""),0,$E316*VLOOKUP($C316,'Menü Kartları'!$B$5:$E$154,4,FALSE)),0)</f>
      </c>
      <c r="G316" s="11">
        <f>IFERROR(IF(OR($C316="",$E316=""),0,$E316*VLOOKUP($C316,'Menü Kartları'!$B$5:$G$154,6,FALSE)),0)</f>
      </c>
      <c r="H316" s="17">
        <f>IF($C316="","",$F316-$G316)</f>
      </c>
    </row>
    <row r="317" spans="2:8" x14ac:dyDescent="0.25">
      <c r="B317" s="20"/>
      <c r="C317" s="8"/>
      <c r="D317" s="15">
        <f>IFERROR(IF($C317="","",VLOOKUP($C317,'Menü Kartları'!$B$5:$C$154,2,FALSE)),"— tanımsız —")</f>
      </c>
      <c r="E317" s="21"/>
      <c r="F317" s="11">
        <f>IFERROR(IF(OR($C317="",$E317=""),0,$E317*VLOOKUP($C317,'Menü Kartları'!$B$5:$E$154,4,FALSE)),0)</f>
      </c>
      <c r="G317" s="11">
        <f>IFERROR(IF(OR($C317="",$E317=""),0,$E317*VLOOKUP($C317,'Menü Kartları'!$B$5:$G$154,6,FALSE)),0)</f>
      </c>
      <c r="H317" s="17">
        <f>IF($C317="","",$F317-$G317)</f>
      </c>
    </row>
    <row r="318" spans="2:8" x14ac:dyDescent="0.25">
      <c r="B318" s="22"/>
      <c r="C318" s="12"/>
      <c r="D318" s="15">
        <f>IFERROR(IF($C318="","",VLOOKUP($C318,'Menü Kartları'!$B$5:$C$154,2,FALSE)),"— tanımsız —")</f>
      </c>
      <c r="E318" s="23"/>
      <c r="F318" s="11">
        <f>IFERROR(IF(OR($C318="",$E318=""),0,$E318*VLOOKUP($C318,'Menü Kartları'!$B$5:$E$154,4,FALSE)),0)</f>
      </c>
      <c r="G318" s="11">
        <f>IFERROR(IF(OR($C318="",$E318=""),0,$E318*VLOOKUP($C318,'Menü Kartları'!$B$5:$G$154,6,FALSE)),0)</f>
      </c>
      <c r="H318" s="17">
        <f>IF($C318="","",$F318-$G318)</f>
      </c>
    </row>
    <row r="319" spans="2:8" x14ac:dyDescent="0.25">
      <c r="B319" s="20"/>
      <c r="C319" s="8"/>
      <c r="D319" s="15">
        <f>IFERROR(IF($C319="","",VLOOKUP($C319,'Menü Kartları'!$B$5:$C$154,2,FALSE)),"— tanımsız —")</f>
      </c>
      <c r="E319" s="21"/>
      <c r="F319" s="11">
        <f>IFERROR(IF(OR($C319="",$E319=""),0,$E319*VLOOKUP($C319,'Menü Kartları'!$B$5:$E$154,4,FALSE)),0)</f>
      </c>
      <c r="G319" s="11">
        <f>IFERROR(IF(OR($C319="",$E319=""),0,$E319*VLOOKUP($C319,'Menü Kartları'!$B$5:$G$154,6,FALSE)),0)</f>
      </c>
      <c r="H319" s="17">
        <f>IF($C319="","",$F319-$G319)</f>
      </c>
    </row>
    <row r="320" spans="2:8" x14ac:dyDescent="0.25">
      <c r="B320" s="22"/>
      <c r="C320" s="12"/>
      <c r="D320" s="15">
        <f>IFERROR(IF($C320="","",VLOOKUP($C320,'Menü Kartları'!$B$5:$C$154,2,FALSE)),"— tanımsız —")</f>
      </c>
      <c r="E320" s="23"/>
      <c r="F320" s="11">
        <f>IFERROR(IF(OR($C320="",$E320=""),0,$E320*VLOOKUP($C320,'Menü Kartları'!$B$5:$E$154,4,FALSE)),0)</f>
      </c>
      <c r="G320" s="11">
        <f>IFERROR(IF(OR($C320="",$E320=""),0,$E320*VLOOKUP($C320,'Menü Kartları'!$B$5:$G$154,6,FALSE)),0)</f>
      </c>
      <c r="H320" s="17">
        <f>IF($C320="","",$F320-$G320)</f>
      </c>
    </row>
    <row r="321" spans="2:8" x14ac:dyDescent="0.25">
      <c r="B321" s="20"/>
      <c r="C321" s="8"/>
      <c r="D321" s="15">
        <f>IFERROR(IF($C321="","",VLOOKUP($C321,'Menü Kartları'!$B$5:$C$154,2,FALSE)),"— tanımsız —")</f>
      </c>
      <c r="E321" s="21"/>
      <c r="F321" s="11">
        <f>IFERROR(IF(OR($C321="",$E321=""),0,$E321*VLOOKUP($C321,'Menü Kartları'!$B$5:$E$154,4,FALSE)),0)</f>
      </c>
      <c r="G321" s="11">
        <f>IFERROR(IF(OR($C321="",$E321=""),0,$E321*VLOOKUP($C321,'Menü Kartları'!$B$5:$G$154,6,FALSE)),0)</f>
      </c>
      <c r="H321" s="17">
        <f>IF($C321="","",$F321-$G321)</f>
      </c>
    </row>
    <row r="322" spans="2:8" x14ac:dyDescent="0.25">
      <c r="B322" s="22"/>
      <c r="C322" s="12"/>
      <c r="D322" s="15">
        <f>IFERROR(IF($C322="","",VLOOKUP($C322,'Menü Kartları'!$B$5:$C$154,2,FALSE)),"— tanımsız —")</f>
      </c>
      <c r="E322" s="23"/>
      <c r="F322" s="11">
        <f>IFERROR(IF(OR($C322="",$E322=""),0,$E322*VLOOKUP($C322,'Menü Kartları'!$B$5:$E$154,4,FALSE)),0)</f>
      </c>
      <c r="G322" s="11">
        <f>IFERROR(IF(OR($C322="",$E322=""),0,$E322*VLOOKUP($C322,'Menü Kartları'!$B$5:$G$154,6,FALSE)),0)</f>
      </c>
      <c r="H322" s="17">
        <f>IF($C322="","",$F322-$G322)</f>
      </c>
    </row>
    <row r="323" spans="2:8" x14ac:dyDescent="0.25">
      <c r="B323" s="20"/>
      <c r="C323" s="8"/>
      <c r="D323" s="15">
        <f>IFERROR(IF($C323="","",VLOOKUP($C323,'Menü Kartları'!$B$5:$C$154,2,FALSE)),"— tanımsız —")</f>
      </c>
      <c r="E323" s="21"/>
      <c r="F323" s="11">
        <f>IFERROR(IF(OR($C323="",$E323=""),0,$E323*VLOOKUP($C323,'Menü Kartları'!$B$5:$E$154,4,FALSE)),0)</f>
      </c>
      <c r="G323" s="11">
        <f>IFERROR(IF(OR($C323="",$E323=""),0,$E323*VLOOKUP($C323,'Menü Kartları'!$B$5:$G$154,6,FALSE)),0)</f>
      </c>
      <c r="H323" s="17">
        <f>IF($C323="","",$F323-$G323)</f>
      </c>
    </row>
    <row r="324" spans="2:8" x14ac:dyDescent="0.25">
      <c r="B324" s="22"/>
      <c r="C324" s="12"/>
      <c r="D324" s="15">
        <f>IFERROR(IF($C324="","",VLOOKUP($C324,'Menü Kartları'!$B$5:$C$154,2,FALSE)),"— tanımsız —")</f>
      </c>
      <c r="E324" s="23"/>
      <c r="F324" s="11">
        <f>IFERROR(IF(OR($C324="",$E324=""),0,$E324*VLOOKUP($C324,'Menü Kartları'!$B$5:$E$154,4,FALSE)),0)</f>
      </c>
      <c r="G324" s="11">
        <f>IFERROR(IF(OR($C324="",$E324=""),0,$E324*VLOOKUP($C324,'Menü Kartları'!$B$5:$G$154,6,FALSE)),0)</f>
      </c>
      <c r="H324" s="17">
        <f>IF($C324="","",$F324-$G324)</f>
      </c>
    </row>
    <row r="325" spans="2:8" x14ac:dyDescent="0.25">
      <c r="B325" s="20"/>
      <c r="C325" s="8"/>
      <c r="D325" s="15">
        <f>IFERROR(IF($C325="","",VLOOKUP($C325,'Menü Kartları'!$B$5:$C$154,2,FALSE)),"— tanımsız —")</f>
      </c>
      <c r="E325" s="21"/>
      <c r="F325" s="11">
        <f>IFERROR(IF(OR($C325="",$E325=""),0,$E325*VLOOKUP($C325,'Menü Kartları'!$B$5:$E$154,4,FALSE)),0)</f>
      </c>
      <c r="G325" s="11">
        <f>IFERROR(IF(OR($C325="",$E325=""),0,$E325*VLOOKUP($C325,'Menü Kartları'!$B$5:$G$154,6,FALSE)),0)</f>
      </c>
      <c r="H325" s="17">
        <f>IF($C325="","",$F325-$G325)</f>
      </c>
    </row>
    <row r="326" spans="2:8" x14ac:dyDescent="0.25">
      <c r="B326" s="22"/>
      <c r="C326" s="12"/>
      <c r="D326" s="15">
        <f>IFERROR(IF($C326="","",VLOOKUP($C326,'Menü Kartları'!$B$5:$C$154,2,FALSE)),"— tanımsız —")</f>
      </c>
      <c r="E326" s="23"/>
      <c r="F326" s="11">
        <f>IFERROR(IF(OR($C326="",$E326=""),0,$E326*VLOOKUP($C326,'Menü Kartları'!$B$5:$E$154,4,FALSE)),0)</f>
      </c>
      <c r="G326" s="11">
        <f>IFERROR(IF(OR($C326="",$E326=""),0,$E326*VLOOKUP($C326,'Menü Kartları'!$B$5:$G$154,6,FALSE)),0)</f>
      </c>
      <c r="H326" s="17">
        <f>IF($C326="","",$F326-$G326)</f>
      </c>
    </row>
    <row r="327" spans="2:8" x14ac:dyDescent="0.25">
      <c r="B327" s="20"/>
      <c r="C327" s="8"/>
      <c r="D327" s="15">
        <f>IFERROR(IF($C327="","",VLOOKUP($C327,'Menü Kartları'!$B$5:$C$154,2,FALSE)),"— tanımsız —")</f>
      </c>
      <c r="E327" s="21"/>
      <c r="F327" s="11">
        <f>IFERROR(IF(OR($C327="",$E327=""),0,$E327*VLOOKUP($C327,'Menü Kartları'!$B$5:$E$154,4,FALSE)),0)</f>
      </c>
      <c r="G327" s="11">
        <f>IFERROR(IF(OR($C327="",$E327=""),0,$E327*VLOOKUP($C327,'Menü Kartları'!$B$5:$G$154,6,FALSE)),0)</f>
      </c>
      <c r="H327" s="17">
        <f>IF($C327="","",$F327-$G327)</f>
      </c>
    </row>
    <row r="328" spans="2:8" x14ac:dyDescent="0.25">
      <c r="B328" s="22"/>
      <c r="C328" s="12"/>
      <c r="D328" s="15">
        <f>IFERROR(IF($C328="","",VLOOKUP($C328,'Menü Kartları'!$B$5:$C$154,2,FALSE)),"— tanımsız —")</f>
      </c>
      <c r="E328" s="23"/>
      <c r="F328" s="11">
        <f>IFERROR(IF(OR($C328="",$E328=""),0,$E328*VLOOKUP($C328,'Menü Kartları'!$B$5:$E$154,4,FALSE)),0)</f>
      </c>
      <c r="G328" s="11">
        <f>IFERROR(IF(OR($C328="",$E328=""),0,$E328*VLOOKUP($C328,'Menü Kartları'!$B$5:$G$154,6,FALSE)),0)</f>
      </c>
      <c r="H328" s="17">
        <f>IF($C328="","",$F328-$G328)</f>
      </c>
    </row>
    <row r="329" spans="2:8" x14ac:dyDescent="0.25">
      <c r="B329" s="20"/>
      <c r="C329" s="8"/>
      <c r="D329" s="15">
        <f>IFERROR(IF($C329="","",VLOOKUP($C329,'Menü Kartları'!$B$5:$C$154,2,FALSE)),"— tanımsız —")</f>
      </c>
      <c r="E329" s="21"/>
      <c r="F329" s="11">
        <f>IFERROR(IF(OR($C329="",$E329=""),0,$E329*VLOOKUP($C329,'Menü Kartları'!$B$5:$E$154,4,FALSE)),0)</f>
      </c>
      <c r="G329" s="11">
        <f>IFERROR(IF(OR($C329="",$E329=""),0,$E329*VLOOKUP($C329,'Menü Kartları'!$B$5:$G$154,6,FALSE)),0)</f>
      </c>
      <c r="H329" s="17">
        <f>IF($C329="","",$F329-$G329)</f>
      </c>
    </row>
    <row r="330" spans="2:8" x14ac:dyDescent="0.25">
      <c r="B330" s="22"/>
      <c r="C330" s="12"/>
      <c r="D330" s="15">
        <f>IFERROR(IF($C330="","",VLOOKUP($C330,'Menü Kartları'!$B$5:$C$154,2,FALSE)),"— tanımsız —")</f>
      </c>
      <c r="E330" s="23"/>
      <c r="F330" s="11">
        <f>IFERROR(IF(OR($C330="",$E330=""),0,$E330*VLOOKUP($C330,'Menü Kartları'!$B$5:$E$154,4,FALSE)),0)</f>
      </c>
      <c r="G330" s="11">
        <f>IFERROR(IF(OR($C330="",$E330=""),0,$E330*VLOOKUP($C330,'Menü Kartları'!$B$5:$G$154,6,FALSE)),0)</f>
      </c>
      <c r="H330" s="17">
        <f>IF($C330="","",$F330-$G330)</f>
      </c>
    </row>
    <row r="331" spans="2:8" x14ac:dyDescent="0.25">
      <c r="B331" s="20"/>
      <c r="C331" s="8"/>
      <c r="D331" s="15">
        <f>IFERROR(IF($C331="","",VLOOKUP($C331,'Menü Kartları'!$B$5:$C$154,2,FALSE)),"— tanımsız —")</f>
      </c>
      <c r="E331" s="21"/>
      <c r="F331" s="11">
        <f>IFERROR(IF(OR($C331="",$E331=""),0,$E331*VLOOKUP($C331,'Menü Kartları'!$B$5:$E$154,4,FALSE)),0)</f>
      </c>
      <c r="G331" s="11">
        <f>IFERROR(IF(OR($C331="",$E331=""),0,$E331*VLOOKUP($C331,'Menü Kartları'!$B$5:$G$154,6,FALSE)),0)</f>
      </c>
      <c r="H331" s="17">
        <f>IF($C331="","",$F331-$G331)</f>
      </c>
    </row>
    <row r="332" spans="2:8" x14ac:dyDescent="0.25">
      <c r="B332" s="22"/>
      <c r="C332" s="12"/>
      <c r="D332" s="15">
        <f>IFERROR(IF($C332="","",VLOOKUP($C332,'Menü Kartları'!$B$5:$C$154,2,FALSE)),"— tanımsız —")</f>
      </c>
      <c r="E332" s="23"/>
      <c r="F332" s="11">
        <f>IFERROR(IF(OR($C332="",$E332=""),0,$E332*VLOOKUP($C332,'Menü Kartları'!$B$5:$E$154,4,FALSE)),0)</f>
      </c>
      <c r="G332" s="11">
        <f>IFERROR(IF(OR($C332="",$E332=""),0,$E332*VLOOKUP($C332,'Menü Kartları'!$B$5:$G$154,6,FALSE)),0)</f>
      </c>
      <c r="H332" s="17">
        <f>IF($C332="","",$F332-$G332)</f>
      </c>
    </row>
    <row r="333" spans="2:8" x14ac:dyDescent="0.25">
      <c r="B333" s="20"/>
      <c r="C333" s="8"/>
      <c r="D333" s="15">
        <f>IFERROR(IF($C333="","",VLOOKUP($C333,'Menü Kartları'!$B$5:$C$154,2,FALSE)),"— tanımsız —")</f>
      </c>
      <c r="E333" s="21"/>
      <c r="F333" s="11">
        <f>IFERROR(IF(OR($C333="",$E333=""),0,$E333*VLOOKUP($C333,'Menü Kartları'!$B$5:$E$154,4,FALSE)),0)</f>
      </c>
      <c r="G333" s="11">
        <f>IFERROR(IF(OR($C333="",$E333=""),0,$E333*VLOOKUP($C333,'Menü Kartları'!$B$5:$G$154,6,FALSE)),0)</f>
      </c>
      <c r="H333" s="17">
        <f>IF($C333="","",$F333-$G333)</f>
      </c>
    </row>
    <row r="334" spans="2:8" x14ac:dyDescent="0.25">
      <c r="B334" s="22"/>
      <c r="C334" s="12"/>
      <c r="D334" s="15">
        <f>IFERROR(IF($C334="","",VLOOKUP($C334,'Menü Kartları'!$B$5:$C$154,2,FALSE)),"— tanımsız —")</f>
      </c>
      <c r="E334" s="23"/>
      <c r="F334" s="11">
        <f>IFERROR(IF(OR($C334="",$E334=""),0,$E334*VLOOKUP($C334,'Menü Kartları'!$B$5:$E$154,4,FALSE)),0)</f>
      </c>
      <c r="G334" s="11">
        <f>IFERROR(IF(OR($C334="",$E334=""),0,$E334*VLOOKUP($C334,'Menü Kartları'!$B$5:$G$154,6,FALSE)),0)</f>
      </c>
      <c r="H334" s="17">
        <f>IF($C334="","",$F334-$G334)</f>
      </c>
    </row>
    <row r="335" spans="2:8" x14ac:dyDescent="0.25">
      <c r="B335" s="20"/>
      <c r="C335" s="8"/>
      <c r="D335" s="15">
        <f>IFERROR(IF($C335="","",VLOOKUP($C335,'Menü Kartları'!$B$5:$C$154,2,FALSE)),"— tanımsız —")</f>
      </c>
      <c r="E335" s="21"/>
      <c r="F335" s="11">
        <f>IFERROR(IF(OR($C335="",$E335=""),0,$E335*VLOOKUP($C335,'Menü Kartları'!$B$5:$E$154,4,FALSE)),0)</f>
      </c>
      <c r="G335" s="11">
        <f>IFERROR(IF(OR($C335="",$E335=""),0,$E335*VLOOKUP($C335,'Menü Kartları'!$B$5:$G$154,6,FALSE)),0)</f>
      </c>
      <c r="H335" s="17">
        <f>IF($C335="","",$F335-$G335)</f>
      </c>
    </row>
    <row r="336" spans="2:8" x14ac:dyDescent="0.25">
      <c r="B336" s="22"/>
      <c r="C336" s="12"/>
      <c r="D336" s="15">
        <f>IFERROR(IF($C336="","",VLOOKUP($C336,'Menü Kartları'!$B$5:$C$154,2,FALSE)),"— tanımsız —")</f>
      </c>
      <c r="E336" s="23"/>
      <c r="F336" s="11">
        <f>IFERROR(IF(OR($C336="",$E336=""),0,$E336*VLOOKUP($C336,'Menü Kartları'!$B$5:$E$154,4,FALSE)),0)</f>
      </c>
      <c r="G336" s="11">
        <f>IFERROR(IF(OR($C336="",$E336=""),0,$E336*VLOOKUP($C336,'Menü Kartları'!$B$5:$G$154,6,FALSE)),0)</f>
      </c>
      <c r="H336" s="17">
        <f>IF($C336="","",$F336-$G336)</f>
      </c>
    </row>
    <row r="337" spans="2:8" x14ac:dyDescent="0.25">
      <c r="B337" s="20"/>
      <c r="C337" s="8"/>
      <c r="D337" s="15">
        <f>IFERROR(IF($C337="","",VLOOKUP($C337,'Menü Kartları'!$B$5:$C$154,2,FALSE)),"— tanımsız —")</f>
      </c>
      <c r="E337" s="21"/>
      <c r="F337" s="11">
        <f>IFERROR(IF(OR($C337="",$E337=""),0,$E337*VLOOKUP($C337,'Menü Kartları'!$B$5:$E$154,4,FALSE)),0)</f>
      </c>
      <c r="G337" s="11">
        <f>IFERROR(IF(OR($C337="",$E337=""),0,$E337*VLOOKUP($C337,'Menü Kartları'!$B$5:$G$154,6,FALSE)),0)</f>
      </c>
      <c r="H337" s="17">
        <f>IF($C337="","",$F337-$G337)</f>
      </c>
    </row>
    <row r="338" spans="2:8" x14ac:dyDescent="0.25">
      <c r="B338" s="22"/>
      <c r="C338" s="12"/>
      <c r="D338" s="15">
        <f>IFERROR(IF($C338="","",VLOOKUP($C338,'Menü Kartları'!$B$5:$C$154,2,FALSE)),"— tanımsız —")</f>
      </c>
      <c r="E338" s="23"/>
      <c r="F338" s="11">
        <f>IFERROR(IF(OR($C338="",$E338=""),0,$E338*VLOOKUP($C338,'Menü Kartları'!$B$5:$E$154,4,FALSE)),0)</f>
      </c>
      <c r="G338" s="11">
        <f>IFERROR(IF(OR($C338="",$E338=""),0,$E338*VLOOKUP($C338,'Menü Kartları'!$B$5:$G$154,6,FALSE)),0)</f>
      </c>
      <c r="H338" s="17">
        <f>IF($C338="","",$F338-$G338)</f>
      </c>
    </row>
    <row r="339" spans="2:8" x14ac:dyDescent="0.25">
      <c r="B339" s="20"/>
      <c r="C339" s="8"/>
      <c r="D339" s="15">
        <f>IFERROR(IF($C339="","",VLOOKUP($C339,'Menü Kartları'!$B$5:$C$154,2,FALSE)),"— tanımsız —")</f>
      </c>
      <c r="E339" s="21"/>
      <c r="F339" s="11">
        <f>IFERROR(IF(OR($C339="",$E339=""),0,$E339*VLOOKUP($C339,'Menü Kartları'!$B$5:$E$154,4,FALSE)),0)</f>
      </c>
      <c r="G339" s="11">
        <f>IFERROR(IF(OR($C339="",$E339=""),0,$E339*VLOOKUP($C339,'Menü Kartları'!$B$5:$G$154,6,FALSE)),0)</f>
      </c>
      <c r="H339" s="17">
        <f>IF($C339="","",$F339-$G339)</f>
      </c>
    </row>
    <row r="340" spans="2:8" x14ac:dyDescent="0.25">
      <c r="B340" s="22"/>
      <c r="C340" s="12"/>
      <c r="D340" s="15">
        <f>IFERROR(IF($C340="","",VLOOKUP($C340,'Menü Kartları'!$B$5:$C$154,2,FALSE)),"— tanımsız —")</f>
      </c>
      <c r="E340" s="23"/>
      <c r="F340" s="11">
        <f>IFERROR(IF(OR($C340="",$E340=""),0,$E340*VLOOKUP($C340,'Menü Kartları'!$B$5:$E$154,4,FALSE)),0)</f>
      </c>
      <c r="G340" s="11">
        <f>IFERROR(IF(OR($C340="",$E340=""),0,$E340*VLOOKUP($C340,'Menü Kartları'!$B$5:$G$154,6,FALSE)),0)</f>
      </c>
      <c r="H340" s="17">
        <f>IF($C340="","",$F340-$G340)</f>
      </c>
    </row>
    <row r="341" spans="2:8" x14ac:dyDescent="0.25">
      <c r="B341" s="20"/>
      <c r="C341" s="8"/>
      <c r="D341" s="15">
        <f>IFERROR(IF($C341="","",VLOOKUP($C341,'Menü Kartları'!$B$5:$C$154,2,FALSE)),"— tanımsız —")</f>
      </c>
      <c r="E341" s="21"/>
      <c r="F341" s="11">
        <f>IFERROR(IF(OR($C341="",$E341=""),0,$E341*VLOOKUP($C341,'Menü Kartları'!$B$5:$E$154,4,FALSE)),0)</f>
      </c>
      <c r="G341" s="11">
        <f>IFERROR(IF(OR($C341="",$E341=""),0,$E341*VLOOKUP($C341,'Menü Kartları'!$B$5:$G$154,6,FALSE)),0)</f>
      </c>
      <c r="H341" s="17">
        <f>IF($C341="","",$F341-$G341)</f>
      </c>
    </row>
    <row r="342" spans="2:8" x14ac:dyDescent="0.25">
      <c r="B342" s="22"/>
      <c r="C342" s="12"/>
      <c r="D342" s="15">
        <f>IFERROR(IF($C342="","",VLOOKUP($C342,'Menü Kartları'!$B$5:$C$154,2,FALSE)),"— tanımsız —")</f>
      </c>
      <c r="E342" s="23"/>
      <c r="F342" s="11">
        <f>IFERROR(IF(OR($C342="",$E342=""),0,$E342*VLOOKUP($C342,'Menü Kartları'!$B$5:$E$154,4,FALSE)),0)</f>
      </c>
      <c r="G342" s="11">
        <f>IFERROR(IF(OR($C342="",$E342=""),0,$E342*VLOOKUP($C342,'Menü Kartları'!$B$5:$G$154,6,FALSE)),0)</f>
      </c>
      <c r="H342" s="17">
        <f>IF($C342="","",$F342-$G342)</f>
      </c>
    </row>
    <row r="343" spans="2:8" x14ac:dyDescent="0.25">
      <c r="B343" s="20"/>
      <c r="C343" s="8"/>
      <c r="D343" s="15">
        <f>IFERROR(IF($C343="","",VLOOKUP($C343,'Menü Kartları'!$B$5:$C$154,2,FALSE)),"— tanımsız —")</f>
      </c>
      <c r="E343" s="21"/>
      <c r="F343" s="11">
        <f>IFERROR(IF(OR($C343="",$E343=""),0,$E343*VLOOKUP($C343,'Menü Kartları'!$B$5:$E$154,4,FALSE)),0)</f>
      </c>
      <c r="G343" s="11">
        <f>IFERROR(IF(OR($C343="",$E343=""),0,$E343*VLOOKUP($C343,'Menü Kartları'!$B$5:$G$154,6,FALSE)),0)</f>
      </c>
      <c r="H343" s="17">
        <f>IF($C343="","",$F343-$G343)</f>
      </c>
    </row>
    <row r="344" spans="2:8" x14ac:dyDescent="0.25">
      <c r="B344" s="22"/>
      <c r="C344" s="12"/>
      <c r="D344" s="15">
        <f>IFERROR(IF($C344="","",VLOOKUP($C344,'Menü Kartları'!$B$5:$C$154,2,FALSE)),"— tanımsız —")</f>
      </c>
      <c r="E344" s="23"/>
      <c r="F344" s="11">
        <f>IFERROR(IF(OR($C344="",$E344=""),0,$E344*VLOOKUP($C344,'Menü Kartları'!$B$5:$E$154,4,FALSE)),0)</f>
      </c>
      <c r="G344" s="11">
        <f>IFERROR(IF(OR($C344="",$E344=""),0,$E344*VLOOKUP($C344,'Menü Kartları'!$B$5:$G$154,6,FALSE)),0)</f>
      </c>
      <c r="H344" s="17">
        <f>IF($C344="","",$F344-$G344)</f>
      </c>
    </row>
    <row r="345" spans="2:8" x14ac:dyDescent="0.25">
      <c r="B345" s="20"/>
      <c r="C345" s="8"/>
      <c r="D345" s="15">
        <f>IFERROR(IF($C345="","",VLOOKUP($C345,'Menü Kartları'!$B$5:$C$154,2,FALSE)),"— tanımsız —")</f>
      </c>
      <c r="E345" s="21"/>
      <c r="F345" s="11">
        <f>IFERROR(IF(OR($C345="",$E345=""),0,$E345*VLOOKUP($C345,'Menü Kartları'!$B$5:$E$154,4,FALSE)),0)</f>
      </c>
      <c r="G345" s="11">
        <f>IFERROR(IF(OR($C345="",$E345=""),0,$E345*VLOOKUP($C345,'Menü Kartları'!$B$5:$G$154,6,FALSE)),0)</f>
      </c>
      <c r="H345" s="17">
        <f>IF($C345="","",$F345-$G345)</f>
      </c>
    </row>
    <row r="346" spans="2:8" x14ac:dyDescent="0.25">
      <c r="B346" s="22"/>
      <c r="C346" s="12"/>
      <c r="D346" s="15">
        <f>IFERROR(IF($C346="","",VLOOKUP($C346,'Menü Kartları'!$B$5:$C$154,2,FALSE)),"— tanımsız —")</f>
      </c>
      <c r="E346" s="23"/>
      <c r="F346" s="11">
        <f>IFERROR(IF(OR($C346="",$E346=""),0,$E346*VLOOKUP($C346,'Menü Kartları'!$B$5:$E$154,4,FALSE)),0)</f>
      </c>
      <c r="G346" s="11">
        <f>IFERROR(IF(OR($C346="",$E346=""),0,$E346*VLOOKUP($C346,'Menü Kartları'!$B$5:$G$154,6,FALSE)),0)</f>
      </c>
      <c r="H346" s="17">
        <f>IF($C346="","",$F346-$G346)</f>
      </c>
    </row>
    <row r="347" spans="2:8" x14ac:dyDescent="0.25">
      <c r="B347" s="20"/>
      <c r="C347" s="8"/>
      <c r="D347" s="15">
        <f>IFERROR(IF($C347="","",VLOOKUP($C347,'Menü Kartları'!$B$5:$C$154,2,FALSE)),"— tanımsız —")</f>
      </c>
      <c r="E347" s="21"/>
      <c r="F347" s="11">
        <f>IFERROR(IF(OR($C347="",$E347=""),0,$E347*VLOOKUP($C347,'Menü Kartları'!$B$5:$E$154,4,FALSE)),0)</f>
      </c>
      <c r="G347" s="11">
        <f>IFERROR(IF(OR($C347="",$E347=""),0,$E347*VLOOKUP($C347,'Menü Kartları'!$B$5:$G$154,6,FALSE)),0)</f>
      </c>
      <c r="H347" s="17">
        <f>IF($C347="","",$F347-$G347)</f>
      </c>
    </row>
    <row r="348" spans="2:8" x14ac:dyDescent="0.25">
      <c r="B348" s="22"/>
      <c r="C348" s="12"/>
      <c r="D348" s="15">
        <f>IFERROR(IF($C348="","",VLOOKUP($C348,'Menü Kartları'!$B$5:$C$154,2,FALSE)),"— tanımsız —")</f>
      </c>
      <c r="E348" s="23"/>
      <c r="F348" s="11">
        <f>IFERROR(IF(OR($C348="",$E348=""),0,$E348*VLOOKUP($C348,'Menü Kartları'!$B$5:$E$154,4,FALSE)),0)</f>
      </c>
      <c r="G348" s="11">
        <f>IFERROR(IF(OR($C348="",$E348=""),0,$E348*VLOOKUP($C348,'Menü Kartları'!$B$5:$G$154,6,FALSE)),0)</f>
      </c>
      <c r="H348" s="17">
        <f>IF($C348="","",$F348-$G348)</f>
      </c>
    </row>
    <row r="349" spans="2:8" x14ac:dyDescent="0.25">
      <c r="B349" s="20"/>
      <c r="C349" s="8"/>
      <c r="D349" s="15">
        <f>IFERROR(IF($C349="","",VLOOKUP($C349,'Menü Kartları'!$B$5:$C$154,2,FALSE)),"— tanımsız —")</f>
      </c>
      <c r="E349" s="21"/>
      <c r="F349" s="11">
        <f>IFERROR(IF(OR($C349="",$E349=""),0,$E349*VLOOKUP($C349,'Menü Kartları'!$B$5:$E$154,4,FALSE)),0)</f>
      </c>
      <c r="G349" s="11">
        <f>IFERROR(IF(OR($C349="",$E349=""),0,$E349*VLOOKUP($C349,'Menü Kartları'!$B$5:$G$154,6,FALSE)),0)</f>
      </c>
      <c r="H349" s="17">
        <f>IF($C349="","",$F349-$G349)</f>
      </c>
    </row>
    <row r="350" spans="2:8" x14ac:dyDescent="0.25">
      <c r="B350" s="22"/>
      <c r="C350" s="12"/>
      <c r="D350" s="15">
        <f>IFERROR(IF($C350="","",VLOOKUP($C350,'Menü Kartları'!$B$5:$C$154,2,FALSE)),"— tanımsız —")</f>
      </c>
      <c r="E350" s="23"/>
      <c r="F350" s="11">
        <f>IFERROR(IF(OR($C350="",$E350=""),0,$E350*VLOOKUP($C350,'Menü Kartları'!$B$5:$E$154,4,FALSE)),0)</f>
      </c>
      <c r="G350" s="11">
        <f>IFERROR(IF(OR($C350="",$E350=""),0,$E350*VLOOKUP($C350,'Menü Kartları'!$B$5:$G$154,6,FALSE)),0)</f>
      </c>
      <c r="H350" s="17">
        <f>IF($C350="","",$F350-$G350)</f>
      </c>
    </row>
    <row r="351" spans="2:8" x14ac:dyDescent="0.25">
      <c r="B351" s="20"/>
      <c r="C351" s="8"/>
      <c r="D351" s="15">
        <f>IFERROR(IF($C351="","",VLOOKUP($C351,'Menü Kartları'!$B$5:$C$154,2,FALSE)),"— tanımsız —")</f>
      </c>
      <c r="E351" s="21"/>
      <c r="F351" s="11">
        <f>IFERROR(IF(OR($C351="",$E351=""),0,$E351*VLOOKUP($C351,'Menü Kartları'!$B$5:$E$154,4,FALSE)),0)</f>
      </c>
      <c r="G351" s="11">
        <f>IFERROR(IF(OR($C351="",$E351=""),0,$E351*VLOOKUP($C351,'Menü Kartları'!$B$5:$G$154,6,FALSE)),0)</f>
      </c>
      <c r="H351" s="17">
        <f>IF($C351="","",$F351-$G351)</f>
      </c>
    </row>
    <row r="352" spans="2:8" x14ac:dyDescent="0.25">
      <c r="B352" s="22"/>
      <c r="C352" s="12"/>
      <c r="D352" s="15">
        <f>IFERROR(IF($C352="","",VLOOKUP($C352,'Menü Kartları'!$B$5:$C$154,2,FALSE)),"— tanımsız —")</f>
      </c>
      <c r="E352" s="23"/>
      <c r="F352" s="11">
        <f>IFERROR(IF(OR($C352="",$E352=""),0,$E352*VLOOKUP($C352,'Menü Kartları'!$B$5:$E$154,4,FALSE)),0)</f>
      </c>
      <c r="G352" s="11">
        <f>IFERROR(IF(OR($C352="",$E352=""),0,$E352*VLOOKUP($C352,'Menü Kartları'!$B$5:$G$154,6,FALSE)),0)</f>
      </c>
      <c r="H352" s="17">
        <f>IF($C352="","",$F352-$G352)</f>
      </c>
    </row>
    <row r="353" spans="2:8" x14ac:dyDescent="0.25">
      <c r="B353" s="20"/>
      <c r="C353" s="8"/>
      <c r="D353" s="15">
        <f>IFERROR(IF($C353="","",VLOOKUP($C353,'Menü Kartları'!$B$5:$C$154,2,FALSE)),"— tanımsız —")</f>
      </c>
      <c r="E353" s="21"/>
      <c r="F353" s="11">
        <f>IFERROR(IF(OR($C353="",$E353=""),0,$E353*VLOOKUP($C353,'Menü Kartları'!$B$5:$E$154,4,FALSE)),0)</f>
      </c>
      <c r="G353" s="11">
        <f>IFERROR(IF(OR($C353="",$E353=""),0,$E353*VLOOKUP($C353,'Menü Kartları'!$B$5:$G$154,6,FALSE)),0)</f>
      </c>
      <c r="H353" s="17">
        <f>IF($C353="","",$F353-$G353)</f>
      </c>
    </row>
    <row r="354" spans="2:8" x14ac:dyDescent="0.25">
      <c r="B354" s="22"/>
      <c r="C354" s="12"/>
      <c r="D354" s="15">
        <f>IFERROR(IF($C354="","",VLOOKUP($C354,'Menü Kartları'!$B$5:$C$154,2,FALSE)),"— tanımsız —")</f>
      </c>
      <c r="E354" s="23"/>
      <c r="F354" s="11">
        <f>IFERROR(IF(OR($C354="",$E354=""),0,$E354*VLOOKUP($C354,'Menü Kartları'!$B$5:$E$154,4,FALSE)),0)</f>
      </c>
      <c r="G354" s="11">
        <f>IFERROR(IF(OR($C354="",$E354=""),0,$E354*VLOOKUP($C354,'Menü Kartları'!$B$5:$G$154,6,FALSE)),0)</f>
      </c>
      <c r="H354" s="17">
        <f>IF($C354="","",$F354-$G354)</f>
      </c>
    </row>
    <row r="355" spans="2:8" x14ac:dyDescent="0.25">
      <c r="B355" s="20"/>
      <c r="C355" s="8"/>
      <c r="D355" s="15">
        <f>IFERROR(IF($C355="","",VLOOKUP($C355,'Menü Kartları'!$B$5:$C$154,2,FALSE)),"— tanımsız —")</f>
      </c>
      <c r="E355" s="21"/>
      <c r="F355" s="11">
        <f>IFERROR(IF(OR($C355="",$E355=""),0,$E355*VLOOKUP($C355,'Menü Kartları'!$B$5:$E$154,4,FALSE)),0)</f>
      </c>
      <c r="G355" s="11">
        <f>IFERROR(IF(OR($C355="",$E355=""),0,$E355*VLOOKUP($C355,'Menü Kartları'!$B$5:$G$154,6,FALSE)),0)</f>
      </c>
      <c r="H355" s="17">
        <f>IF($C355="","",$F355-$G355)</f>
      </c>
    </row>
    <row r="356" spans="2:8" x14ac:dyDescent="0.25">
      <c r="B356" s="22"/>
      <c r="C356" s="12"/>
      <c r="D356" s="15">
        <f>IFERROR(IF($C356="","",VLOOKUP($C356,'Menü Kartları'!$B$5:$C$154,2,FALSE)),"— tanımsız —")</f>
      </c>
      <c r="E356" s="23"/>
      <c r="F356" s="11">
        <f>IFERROR(IF(OR($C356="",$E356=""),0,$E356*VLOOKUP($C356,'Menü Kartları'!$B$5:$E$154,4,FALSE)),0)</f>
      </c>
      <c r="G356" s="11">
        <f>IFERROR(IF(OR($C356="",$E356=""),0,$E356*VLOOKUP($C356,'Menü Kartları'!$B$5:$G$154,6,FALSE)),0)</f>
      </c>
      <c r="H356" s="17">
        <f>IF($C356="","",$F356-$G356)</f>
      </c>
    </row>
    <row r="357" spans="2:8" x14ac:dyDescent="0.25">
      <c r="B357" s="20"/>
      <c r="C357" s="8"/>
      <c r="D357" s="15">
        <f>IFERROR(IF($C357="","",VLOOKUP($C357,'Menü Kartları'!$B$5:$C$154,2,FALSE)),"— tanımsız —")</f>
      </c>
      <c r="E357" s="21"/>
      <c r="F357" s="11">
        <f>IFERROR(IF(OR($C357="",$E357=""),0,$E357*VLOOKUP($C357,'Menü Kartları'!$B$5:$E$154,4,FALSE)),0)</f>
      </c>
      <c r="G357" s="11">
        <f>IFERROR(IF(OR($C357="",$E357=""),0,$E357*VLOOKUP($C357,'Menü Kartları'!$B$5:$G$154,6,FALSE)),0)</f>
      </c>
      <c r="H357" s="17">
        <f>IF($C357="","",$F357-$G357)</f>
      </c>
    </row>
    <row r="358" spans="2:8" x14ac:dyDescent="0.25">
      <c r="B358" s="22"/>
      <c r="C358" s="12"/>
      <c r="D358" s="15">
        <f>IFERROR(IF($C358="","",VLOOKUP($C358,'Menü Kartları'!$B$5:$C$154,2,FALSE)),"— tanımsız —")</f>
      </c>
      <c r="E358" s="23"/>
      <c r="F358" s="11">
        <f>IFERROR(IF(OR($C358="",$E358=""),0,$E358*VLOOKUP($C358,'Menü Kartları'!$B$5:$E$154,4,FALSE)),0)</f>
      </c>
      <c r="G358" s="11">
        <f>IFERROR(IF(OR($C358="",$E358=""),0,$E358*VLOOKUP($C358,'Menü Kartları'!$B$5:$G$154,6,FALSE)),0)</f>
      </c>
      <c r="H358" s="17">
        <f>IF($C358="","",$F358-$G358)</f>
      </c>
    </row>
    <row r="359" spans="2:8" x14ac:dyDescent="0.25">
      <c r="B359" s="20"/>
      <c r="C359" s="8"/>
      <c r="D359" s="15">
        <f>IFERROR(IF($C359="","",VLOOKUP($C359,'Menü Kartları'!$B$5:$C$154,2,FALSE)),"— tanımsız —")</f>
      </c>
      <c r="E359" s="21"/>
      <c r="F359" s="11">
        <f>IFERROR(IF(OR($C359="",$E359=""),0,$E359*VLOOKUP($C359,'Menü Kartları'!$B$5:$E$154,4,FALSE)),0)</f>
      </c>
      <c r="G359" s="11">
        <f>IFERROR(IF(OR($C359="",$E359=""),0,$E359*VLOOKUP($C359,'Menü Kartları'!$B$5:$G$154,6,FALSE)),0)</f>
      </c>
      <c r="H359" s="17">
        <f>IF($C359="","",$F359-$G359)</f>
      </c>
    </row>
    <row r="360" spans="2:8" x14ac:dyDescent="0.25">
      <c r="B360" s="22"/>
      <c r="C360" s="12"/>
      <c r="D360" s="15">
        <f>IFERROR(IF($C360="","",VLOOKUP($C360,'Menü Kartları'!$B$5:$C$154,2,FALSE)),"— tanımsız —")</f>
      </c>
      <c r="E360" s="23"/>
      <c r="F360" s="11">
        <f>IFERROR(IF(OR($C360="",$E360=""),0,$E360*VLOOKUP($C360,'Menü Kartları'!$B$5:$E$154,4,FALSE)),0)</f>
      </c>
      <c r="G360" s="11">
        <f>IFERROR(IF(OR($C360="",$E360=""),0,$E360*VLOOKUP($C360,'Menü Kartları'!$B$5:$G$154,6,FALSE)),0)</f>
      </c>
      <c r="H360" s="17">
        <f>IF($C360="","",$F360-$G360)</f>
      </c>
    </row>
    <row r="361" spans="2:8" x14ac:dyDescent="0.25">
      <c r="B361" s="20"/>
      <c r="C361" s="8"/>
      <c r="D361" s="15">
        <f>IFERROR(IF($C361="","",VLOOKUP($C361,'Menü Kartları'!$B$5:$C$154,2,FALSE)),"— tanımsız —")</f>
      </c>
      <c r="E361" s="21"/>
      <c r="F361" s="11">
        <f>IFERROR(IF(OR($C361="",$E361=""),0,$E361*VLOOKUP($C361,'Menü Kartları'!$B$5:$E$154,4,FALSE)),0)</f>
      </c>
      <c r="G361" s="11">
        <f>IFERROR(IF(OR($C361="",$E361=""),0,$E361*VLOOKUP($C361,'Menü Kartları'!$B$5:$G$154,6,FALSE)),0)</f>
      </c>
      <c r="H361" s="17">
        <f>IF($C361="","",$F361-$G361)</f>
      </c>
    </row>
    <row r="362" spans="2:8" x14ac:dyDescent="0.25">
      <c r="B362" s="22"/>
      <c r="C362" s="12"/>
      <c r="D362" s="15">
        <f>IFERROR(IF($C362="","",VLOOKUP($C362,'Menü Kartları'!$B$5:$C$154,2,FALSE)),"— tanımsız —")</f>
      </c>
      <c r="E362" s="23"/>
      <c r="F362" s="11">
        <f>IFERROR(IF(OR($C362="",$E362=""),0,$E362*VLOOKUP($C362,'Menü Kartları'!$B$5:$E$154,4,FALSE)),0)</f>
      </c>
      <c r="G362" s="11">
        <f>IFERROR(IF(OR($C362="",$E362=""),0,$E362*VLOOKUP($C362,'Menü Kartları'!$B$5:$G$154,6,FALSE)),0)</f>
      </c>
      <c r="H362" s="17">
        <f>IF($C362="","",$F362-$G362)</f>
      </c>
    </row>
    <row r="363" spans="2:8" x14ac:dyDescent="0.25">
      <c r="B363" s="20"/>
      <c r="C363" s="8"/>
      <c r="D363" s="15">
        <f>IFERROR(IF($C363="","",VLOOKUP($C363,'Menü Kartları'!$B$5:$C$154,2,FALSE)),"— tanımsız —")</f>
      </c>
      <c r="E363" s="21"/>
      <c r="F363" s="11">
        <f>IFERROR(IF(OR($C363="",$E363=""),0,$E363*VLOOKUP($C363,'Menü Kartları'!$B$5:$E$154,4,FALSE)),0)</f>
      </c>
      <c r="G363" s="11">
        <f>IFERROR(IF(OR($C363="",$E363=""),0,$E363*VLOOKUP($C363,'Menü Kartları'!$B$5:$G$154,6,FALSE)),0)</f>
      </c>
      <c r="H363" s="17">
        <f>IF($C363="","",$F363-$G363)</f>
      </c>
    </row>
    <row r="364" spans="2:8" x14ac:dyDescent="0.25">
      <c r="B364" s="22"/>
      <c r="C364" s="12"/>
      <c r="D364" s="15">
        <f>IFERROR(IF($C364="","",VLOOKUP($C364,'Menü Kartları'!$B$5:$C$154,2,FALSE)),"— tanımsız —")</f>
      </c>
      <c r="E364" s="23"/>
      <c r="F364" s="11">
        <f>IFERROR(IF(OR($C364="",$E364=""),0,$E364*VLOOKUP($C364,'Menü Kartları'!$B$5:$E$154,4,FALSE)),0)</f>
      </c>
      <c r="G364" s="11">
        <f>IFERROR(IF(OR($C364="",$E364=""),0,$E364*VLOOKUP($C364,'Menü Kartları'!$B$5:$G$154,6,FALSE)),0)</f>
      </c>
      <c r="H364" s="17">
        <f>IF($C364="","",$F364-$G364)</f>
      </c>
    </row>
    <row r="365" spans="2:8" x14ac:dyDescent="0.25">
      <c r="B365" s="20"/>
      <c r="C365" s="8"/>
      <c r="D365" s="15">
        <f>IFERROR(IF($C365="","",VLOOKUP($C365,'Menü Kartları'!$B$5:$C$154,2,FALSE)),"— tanımsız —")</f>
      </c>
      <c r="E365" s="21"/>
      <c r="F365" s="11">
        <f>IFERROR(IF(OR($C365="",$E365=""),0,$E365*VLOOKUP($C365,'Menü Kartları'!$B$5:$E$154,4,FALSE)),0)</f>
      </c>
      <c r="G365" s="11">
        <f>IFERROR(IF(OR($C365="",$E365=""),0,$E365*VLOOKUP($C365,'Menü Kartları'!$B$5:$G$154,6,FALSE)),0)</f>
      </c>
      <c r="H365" s="17">
        <f>IF($C365="","",$F365-$G365)</f>
      </c>
    </row>
    <row r="366" spans="2:8" x14ac:dyDescent="0.25">
      <c r="B366" s="22"/>
      <c r="C366" s="12"/>
      <c r="D366" s="15">
        <f>IFERROR(IF($C366="","",VLOOKUP($C366,'Menü Kartları'!$B$5:$C$154,2,FALSE)),"— tanımsız —")</f>
      </c>
      <c r="E366" s="23"/>
      <c r="F366" s="11">
        <f>IFERROR(IF(OR($C366="",$E366=""),0,$E366*VLOOKUP($C366,'Menü Kartları'!$B$5:$E$154,4,FALSE)),0)</f>
      </c>
      <c r="G366" s="11">
        <f>IFERROR(IF(OR($C366="",$E366=""),0,$E366*VLOOKUP($C366,'Menü Kartları'!$B$5:$G$154,6,FALSE)),0)</f>
      </c>
      <c r="H366" s="17">
        <f>IF($C366="","",$F366-$G366)</f>
      </c>
    </row>
    <row r="367" spans="2:8" x14ac:dyDescent="0.25">
      <c r="B367" s="20"/>
      <c r="C367" s="8"/>
      <c r="D367" s="15">
        <f>IFERROR(IF($C367="","",VLOOKUP($C367,'Menü Kartları'!$B$5:$C$154,2,FALSE)),"— tanımsız —")</f>
      </c>
      <c r="E367" s="21"/>
      <c r="F367" s="11">
        <f>IFERROR(IF(OR($C367="",$E367=""),0,$E367*VLOOKUP($C367,'Menü Kartları'!$B$5:$E$154,4,FALSE)),0)</f>
      </c>
      <c r="G367" s="11">
        <f>IFERROR(IF(OR($C367="",$E367=""),0,$E367*VLOOKUP($C367,'Menü Kartları'!$B$5:$G$154,6,FALSE)),0)</f>
      </c>
      <c r="H367" s="17">
        <f>IF($C367="","",$F367-$G367)</f>
      </c>
    </row>
    <row r="368" spans="2:8" x14ac:dyDescent="0.25">
      <c r="B368" s="22"/>
      <c r="C368" s="12"/>
      <c r="D368" s="15">
        <f>IFERROR(IF($C368="","",VLOOKUP($C368,'Menü Kartları'!$B$5:$C$154,2,FALSE)),"— tanımsız —")</f>
      </c>
      <c r="E368" s="23"/>
      <c r="F368" s="11">
        <f>IFERROR(IF(OR($C368="",$E368=""),0,$E368*VLOOKUP($C368,'Menü Kartları'!$B$5:$E$154,4,FALSE)),0)</f>
      </c>
      <c r="G368" s="11">
        <f>IFERROR(IF(OR($C368="",$E368=""),0,$E368*VLOOKUP($C368,'Menü Kartları'!$B$5:$G$154,6,FALSE)),0)</f>
      </c>
      <c r="H368" s="17">
        <f>IF($C368="","",$F368-$G368)</f>
      </c>
    </row>
    <row r="369" spans="2:8" x14ac:dyDescent="0.25">
      <c r="B369" s="20"/>
      <c r="C369" s="8"/>
      <c r="D369" s="15">
        <f>IFERROR(IF($C369="","",VLOOKUP($C369,'Menü Kartları'!$B$5:$C$154,2,FALSE)),"— tanımsız —")</f>
      </c>
      <c r="E369" s="21"/>
      <c r="F369" s="11">
        <f>IFERROR(IF(OR($C369="",$E369=""),0,$E369*VLOOKUP($C369,'Menü Kartları'!$B$5:$E$154,4,FALSE)),0)</f>
      </c>
      <c r="G369" s="11">
        <f>IFERROR(IF(OR($C369="",$E369=""),0,$E369*VLOOKUP($C369,'Menü Kartları'!$B$5:$G$154,6,FALSE)),0)</f>
      </c>
      <c r="H369" s="17">
        <f>IF($C369="","",$F369-$G369)</f>
      </c>
    </row>
    <row r="370" spans="2:8" x14ac:dyDescent="0.25">
      <c r="B370" s="22"/>
      <c r="C370" s="12"/>
      <c r="D370" s="15">
        <f>IFERROR(IF($C370="","",VLOOKUP($C370,'Menü Kartları'!$B$5:$C$154,2,FALSE)),"— tanımsız —")</f>
      </c>
      <c r="E370" s="23"/>
      <c r="F370" s="11">
        <f>IFERROR(IF(OR($C370="",$E370=""),0,$E370*VLOOKUP($C370,'Menü Kartları'!$B$5:$E$154,4,FALSE)),0)</f>
      </c>
      <c r="G370" s="11">
        <f>IFERROR(IF(OR($C370="",$E370=""),0,$E370*VLOOKUP($C370,'Menü Kartları'!$B$5:$G$154,6,FALSE)),0)</f>
      </c>
      <c r="H370" s="17">
        <f>IF($C370="","",$F370-$G370)</f>
      </c>
    </row>
    <row r="371" spans="2:8" x14ac:dyDescent="0.25">
      <c r="B371" s="20"/>
      <c r="C371" s="8"/>
      <c r="D371" s="15">
        <f>IFERROR(IF($C371="","",VLOOKUP($C371,'Menü Kartları'!$B$5:$C$154,2,FALSE)),"— tanımsız —")</f>
      </c>
      <c r="E371" s="21"/>
      <c r="F371" s="11">
        <f>IFERROR(IF(OR($C371="",$E371=""),0,$E371*VLOOKUP($C371,'Menü Kartları'!$B$5:$E$154,4,FALSE)),0)</f>
      </c>
      <c r="G371" s="11">
        <f>IFERROR(IF(OR($C371="",$E371=""),0,$E371*VLOOKUP($C371,'Menü Kartları'!$B$5:$G$154,6,FALSE)),0)</f>
      </c>
      <c r="H371" s="17">
        <f>IF($C371="","",$F371-$G371)</f>
      </c>
    </row>
    <row r="372" spans="2:8" x14ac:dyDescent="0.25">
      <c r="B372" s="22"/>
      <c r="C372" s="12"/>
      <c r="D372" s="15">
        <f>IFERROR(IF($C372="","",VLOOKUP($C372,'Menü Kartları'!$B$5:$C$154,2,FALSE)),"— tanımsız —")</f>
      </c>
      <c r="E372" s="23"/>
      <c r="F372" s="11">
        <f>IFERROR(IF(OR($C372="",$E372=""),0,$E372*VLOOKUP($C372,'Menü Kartları'!$B$5:$E$154,4,FALSE)),0)</f>
      </c>
      <c r="G372" s="11">
        <f>IFERROR(IF(OR($C372="",$E372=""),0,$E372*VLOOKUP($C372,'Menü Kartları'!$B$5:$G$154,6,FALSE)),0)</f>
      </c>
      <c r="H372" s="17">
        <f>IF($C372="","",$F372-$G372)</f>
      </c>
    </row>
    <row r="373" spans="2:8" x14ac:dyDescent="0.25">
      <c r="B373" s="20"/>
      <c r="C373" s="8"/>
      <c r="D373" s="15">
        <f>IFERROR(IF($C373="","",VLOOKUP($C373,'Menü Kartları'!$B$5:$C$154,2,FALSE)),"— tanımsız —")</f>
      </c>
      <c r="E373" s="21"/>
      <c r="F373" s="11">
        <f>IFERROR(IF(OR($C373="",$E373=""),0,$E373*VLOOKUP($C373,'Menü Kartları'!$B$5:$E$154,4,FALSE)),0)</f>
      </c>
      <c r="G373" s="11">
        <f>IFERROR(IF(OR($C373="",$E373=""),0,$E373*VLOOKUP($C373,'Menü Kartları'!$B$5:$G$154,6,FALSE)),0)</f>
      </c>
      <c r="H373" s="17">
        <f>IF($C373="","",$F373-$G373)</f>
      </c>
    </row>
    <row r="374" spans="2:8" x14ac:dyDescent="0.25">
      <c r="B374" s="22"/>
      <c r="C374" s="12"/>
      <c r="D374" s="15">
        <f>IFERROR(IF($C374="","",VLOOKUP($C374,'Menü Kartları'!$B$5:$C$154,2,FALSE)),"— tanımsız —")</f>
      </c>
      <c r="E374" s="23"/>
      <c r="F374" s="11">
        <f>IFERROR(IF(OR($C374="",$E374=""),0,$E374*VLOOKUP($C374,'Menü Kartları'!$B$5:$E$154,4,FALSE)),0)</f>
      </c>
      <c r="G374" s="11">
        <f>IFERROR(IF(OR($C374="",$E374=""),0,$E374*VLOOKUP($C374,'Menü Kartları'!$B$5:$G$154,6,FALSE)),0)</f>
      </c>
      <c r="H374" s="17">
        <f>IF($C374="","",$F374-$G374)</f>
      </c>
    </row>
    <row r="375" spans="2:8" x14ac:dyDescent="0.25">
      <c r="B375" s="20"/>
      <c r="C375" s="8"/>
      <c r="D375" s="15">
        <f>IFERROR(IF($C375="","",VLOOKUP($C375,'Menü Kartları'!$B$5:$C$154,2,FALSE)),"— tanımsız —")</f>
      </c>
      <c r="E375" s="21"/>
      <c r="F375" s="11">
        <f>IFERROR(IF(OR($C375="",$E375=""),0,$E375*VLOOKUP($C375,'Menü Kartları'!$B$5:$E$154,4,FALSE)),0)</f>
      </c>
      <c r="G375" s="11">
        <f>IFERROR(IF(OR($C375="",$E375=""),0,$E375*VLOOKUP($C375,'Menü Kartları'!$B$5:$G$154,6,FALSE)),0)</f>
      </c>
      <c r="H375" s="17">
        <f>IF($C375="","",$F375-$G375)</f>
      </c>
    </row>
    <row r="376" spans="2:8" x14ac:dyDescent="0.25">
      <c r="B376" s="22"/>
      <c r="C376" s="12"/>
      <c r="D376" s="15">
        <f>IFERROR(IF($C376="","",VLOOKUP($C376,'Menü Kartları'!$B$5:$C$154,2,FALSE)),"— tanımsız —")</f>
      </c>
      <c r="E376" s="23"/>
      <c r="F376" s="11">
        <f>IFERROR(IF(OR($C376="",$E376=""),0,$E376*VLOOKUP($C376,'Menü Kartları'!$B$5:$E$154,4,FALSE)),0)</f>
      </c>
      <c r="G376" s="11">
        <f>IFERROR(IF(OR($C376="",$E376=""),0,$E376*VLOOKUP($C376,'Menü Kartları'!$B$5:$G$154,6,FALSE)),0)</f>
      </c>
      <c r="H376" s="17">
        <f>IF($C376="","",$F376-$G376)</f>
      </c>
    </row>
    <row r="377" spans="2:8" x14ac:dyDescent="0.25">
      <c r="B377" s="20"/>
      <c r="C377" s="8"/>
      <c r="D377" s="15">
        <f>IFERROR(IF($C377="","",VLOOKUP($C377,'Menü Kartları'!$B$5:$C$154,2,FALSE)),"— tanımsız —")</f>
      </c>
      <c r="E377" s="21"/>
      <c r="F377" s="11">
        <f>IFERROR(IF(OR($C377="",$E377=""),0,$E377*VLOOKUP($C377,'Menü Kartları'!$B$5:$E$154,4,FALSE)),0)</f>
      </c>
      <c r="G377" s="11">
        <f>IFERROR(IF(OR($C377="",$E377=""),0,$E377*VLOOKUP($C377,'Menü Kartları'!$B$5:$G$154,6,FALSE)),0)</f>
      </c>
      <c r="H377" s="17">
        <f>IF($C377="","",$F377-$G377)</f>
      </c>
    </row>
    <row r="378" spans="2:8" x14ac:dyDescent="0.25">
      <c r="B378" s="22"/>
      <c r="C378" s="12"/>
      <c r="D378" s="15">
        <f>IFERROR(IF($C378="","",VLOOKUP($C378,'Menü Kartları'!$B$5:$C$154,2,FALSE)),"— tanımsız —")</f>
      </c>
      <c r="E378" s="23"/>
      <c r="F378" s="11">
        <f>IFERROR(IF(OR($C378="",$E378=""),0,$E378*VLOOKUP($C378,'Menü Kartları'!$B$5:$E$154,4,FALSE)),0)</f>
      </c>
      <c r="G378" s="11">
        <f>IFERROR(IF(OR($C378="",$E378=""),0,$E378*VLOOKUP($C378,'Menü Kartları'!$B$5:$G$154,6,FALSE)),0)</f>
      </c>
      <c r="H378" s="17">
        <f>IF($C378="","",$F378-$G378)</f>
      </c>
    </row>
    <row r="379" spans="2:8" x14ac:dyDescent="0.25">
      <c r="B379" s="20"/>
      <c r="C379" s="8"/>
      <c r="D379" s="15">
        <f>IFERROR(IF($C379="","",VLOOKUP($C379,'Menü Kartları'!$B$5:$C$154,2,FALSE)),"— tanımsız —")</f>
      </c>
      <c r="E379" s="21"/>
      <c r="F379" s="11">
        <f>IFERROR(IF(OR($C379="",$E379=""),0,$E379*VLOOKUP($C379,'Menü Kartları'!$B$5:$E$154,4,FALSE)),0)</f>
      </c>
      <c r="G379" s="11">
        <f>IFERROR(IF(OR($C379="",$E379=""),0,$E379*VLOOKUP($C379,'Menü Kartları'!$B$5:$G$154,6,FALSE)),0)</f>
      </c>
      <c r="H379" s="17">
        <f>IF($C379="","",$F379-$G379)</f>
      </c>
    </row>
    <row r="380" spans="2:8" x14ac:dyDescent="0.25">
      <c r="B380" s="22"/>
      <c r="C380" s="12"/>
      <c r="D380" s="15">
        <f>IFERROR(IF($C380="","",VLOOKUP($C380,'Menü Kartları'!$B$5:$C$154,2,FALSE)),"— tanımsız —")</f>
      </c>
      <c r="E380" s="23"/>
      <c r="F380" s="11">
        <f>IFERROR(IF(OR($C380="",$E380=""),0,$E380*VLOOKUP($C380,'Menü Kartları'!$B$5:$E$154,4,FALSE)),0)</f>
      </c>
      <c r="G380" s="11">
        <f>IFERROR(IF(OR($C380="",$E380=""),0,$E380*VLOOKUP($C380,'Menü Kartları'!$B$5:$G$154,6,FALSE)),0)</f>
      </c>
      <c r="H380" s="17">
        <f>IF($C380="","",$F380-$G380)</f>
      </c>
    </row>
    <row r="381" spans="2:8" x14ac:dyDescent="0.25">
      <c r="B381" s="20"/>
      <c r="C381" s="8"/>
      <c r="D381" s="15">
        <f>IFERROR(IF($C381="","",VLOOKUP($C381,'Menü Kartları'!$B$5:$C$154,2,FALSE)),"— tanımsız —")</f>
      </c>
      <c r="E381" s="21"/>
      <c r="F381" s="11">
        <f>IFERROR(IF(OR($C381="",$E381=""),0,$E381*VLOOKUP($C381,'Menü Kartları'!$B$5:$E$154,4,FALSE)),0)</f>
      </c>
      <c r="G381" s="11">
        <f>IFERROR(IF(OR($C381="",$E381=""),0,$E381*VLOOKUP($C381,'Menü Kartları'!$B$5:$G$154,6,FALSE)),0)</f>
      </c>
      <c r="H381" s="17">
        <f>IF($C381="","",$F381-$G381)</f>
      </c>
    </row>
    <row r="382" spans="2:8" x14ac:dyDescent="0.25">
      <c r="B382" s="22"/>
      <c r="C382" s="12"/>
      <c r="D382" s="15">
        <f>IFERROR(IF($C382="","",VLOOKUP($C382,'Menü Kartları'!$B$5:$C$154,2,FALSE)),"— tanımsız —")</f>
      </c>
      <c r="E382" s="23"/>
      <c r="F382" s="11">
        <f>IFERROR(IF(OR($C382="",$E382=""),0,$E382*VLOOKUP($C382,'Menü Kartları'!$B$5:$E$154,4,FALSE)),0)</f>
      </c>
      <c r="G382" s="11">
        <f>IFERROR(IF(OR($C382="",$E382=""),0,$E382*VLOOKUP($C382,'Menü Kartları'!$B$5:$G$154,6,FALSE)),0)</f>
      </c>
      <c r="H382" s="17">
        <f>IF($C382="","",$F382-$G382)</f>
      </c>
    </row>
    <row r="383" spans="2:8" x14ac:dyDescent="0.25">
      <c r="B383" s="20"/>
      <c r="C383" s="8"/>
      <c r="D383" s="15">
        <f>IFERROR(IF($C383="","",VLOOKUP($C383,'Menü Kartları'!$B$5:$C$154,2,FALSE)),"— tanımsız —")</f>
      </c>
      <c r="E383" s="21"/>
      <c r="F383" s="11">
        <f>IFERROR(IF(OR($C383="",$E383=""),0,$E383*VLOOKUP($C383,'Menü Kartları'!$B$5:$E$154,4,FALSE)),0)</f>
      </c>
      <c r="G383" s="11">
        <f>IFERROR(IF(OR($C383="",$E383=""),0,$E383*VLOOKUP($C383,'Menü Kartları'!$B$5:$G$154,6,FALSE)),0)</f>
      </c>
      <c r="H383" s="17">
        <f>IF($C383="","",$F383-$G383)</f>
      </c>
    </row>
    <row r="384" spans="2:8" x14ac:dyDescent="0.25">
      <c r="B384" s="22"/>
      <c r="C384" s="12"/>
      <c r="D384" s="15">
        <f>IFERROR(IF($C384="","",VLOOKUP($C384,'Menü Kartları'!$B$5:$C$154,2,FALSE)),"— tanımsız —")</f>
      </c>
      <c r="E384" s="23"/>
      <c r="F384" s="11">
        <f>IFERROR(IF(OR($C384="",$E384=""),0,$E384*VLOOKUP($C384,'Menü Kartları'!$B$5:$E$154,4,FALSE)),0)</f>
      </c>
      <c r="G384" s="11">
        <f>IFERROR(IF(OR($C384="",$E384=""),0,$E384*VLOOKUP($C384,'Menü Kartları'!$B$5:$G$154,6,FALSE)),0)</f>
      </c>
      <c r="H384" s="17">
        <f>IF($C384="","",$F384-$G384)</f>
      </c>
    </row>
    <row r="385" spans="2:8" x14ac:dyDescent="0.25">
      <c r="B385" s="20"/>
      <c r="C385" s="8"/>
      <c r="D385" s="15">
        <f>IFERROR(IF($C385="","",VLOOKUP($C385,'Menü Kartları'!$B$5:$C$154,2,FALSE)),"— tanımsız —")</f>
      </c>
      <c r="E385" s="21"/>
      <c r="F385" s="11">
        <f>IFERROR(IF(OR($C385="",$E385=""),0,$E385*VLOOKUP($C385,'Menü Kartları'!$B$5:$E$154,4,FALSE)),0)</f>
      </c>
      <c r="G385" s="11">
        <f>IFERROR(IF(OR($C385="",$E385=""),0,$E385*VLOOKUP($C385,'Menü Kartları'!$B$5:$G$154,6,FALSE)),0)</f>
      </c>
      <c r="H385" s="17">
        <f>IF($C385="","",$F385-$G385)</f>
      </c>
    </row>
    <row r="386" spans="2:8" x14ac:dyDescent="0.25">
      <c r="B386" s="22"/>
      <c r="C386" s="12"/>
      <c r="D386" s="15">
        <f>IFERROR(IF($C386="","",VLOOKUP($C386,'Menü Kartları'!$B$5:$C$154,2,FALSE)),"— tanımsız —")</f>
      </c>
      <c r="E386" s="23"/>
      <c r="F386" s="11">
        <f>IFERROR(IF(OR($C386="",$E386=""),0,$E386*VLOOKUP($C386,'Menü Kartları'!$B$5:$E$154,4,FALSE)),0)</f>
      </c>
      <c r="G386" s="11">
        <f>IFERROR(IF(OR($C386="",$E386=""),0,$E386*VLOOKUP($C386,'Menü Kartları'!$B$5:$G$154,6,FALSE)),0)</f>
      </c>
      <c r="H386" s="17">
        <f>IF($C386="","",$F386-$G386)</f>
      </c>
    </row>
    <row r="387" spans="2:8" x14ac:dyDescent="0.25">
      <c r="B387" s="20"/>
      <c r="C387" s="8"/>
      <c r="D387" s="15">
        <f>IFERROR(IF($C387="","",VLOOKUP($C387,'Menü Kartları'!$B$5:$C$154,2,FALSE)),"— tanımsız —")</f>
      </c>
      <c r="E387" s="21"/>
      <c r="F387" s="11">
        <f>IFERROR(IF(OR($C387="",$E387=""),0,$E387*VLOOKUP($C387,'Menü Kartları'!$B$5:$E$154,4,FALSE)),0)</f>
      </c>
      <c r="G387" s="11">
        <f>IFERROR(IF(OR($C387="",$E387=""),0,$E387*VLOOKUP($C387,'Menü Kartları'!$B$5:$G$154,6,FALSE)),0)</f>
      </c>
      <c r="H387" s="17">
        <f>IF($C387="","",$F387-$G387)</f>
      </c>
    </row>
    <row r="388" spans="2:8" x14ac:dyDescent="0.25">
      <c r="B388" s="22"/>
      <c r="C388" s="12"/>
      <c r="D388" s="15">
        <f>IFERROR(IF($C388="","",VLOOKUP($C388,'Menü Kartları'!$B$5:$C$154,2,FALSE)),"— tanımsız —")</f>
      </c>
      <c r="E388" s="23"/>
      <c r="F388" s="11">
        <f>IFERROR(IF(OR($C388="",$E388=""),0,$E388*VLOOKUP($C388,'Menü Kartları'!$B$5:$E$154,4,FALSE)),0)</f>
      </c>
      <c r="G388" s="11">
        <f>IFERROR(IF(OR($C388="",$E388=""),0,$E388*VLOOKUP($C388,'Menü Kartları'!$B$5:$G$154,6,FALSE)),0)</f>
      </c>
      <c r="H388" s="17">
        <f>IF($C388="","",$F388-$G388)</f>
      </c>
    </row>
    <row r="389" spans="2:8" x14ac:dyDescent="0.25">
      <c r="B389" s="20"/>
      <c r="C389" s="8"/>
      <c r="D389" s="15">
        <f>IFERROR(IF($C389="","",VLOOKUP($C389,'Menü Kartları'!$B$5:$C$154,2,FALSE)),"— tanımsız —")</f>
      </c>
      <c r="E389" s="21"/>
      <c r="F389" s="11">
        <f>IFERROR(IF(OR($C389="",$E389=""),0,$E389*VLOOKUP($C389,'Menü Kartları'!$B$5:$E$154,4,FALSE)),0)</f>
      </c>
      <c r="G389" s="11">
        <f>IFERROR(IF(OR($C389="",$E389=""),0,$E389*VLOOKUP($C389,'Menü Kartları'!$B$5:$G$154,6,FALSE)),0)</f>
      </c>
      <c r="H389" s="17">
        <f>IF($C389="","",$F389-$G389)</f>
      </c>
    </row>
    <row r="390" spans="2:8" x14ac:dyDescent="0.25">
      <c r="B390" s="22"/>
      <c r="C390" s="12"/>
      <c r="D390" s="15">
        <f>IFERROR(IF($C390="","",VLOOKUP($C390,'Menü Kartları'!$B$5:$C$154,2,FALSE)),"— tanımsız —")</f>
      </c>
      <c r="E390" s="23"/>
      <c r="F390" s="11">
        <f>IFERROR(IF(OR($C390="",$E390=""),0,$E390*VLOOKUP($C390,'Menü Kartları'!$B$5:$E$154,4,FALSE)),0)</f>
      </c>
      <c r="G390" s="11">
        <f>IFERROR(IF(OR($C390="",$E390=""),0,$E390*VLOOKUP($C390,'Menü Kartları'!$B$5:$G$154,6,FALSE)),0)</f>
      </c>
      <c r="H390" s="17">
        <f>IF($C390="","",$F390-$G390)</f>
      </c>
    </row>
    <row r="391" spans="2:8" x14ac:dyDescent="0.25">
      <c r="B391" s="20"/>
      <c r="C391" s="8"/>
      <c r="D391" s="15">
        <f>IFERROR(IF($C391="","",VLOOKUP($C391,'Menü Kartları'!$B$5:$C$154,2,FALSE)),"— tanımsız —")</f>
      </c>
      <c r="E391" s="21"/>
      <c r="F391" s="11">
        <f>IFERROR(IF(OR($C391="",$E391=""),0,$E391*VLOOKUP($C391,'Menü Kartları'!$B$5:$E$154,4,FALSE)),0)</f>
      </c>
      <c r="G391" s="11">
        <f>IFERROR(IF(OR($C391="",$E391=""),0,$E391*VLOOKUP($C391,'Menü Kartları'!$B$5:$G$154,6,FALSE)),0)</f>
      </c>
      <c r="H391" s="17">
        <f>IF($C391="","",$F391-$G391)</f>
      </c>
    </row>
    <row r="392" spans="2:8" x14ac:dyDescent="0.25">
      <c r="B392" s="22"/>
      <c r="C392" s="12"/>
      <c r="D392" s="15">
        <f>IFERROR(IF($C392="","",VLOOKUP($C392,'Menü Kartları'!$B$5:$C$154,2,FALSE)),"— tanımsız —")</f>
      </c>
      <c r="E392" s="23"/>
      <c r="F392" s="11">
        <f>IFERROR(IF(OR($C392="",$E392=""),0,$E392*VLOOKUP($C392,'Menü Kartları'!$B$5:$E$154,4,FALSE)),0)</f>
      </c>
      <c r="G392" s="11">
        <f>IFERROR(IF(OR($C392="",$E392=""),0,$E392*VLOOKUP($C392,'Menü Kartları'!$B$5:$G$154,6,FALSE)),0)</f>
      </c>
      <c r="H392" s="17">
        <f>IF($C392="","",$F392-$G392)</f>
      </c>
    </row>
    <row r="393" spans="2:8" x14ac:dyDescent="0.25">
      <c r="B393" s="20"/>
      <c r="C393" s="8"/>
      <c r="D393" s="15">
        <f>IFERROR(IF($C393="","",VLOOKUP($C393,'Menü Kartları'!$B$5:$C$154,2,FALSE)),"— tanımsız —")</f>
      </c>
      <c r="E393" s="21"/>
      <c r="F393" s="11">
        <f>IFERROR(IF(OR($C393="",$E393=""),0,$E393*VLOOKUP($C393,'Menü Kartları'!$B$5:$E$154,4,FALSE)),0)</f>
      </c>
      <c r="G393" s="11">
        <f>IFERROR(IF(OR($C393="",$E393=""),0,$E393*VLOOKUP($C393,'Menü Kartları'!$B$5:$G$154,6,FALSE)),0)</f>
      </c>
      <c r="H393" s="17">
        <f>IF($C393="","",$F393-$G393)</f>
      </c>
    </row>
    <row r="394" spans="2:8" x14ac:dyDescent="0.25">
      <c r="B394" s="22"/>
      <c r="C394" s="12"/>
      <c r="D394" s="15">
        <f>IFERROR(IF($C394="","",VLOOKUP($C394,'Menü Kartları'!$B$5:$C$154,2,FALSE)),"— tanımsız —")</f>
      </c>
      <c r="E394" s="23"/>
      <c r="F394" s="11">
        <f>IFERROR(IF(OR($C394="",$E394=""),0,$E394*VLOOKUP($C394,'Menü Kartları'!$B$5:$E$154,4,FALSE)),0)</f>
      </c>
      <c r="G394" s="11">
        <f>IFERROR(IF(OR($C394="",$E394=""),0,$E394*VLOOKUP($C394,'Menü Kartları'!$B$5:$G$154,6,FALSE)),0)</f>
      </c>
      <c r="H394" s="17">
        <f>IF($C394="","",$F394-$G394)</f>
      </c>
    </row>
    <row r="395" spans="2:8" x14ac:dyDescent="0.25">
      <c r="B395" s="20"/>
      <c r="C395" s="8"/>
      <c r="D395" s="15">
        <f>IFERROR(IF($C395="","",VLOOKUP($C395,'Menü Kartları'!$B$5:$C$154,2,FALSE)),"— tanımsız —")</f>
      </c>
      <c r="E395" s="21"/>
      <c r="F395" s="11">
        <f>IFERROR(IF(OR($C395="",$E395=""),0,$E395*VLOOKUP($C395,'Menü Kartları'!$B$5:$E$154,4,FALSE)),0)</f>
      </c>
      <c r="G395" s="11">
        <f>IFERROR(IF(OR($C395="",$E395=""),0,$E395*VLOOKUP($C395,'Menü Kartları'!$B$5:$G$154,6,FALSE)),0)</f>
      </c>
      <c r="H395" s="17">
        <f>IF($C395="","",$F395-$G395)</f>
      </c>
    </row>
    <row r="396" spans="2:8" x14ac:dyDescent="0.25">
      <c r="B396" s="22"/>
      <c r="C396" s="12"/>
      <c r="D396" s="15">
        <f>IFERROR(IF($C396="","",VLOOKUP($C396,'Menü Kartları'!$B$5:$C$154,2,FALSE)),"— tanımsız —")</f>
      </c>
      <c r="E396" s="23"/>
      <c r="F396" s="11">
        <f>IFERROR(IF(OR($C396="",$E396=""),0,$E396*VLOOKUP($C396,'Menü Kartları'!$B$5:$E$154,4,FALSE)),0)</f>
      </c>
      <c r="G396" s="11">
        <f>IFERROR(IF(OR($C396="",$E396=""),0,$E396*VLOOKUP($C396,'Menü Kartları'!$B$5:$G$154,6,FALSE)),0)</f>
      </c>
      <c r="H396" s="17">
        <f>IF($C396="","",$F396-$G396)</f>
      </c>
    </row>
    <row r="397" spans="2:8" x14ac:dyDescent="0.25">
      <c r="B397" s="20"/>
      <c r="C397" s="8"/>
      <c r="D397" s="15">
        <f>IFERROR(IF($C397="","",VLOOKUP($C397,'Menü Kartları'!$B$5:$C$154,2,FALSE)),"— tanımsız —")</f>
      </c>
      <c r="E397" s="21"/>
      <c r="F397" s="11">
        <f>IFERROR(IF(OR($C397="",$E397=""),0,$E397*VLOOKUP($C397,'Menü Kartları'!$B$5:$E$154,4,FALSE)),0)</f>
      </c>
      <c r="G397" s="11">
        <f>IFERROR(IF(OR($C397="",$E397=""),0,$E397*VLOOKUP($C397,'Menü Kartları'!$B$5:$G$154,6,FALSE)),0)</f>
      </c>
      <c r="H397" s="17">
        <f>IF($C397="","",$F397-$G397)</f>
      </c>
    </row>
    <row r="398" spans="2:8" x14ac:dyDescent="0.25">
      <c r="B398" s="22"/>
      <c r="C398" s="12"/>
      <c r="D398" s="15">
        <f>IFERROR(IF($C398="","",VLOOKUP($C398,'Menü Kartları'!$B$5:$C$154,2,FALSE)),"— tanımsız —")</f>
      </c>
      <c r="E398" s="23"/>
      <c r="F398" s="11">
        <f>IFERROR(IF(OR($C398="",$E398=""),0,$E398*VLOOKUP($C398,'Menü Kartları'!$B$5:$E$154,4,FALSE)),0)</f>
      </c>
      <c r="G398" s="11">
        <f>IFERROR(IF(OR($C398="",$E398=""),0,$E398*VLOOKUP($C398,'Menü Kartları'!$B$5:$G$154,6,FALSE)),0)</f>
      </c>
      <c r="H398" s="17">
        <f>IF($C398="","",$F398-$G398)</f>
      </c>
    </row>
    <row r="399" spans="2:8" x14ac:dyDescent="0.25">
      <c r="B399" s="20"/>
      <c r="C399" s="8"/>
      <c r="D399" s="15">
        <f>IFERROR(IF($C399="","",VLOOKUP($C399,'Menü Kartları'!$B$5:$C$154,2,FALSE)),"— tanımsız —")</f>
      </c>
      <c r="E399" s="21"/>
      <c r="F399" s="11">
        <f>IFERROR(IF(OR($C399="",$E399=""),0,$E399*VLOOKUP($C399,'Menü Kartları'!$B$5:$E$154,4,FALSE)),0)</f>
      </c>
      <c r="G399" s="11">
        <f>IFERROR(IF(OR($C399="",$E399=""),0,$E399*VLOOKUP($C399,'Menü Kartları'!$B$5:$G$154,6,FALSE)),0)</f>
      </c>
      <c r="H399" s="17">
        <f>IF($C399="","",$F399-$G399)</f>
      </c>
    </row>
    <row r="400" spans="2:8" x14ac:dyDescent="0.25">
      <c r="B400" s="22"/>
      <c r="C400" s="12"/>
      <c r="D400" s="15">
        <f>IFERROR(IF($C400="","",VLOOKUP($C400,'Menü Kartları'!$B$5:$C$154,2,FALSE)),"— tanımsız —")</f>
      </c>
      <c r="E400" s="23"/>
      <c r="F400" s="11">
        <f>IFERROR(IF(OR($C400="",$E400=""),0,$E400*VLOOKUP($C400,'Menü Kartları'!$B$5:$E$154,4,FALSE)),0)</f>
      </c>
      <c r="G400" s="11">
        <f>IFERROR(IF(OR($C400="",$E400=""),0,$E400*VLOOKUP($C400,'Menü Kartları'!$B$5:$G$154,6,FALSE)),0)</f>
      </c>
      <c r="H400" s="17">
        <f>IF($C400="","",$F400-$G400)</f>
      </c>
    </row>
    <row r="401" spans="2:8" x14ac:dyDescent="0.25">
      <c r="B401" s="20"/>
      <c r="C401" s="8"/>
      <c r="D401" s="15">
        <f>IFERROR(IF($C401="","",VLOOKUP($C401,'Menü Kartları'!$B$5:$C$154,2,FALSE)),"— tanımsız —")</f>
      </c>
      <c r="E401" s="21"/>
      <c r="F401" s="11">
        <f>IFERROR(IF(OR($C401="",$E401=""),0,$E401*VLOOKUP($C401,'Menü Kartları'!$B$5:$E$154,4,FALSE)),0)</f>
      </c>
      <c r="G401" s="11">
        <f>IFERROR(IF(OR($C401="",$E401=""),0,$E401*VLOOKUP($C401,'Menü Kartları'!$B$5:$G$154,6,FALSE)),0)</f>
      </c>
      <c r="H401" s="17">
        <f>IF($C401="","",$F401-$G401)</f>
      </c>
    </row>
    <row r="402" spans="2:8" x14ac:dyDescent="0.25">
      <c r="B402" s="22"/>
      <c r="C402" s="12"/>
      <c r="D402" s="15">
        <f>IFERROR(IF($C402="","",VLOOKUP($C402,'Menü Kartları'!$B$5:$C$154,2,FALSE)),"— tanımsız —")</f>
      </c>
      <c r="E402" s="23"/>
      <c r="F402" s="11">
        <f>IFERROR(IF(OR($C402="",$E402=""),0,$E402*VLOOKUP($C402,'Menü Kartları'!$B$5:$E$154,4,FALSE)),0)</f>
      </c>
      <c r="G402" s="11">
        <f>IFERROR(IF(OR($C402="",$E402=""),0,$E402*VLOOKUP($C402,'Menü Kartları'!$B$5:$G$154,6,FALSE)),0)</f>
      </c>
      <c r="H402" s="17">
        <f>IF($C402="","",$F402-$G402)</f>
      </c>
    </row>
    <row r="403" spans="2:8" x14ac:dyDescent="0.25">
      <c r="B403" s="20"/>
      <c r="C403" s="8"/>
      <c r="D403" s="15">
        <f>IFERROR(IF($C403="","",VLOOKUP($C403,'Menü Kartları'!$B$5:$C$154,2,FALSE)),"— tanımsız —")</f>
      </c>
      <c r="E403" s="21"/>
      <c r="F403" s="11">
        <f>IFERROR(IF(OR($C403="",$E403=""),0,$E403*VLOOKUP($C403,'Menü Kartları'!$B$5:$E$154,4,FALSE)),0)</f>
      </c>
      <c r="G403" s="11">
        <f>IFERROR(IF(OR($C403="",$E403=""),0,$E403*VLOOKUP($C403,'Menü Kartları'!$B$5:$G$154,6,FALSE)),0)</f>
      </c>
      <c r="H403" s="17">
        <f>IF($C403="","",$F403-$G403)</f>
      </c>
    </row>
    <row r="404" spans="2:8" x14ac:dyDescent="0.25">
      <c r="B404" s="22"/>
      <c r="C404" s="12"/>
      <c r="D404" s="15">
        <f>IFERROR(IF($C404="","",VLOOKUP($C404,'Menü Kartları'!$B$5:$C$154,2,FALSE)),"— tanımsız —")</f>
      </c>
      <c r="E404" s="23"/>
      <c r="F404" s="11">
        <f>IFERROR(IF(OR($C404="",$E404=""),0,$E404*VLOOKUP($C404,'Menü Kartları'!$B$5:$E$154,4,FALSE)),0)</f>
      </c>
      <c r="G404" s="11">
        <f>IFERROR(IF(OR($C404="",$E404=""),0,$E404*VLOOKUP($C404,'Menü Kartları'!$B$5:$G$154,6,FALSE)),0)</f>
      </c>
      <c r="H404" s="17">
        <f>IF($C404="","",$F404-$G404)</f>
      </c>
    </row>
    <row r="405" spans="2:8" x14ac:dyDescent="0.25">
      <c r="B405" s="20"/>
      <c r="C405" s="8"/>
      <c r="D405" s="15">
        <f>IFERROR(IF($C405="","",VLOOKUP($C405,'Menü Kartları'!$B$5:$C$154,2,FALSE)),"— tanımsız —")</f>
      </c>
      <c r="E405" s="21"/>
      <c r="F405" s="11">
        <f>IFERROR(IF(OR($C405="",$E405=""),0,$E405*VLOOKUP($C405,'Menü Kartları'!$B$5:$E$154,4,FALSE)),0)</f>
      </c>
      <c r="G405" s="11">
        <f>IFERROR(IF(OR($C405="",$E405=""),0,$E405*VLOOKUP($C405,'Menü Kartları'!$B$5:$G$154,6,FALSE)),0)</f>
      </c>
      <c r="H405" s="17">
        <f>IF($C405="","",$F405-$G405)</f>
      </c>
    </row>
    <row r="406" spans="2:8" x14ac:dyDescent="0.25">
      <c r="B406" s="22"/>
      <c r="C406" s="12"/>
      <c r="D406" s="15">
        <f>IFERROR(IF($C406="","",VLOOKUP($C406,'Menü Kartları'!$B$5:$C$154,2,FALSE)),"— tanımsız —")</f>
      </c>
      <c r="E406" s="23"/>
      <c r="F406" s="11">
        <f>IFERROR(IF(OR($C406="",$E406=""),0,$E406*VLOOKUP($C406,'Menü Kartları'!$B$5:$E$154,4,FALSE)),0)</f>
      </c>
      <c r="G406" s="11">
        <f>IFERROR(IF(OR($C406="",$E406=""),0,$E406*VLOOKUP($C406,'Menü Kartları'!$B$5:$G$154,6,FALSE)),0)</f>
      </c>
      <c r="H406" s="17">
        <f>IF($C406="","",$F406-$G406)</f>
      </c>
    </row>
    <row r="407" spans="2:8" x14ac:dyDescent="0.25">
      <c r="B407" s="20"/>
      <c r="C407" s="8"/>
      <c r="D407" s="15">
        <f>IFERROR(IF($C407="","",VLOOKUP($C407,'Menü Kartları'!$B$5:$C$154,2,FALSE)),"— tanımsız —")</f>
      </c>
      <c r="E407" s="21"/>
      <c r="F407" s="11">
        <f>IFERROR(IF(OR($C407="",$E407=""),0,$E407*VLOOKUP($C407,'Menü Kartları'!$B$5:$E$154,4,FALSE)),0)</f>
      </c>
      <c r="G407" s="11">
        <f>IFERROR(IF(OR($C407="",$E407=""),0,$E407*VLOOKUP($C407,'Menü Kartları'!$B$5:$G$154,6,FALSE)),0)</f>
      </c>
      <c r="H407" s="17">
        <f>IF($C407="","",$F407-$G407)</f>
      </c>
    </row>
    <row r="408" spans="2:8" x14ac:dyDescent="0.25">
      <c r="B408" s="22"/>
      <c r="C408" s="12"/>
      <c r="D408" s="15">
        <f>IFERROR(IF($C408="","",VLOOKUP($C408,'Menü Kartları'!$B$5:$C$154,2,FALSE)),"— tanımsız —")</f>
      </c>
      <c r="E408" s="23"/>
      <c r="F408" s="11">
        <f>IFERROR(IF(OR($C408="",$E408=""),0,$E408*VLOOKUP($C408,'Menü Kartları'!$B$5:$E$154,4,FALSE)),0)</f>
      </c>
      <c r="G408" s="11">
        <f>IFERROR(IF(OR($C408="",$E408=""),0,$E408*VLOOKUP($C408,'Menü Kartları'!$B$5:$G$154,6,FALSE)),0)</f>
      </c>
      <c r="H408" s="17">
        <f>IF($C408="","",$F408-$G408)</f>
      </c>
    </row>
    <row r="409" spans="2:8" x14ac:dyDescent="0.25">
      <c r="B409" s="20"/>
      <c r="C409" s="8"/>
      <c r="D409" s="15">
        <f>IFERROR(IF($C409="","",VLOOKUP($C409,'Menü Kartları'!$B$5:$C$154,2,FALSE)),"— tanımsız —")</f>
      </c>
      <c r="E409" s="21"/>
      <c r="F409" s="11">
        <f>IFERROR(IF(OR($C409="",$E409=""),0,$E409*VLOOKUP($C409,'Menü Kartları'!$B$5:$E$154,4,FALSE)),0)</f>
      </c>
      <c r="G409" s="11">
        <f>IFERROR(IF(OR($C409="",$E409=""),0,$E409*VLOOKUP($C409,'Menü Kartları'!$B$5:$G$154,6,FALSE)),0)</f>
      </c>
      <c r="H409" s="17">
        <f>IF($C409="","",$F409-$G409)</f>
      </c>
    </row>
    <row r="410" spans="2:8" x14ac:dyDescent="0.25">
      <c r="B410" s="22"/>
      <c r="C410" s="12"/>
      <c r="D410" s="15">
        <f>IFERROR(IF($C410="","",VLOOKUP($C410,'Menü Kartları'!$B$5:$C$154,2,FALSE)),"— tanımsız —")</f>
      </c>
      <c r="E410" s="23"/>
      <c r="F410" s="11">
        <f>IFERROR(IF(OR($C410="",$E410=""),0,$E410*VLOOKUP($C410,'Menü Kartları'!$B$5:$E$154,4,FALSE)),0)</f>
      </c>
      <c r="G410" s="11">
        <f>IFERROR(IF(OR($C410="",$E410=""),0,$E410*VLOOKUP($C410,'Menü Kartları'!$B$5:$G$154,6,FALSE)),0)</f>
      </c>
      <c r="H410" s="17">
        <f>IF($C410="","",$F410-$G410)</f>
      </c>
    </row>
    <row r="411" spans="2:8" x14ac:dyDescent="0.25">
      <c r="B411" s="20"/>
      <c r="C411" s="8"/>
      <c r="D411" s="15">
        <f>IFERROR(IF($C411="","",VLOOKUP($C411,'Menü Kartları'!$B$5:$C$154,2,FALSE)),"— tanımsız —")</f>
      </c>
      <c r="E411" s="21"/>
      <c r="F411" s="11">
        <f>IFERROR(IF(OR($C411="",$E411=""),0,$E411*VLOOKUP($C411,'Menü Kartları'!$B$5:$E$154,4,FALSE)),0)</f>
      </c>
      <c r="G411" s="11">
        <f>IFERROR(IF(OR($C411="",$E411=""),0,$E411*VLOOKUP($C411,'Menü Kartları'!$B$5:$G$154,6,FALSE)),0)</f>
      </c>
      <c r="H411" s="17">
        <f>IF($C411="","",$F411-$G411)</f>
      </c>
    </row>
    <row r="412" spans="2:8" x14ac:dyDescent="0.25">
      <c r="B412" s="22"/>
      <c r="C412" s="12"/>
      <c r="D412" s="15">
        <f>IFERROR(IF($C412="","",VLOOKUP($C412,'Menü Kartları'!$B$5:$C$154,2,FALSE)),"— tanımsız —")</f>
      </c>
      <c r="E412" s="23"/>
      <c r="F412" s="11">
        <f>IFERROR(IF(OR($C412="",$E412=""),0,$E412*VLOOKUP($C412,'Menü Kartları'!$B$5:$E$154,4,FALSE)),0)</f>
      </c>
      <c r="G412" s="11">
        <f>IFERROR(IF(OR($C412="",$E412=""),0,$E412*VLOOKUP($C412,'Menü Kartları'!$B$5:$G$154,6,FALSE)),0)</f>
      </c>
      <c r="H412" s="17">
        <f>IF($C412="","",$F412-$G412)</f>
      </c>
    </row>
    <row r="413" spans="2:8" x14ac:dyDescent="0.25">
      <c r="B413" s="20"/>
      <c r="C413" s="8"/>
      <c r="D413" s="15">
        <f>IFERROR(IF($C413="","",VLOOKUP($C413,'Menü Kartları'!$B$5:$C$154,2,FALSE)),"— tanımsız —")</f>
      </c>
      <c r="E413" s="21"/>
      <c r="F413" s="11">
        <f>IFERROR(IF(OR($C413="",$E413=""),0,$E413*VLOOKUP($C413,'Menü Kartları'!$B$5:$E$154,4,FALSE)),0)</f>
      </c>
      <c r="G413" s="11">
        <f>IFERROR(IF(OR($C413="",$E413=""),0,$E413*VLOOKUP($C413,'Menü Kartları'!$B$5:$G$154,6,FALSE)),0)</f>
      </c>
      <c r="H413" s="17">
        <f>IF($C413="","",$F413-$G413)</f>
      </c>
    </row>
    <row r="414" spans="2:8" x14ac:dyDescent="0.25">
      <c r="B414" s="22"/>
      <c r="C414" s="12"/>
      <c r="D414" s="15">
        <f>IFERROR(IF($C414="","",VLOOKUP($C414,'Menü Kartları'!$B$5:$C$154,2,FALSE)),"— tanımsız —")</f>
      </c>
      <c r="E414" s="23"/>
      <c r="F414" s="11">
        <f>IFERROR(IF(OR($C414="",$E414=""),0,$E414*VLOOKUP($C414,'Menü Kartları'!$B$5:$E$154,4,FALSE)),0)</f>
      </c>
      <c r="G414" s="11">
        <f>IFERROR(IF(OR($C414="",$E414=""),0,$E414*VLOOKUP($C414,'Menü Kartları'!$B$5:$G$154,6,FALSE)),0)</f>
      </c>
      <c r="H414" s="17">
        <f>IF($C414="","",$F414-$G414)</f>
      </c>
    </row>
    <row r="415" spans="2:8" x14ac:dyDescent="0.25">
      <c r="B415" s="20"/>
      <c r="C415" s="8"/>
      <c r="D415" s="15">
        <f>IFERROR(IF($C415="","",VLOOKUP($C415,'Menü Kartları'!$B$5:$C$154,2,FALSE)),"— tanımsız —")</f>
      </c>
      <c r="E415" s="21"/>
      <c r="F415" s="11">
        <f>IFERROR(IF(OR($C415="",$E415=""),0,$E415*VLOOKUP($C415,'Menü Kartları'!$B$5:$E$154,4,FALSE)),0)</f>
      </c>
      <c r="G415" s="11">
        <f>IFERROR(IF(OR($C415="",$E415=""),0,$E415*VLOOKUP($C415,'Menü Kartları'!$B$5:$G$154,6,FALSE)),0)</f>
      </c>
      <c r="H415" s="17">
        <f>IF($C415="","",$F415-$G415)</f>
      </c>
    </row>
    <row r="416" spans="2:8" x14ac:dyDescent="0.25">
      <c r="B416" s="22"/>
      <c r="C416" s="12"/>
      <c r="D416" s="15">
        <f>IFERROR(IF($C416="","",VLOOKUP($C416,'Menü Kartları'!$B$5:$C$154,2,FALSE)),"— tanımsız —")</f>
      </c>
      <c r="E416" s="23"/>
      <c r="F416" s="11">
        <f>IFERROR(IF(OR($C416="",$E416=""),0,$E416*VLOOKUP($C416,'Menü Kartları'!$B$5:$E$154,4,FALSE)),0)</f>
      </c>
      <c r="G416" s="11">
        <f>IFERROR(IF(OR($C416="",$E416=""),0,$E416*VLOOKUP($C416,'Menü Kartları'!$B$5:$G$154,6,FALSE)),0)</f>
      </c>
      <c r="H416" s="17">
        <f>IF($C416="","",$F416-$G416)</f>
      </c>
    </row>
    <row r="417" spans="2:8" x14ac:dyDescent="0.25">
      <c r="B417" s="20"/>
      <c r="C417" s="8"/>
      <c r="D417" s="15">
        <f>IFERROR(IF($C417="","",VLOOKUP($C417,'Menü Kartları'!$B$5:$C$154,2,FALSE)),"— tanımsız —")</f>
      </c>
      <c r="E417" s="21"/>
      <c r="F417" s="11">
        <f>IFERROR(IF(OR($C417="",$E417=""),0,$E417*VLOOKUP($C417,'Menü Kartları'!$B$5:$E$154,4,FALSE)),0)</f>
      </c>
      <c r="G417" s="11">
        <f>IFERROR(IF(OR($C417="",$E417=""),0,$E417*VLOOKUP($C417,'Menü Kartları'!$B$5:$G$154,6,FALSE)),0)</f>
      </c>
      <c r="H417" s="17">
        <f>IF($C417="","",$F417-$G417)</f>
      </c>
    </row>
    <row r="418" spans="2:8" x14ac:dyDescent="0.25">
      <c r="B418" s="22"/>
      <c r="C418" s="12"/>
      <c r="D418" s="15">
        <f>IFERROR(IF($C418="","",VLOOKUP($C418,'Menü Kartları'!$B$5:$C$154,2,FALSE)),"— tanımsız —")</f>
      </c>
      <c r="E418" s="23"/>
      <c r="F418" s="11">
        <f>IFERROR(IF(OR($C418="",$E418=""),0,$E418*VLOOKUP($C418,'Menü Kartları'!$B$5:$E$154,4,FALSE)),0)</f>
      </c>
      <c r="G418" s="11">
        <f>IFERROR(IF(OR($C418="",$E418=""),0,$E418*VLOOKUP($C418,'Menü Kartları'!$B$5:$G$154,6,FALSE)),0)</f>
      </c>
      <c r="H418" s="17">
        <f>IF($C418="","",$F418-$G418)</f>
      </c>
    </row>
    <row r="419" spans="2:8" x14ac:dyDescent="0.25">
      <c r="B419" s="20"/>
      <c r="C419" s="8"/>
      <c r="D419" s="15">
        <f>IFERROR(IF($C419="","",VLOOKUP($C419,'Menü Kartları'!$B$5:$C$154,2,FALSE)),"— tanımsız —")</f>
      </c>
      <c r="E419" s="21"/>
      <c r="F419" s="11">
        <f>IFERROR(IF(OR($C419="",$E419=""),0,$E419*VLOOKUP($C419,'Menü Kartları'!$B$5:$E$154,4,FALSE)),0)</f>
      </c>
      <c r="G419" s="11">
        <f>IFERROR(IF(OR($C419="",$E419=""),0,$E419*VLOOKUP($C419,'Menü Kartları'!$B$5:$G$154,6,FALSE)),0)</f>
      </c>
      <c r="H419" s="17">
        <f>IF($C419="","",$F419-$G419)</f>
      </c>
    </row>
    <row r="420" spans="2:8" x14ac:dyDescent="0.25">
      <c r="B420" s="22"/>
      <c r="C420" s="12"/>
      <c r="D420" s="15">
        <f>IFERROR(IF($C420="","",VLOOKUP($C420,'Menü Kartları'!$B$5:$C$154,2,FALSE)),"— tanımsız —")</f>
      </c>
      <c r="E420" s="23"/>
      <c r="F420" s="11">
        <f>IFERROR(IF(OR($C420="",$E420=""),0,$E420*VLOOKUP($C420,'Menü Kartları'!$B$5:$E$154,4,FALSE)),0)</f>
      </c>
      <c r="G420" s="11">
        <f>IFERROR(IF(OR($C420="",$E420=""),0,$E420*VLOOKUP($C420,'Menü Kartları'!$B$5:$G$154,6,FALSE)),0)</f>
      </c>
      <c r="H420" s="17">
        <f>IF($C420="","",$F420-$G420)</f>
      </c>
    </row>
    <row r="421" spans="2:8" x14ac:dyDescent="0.25">
      <c r="B421" s="20"/>
      <c r="C421" s="8"/>
      <c r="D421" s="15">
        <f>IFERROR(IF($C421="","",VLOOKUP($C421,'Menü Kartları'!$B$5:$C$154,2,FALSE)),"— tanımsız —")</f>
      </c>
      <c r="E421" s="21"/>
      <c r="F421" s="11">
        <f>IFERROR(IF(OR($C421="",$E421=""),0,$E421*VLOOKUP($C421,'Menü Kartları'!$B$5:$E$154,4,FALSE)),0)</f>
      </c>
      <c r="G421" s="11">
        <f>IFERROR(IF(OR($C421="",$E421=""),0,$E421*VLOOKUP($C421,'Menü Kartları'!$B$5:$G$154,6,FALSE)),0)</f>
      </c>
      <c r="H421" s="17">
        <f>IF($C421="","",$F421-$G421)</f>
      </c>
    </row>
    <row r="422" spans="2:8" x14ac:dyDescent="0.25">
      <c r="B422" s="22"/>
      <c r="C422" s="12"/>
      <c r="D422" s="15">
        <f>IFERROR(IF($C422="","",VLOOKUP($C422,'Menü Kartları'!$B$5:$C$154,2,FALSE)),"— tanımsız —")</f>
      </c>
      <c r="E422" s="23"/>
      <c r="F422" s="11">
        <f>IFERROR(IF(OR($C422="",$E422=""),0,$E422*VLOOKUP($C422,'Menü Kartları'!$B$5:$E$154,4,FALSE)),0)</f>
      </c>
      <c r="G422" s="11">
        <f>IFERROR(IF(OR($C422="",$E422=""),0,$E422*VLOOKUP($C422,'Menü Kartları'!$B$5:$G$154,6,FALSE)),0)</f>
      </c>
      <c r="H422" s="17">
        <f>IF($C422="","",$F422-$G422)</f>
      </c>
    </row>
    <row r="423" spans="2:8" x14ac:dyDescent="0.25">
      <c r="B423" s="20"/>
      <c r="C423" s="8"/>
      <c r="D423" s="15">
        <f>IFERROR(IF($C423="","",VLOOKUP($C423,'Menü Kartları'!$B$5:$C$154,2,FALSE)),"— tanımsız —")</f>
      </c>
      <c r="E423" s="21"/>
      <c r="F423" s="11">
        <f>IFERROR(IF(OR($C423="",$E423=""),0,$E423*VLOOKUP($C423,'Menü Kartları'!$B$5:$E$154,4,FALSE)),0)</f>
      </c>
      <c r="G423" s="11">
        <f>IFERROR(IF(OR($C423="",$E423=""),0,$E423*VLOOKUP($C423,'Menü Kartları'!$B$5:$G$154,6,FALSE)),0)</f>
      </c>
      <c r="H423" s="17">
        <f>IF($C423="","",$F423-$G423)</f>
      </c>
    </row>
    <row r="424" spans="2:8" x14ac:dyDescent="0.25">
      <c r="B424" s="22"/>
      <c r="C424" s="12"/>
      <c r="D424" s="15">
        <f>IFERROR(IF($C424="","",VLOOKUP($C424,'Menü Kartları'!$B$5:$C$154,2,FALSE)),"— tanımsız —")</f>
      </c>
      <c r="E424" s="23"/>
      <c r="F424" s="11">
        <f>IFERROR(IF(OR($C424="",$E424=""),0,$E424*VLOOKUP($C424,'Menü Kartları'!$B$5:$E$154,4,FALSE)),0)</f>
      </c>
      <c r="G424" s="11">
        <f>IFERROR(IF(OR($C424="",$E424=""),0,$E424*VLOOKUP($C424,'Menü Kartları'!$B$5:$G$154,6,FALSE)),0)</f>
      </c>
      <c r="H424" s="17">
        <f>IF($C424="","",$F424-$G424)</f>
      </c>
    </row>
    <row r="425" spans="2:8" x14ac:dyDescent="0.25">
      <c r="B425" s="20"/>
      <c r="C425" s="8"/>
      <c r="D425" s="15">
        <f>IFERROR(IF($C425="","",VLOOKUP($C425,'Menü Kartları'!$B$5:$C$154,2,FALSE)),"— tanımsız —")</f>
      </c>
      <c r="E425" s="21"/>
      <c r="F425" s="11">
        <f>IFERROR(IF(OR($C425="",$E425=""),0,$E425*VLOOKUP($C425,'Menü Kartları'!$B$5:$E$154,4,FALSE)),0)</f>
      </c>
      <c r="G425" s="11">
        <f>IFERROR(IF(OR($C425="",$E425=""),0,$E425*VLOOKUP($C425,'Menü Kartları'!$B$5:$G$154,6,FALSE)),0)</f>
      </c>
      <c r="H425" s="17">
        <f>IF($C425="","",$F425-$G425)</f>
      </c>
    </row>
    <row r="426" spans="2:8" x14ac:dyDescent="0.25">
      <c r="B426" s="22"/>
      <c r="C426" s="12"/>
      <c r="D426" s="15">
        <f>IFERROR(IF($C426="","",VLOOKUP($C426,'Menü Kartları'!$B$5:$C$154,2,FALSE)),"— tanımsız —")</f>
      </c>
      <c r="E426" s="23"/>
      <c r="F426" s="11">
        <f>IFERROR(IF(OR($C426="",$E426=""),0,$E426*VLOOKUP($C426,'Menü Kartları'!$B$5:$E$154,4,FALSE)),0)</f>
      </c>
      <c r="G426" s="11">
        <f>IFERROR(IF(OR($C426="",$E426=""),0,$E426*VLOOKUP($C426,'Menü Kartları'!$B$5:$G$154,6,FALSE)),0)</f>
      </c>
      <c r="H426" s="17">
        <f>IF($C426="","",$F426-$G426)</f>
      </c>
    </row>
    <row r="427" spans="2:8" x14ac:dyDescent="0.25">
      <c r="B427" s="20"/>
      <c r="C427" s="8"/>
      <c r="D427" s="15">
        <f>IFERROR(IF($C427="","",VLOOKUP($C427,'Menü Kartları'!$B$5:$C$154,2,FALSE)),"— tanımsız —")</f>
      </c>
      <c r="E427" s="21"/>
      <c r="F427" s="11">
        <f>IFERROR(IF(OR($C427="",$E427=""),0,$E427*VLOOKUP($C427,'Menü Kartları'!$B$5:$E$154,4,FALSE)),0)</f>
      </c>
      <c r="G427" s="11">
        <f>IFERROR(IF(OR($C427="",$E427=""),0,$E427*VLOOKUP($C427,'Menü Kartları'!$B$5:$G$154,6,FALSE)),0)</f>
      </c>
      <c r="H427" s="17">
        <f>IF($C427="","",$F427-$G427)</f>
      </c>
    </row>
    <row r="428" spans="2:8" x14ac:dyDescent="0.25">
      <c r="B428" s="22"/>
      <c r="C428" s="12"/>
      <c r="D428" s="15">
        <f>IFERROR(IF($C428="","",VLOOKUP($C428,'Menü Kartları'!$B$5:$C$154,2,FALSE)),"— tanımsız —")</f>
      </c>
      <c r="E428" s="23"/>
      <c r="F428" s="11">
        <f>IFERROR(IF(OR($C428="",$E428=""),0,$E428*VLOOKUP($C428,'Menü Kartları'!$B$5:$E$154,4,FALSE)),0)</f>
      </c>
      <c r="G428" s="11">
        <f>IFERROR(IF(OR($C428="",$E428=""),0,$E428*VLOOKUP($C428,'Menü Kartları'!$B$5:$G$154,6,FALSE)),0)</f>
      </c>
      <c r="H428" s="17">
        <f>IF($C428="","",$F428-$G428)</f>
      </c>
    </row>
    <row r="429" spans="2:8" x14ac:dyDescent="0.25">
      <c r="B429" s="20"/>
      <c r="C429" s="8"/>
      <c r="D429" s="15">
        <f>IFERROR(IF($C429="","",VLOOKUP($C429,'Menü Kartları'!$B$5:$C$154,2,FALSE)),"— tanımsız —")</f>
      </c>
      <c r="E429" s="21"/>
      <c r="F429" s="11">
        <f>IFERROR(IF(OR($C429="",$E429=""),0,$E429*VLOOKUP($C429,'Menü Kartları'!$B$5:$E$154,4,FALSE)),0)</f>
      </c>
      <c r="G429" s="11">
        <f>IFERROR(IF(OR($C429="",$E429=""),0,$E429*VLOOKUP($C429,'Menü Kartları'!$B$5:$G$154,6,FALSE)),0)</f>
      </c>
      <c r="H429" s="17">
        <f>IF($C429="","",$F429-$G429)</f>
      </c>
    </row>
    <row r="430" spans="2:8" x14ac:dyDescent="0.25">
      <c r="B430" s="22"/>
      <c r="C430" s="12"/>
      <c r="D430" s="15">
        <f>IFERROR(IF($C430="","",VLOOKUP($C430,'Menü Kartları'!$B$5:$C$154,2,FALSE)),"— tanımsız —")</f>
      </c>
      <c r="E430" s="23"/>
      <c r="F430" s="11">
        <f>IFERROR(IF(OR($C430="",$E430=""),0,$E430*VLOOKUP($C430,'Menü Kartları'!$B$5:$E$154,4,FALSE)),0)</f>
      </c>
      <c r="G430" s="11">
        <f>IFERROR(IF(OR($C430="",$E430=""),0,$E430*VLOOKUP($C430,'Menü Kartları'!$B$5:$G$154,6,FALSE)),0)</f>
      </c>
      <c r="H430" s="17">
        <f>IF($C430="","",$F430-$G430)</f>
      </c>
    </row>
    <row r="431" spans="2:8" x14ac:dyDescent="0.25">
      <c r="B431" s="20"/>
      <c r="C431" s="8"/>
      <c r="D431" s="15">
        <f>IFERROR(IF($C431="","",VLOOKUP($C431,'Menü Kartları'!$B$5:$C$154,2,FALSE)),"— tanımsız —")</f>
      </c>
      <c r="E431" s="21"/>
      <c r="F431" s="11">
        <f>IFERROR(IF(OR($C431="",$E431=""),0,$E431*VLOOKUP($C431,'Menü Kartları'!$B$5:$E$154,4,FALSE)),0)</f>
      </c>
      <c r="G431" s="11">
        <f>IFERROR(IF(OR($C431="",$E431=""),0,$E431*VLOOKUP($C431,'Menü Kartları'!$B$5:$G$154,6,FALSE)),0)</f>
      </c>
      <c r="H431" s="17">
        <f>IF($C431="","",$F431-$G431)</f>
      </c>
    </row>
    <row r="432" spans="2:8" x14ac:dyDescent="0.25">
      <c r="B432" s="22"/>
      <c r="C432" s="12"/>
      <c r="D432" s="15">
        <f>IFERROR(IF($C432="","",VLOOKUP($C432,'Menü Kartları'!$B$5:$C$154,2,FALSE)),"— tanımsız —")</f>
      </c>
      <c r="E432" s="23"/>
      <c r="F432" s="11">
        <f>IFERROR(IF(OR($C432="",$E432=""),0,$E432*VLOOKUP($C432,'Menü Kartları'!$B$5:$E$154,4,FALSE)),0)</f>
      </c>
      <c r="G432" s="11">
        <f>IFERROR(IF(OR($C432="",$E432=""),0,$E432*VLOOKUP($C432,'Menü Kartları'!$B$5:$G$154,6,FALSE)),0)</f>
      </c>
      <c r="H432" s="17">
        <f>IF($C432="","",$F432-$G432)</f>
      </c>
    </row>
    <row r="433" spans="2:8" x14ac:dyDescent="0.25">
      <c r="B433" s="20"/>
      <c r="C433" s="8"/>
      <c r="D433" s="15">
        <f>IFERROR(IF($C433="","",VLOOKUP($C433,'Menü Kartları'!$B$5:$C$154,2,FALSE)),"— tanımsız —")</f>
      </c>
      <c r="E433" s="21"/>
      <c r="F433" s="11">
        <f>IFERROR(IF(OR($C433="",$E433=""),0,$E433*VLOOKUP($C433,'Menü Kartları'!$B$5:$E$154,4,FALSE)),0)</f>
      </c>
      <c r="G433" s="11">
        <f>IFERROR(IF(OR($C433="",$E433=""),0,$E433*VLOOKUP($C433,'Menü Kartları'!$B$5:$G$154,6,FALSE)),0)</f>
      </c>
      <c r="H433" s="17">
        <f>IF($C433="","",$F433-$G433)</f>
      </c>
    </row>
    <row r="434" spans="2:8" x14ac:dyDescent="0.25">
      <c r="B434" s="22"/>
      <c r="C434" s="12"/>
      <c r="D434" s="15">
        <f>IFERROR(IF($C434="","",VLOOKUP($C434,'Menü Kartları'!$B$5:$C$154,2,FALSE)),"— tanımsız —")</f>
      </c>
      <c r="E434" s="23"/>
      <c r="F434" s="11">
        <f>IFERROR(IF(OR($C434="",$E434=""),0,$E434*VLOOKUP($C434,'Menü Kartları'!$B$5:$E$154,4,FALSE)),0)</f>
      </c>
      <c r="G434" s="11">
        <f>IFERROR(IF(OR($C434="",$E434=""),0,$E434*VLOOKUP($C434,'Menü Kartları'!$B$5:$G$154,6,FALSE)),0)</f>
      </c>
      <c r="H434" s="17">
        <f>IF($C434="","",$F434-$G434)</f>
      </c>
    </row>
    <row r="435" spans="2:8" x14ac:dyDescent="0.25">
      <c r="B435" s="20"/>
      <c r="C435" s="8"/>
      <c r="D435" s="15">
        <f>IFERROR(IF($C435="","",VLOOKUP($C435,'Menü Kartları'!$B$5:$C$154,2,FALSE)),"— tanımsız —")</f>
      </c>
      <c r="E435" s="21"/>
      <c r="F435" s="11">
        <f>IFERROR(IF(OR($C435="",$E435=""),0,$E435*VLOOKUP($C435,'Menü Kartları'!$B$5:$E$154,4,FALSE)),0)</f>
      </c>
      <c r="G435" s="11">
        <f>IFERROR(IF(OR($C435="",$E435=""),0,$E435*VLOOKUP($C435,'Menü Kartları'!$B$5:$G$154,6,FALSE)),0)</f>
      </c>
      <c r="H435" s="17">
        <f>IF($C435="","",$F435-$G435)</f>
      </c>
    </row>
    <row r="436" spans="2:8" x14ac:dyDescent="0.25">
      <c r="B436" s="22"/>
      <c r="C436" s="12"/>
      <c r="D436" s="15">
        <f>IFERROR(IF($C436="","",VLOOKUP($C436,'Menü Kartları'!$B$5:$C$154,2,FALSE)),"— tanımsız —")</f>
      </c>
      <c r="E436" s="23"/>
      <c r="F436" s="11">
        <f>IFERROR(IF(OR($C436="",$E436=""),0,$E436*VLOOKUP($C436,'Menü Kartları'!$B$5:$E$154,4,FALSE)),0)</f>
      </c>
      <c r="G436" s="11">
        <f>IFERROR(IF(OR($C436="",$E436=""),0,$E436*VLOOKUP($C436,'Menü Kartları'!$B$5:$G$154,6,FALSE)),0)</f>
      </c>
      <c r="H436" s="17">
        <f>IF($C436="","",$F436-$G436)</f>
      </c>
    </row>
    <row r="437" spans="2:8" x14ac:dyDescent="0.25">
      <c r="B437" s="20"/>
      <c r="C437" s="8"/>
      <c r="D437" s="15">
        <f>IFERROR(IF($C437="","",VLOOKUP($C437,'Menü Kartları'!$B$5:$C$154,2,FALSE)),"— tanımsız —")</f>
      </c>
      <c r="E437" s="21"/>
      <c r="F437" s="11">
        <f>IFERROR(IF(OR($C437="",$E437=""),0,$E437*VLOOKUP($C437,'Menü Kartları'!$B$5:$E$154,4,FALSE)),0)</f>
      </c>
      <c r="G437" s="11">
        <f>IFERROR(IF(OR($C437="",$E437=""),0,$E437*VLOOKUP($C437,'Menü Kartları'!$B$5:$G$154,6,FALSE)),0)</f>
      </c>
      <c r="H437" s="17">
        <f>IF($C437="","",$F437-$G437)</f>
      </c>
    </row>
    <row r="438" spans="2:8" x14ac:dyDescent="0.25">
      <c r="B438" s="22"/>
      <c r="C438" s="12"/>
      <c r="D438" s="15">
        <f>IFERROR(IF($C438="","",VLOOKUP($C438,'Menü Kartları'!$B$5:$C$154,2,FALSE)),"— tanımsız —")</f>
      </c>
      <c r="E438" s="23"/>
      <c r="F438" s="11">
        <f>IFERROR(IF(OR($C438="",$E438=""),0,$E438*VLOOKUP($C438,'Menü Kartları'!$B$5:$E$154,4,FALSE)),0)</f>
      </c>
      <c r="G438" s="11">
        <f>IFERROR(IF(OR($C438="",$E438=""),0,$E438*VLOOKUP($C438,'Menü Kartları'!$B$5:$G$154,6,FALSE)),0)</f>
      </c>
      <c r="H438" s="17">
        <f>IF($C438="","",$F438-$G438)</f>
      </c>
    </row>
    <row r="439" spans="2:8" x14ac:dyDescent="0.25">
      <c r="B439" s="20"/>
      <c r="C439" s="8"/>
      <c r="D439" s="15">
        <f>IFERROR(IF($C439="","",VLOOKUP($C439,'Menü Kartları'!$B$5:$C$154,2,FALSE)),"— tanımsız —")</f>
      </c>
      <c r="E439" s="21"/>
      <c r="F439" s="11">
        <f>IFERROR(IF(OR($C439="",$E439=""),0,$E439*VLOOKUP($C439,'Menü Kartları'!$B$5:$E$154,4,FALSE)),0)</f>
      </c>
      <c r="G439" s="11">
        <f>IFERROR(IF(OR($C439="",$E439=""),0,$E439*VLOOKUP($C439,'Menü Kartları'!$B$5:$G$154,6,FALSE)),0)</f>
      </c>
      <c r="H439" s="17">
        <f>IF($C439="","",$F439-$G439)</f>
      </c>
    </row>
    <row r="440" spans="2:8" x14ac:dyDescent="0.25">
      <c r="B440" s="22"/>
      <c r="C440" s="12"/>
      <c r="D440" s="15">
        <f>IFERROR(IF($C440="","",VLOOKUP($C440,'Menü Kartları'!$B$5:$C$154,2,FALSE)),"— tanımsız —")</f>
      </c>
      <c r="E440" s="23"/>
      <c r="F440" s="11">
        <f>IFERROR(IF(OR($C440="",$E440=""),0,$E440*VLOOKUP($C440,'Menü Kartları'!$B$5:$E$154,4,FALSE)),0)</f>
      </c>
      <c r="G440" s="11">
        <f>IFERROR(IF(OR($C440="",$E440=""),0,$E440*VLOOKUP($C440,'Menü Kartları'!$B$5:$G$154,6,FALSE)),0)</f>
      </c>
      <c r="H440" s="17">
        <f>IF($C440="","",$F440-$G440)</f>
      </c>
    </row>
    <row r="441" spans="2:8" x14ac:dyDescent="0.25">
      <c r="B441" s="20"/>
      <c r="C441" s="8"/>
      <c r="D441" s="15">
        <f>IFERROR(IF($C441="","",VLOOKUP($C441,'Menü Kartları'!$B$5:$C$154,2,FALSE)),"— tanımsız —")</f>
      </c>
      <c r="E441" s="21"/>
      <c r="F441" s="11">
        <f>IFERROR(IF(OR($C441="",$E441=""),0,$E441*VLOOKUP($C441,'Menü Kartları'!$B$5:$E$154,4,FALSE)),0)</f>
      </c>
      <c r="G441" s="11">
        <f>IFERROR(IF(OR($C441="",$E441=""),0,$E441*VLOOKUP($C441,'Menü Kartları'!$B$5:$G$154,6,FALSE)),0)</f>
      </c>
      <c r="H441" s="17">
        <f>IF($C441="","",$F441-$G441)</f>
      </c>
    </row>
    <row r="442" spans="2:8" x14ac:dyDescent="0.25">
      <c r="B442" s="22"/>
      <c r="C442" s="12"/>
      <c r="D442" s="15">
        <f>IFERROR(IF($C442="","",VLOOKUP($C442,'Menü Kartları'!$B$5:$C$154,2,FALSE)),"— tanımsız —")</f>
      </c>
      <c r="E442" s="23"/>
      <c r="F442" s="11">
        <f>IFERROR(IF(OR($C442="",$E442=""),0,$E442*VLOOKUP($C442,'Menü Kartları'!$B$5:$E$154,4,FALSE)),0)</f>
      </c>
      <c r="G442" s="11">
        <f>IFERROR(IF(OR($C442="",$E442=""),0,$E442*VLOOKUP($C442,'Menü Kartları'!$B$5:$G$154,6,FALSE)),0)</f>
      </c>
      <c r="H442" s="17">
        <f>IF($C442="","",$F442-$G442)</f>
      </c>
    </row>
    <row r="443" spans="2:8" x14ac:dyDescent="0.25">
      <c r="B443" s="20"/>
      <c r="C443" s="8"/>
      <c r="D443" s="15">
        <f>IFERROR(IF($C443="","",VLOOKUP($C443,'Menü Kartları'!$B$5:$C$154,2,FALSE)),"— tanımsız —")</f>
      </c>
      <c r="E443" s="21"/>
      <c r="F443" s="11">
        <f>IFERROR(IF(OR($C443="",$E443=""),0,$E443*VLOOKUP($C443,'Menü Kartları'!$B$5:$E$154,4,FALSE)),0)</f>
      </c>
      <c r="G443" s="11">
        <f>IFERROR(IF(OR($C443="",$E443=""),0,$E443*VLOOKUP($C443,'Menü Kartları'!$B$5:$G$154,6,FALSE)),0)</f>
      </c>
      <c r="H443" s="17">
        <f>IF($C443="","",$F443-$G443)</f>
      </c>
    </row>
    <row r="444" spans="2:8" x14ac:dyDescent="0.25">
      <c r="B444" s="22"/>
      <c r="C444" s="12"/>
      <c r="D444" s="15">
        <f>IFERROR(IF($C444="","",VLOOKUP($C444,'Menü Kartları'!$B$5:$C$154,2,FALSE)),"— tanımsız —")</f>
      </c>
      <c r="E444" s="23"/>
      <c r="F444" s="11">
        <f>IFERROR(IF(OR($C444="",$E444=""),0,$E444*VLOOKUP($C444,'Menü Kartları'!$B$5:$E$154,4,FALSE)),0)</f>
      </c>
      <c r="G444" s="11">
        <f>IFERROR(IF(OR($C444="",$E444=""),0,$E444*VLOOKUP($C444,'Menü Kartları'!$B$5:$G$154,6,FALSE)),0)</f>
      </c>
      <c r="H444" s="17">
        <f>IF($C444="","",$F444-$G444)</f>
      </c>
    </row>
    <row r="445" spans="2:8" x14ac:dyDescent="0.25">
      <c r="B445" s="20"/>
      <c r="C445" s="8"/>
      <c r="D445" s="15">
        <f>IFERROR(IF($C445="","",VLOOKUP($C445,'Menü Kartları'!$B$5:$C$154,2,FALSE)),"— tanımsız —")</f>
      </c>
      <c r="E445" s="21"/>
      <c r="F445" s="11">
        <f>IFERROR(IF(OR($C445="",$E445=""),0,$E445*VLOOKUP($C445,'Menü Kartları'!$B$5:$E$154,4,FALSE)),0)</f>
      </c>
      <c r="G445" s="11">
        <f>IFERROR(IF(OR($C445="",$E445=""),0,$E445*VLOOKUP($C445,'Menü Kartları'!$B$5:$G$154,6,FALSE)),0)</f>
      </c>
      <c r="H445" s="17">
        <f>IF($C445="","",$F445-$G445)</f>
      </c>
    </row>
    <row r="446" spans="2:8" x14ac:dyDescent="0.25">
      <c r="B446" s="22"/>
      <c r="C446" s="12"/>
      <c r="D446" s="15">
        <f>IFERROR(IF($C446="","",VLOOKUP($C446,'Menü Kartları'!$B$5:$C$154,2,FALSE)),"— tanımsız —")</f>
      </c>
      <c r="E446" s="23"/>
      <c r="F446" s="11">
        <f>IFERROR(IF(OR($C446="",$E446=""),0,$E446*VLOOKUP($C446,'Menü Kartları'!$B$5:$E$154,4,FALSE)),0)</f>
      </c>
      <c r="G446" s="11">
        <f>IFERROR(IF(OR($C446="",$E446=""),0,$E446*VLOOKUP($C446,'Menü Kartları'!$B$5:$G$154,6,FALSE)),0)</f>
      </c>
      <c r="H446" s="17">
        <f>IF($C446="","",$F446-$G446)</f>
      </c>
    </row>
    <row r="447" spans="2:8" x14ac:dyDescent="0.25">
      <c r="B447" s="20"/>
      <c r="C447" s="8"/>
      <c r="D447" s="15">
        <f>IFERROR(IF($C447="","",VLOOKUP($C447,'Menü Kartları'!$B$5:$C$154,2,FALSE)),"— tanımsız —")</f>
      </c>
      <c r="E447" s="21"/>
      <c r="F447" s="11">
        <f>IFERROR(IF(OR($C447="",$E447=""),0,$E447*VLOOKUP($C447,'Menü Kartları'!$B$5:$E$154,4,FALSE)),0)</f>
      </c>
      <c r="G447" s="11">
        <f>IFERROR(IF(OR($C447="",$E447=""),0,$E447*VLOOKUP($C447,'Menü Kartları'!$B$5:$G$154,6,FALSE)),0)</f>
      </c>
      <c r="H447" s="17">
        <f>IF($C447="","",$F447-$G447)</f>
      </c>
    </row>
    <row r="448" spans="2:8" x14ac:dyDescent="0.25">
      <c r="B448" s="22"/>
      <c r="C448" s="12"/>
      <c r="D448" s="15">
        <f>IFERROR(IF($C448="","",VLOOKUP($C448,'Menü Kartları'!$B$5:$C$154,2,FALSE)),"— tanımsız —")</f>
      </c>
      <c r="E448" s="23"/>
      <c r="F448" s="11">
        <f>IFERROR(IF(OR($C448="",$E448=""),0,$E448*VLOOKUP($C448,'Menü Kartları'!$B$5:$E$154,4,FALSE)),0)</f>
      </c>
      <c r="G448" s="11">
        <f>IFERROR(IF(OR($C448="",$E448=""),0,$E448*VLOOKUP($C448,'Menü Kartları'!$B$5:$G$154,6,FALSE)),0)</f>
      </c>
      <c r="H448" s="17">
        <f>IF($C448="","",$F448-$G448)</f>
      </c>
    </row>
    <row r="449" spans="2:8" x14ac:dyDescent="0.25">
      <c r="B449" s="20"/>
      <c r="C449" s="8"/>
      <c r="D449" s="15">
        <f>IFERROR(IF($C449="","",VLOOKUP($C449,'Menü Kartları'!$B$5:$C$154,2,FALSE)),"— tanımsız —")</f>
      </c>
      <c r="E449" s="21"/>
      <c r="F449" s="11">
        <f>IFERROR(IF(OR($C449="",$E449=""),0,$E449*VLOOKUP($C449,'Menü Kartları'!$B$5:$E$154,4,FALSE)),0)</f>
      </c>
      <c r="G449" s="11">
        <f>IFERROR(IF(OR($C449="",$E449=""),0,$E449*VLOOKUP($C449,'Menü Kartları'!$B$5:$G$154,6,FALSE)),0)</f>
      </c>
      <c r="H449" s="17">
        <f>IF($C449="","",$F449-$G449)</f>
      </c>
    </row>
    <row r="450" spans="2:8" x14ac:dyDescent="0.25">
      <c r="B450" s="22"/>
      <c r="C450" s="12"/>
      <c r="D450" s="15">
        <f>IFERROR(IF($C450="","",VLOOKUP($C450,'Menü Kartları'!$B$5:$C$154,2,FALSE)),"— tanımsız —")</f>
      </c>
      <c r="E450" s="23"/>
      <c r="F450" s="11">
        <f>IFERROR(IF(OR($C450="",$E450=""),0,$E450*VLOOKUP($C450,'Menü Kartları'!$B$5:$E$154,4,FALSE)),0)</f>
      </c>
      <c r="G450" s="11">
        <f>IFERROR(IF(OR($C450="",$E450=""),0,$E450*VLOOKUP($C450,'Menü Kartları'!$B$5:$G$154,6,FALSE)),0)</f>
      </c>
      <c r="H450" s="17">
        <f>IF($C450="","",$F450-$G450)</f>
      </c>
    </row>
    <row r="451" spans="2:8" x14ac:dyDescent="0.25">
      <c r="B451" s="20"/>
      <c r="C451" s="8"/>
      <c r="D451" s="15">
        <f>IFERROR(IF($C451="","",VLOOKUP($C451,'Menü Kartları'!$B$5:$C$154,2,FALSE)),"— tanımsız —")</f>
      </c>
      <c r="E451" s="21"/>
      <c r="F451" s="11">
        <f>IFERROR(IF(OR($C451="",$E451=""),0,$E451*VLOOKUP($C451,'Menü Kartları'!$B$5:$E$154,4,FALSE)),0)</f>
      </c>
      <c r="G451" s="11">
        <f>IFERROR(IF(OR($C451="",$E451=""),0,$E451*VLOOKUP($C451,'Menü Kartları'!$B$5:$G$154,6,FALSE)),0)</f>
      </c>
      <c r="H451" s="17">
        <f>IF($C451="","",$F451-$G451)</f>
      </c>
    </row>
    <row r="452" spans="2:8" x14ac:dyDescent="0.25">
      <c r="B452" s="22"/>
      <c r="C452" s="12"/>
      <c r="D452" s="15">
        <f>IFERROR(IF($C452="","",VLOOKUP($C452,'Menü Kartları'!$B$5:$C$154,2,FALSE)),"— tanımsız —")</f>
      </c>
      <c r="E452" s="23"/>
      <c r="F452" s="11">
        <f>IFERROR(IF(OR($C452="",$E452=""),0,$E452*VLOOKUP($C452,'Menü Kartları'!$B$5:$E$154,4,FALSE)),0)</f>
      </c>
      <c r="G452" s="11">
        <f>IFERROR(IF(OR($C452="",$E452=""),0,$E452*VLOOKUP($C452,'Menü Kartları'!$B$5:$G$154,6,FALSE)),0)</f>
      </c>
      <c r="H452" s="17">
        <f>IF($C452="","",$F452-$G452)</f>
      </c>
    </row>
    <row r="453" spans="2:8" x14ac:dyDescent="0.25">
      <c r="B453" s="20"/>
      <c r="C453" s="8"/>
      <c r="D453" s="15">
        <f>IFERROR(IF($C453="","",VLOOKUP($C453,'Menü Kartları'!$B$5:$C$154,2,FALSE)),"— tanımsız —")</f>
      </c>
      <c r="E453" s="21"/>
      <c r="F453" s="11">
        <f>IFERROR(IF(OR($C453="",$E453=""),0,$E453*VLOOKUP($C453,'Menü Kartları'!$B$5:$E$154,4,FALSE)),0)</f>
      </c>
      <c r="G453" s="11">
        <f>IFERROR(IF(OR($C453="",$E453=""),0,$E453*VLOOKUP($C453,'Menü Kartları'!$B$5:$G$154,6,FALSE)),0)</f>
      </c>
      <c r="H453" s="17">
        <f>IF($C453="","",$F453-$G453)</f>
      </c>
    </row>
    <row r="454" spans="2:8" x14ac:dyDescent="0.25">
      <c r="B454" s="22"/>
      <c r="C454" s="12"/>
      <c r="D454" s="15">
        <f>IFERROR(IF($C454="","",VLOOKUP($C454,'Menü Kartları'!$B$5:$C$154,2,FALSE)),"— tanımsız —")</f>
      </c>
      <c r="E454" s="23"/>
      <c r="F454" s="11">
        <f>IFERROR(IF(OR($C454="",$E454=""),0,$E454*VLOOKUP($C454,'Menü Kartları'!$B$5:$E$154,4,FALSE)),0)</f>
      </c>
      <c r="G454" s="11">
        <f>IFERROR(IF(OR($C454="",$E454=""),0,$E454*VLOOKUP($C454,'Menü Kartları'!$B$5:$G$154,6,FALSE)),0)</f>
      </c>
      <c r="H454" s="17">
        <f>IF($C454="","",$F454-$G454)</f>
      </c>
    </row>
    <row r="455" spans="2:8" x14ac:dyDescent="0.25">
      <c r="B455" s="20"/>
      <c r="C455" s="8"/>
      <c r="D455" s="15">
        <f>IFERROR(IF($C455="","",VLOOKUP($C455,'Menü Kartları'!$B$5:$C$154,2,FALSE)),"— tanımsız —")</f>
      </c>
      <c r="E455" s="21"/>
      <c r="F455" s="11">
        <f>IFERROR(IF(OR($C455="",$E455=""),0,$E455*VLOOKUP($C455,'Menü Kartları'!$B$5:$E$154,4,FALSE)),0)</f>
      </c>
      <c r="G455" s="11">
        <f>IFERROR(IF(OR($C455="",$E455=""),0,$E455*VLOOKUP($C455,'Menü Kartları'!$B$5:$G$154,6,FALSE)),0)</f>
      </c>
      <c r="H455" s="17">
        <f>IF($C455="","",$F455-$G455)</f>
      </c>
    </row>
    <row r="456" spans="2:8" x14ac:dyDescent="0.25">
      <c r="B456" s="22"/>
      <c r="C456" s="12"/>
      <c r="D456" s="15">
        <f>IFERROR(IF($C456="","",VLOOKUP($C456,'Menü Kartları'!$B$5:$C$154,2,FALSE)),"— tanımsız —")</f>
      </c>
      <c r="E456" s="23"/>
      <c r="F456" s="11">
        <f>IFERROR(IF(OR($C456="",$E456=""),0,$E456*VLOOKUP($C456,'Menü Kartları'!$B$5:$E$154,4,FALSE)),0)</f>
      </c>
      <c r="G456" s="11">
        <f>IFERROR(IF(OR($C456="",$E456=""),0,$E456*VLOOKUP($C456,'Menü Kartları'!$B$5:$G$154,6,FALSE)),0)</f>
      </c>
      <c r="H456" s="17">
        <f>IF($C456="","",$F456-$G456)</f>
      </c>
    </row>
    <row r="457" spans="2:8" x14ac:dyDescent="0.25">
      <c r="B457" s="20"/>
      <c r="C457" s="8"/>
      <c r="D457" s="15">
        <f>IFERROR(IF($C457="","",VLOOKUP($C457,'Menü Kartları'!$B$5:$C$154,2,FALSE)),"— tanımsız —")</f>
      </c>
      <c r="E457" s="21"/>
      <c r="F457" s="11">
        <f>IFERROR(IF(OR($C457="",$E457=""),0,$E457*VLOOKUP($C457,'Menü Kartları'!$B$5:$E$154,4,FALSE)),0)</f>
      </c>
      <c r="G457" s="11">
        <f>IFERROR(IF(OR($C457="",$E457=""),0,$E457*VLOOKUP($C457,'Menü Kartları'!$B$5:$G$154,6,FALSE)),0)</f>
      </c>
      <c r="H457" s="17">
        <f>IF($C457="","",$F457-$G457)</f>
      </c>
    </row>
    <row r="458" spans="2:8" x14ac:dyDescent="0.25">
      <c r="B458" s="22"/>
      <c r="C458" s="12"/>
      <c r="D458" s="15">
        <f>IFERROR(IF($C458="","",VLOOKUP($C458,'Menü Kartları'!$B$5:$C$154,2,FALSE)),"— tanımsız —")</f>
      </c>
      <c r="E458" s="23"/>
      <c r="F458" s="11">
        <f>IFERROR(IF(OR($C458="",$E458=""),0,$E458*VLOOKUP($C458,'Menü Kartları'!$B$5:$E$154,4,FALSE)),0)</f>
      </c>
      <c r="G458" s="11">
        <f>IFERROR(IF(OR($C458="",$E458=""),0,$E458*VLOOKUP($C458,'Menü Kartları'!$B$5:$G$154,6,FALSE)),0)</f>
      </c>
      <c r="H458" s="17">
        <f>IF($C458="","",$F458-$G458)</f>
      </c>
    </row>
    <row r="459" spans="2:8" x14ac:dyDescent="0.25">
      <c r="B459" s="20"/>
      <c r="C459" s="8"/>
      <c r="D459" s="15">
        <f>IFERROR(IF($C459="","",VLOOKUP($C459,'Menü Kartları'!$B$5:$C$154,2,FALSE)),"— tanımsız —")</f>
      </c>
      <c r="E459" s="21"/>
      <c r="F459" s="11">
        <f>IFERROR(IF(OR($C459="",$E459=""),0,$E459*VLOOKUP($C459,'Menü Kartları'!$B$5:$E$154,4,FALSE)),0)</f>
      </c>
      <c r="G459" s="11">
        <f>IFERROR(IF(OR($C459="",$E459=""),0,$E459*VLOOKUP($C459,'Menü Kartları'!$B$5:$G$154,6,FALSE)),0)</f>
      </c>
      <c r="H459" s="17">
        <f>IF($C459="","",$F459-$G459)</f>
      </c>
    </row>
    <row r="460" spans="2:8" x14ac:dyDescent="0.25">
      <c r="B460" s="22"/>
      <c r="C460" s="12"/>
      <c r="D460" s="15">
        <f>IFERROR(IF($C460="","",VLOOKUP($C460,'Menü Kartları'!$B$5:$C$154,2,FALSE)),"— tanımsız —")</f>
      </c>
      <c r="E460" s="23"/>
      <c r="F460" s="11">
        <f>IFERROR(IF(OR($C460="",$E460=""),0,$E460*VLOOKUP($C460,'Menü Kartları'!$B$5:$E$154,4,FALSE)),0)</f>
      </c>
      <c r="G460" s="11">
        <f>IFERROR(IF(OR($C460="",$E460=""),0,$E460*VLOOKUP($C460,'Menü Kartları'!$B$5:$G$154,6,FALSE)),0)</f>
      </c>
      <c r="H460" s="17">
        <f>IF($C460="","",$F460-$G460)</f>
      </c>
    </row>
    <row r="461" spans="2:8" x14ac:dyDescent="0.25">
      <c r="B461" s="20"/>
      <c r="C461" s="8"/>
      <c r="D461" s="15">
        <f>IFERROR(IF($C461="","",VLOOKUP($C461,'Menü Kartları'!$B$5:$C$154,2,FALSE)),"— tanımsız —")</f>
      </c>
      <c r="E461" s="21"/>
      <c r="F461" s="11">
        <f>IFERROR(IF(OR($C461="",$E461=""),0,$E461*VLOOKUP($C461,'Menü Kartları'!$B$5:$E$154,4,FALSE)),0)</f>
      </c>
      <c r="G461" s="11">
        <f>IFERROR(IF(OR($C461="",$E461=""),0,$E461*VLOOKUP($C461,'Menü Kartları'!$B$5:$G$154,6,FALSE)),0)</f>
      </c>
      <c r="H461" s="17">
        <f>IF($C461="","",$F461-$G461)</f>
      </c>
    </row>
    <row r="462" spans="2:8" x14ac:dyDescent="0.25">
      <c r="B462" s="22"/>
      <c r="C462" s="12"/>
      <c r="D462" s="15">
        <f>IFERROR(IF($C462="","",VLOOKUP($C462,'Menü Kartları'!$B$5:$C$154,2,FALSE)),"— tanımsız —")</f>
      </c>
      <c r="E462" s="23"/>
      <c r="F462" s="11">
        <f>IFERROR(IF(OR($C462="",$E462=""),0,$E462*VLOOKUP($C462,'Menü Kartları'!$B$5:$E$154,4,FALSE)),0)</f>
      </c>
      <c r="G462" s="11">
        <f>IFERROR(IF(OR($C462="",$E462=""),0,$E462*VLOOKUP($C462,'Menü Kartları'!$B$5:$G$154,6,FALSE)),0)</f>
      </c>
      <c r="H462" s="17">
        <f>IF($C462="","",$F462-$G462)</f>
      </c>
    </row>
    <row r="463" spans="2:8" x14ac:dyDescent="0.25">
      <c r="B463" s="20"/>
      <c r="C463" s="8"/>
      <c r="D463" s="15">
        <f>IFERROR(IF($C463="","",VLOOKUP($C463,'Menü Kartları'!$B$5:$C$154,2,FALSE)),"— tanımsız —")</f>
      </c>
      <c r="E463" s="21"/>
      <c r="F463" s="11">
        <f>IFERROR(IF(OR($C463="",$E463=""),0,$E463*VLOOKUP($C463,'Menü Kartları'!$B$5:$E$154,4,FALSE)),0)</f>
      </c>
      <c r="G463" s="11">
        <f>IFERROR(IF(OR($C463="",$E463=""),0,$E463*VLOOKUP($C463,'Menü Kartları'!$B$5:$G$154,6,FALSE)),0)</f>
      </c>
      <c r="H463" s="17">
        <f>IF($C463="","",$F463-$G463)</f>
      </c>
    </row>
    <row r="464" spans="2:8" x14ac:dyDescent="0.25">
      <c r="B464" s="22"/>
      <c r="C464" s="12"/>
      <c r="D464" s="15">
        <f>IFERROR(IF($C464="","",VLOOKUP($C464,'Menü Kartları'!$B$5:$C$154,2,FALSE)),"— tanımsız —")</f>
      </c>
      <c r="E464" s="23"/>
      <c r="F464" s="11">
        <f>IFERROR(IF(OR($C464="",$E464=""),0,$E464*VLOOKUP($C464,'Menü Kartları'!$B$5:$E$154,4,FALSE)),0)</f>
      </c>
      <c r="G464" s="11">
        <f>IFERROR(IF(OR($C464="",$E464=""),0,$E464*VLOOKUP($C464,'Menü Kartları'!$B$5:$G$154,6,FALSE)),0)</f>
      </c>
      <c r="H464" s="17">
        <f>IF($C464="","",$F464-$G464)</f>
      </c>
    </row>
    <row r="465" spans="2:8" x14ac:dyDescent="0.25">
      <c r="B465" s="20"/>
      <c r="C465" s="8"/>
      <c r="D465" s="15">
        <f>IFERROR(IF($C465="","",VLOOKUP($C465,'Menü Kartları'!$B$5:$C$154,2,FALSE)),"— tanımsız —")</f>
      </c>
      <c r="E465" s="21"/>
      <c r="F465" s="11">
        <f>IFERROR(IF(OR($C465="",$E465=""),0,$E465*VLOOKUP($C465,'Menü Kartları'!$B$5:$E$154,4,FALSE)),0)</f>
      </c>
      <c r="G465" s="11">
        <f>IFERROR(IF(OR($C465="",$E465=""),0,$E465*VLOOKUP($C465,'Menü Kartları'!$B$5:$G$154,6,FALSE)),0)</f>
      </c>
      <c r="H465" s="17">
        <f>IF($C465="","",$F465-$G465)</f>
      </c>
    </row>
    <row r="466" spans="2:8" x14ac:dyDescent="0.25">
      <c r="B466" s="22"/>
      <c r="C466" s="12"/>
      <c r="D466" s="15">
        <f>IFERROR(IF($C466="","",VLOOKUP($C466,'Menü Kartları'!$B$5:$C$154,2,FALSE)),"— tanımsız —")</f>
      </c>
      <c r="E466" s="23"/>
      <c r="F466" s="11">
        <f>IFERROR(IF(OR($C466="",$E466=""),0,$E466*VLOOKUP($C466,'Menü Kartları'!$B$5:$E$154,4,FALSE)),0)</f>
      </c>
      <c r="G466" s="11">
        <f>IFERROR(IF(OR($C466="",$E466=""),0,$E466*VLOOKUP($C466,'Menü Kartları'!$B$5:$G$154,6,FALSE)),0)</f>
      </c>
      <c r="H466" s="17">
        <f>IF($C466="","",$F466-$G466)</f>
      </c>
    </row>
    <row r="467" spans="2:8" x14ac:dyDescent="0.25">
      <c r="B467" s="20"/>
      <c r="C467" s="8"/>
      <c r="D467" s="15">
        <f>IFERROR(IF($C467="","",VLOOKUP($C467,'Menü Kartları'!$B$5:$C$154,2,FALSE)),"— tanımsız —")</f>
      </c>
      <c r="E467" s="21"/>
      <c r="F467" s="11">
        <f>IFERROR(IF(OR($C467="",$E467=""),0,$E467*VLOOKUP($C467,'Menü Kartları'!$B$5:$E$154,4,FALSE)),0)</f>
      </c>
      <c r="G467" s="11">
        <f>IFERROR(IF(OR($C467="",$E467=""),0,$E467*VLOOKUP($C467,'Menü Kartları'!$B$5:$G$154,6,FALSE)),0)</f>
      </c>
      <c r="H467" s="17">
        <f>IF($C467="","",$F467-$G467)</f>
      </c>
    </row>
    <row r="468" spans="2:8" x14ac:dyDescent="0.25">
      <c r="B468" s="22"/>
      <c r="C468" s="12"/>
      <c r="D468" s="15">
        <f>IFERROR(IF($C468="","",VLOOKUP($C468,'Menü Kartları'!$B$5:$C$154,2,FALSE)),"— tanımsız —")</f>
      </c>
      <c r="E468" s="23"/>
      <c r="F468" s="11">
        <f>IFERROR(IF(OR($C468="",$E468=""),0,$E468*VLOOKUP($C468,'Menü Kartları'!$B$5:$E$154,4,FALSE)),0)</f>
      </c>
      <c r="G468" s="11">
        <f>IFERROR(IF(OR($C468="",$E468=""),0,$E468*VLOOKUP($C468,'Menü Kartları'!$B$5:$G$154,6,FALSE)),0)</f>
      </c>
      <c r="H468" s="17">
        <f>IF($C468="","",$F468-$G468)</f>
      </c>
    </row>
    <row r="469" spans="2:8" x14ac:dyDescent="0.25">
      <c r="B469" s="20"/>
      <c r="C469" s="8"/>
      <c r="D469" s="15">
        <f>IFERROR(IF($C469="","",VLOOKUP($C469,'Menü Kartları'!$B$5:$C$154,2,FALSE)),"— tanımsız —")</f>
      </c>
      <c r="E469" s="21"/>
      <c r="F469" s="11">
        <f>IFERROR(IF(OR($C469="",$E469=""),0,$E469*VLOOKUP($C469,'Menü Kartları'!$B$5:$E$154,4,FALSE)),0)</f>
      </c>
      <c r="G469" s="11">
        <f>IFERROR(IF(OR($C469="",$E469=""),0,$E469*VLOOKUP($C469,'Menü Kartları'!$B$5:$G$154,6,FALSE)),0)</f>
      </c>
      <c r="H469" s="17">
        <f>IF($C469="","",$F469-$G469)</f>
      </c>
    </row>
    <row r="470" spans="2:8" x14ac:dyDescent="0.25">
      <c r="B470" s="22"/>
      <c r="C470" s="12"/>
      <c r="D470" s="15">
        <f>IFERROR(IF($C470="","",VLOOKUP($C470,'Menü Kartları'!$B$5:$C$154,2,FALSE)),"— tanımsız —")</f>
      </c>
      <c r="E470" s="23"/>
      <c r="F470" s="11">
        <f>IFERROR(IF(OR($C470="",$E470=""),0,$E470*VLOOKUP($C470,'Menü Kartları'!$B$5:$E$154,4,FALSE)),0)</f>
      </c>
      <c r="G470" s="11">
        <f>IFERROR(IF(OR($C470="",$E470=""),0,$E470*VLOOKUP($C470,'Menü Kartları'!$B$5:$G$154,6,FALSE)),0)</f>
      </c>
      <c r="H470" s="17">
        <f>IF($C470="","",$F470-$G470)</f>
      </c>
    </row>
    <row r="471" spans="2:8" x14ac:dyDescent="0.25">
      <c r="B471" s="20"/>
      <c r="C471" s="8"/>
      <c r="D471" s="15">
        <f>IFERROR(IF($C471="","",VLOOKUP($C471,'Menü Kartları'!$B$5:$C$154,2,FALSE)),"— tanımsız —")</f>
      </c>
      <c r="E471" s="21"/>
      <c r="F471" s="11">
        <f>IFERROR(IF(OR($C471="",$E471=""),0,$E471*VLOOKUP($C471,'Menü Kartları'!$B$5:$E$154,4,FALSE)),0)</f>
      </c>
      <c r="G471" s="11">
        <f>IFERROR(IF(OR($C471="",$E471=""),0,$E471*VLOOKUP($C471,'Menü Kartları'!$B$5:$G$154,6,FALSE)),0)</f>
      </c>
      <c r="H471" s="17">
        <f>IF($C471="","",$F471-$G471)</f>
      </c>
    </row>
    <row r="472" spans="2:8" x14ac:dyDescent="0.25">
      <c r="B472" s="22"/>
      <c r="C472" s="12"/>
      <c r="D472" s="15">
        <f>IFERROR(IF($C472="","",VLOOKUP($C472,'Menü Kartları'!$B$5:$C$154,2,FALSE)),"— tanımsız —")</f>
      </c>
      <c r="E472" s="23"/>
      <c r="F472" s="11">
        <f>IFERROR(IF(OR($C472="",$E472=""),0,$E472*VLOOKUP($C472,'Menü Kartları'!$B$5:$E$154,4,FALSE)),0)</f>
      </c>
      <c r="G472" s="11">
        <f>IFERROR(IF(OR($C472="",$E472=""),0,$E472*VLOOKUP($C472,'Menü Kartları'!$B$5:$G$154,6,FALSE)),0)</f>
      </c>
      <c r="H472" s="17">
        <f>IF($C472="","",$F472-$G472)</f>
      </c>
    </row>
    <row r="473" spans="2:8" x14ac:dyDescent="0.25">
      <c r="B473" s="20"/>
      <c r="C473" s="8"/>
      <c r="D473" s="15">
        <f>IFERROR(IF($C473="","",VLOOKUP($C473,'Menü Kartları'!$B$5:$C$154,2,FALSE)),"— tanımsız —")</f>
      </c>
      <c r="E473" s="21"/>
      <c r="F473" s="11">
        <f>IFERROR(IF(OR($C473="",$E473=""),0,$E473*VLOOKUP($C473,'Menü Kartları'!$B$5:$E$154,4,FALSE)),0)</f>
      </c>
      <c r="G473" s="11">
        <f>IFERROR(IF(OR($C473="",$E473=""),0,$E473*VLOOKUP($C473,'Menü Kartları'!$B$5:$G$154,6,FALSE)),0)</f>
      </c>
      <c r="H473" s="17">
        <f>IF($C473="","",$F473-$G473)</f>
      </c>
    </row>
    <row r="474" spans="2:8" x14ac:dyDescent="0.25">
      <c r="B474" s="22"/>
      <c r="C474" s="12"/>
      <c r="D474" s="15">
        <f>IFERROR(IF($C474="","",VLOOKUP($C474,'Menü Kartları'!$B$5:$C$154,2,FALSE)),"— tanımsız —")</f>
      </c>
      <c r="E474" s="23"/>
      <c r="F474" s="11">
        <f>IFERROR(IF(OR($C474="",$E474=""),0,$E474*VLOOKUP($C474,'Menü Kartları'!$B$5:$E$154,4,FALSE)),0)</f>
      </c>
      <c r="G474" s="11">
        <f>IFERROR(IF(OR($C474="",$E474=""),0,$E474*VLOOKUP($C474,'Menü Kartları'!$B$5:$G$154,6,FALSE)),0)</f>
      </c>
      <c r="H474" s="17">
        <f>IF($C474="","",$F474-$G474)</f>
      </c>
    </row>
    <row r="475" spans="2:8" x14ac:dyDescent="0.25">
      <c r="B475" s="20"/>
      <c r="C475" s="8"/>
      <c r="D475" s="15">
        <f>IFERROR(IF($C475="","",VLOOKUP($C475,'Menü Kartları'!$B$5:$C$154,2,FALSE)),"— tanımsız —")</f>
      </c>
      <c r="E475" s="21"/>
      <c r="F475" s="11">
        <f>IFERROR(IF(OR($C475="",$E475=""),0,$E475*VLOOKUP($C475,'Menü Kartları'!$B$5:$E$154,4,FALSE)),0)</f>
      </c>
      <c r="G475" s="11">
        <f>IFERROR(IF(OR($C475="",$E475=""),0,$E475*VLOOKUP($C475,'Menü Kartları'!$B$5:$G$154,6,FALSE)),0)</f>
      </c>
      <c r="H475" s="17">
        <f>IF($C475="","",$F475-$G475)</f>
      </c>
    </row>
    <row r="476" spans="2:8" x14ac:dyDescent="0.25">
      <c r="B476" s="22"/>
      <c r="C476" s="12"/>
      <c r="D476" s="15">
        <f>IFERROR(IF($C476="","",VLOOKUP($C476,'Menü Kartları'!$B$5:$C$154,2,FALSE)),"— tanımsız —")</f>
      </c>
      <c r="E476" s="23"/>
      <c r="F476" s="11">
        <f>IFERROR(IF(OR($C476="",$E476=""),0,$E476*VLOOKUP($C476,'Menü Kartları'!$B$5:$E$154,4,FALSE)),0)</f>
      </c>
      <c r="G476" s="11">
        <f>IFERROR(IF(OR($C476="",$E476=""),0,$E476*VLOOKUP($C476,'Menü Kartları'!$B$5:$G$154,6,FALSE)),0)</f>
      </c>
      <c r="H476" s="17">
        <f>IF($C476="","",$F476-$G476)</f>
      </c>
    </row>
    <row r="477" spans="2:8" x14ac:dyDescent="0.25">
      <c r="B477" s="20"/>
      <c r="C477" s="8"/>
      <c r="D477" s="15">
        <f>IFERROR(IF($C477="","",VLOOKUP($C477,'Menü Kartları'!$B$5:$C$154,2,FALSE)),"— tanımsız —")</f>
      </c>
      <c r="E477" s="21"/>
      <c r="F477" s="11">
        <f>IFERROR(IF(OR($C477="",$E477=""),0,$E477*VLOOKUP($C477,'Menü Kartları'!$B$5:$E$154,4,FALSE)),0)</f>
      </c>
      <c r="G477" s="11">
        <f>IFERROR(IF(OR($C477="",$E477=""),0,$E477*VLOOKUP($C477,'Menü Kartları'!$B$5:$G$154,6,FALSE)),0)</f>
      </c>
      <c r="H477" s="17">
        <f>IF($C477="","",$F477-$G477)</f>
      </c>
    </row>
    <row r="478" spans="2:8" x14ac:dyDescent="0.25">
      <c r="B478" s="22"/>
      <c r="C478" s="12"/>
      <c r="D478" s="15">
        <f>IFERROR(IF($C478="","",VLOOKUP($C478,'Menü Kartları'!$B$5:$C$154,2,FALSE)),"— tanımsız —")</f>
      </c>
      <c r="E478" s="23"/>
      <c r="F478" s="11">
        <f>IFERROR(IF(OR($C478="",$E478=""),0,$E478*VLOOKUP($C478,'Menü Kartları'!$B$5:$E$154,4,FALSE)),0)</f>
      </c>
      <c r="G478" s="11">
        <f>IFERROR(IF(OR($C478="",$E478=""),0,$E478*VLOOKUP($C478,'Menü Kartları'!$B$5:$G$154,6,FALSE)),0)</f>
      </c>
      <c r="H478" s="17">
        <f>IF($C478="","",$F478-$G478)</f>
      </c>
    </row>
    <row r="479" spans="2:8" x14ac:dyDescent="0.25">
      <c r="B479" s="20"/>
      <c r="C479" s="8"/>
      <c r="D479" s="15">
        <f>IFERROR(IF($C479="","",VLOOKUP($C479,'Menü Kartları'!$B$5:$C$154,2,FALSE)),"— tanımsız —")</f>
      </c>
      <c r="E479" s="21"/>
      <c r="F479" s="11">
        <f>IFERROR(IF(OR($C479="",$E479=""),0,$E479*VLOOKUP($C479,'Menü Kartları'!$B$5:$E$154,4,FALSE)),0)</f>
      </c>
      <c r="G479" s="11">
        <f>IFERROR(IF(OR($C479="",$E479=""),0,$E479*VLOOKUP($C479,'Menü Kartları'!$B$5:$G$154,6,FALSE)),0)</f>
      </c>
      <c r="H479" s="17">
        <f>IF($C479="","",$F479-$G479)</f>
      </c>
    </row>
    <row r="480" spans="2:8" x14ac:dyDescent="0.25">
      <c r="B480" s="22"/>
      <c r="C480" s="12"/>
      <c r="D480" s="15">
        <f>IFERROR(IF($C480="","",VLOOKUP($C480,'Menü Kartları'!$B$5:$C$154,2,FALSE)),"— tanımsız —")</f>
      </c>
      <c r="E480" s="23"/>
      <c r="F480" s="11">
        <f>IFERROR(IF(OR($C480="",$E480=""),0,$E480*VLOOKUP($C480,'Menü Kartları'!$B$5:$E$154,4,FALSE)),0)</f>
      </c>
      <c r="G480" s="11">
        <f>IFERROR(IF(OR($C480="",$E480=""),0,$E480*VLOOKUP($C480,'Menü Kartları'!$B$5:$G$154,6,FALSE)),0)</f>
      </c>
      <c r="H480" s="17">
        <f>IF($C480="","",$F480-$G480)</f>
      </c>
    </row>
    <row r="481" spans="2:8" x14ac:dyDescent="0.25">
      <c r="B481" s="20"/>
      <c r="C481" s="8"/>
      <c r="D481" s="15">
        <f>IFERROR(IF($C481="","",VLOOKUP($C481,'Menü Kartları'!$B$5:$C$154,2,FALSE)),"— tanımsız —")</f>
      </c>
      <c r="E481" s="21"/>
      <c r="F481" s="11">
        <f>IFERROR(IF(OR($C481="",$E481=""),0,$E481*VLOOKUP($C481,'Menü Kartları'!$B$5:$E$154,4,FALSE)),0)</f>
      </c>
      <c r="G481" s="11">
        <f>IFERROR(IF(OR($C481="",$E481=""),0,$E481*VLOOKUP($C481,'Menü Kartları'!$B$5:$G$154,6,FALSE)),0)</f>
      </c>
      <c r="H481" s="17">
        <f>IF($C481="","",$F481-$G481)</f>
      </c>
    </row>
    <row r="482" spans="2:8" x14ac:dyDescent="0.25">
      <c r="B482" s="22"/>
      <c r="C482" s="12"/>
      <c r="D482" s="15">
        <f>IFERROR(IF($C482="","",VLOOKUP($C482,'Menü Kartları'!$B$5:$C$154,2,FALSE)),"— tanımsız —")</f>
      </c>
      <c r="E482" s="23"/>
      <c r="F482" s="11">
        <f>IFERROR(IF(OR($C482="",$E482=""),0,$E482*VLOOKUP($C482,'Menü Kartları'!$B$5:$E$154,4,FALSE)),0)</f>
      </c>
      <c r="G482" s="11">
        <f>IFERROR(IF(OR($C482="",$E482=""),0,$E482*VLOOKUP($C482,'Menü Kartları'!$B$5:$G$154,6,FALSE)),0)</f>
      </c>
      <c r="H482" s="17">
        <f>IF($C482="","",$F482-$G482)</f>
      </c>
    </row>
    <row r="483" spans="2:8" x14ac:dyDescent="0.25">
      <c r="B483" s="20"/>
      <c r="C483" s="8"/>
      <c r="D483" s="15">
        <f>IFERROR(IF($C483="","",VLOOKUP($C483,'Menü Kartları'!$B$5:$C$154,2,FALSE)),"— tanımsız —")</f>
      </c>
      <c r="E483" s="21"/>
      <c r="F483" s="11">
        <f>IFERROR(IF(OR($C483="",$E483=""),0,$E483*VLOOKUP($C483,'Menü Kartları'!$B$5:$E$154,4,FALSE)),0)</f>
      </c>
      <c r="G483" s="11">
        <f>IFERROR(IF(OR($C483="",$E483=""),0,$E483*VLOOKUP($C483,'Menü Kartları'!$B$5:$G$154,6,FALSE)),0)</f>
      </c>
      <c r="H483" s="17">
        <f>IF($C483="","",$F483-$G483)</f>
      </c>
    </row>
    <row r="484" spans="2:8" x14ac:dyDescent="0.25">
      <c r="B484" s="22"/>
      <c r="C484" s="12"/>
      <c r="D484" s="15">
        <f>IFERROR(IF($C484="","",VLOOKUP($C484,'Menü Kartları'!$B$5:$C$154,2,FALSE)),"— tanımsız —")</f>
      </c>
      <c r="E484" s="23"/>
      <c r="F484" s="11">
        <f>IFERROR(IF(OR($C484="",$E484=""),0,$E484*VLOOKUP($C484,'Menü Kartları'!$B$5:$E$154,4,FALSE)),0)</f>
      </c>
      <c r="G484" s="11">
        <f>IFERROR(IF(OR($C484="",$E484=""),0,$E484*VLOOKUP($C484,'Menü Kartları'!$B$5:$G$154,6,FALSE)),0)</f>
      </c>
      <c r="H484" s="17">
        <f>IF($C484="","",$F484-$G484)</f>
      </c>
    </row>
    <row r="485" spans="2:8" x14ac:dyDescent="0.25">
      <c r="B485" s="20"/>
      <c r="C485" s="8"/>
      <c r="D485" s="15">
        <f>IFERROR(IF($C485="","",VLOOKUP($C485,'Menü Kartları'!$B$5:$C$154,2,FALSE)),"— tanımsız —")</f>
      </c>
      <c r="E485" s="21"/>
      <c r="F485" s="11">
        <f>IFERROR(IF(OR($C485="",$E485=""),0,$E485*VLOOKUP($C485,'Menü Kartları'!$B$5:$E$154,4,FALSE)),0)</f>
      </c>
      <c r="G485" s="11">
        <f>IFERROR(IF(OR($C485="",$E485=""),0,$E485*VLOOKUP($C485,'Menü Kartları'!$B$5:$G$154,6,FALSE)),0)</f>
      </c>
      <c r="H485" s="17">
        <f>IF($C485="","",$F485-$G485)</f>
      </c>
    </row>
    <row r="486" spans="2:8" x14ac:dyDescent="0.25">
      <c r="B486" s="22"/>
      <c r="C486" s="12"/>
      <c r="D486" s="15">
        <f>IFERROR(IF($C486="","",VLOOKUP($C486,'Menü Kartları'!$B$5:$C$154,2,FALSE)),"— tanımsız —")</f>
      </c>
      <c r="E486" s="23"/>
      <c r="F486" s="11">
        <f>IFERROR(IF(OR($C486="",$E486=""),0,$E486*VLOOKUP($C486,'Menü Kartları'!$B$5:$E$154,4,FALSE)),0)</f>
      </c>
      <c r="G486" s="11">
        <f>IFERROR(IF(OR($C486="",$E486=""),0,$E486*VLOOKUP($C486,'Menü Kartları'!$B$5:$G$154,6,FALSE)),0)</f>
      </c>
      <c r="H486" s="17">
        <f>IF($C486="","",$F486-$G486)</f>
      </c>
    </row>
    <row r="487" spans="2:8" x14ac:dyDescent="0.25">
      <c r="B487" s="20"/>
      <c r="C487" s="8"/>
      <c r="D487" s="15">
        <f>IFERROR(IF($C487="","",VLOOKUP($C487,'Menü Kartları'!$B$5:$C$154,2,FALSE)),"— tanımsız —")</f>
      </c>
      <c r="E487" s="21"/>
      <c r="F487" s="11">
        <f>IFERROR(IF(OR($C487="",$E487=""),0,$E487*VLOOKUP($C487,'Menü Kartları'!$B$5:$E$154,4,FALSE)),0)</f>
      </c>
      <c r="G487" s="11">
        <f>IFERROR(IF(OR($C487="",$E487=""),0,$E487*VLOOKUP($C487,'Menü Kartları'!$B$5:$G$154,6,FALSE)),0)</f>
      </c>
      <c r="H487" s="17">
        <f>IF($C487="","",$F487-$G487)</f>
      </c>
    </row>
    <row r="488" spans="2:8" x14ac:dyDescent="0.25">
      <c r="B488" s="22"/>
      <c r="C488" s="12"/>
      <c r="D488" s="15">
        <f>IFERROR(IF($C488="","",VLOOKUP($C488,'Menü Kartları'!$B$5:$C$154,2,FALSE)),"— tanımsız —")</f>
      </c>
      <c r="E488" s="23"/>
      <c r="F488" s="11">
        <f>IFERROR(IF(OR($C488="",$E488=""),0,$E488*VLOOKUP($C488,'Menü Kartları'!$B$5:$E$154,4,FALSE)),0)</f>
      </c>
      <c r="G488" s="11">
        <f>IFERROR(IF(OR($C488="",$E488=""),0,$E488*VLOOKUP($C488,'Menü Kartları'!$B$5:$G$154,6,FALSE)),0)</f>
      </c>
      <c r="H488" s="17">
        <f>IF($C488="","",$F488-$G488)</f>
      </c>
    </row>
    <row r="489" spans="2:8" x14ac:dyDescent="0.25">
      <c r="B489" s="20"/>
      <c r="C489" s="8"/>
      <c r="D489" s="15">
        <f>IFERROR(IF($C489="","",VLOOKUP($C489,'Menü Kartları'!$B$5:$C$154,2,FALSE)),"— tanımsız —")</f>
      </c>
      <c r="E489" s="21"/>
      <c r="F489" s="11">
        <f>IFERROR(IF(OR($C489="",$E489=""),0,$E489*VLOOKUP($C489,'Menü Kartları'!$B$5:$E$154,4,FALSE)),0)</f>
      </c>
      <c r="G489" s="11">
        <f>IFERROR(IF(OR($C489="",$E489=""),0,$E489*VLOOKUP($C489,'Menü Kartları'!$B$5:$G$154,6,FALSE)),0)</f>
      </c>
      <c r="H489" s="17">
        <f>IF($C489="","",$F489-$G489)</f>
      </c>
    </row>
    <row r="490" spans="2:8" x14ac:dyDescent="0.25">
      <c r="B490" s="22"/>
      <c r="C490" s="12"/>
      <c r="D490" s="15">
        <f>IFERROR(IF($C490="","",VLOOKUP($C490,'Menü Kartları'!$B$5:$C$154,2,FALSE)),"— tanımsız —")</f>
      </c>
      <c r="E490" s="23"/>
      <c r="F490" s="11">
        <f>IFERROR(IF(OR($C490="",$E490=""),0,$E490*VLOOKUP($C490,'Menü Kartları'!$B$5:$E$154,4,FALSE)),0)</f>
      </c>
      <c r="G490" s="11">
        <f>IFERROR(IF(OR($C490="",$E490=""),0,$E490*VLOOKUP($C490,'Menü Kartları'!$B$5:$G$154,6,FALSE)),0)</f>
      </c>
      <c r="H490" s="17">
        <f>IF($C490="","",$F490-$G490)</f>
      </c>
    </row>
    <row r="491" spans="2:8" x14ac:dyDescent="0.25">
      <c r="B491" s="20"/>
      <c r="C491" s="8"/>
      <c r="D491" s="15">
        <f>IFERROR(IF($C491="","",VLOOKUP($C491,'Menü Kartları'!$B$5:$C$154,2,FALSE)),"— tanımsız —")</f>
      </c>
      <c r="E491" s="21"/>
      <c r="F491" s="11">
        <f>IFERROR(IF(OR($C491="",$E491=""),0,$E491*VLOOKUP($C491,'Menü Kartları'!$B$5:$E$154,4,FALSE)),0)</f>
      </c>
      <c r="G491" s="11">
        <f>IFERROR(IF(OR($C491="",$E491=""),0,$E491*VLOOKUP($C491,'Menü Kartları'!$B$5:$G$154,6,FALSE)),0)</f>
      </c>
      <c r="H491" s="17">
        <f>IF($C491="","",$F491-$G491)</f>
      </c>
    </row>
    <row r="492" spans="2:8" x14ac:dyDescent="0.25">
      <c r="B492" s="22"/>
      <c r="C492" s="12"/>
      <c r="D492" s="15">
        <f>IFERROR(IF($C492="","",VLOOKUP($C492,'Menü Kartları'!$B$5:$C$154,2,FALSE)),"— tanımsız —")</f>
      </c>
      <c r="E492" s="23"/>
      <c r="F492" s="11">
        <f>IFERROR(IF(OR($C492="",$E492=""),0,$E492*VLOOKUP($C492,'Menü Kartları'!$B$5:$E$154,4,FALSE)),0)</f>
      </c>
      <c r="G492" s="11">
        <f>IFERROR(IF(OR($C492="",$E492=""),0,$E492*VLOOKUP($C492,'Menü Kartları'!$B$5:$G$154,6,FALSE)),0)</f>
      </c>
      <c r="H492" s="17">
        <f>IF($C492="","",$F492-$G492)</f>
      </c>
    </row>
    <row r="493" spans="2:8" x14ac:dyDescent="0.25">
      <c r="B493" s="20"/>
      <c r="C493" s="8"/>
      <c r="D493" s="15">
        <f>IFERROR(IF($C493="","",VLOOKUP($C493,'Menü Kartları'!$B$5:$C$154,2,FALSE)),"— tanımsız —")</f>
      </c>
      <c r="E493" s="21"/>
      <c r="F493" s="11">
        <f>IFERROR(IF(OR($C493="",$E493=""),0,$E493*VLOOKUP($C493,'Menü Kartları'!$B$5:$E$154,4,FALSE)),0)</f>
      </c>
      <c r="G493" s="11">
        <f>IFERROR(IF(OR($C493="",$E493=""),0,$E493*VLOOKUP($C493,'Menü Kartları'!$B$5:$G$154,6,FALSE)),0)</f>
      </c>
      <c r="H493" s="17">
        <f>IF($C493="","",$F493-$G493)</f>
      </c>
    </row>
    <row r="494" spans="2:8" x14ac:dyDescent="0.25">
      <c r="B494" s="22"/>
      <c r="C494" s="12"/>
      <c r="D494" s="15">
        <f>IFERROR(IF($C494="","",VLOOKUP($C494,'Menü Kartları'!$B$5:$C$154,2,FALSE)),"— tanımsız —")</f>
      </c>
      <c r="E494" s="23"/>
      <c r="F494" s="11">
        <f>IFERROR(IF(OR($C494="",$E494=""),0,$E494*VLOOKUP($C494,'Menü Kartları'!$B$5:$E$154,4,FALSE)),0)</f>
      </c>
      <c r="G494" s="11">
        <f>IFERROR(IF(OR($C494="",$E494=""),0,$E494*VLOOKUP($C494,'Menü Kartları'!$B$5:$G$154,6,FALSE)),0)</f>
      </c>
      <c r="H494" s="17">
        <f>IF($C494="","",$F494-$G494)</f>
      </c>
    </row>
    <row r="495" spans="2:8" x14ac:dyDescent="0.25">
      <c r="B495" s="20"/>
      <c r="C495" s="8"/>
      <c r="D495" s="15">
        <f>IFERROR(IF($C495="","",VLOOKUP($C495,'Menü Kartları'!$B$5:$C$154,2,FALSE)),"— tanımsız —")</f>
      </c>
      <c r="E495" s="21"/>
      <c r="F495" s="11">
        <f>IFERROR(IF(OR($C495="",$E495=""),0,$E495*VLOOKUP($C495,'Menü Kartları'!$B$5:$E$154,4,FALSE)),0)</f>
      </c>
      <c r="G495" s="11">
        <f>IFERROR(IF(OR($C495="",$E495=""),0,$E495*VLOOKUP($C495,'Menü Kartları'!$B$5:$G$154,6,FALSE)),0)</f>
      </c>
      <c r="H495" s="17">
        <f>IF($C495="","",$F495-$G495)</f>
      </c>
    </row>
    <row r="496" spans="2:8" x14ac:dyDescent="0.25">
      <c r="B496" s="22"/>
      <c r="C496" s="12"/>
      <c r="D496" s="15">
        <f>IFERROR(IF($C496="","",VLOOKUP($C496,'Menü Kartları'!$B$5:$C$154,2,FALSE)),"— tanımsız —")</f>
      </c>
      <c r="E496" s="23"/>
      <c r="F496" s="11">
        <f>IFERROR(IF(OR($C496="",$E496=""),0,$E496*VLOOKUP($C496,'Menü Kartları'!$B$5:$E$154,4,FALSE)),0)</f>
      </c>
      <c r="G496" s="11">
        <f>IFERROR(IF(OR($C496="",$E496=""),0,$E496*VLOOKUP($C496,'Menü Kartları'!$B$5:$G$154,6,FALSE)),0)</f>
      </c>
      <c r="H496" s="17">
        <f>IF($C496="","",$F496-$G496)</f>
      </c>
    </row>
    <row r="497" spans="2:8" x14ac:dyDescent="0.25">
      <c r="B497" s="20"/>
      <c r="C497" s="8"/>
      <c r="D497" s="15">
        <f>IFERROR(IF($C497="","",VLOOKUP($C497,'Menü Kartları'!$B$5:$C$154,2,FALSE)),"— tanımsız —")</f>
      </c>
      <c r="E497" s="21"/>
      <c r="F497" s="11">
        <f>IFERROR(IF(OR($C497="",$E497=""),0,$E497*VLOOKUP($C497,'Menü Kartları'!$B$5:$E$154,4,FALSE)),0)</f>
      </c>
      <c r="G497" s="11">
        <f>IFERROR(IF(OR($C497="",$E497=""),0,$E497*VLOOKUP($C497,'Menü Kartları'!$B$5:$G$154,6,FALSE)),0)</f>
      </c>
      <c r="H497" s="17">
        <f>IF($C497="","",$F497-$G497)</f>
      </c>
    </row>
    <row r="498" spans="2:8" x14ac:dyDescent="0.25">
      <c r="B498" s="22"/>
      <c r="C498" s="12"/>
      <c r="D498" s="15">
        <f>IFERROR(IF($C498="","",VLOOKUP($C498,'Menü Kartları'!$B$5:$C$154,2,FALSE)),"— tanımsız —")</f>
      </c>
      <c r="E498" s="23"/>
      <c r="F498" s="11">
        <f>IFERROR(IF(OR($C498="",$E498=""),0,$E498*VLOOKUP($C498,'Menü Kartları'!$B$5:$E$154,4,FALSE)),0)</f>
      </c>
      <c r="G498" s="11">
        <f>IFERROR(IF(OR($C498="",$E498=""),0,$E498*VLOOKUP($C498,'Menü Kartları'!$B$5:$G$154,6,FALSE)),0)</f>
      </c>
      <c r="H498" s="17">
        <f>IF($C498="","",$F498-$G498)</f>
      </c>
    </row>
    <row r="499" spans="2:8" x14ac:dyDescent="0.25">
      <c r="B499" s="20"/>
      <c r="C499" s="8"/>
      <c r="D499" s="15">
        <f>IFERROR(IF($C499="","",VLOOKUP($C499,'Menü Kartları'!$B$5:$C$154,2,FALSE)),"— tanımsız —")</f>
      </c>
      <c r="E499" s="21"/>
      <c r="F499" s="11">
        <f>IFERROR(IF(OR($C499="",$E499=""),0,$E499*VLOOKUP($C499,'Menü Kartları'!$B$5:$E$154,4,FALSE)),0)</f>
      </c>
      <c r="G499" s="11">
        <f>IFERROR(IF(OR($C499="",$E499=""),0,$E499*VLOOKUP($C499,'Menü Kartları'!$B$5:$G$154,6,FALSE)),0)</f>
      </c>
      <c r="H499" s="17">
        <f>IF($C499="","",$F499-$G499)</f>
      </c>
    </row>
    <row r="500" spans="2:8" x14ac:dyDescent="0.25">
      <c r="B500" s="22"/>
      <c r="C500" s="12"/>
      <c r="D500" s="15">
        <f>IFERROR(IF($C500="","",VLOOKUP($C500,'Menü Kartları'!$B$5:$C$154,2,FALSE)),"— tanımsız —")</f>
      </c>
      <c r="E500" s="23"/>
      <c r="F500" s="11">
        <f>IFERROR(IF(OR($C500="",$E500=""),0,$E500*VLOOKUP($C500,'Menü Kartları'!$B$5:$E$154,4,FALSE)),0)</f>
      </c>
      <c r="G500" s="11">
        <f>IFERROR(IF(OR($C500="",$E500=""),0,$E500*VLOOKUP($C500,'Menü Kartları'!$B$5:$G$154,6,FALSE)),0)</f>
      </c>
      <c r="H500" s="17">
        <f>IF($C500="","",$F500-$G500)</f>
      </c>
    </row>
    <row r="501" spans="2:8" x14ac:dyDescent="0.25">
      <c r="B501" s="20"/>
      <c r="C501" s="8"/>
      <c r="D501" s="15">
        <f>IFERROR(IF($C501="","",VLOOKUP($C501,'Menü Kartları'!$B$5:$C$154,2,FALSE)),"— tanımsız —")</f>
      </c>
      <c r="E501" s="21"/>
      <c r="F501" s="11">
        <f>IFERROR(IF(OR($C501="",$E501=""),0,$E501*VLOOKUP($C501,'Menü Kartları'!$B$5:$E$154,4,FALSE)),0)</f>
      </c>
      <c r="G501" s="11">
        <f>IFERROR(IF(OR($C501="",$E501=""),0,$E501*VLOOKUP($C501,'Menü Kartları'!$B$5:$G$154,6,FALSE)),0)</f>
      </c>
      <c r="H501" s="17">
        <f>IF($C501="","",$F501-$G501)</f>
      </c>
    </row>
    <row r="502" spans="2:8" x14ac:dyDescent="0.25">
      <c r="B502" s="22"/>
      <c r="C502" s="12"/>
      <c r="D502" s="15">
        <f>IFERROR(IF($C502="","",VLOOKUP($C502,'Menü Kartları'!$B$5:$C$154,2,FALSE)),"— tanımsız —")</f>
      </c>
      <c r="E502" s="23"/>
      <c r="F502" s="11">
        <f>IFERROR(IF(OR($C502="",$E502=""),0,$E502*VLOOKUP($C502,'Menü Kartları'!$B$5:$E$154,4,FALSE)),0)</f>
      </c>
      <c r="G502" s="11">
        <f>IFERROR(IF(OR($C502="",$E502=""),0,$E502*VLOOKUP($C502,'Menü Kartları'!$B$5:$G$154,6,FALSE)),0)</f>
      </c>
      <c r="H502" s="17">
        <f>IF($C502="","",$F502-$G502)</f>
      </c>
    </row>
    <row r="503" spans="2:8" x14ac:dyDescent="0.25">
      <c r="B503" s="20"/>
      <c r="C503" s="8"/>
      <c r="D503" s="15">
        <f>IFERROR(IF($C503="","",VLOOKUP($C503,'Menü Kartları'!$B$5:$C$154,2,FALSE)),"— tanımsız —")</f>
      </c>
      <c r="E503" s="21"/>
      <c r="F503" s="11">
        <f>IFERROR(IF(OR($C503="",$E503=""),0,$E503*VLOOKUP($C503,'Menü Kartları'!$B$5:$E$154,4,FALSE)),0)</f>
      </c>
      <c r="G503" s="11">
        <f>IFERROR(IF(OR($C503="",$E503=""),0,$E503*VLOOKUP($C503,'Menü Kartları'!$B$5:$G$154,6,FALSE)),0)</f>
      </c>
      <c r="H503" s="17">
        <f>IF($C503="","",$F503-$G503)</f>
      </c>
    </row>
    <row r="504" spans="2:8" x14ac:dyDescent="0.25">
      <c r="B504" s="22"/>
      <c r="C504" s="12"/>
      <c r="D504" s="15">
        <f>IFERROR(IF($C504="","",VLOOKUP($C504,'Menü Kartları'!$B$5:$C$154,2,FALSE)),"— tanımsız —")</f>
      </c>
      <c r="E504" s="23"/>
      <c r="F504" s="11">
        <f>IFERROR(IF(OR($C504="",$E504=""),0,$E504*VLOOKUP($C504,'Menü Kartları'!$B$5:$E$154,4,FALSE)),0)</f>
      </c>
      <c r="G504" s="11">
        <f>IFERROR(IF(OR($C504="",$E504=""),0,$E504*VLOOKUP($C504,'Menü Kartları'!$B$5:$G$154,6,FALSE)),0)</f>
      </c>
      <c r="H504" s="17">
        <f>IF($C504="","",$F504-$G504)</f>
      </c>
    </row>
    <row r="505" spans="2:8" x14ac:dyDescent="0.25">
      <c r="B505" s="20"/>
      <c r="C505" s="8"/>
      <c r="D505" s="15">
        <f>IFERROR(IF($C505="","",VLOOKUP($C505,'Menü Kartları'!$B$5:$C$154,2,FALSE)),"— tanımsız —")</f>
      </c>
      <c r="E505" s="21"/>
      <c r="F505" s="11">
        <f>IFERROR(IF(OR($C505="",$E505=""),0,$E505*VLOOKUP($C505,'Menü Kartları'!$B$5:$E$154,4,FALSE)),0)</f>
      </c>
      <c r="G505" s="11">
        <f>IFERROR(IF(OR($C505="",$E505=""),0,$E505*VLOOKUP($C505,'Menü Kartları'!$B$5:$G$154,6,FALSE)),0)</f>
      </c>
      <c r="H505" s="17">
        <f>IF($C505="","",$F505-$G505)</f>
      </c>
    </row>
    <row r="506" spans="2:8" x14ac:dyDescent="0.25">
      <c r="B506" s="22"/>
      <c r="C506" s="12"/>
      <c r="D506" s="15">
        <f>IFERROR(IF($C506="","",VLOOKUP($C506,'Menü Kartları'!$B$5:$C$154,2,FALSE)),"— tanımsız —")</f>
      </c>
      <c r="E506" s="23"/>
      <c r="F506" s="11">
        <f>IFERROR(IF(OR($C506="",$E506=""),0,$E506*VLOOKUP($C506,'Menü Kartları'!$B$5:$E$154,4,FALSE)),0)</f>
      </c>
      <c r="G506" s="11">
        <f>IFERROR(IF(OR($C506="",$E506=""),0,$E506*VLOOKUP($C506,'Menü Kartları'!$B$5:$G$154,6,FALSE)),0)</f>
      </c>
      <c r="H506" s="17">
        <f>IF($C506="","",$F506-$G506)</f>
      </c>
    </row>
    <row r="507" spans="2:8" x14ac:dyDescent="0.25">
      <c r="B507" s="20"/>
      <c r="C507" s="8"/>
      <c r="D507" s="15">
        <f>IFERROR(IF($C507="","",VLOOKUP($C507,'Menü Kartları'!$B$5:$C$154,2,FALSE)),"— tanımsız —")</f>
      </c>
      <c r="E507" s="21"/>
      <c r="F507" s="11">
        <f>IFERROR(IF(OR($C507="",$E507=""),0,$E507*VLOOKUP($C507,'Menü Kartları'!$B$5:$E$154,4,FALSE)),0)</f>
      </c>
      <c r="G507" s="11">
        <f>IFERROR(IF(OR($C507="",$E507=""),0,$E507*VLOOKUP($C507,'Menü Kartları'!$B$5:$G$154,6,FALSE)),0)</f>
      </c>
      <c r="H507" s="17">
        <f>IF($C507="","",$F507-$G507)</f>
      </c>
    </row>
    <row r="508" spans="2:8" x14ac:dyDescent="0.25">
      <c r="B508" s="22"/>
      <c r="C508" s="12"/>
      <c r="D508" s="15">
        <f>IFERROR(IF($C508="","",VLOOKUP($C508,'Menü Kartları'!$B$5:$C$154,2,FALSE)),"— tanımsız —")</f>
      </c>
      <c r="E508" s="23"/>
      <c r="F508" s="11">
        <f>IFERROR(IF(OR($C508="",$E508=""),0,$E508*VLOOKUP($C508,'Menü Kartları'!$B$5:$E$154,4,FALSE)),0)</f>
      </c>
      <c r="G508" s="11">
        <f>IFERROR(IF(OR($C508="",$E508=""),0,$E508*VLOOKUP($C508,'Menü Kartları'!$B$5:$G$154,6,FALSE)),0)</f>
      </c>
      <c r="H508" s="17">
        <f>IF($C508="","",$F508-$G508)</f>
      </c>
    </row>
    <row r="509" spans="2:8" x14ac:dyDescent="0.25">
      <c r="B509" s="20"/>
      <c r="C509" s="8"/>
      <c r="D509" s="15">
        <f>IFERROR(IF($C509="","",VLOOKUP($C509,'Menü Kartları'!$B$5:$C$154,2,FALSE)),"— tanımsız —")</f>
      </c>
      <c r="E509" s="21"/>
      <c r="F509" s="11">
        <f>IFERROR(IF(OR($C509="",$E509=""),0,$E509*VLOOKUP($C509,'Menü Kartları'!$B$5:$E$154,4,FALSE)),0)</f>
      </c>
      <c r="G509" s="11">
        <f>IFERROR(IF(OR($C509="",$E509=""),0,$E509*VLOOKUP($C509,'Menü Kartları'!$B$5:$G$154,6,FALSE)),0)</f>
      </c>
      <c r="H509" s="17">
        <f>IF($C509="","",$F509-$G509)</f>
      </c>
    </row>
    <row r="510" spans="2:8" x14ac:dyDescent="0.25">
      <c r="B510" s="22"/>
      <c r="C510" s="12"/>
      <c r="D510" s="15">
        <f>IFERROR(IF($C510="","",VLOOKUP($C510,'Menü Kartları'!$B$5:$C$154,2,FALSE)),"— tanımsız —")</f>
      </c>
      <c r="E510" s="23"/>
      <c r="F510" s="11">
        <f>IFERROR(IF(OR($C510="",$E510=""),0,$E510*VLOOKUP($C510,'Menü Kartları'!$B$5:$E$154,4,FALSE)),0)</f>
      </c>
      <c r="G510" s="11">
        <f>IFERROR(IF(OR($C510="",$E510=""),0,$E510*VLOOKUP($C510,'Menü Kartları'!$B$5:$G$154,6,FALSE)),0)</f>
      </c>
      <c r="H510" s="17">
        <f>IF($C510="","",$F510-$G510)</f>
      </c>
    </row>
    <row r="511" spans="2:8" x14ac:dyDescent="0.25">
      <c r="B511" s="20"/>
      <c r="C511" s="8"/>
      <c r="D511" s="15">
        <f>IFERROR(IF($C511="","",VLOOKUP($C511,'Menü Kartları'!$B$5:$C$154,2,FALSE)),"— tanımsız —")</f>
      </c>
      <c r="E511" s="21"/>
      <c r="F511" s="11">
        <f>IFERROR(IF(OR($C511="",$E511=""),0,$E511*VLOOKUP($C511,'Menü Kartları'!$B$5:$E$154,4,FALSE)),0)</f>
      </c>
      <c r="G511" s="11">
        <f>IFERROR(IF(OR($C511="",$E511=""),0,$E511*VLOOKUP($C511,'Menü Kartları'!$B$5:$G$154,6,FALSE)),0)</f>
      </c>
      <c r="H511" s="17">
        <f>IF($C511="","",$F511-$G511)</f>
      </c>
    </row>
    <row r="512" spans="2:8" x14ac:dyDescent="0.25">
      <c r="B512" s="22"/>
      <c r="C512" s="12"/>
      <c r="D512" s="15">
        <f>IFERROR(IF($C512="","",VLOOKUP($C512,'Menü Kartları'!$B$5:$C$154,2,FALSE)),"— tanımsız —")</f>
      </c>
      <c r="E512" s="23"/>
      <c r="F512" s="11">
        <f>IFERROR(IF(OR($C512="",$E512=""),0,$E512*VLOOKUP($C512,'Menü Kartları'!$B$5:$E$154,4,FALSE)),0)</f>
      </c>
      <c r="G512" s="11">
        <f>IFERROR(IF(OR($C512="",$E512=""),0,$E512*VLOOKUP($C512,'Menü Kartları'!$B$5:$G$154,6,FALSE)),0)</f>
      </c>
      <c r="H512" s="17">
        <f>IF($C512="","",$F512-$G512)</f>
      </c>
    </row>
    <row r="513" spans="2:8" x14ac:dyDescent="0.25">
      <c r="B513" s="20"/>
      <c r="C513" s="8"/>
      <c r="D513" s="15">
        <f>IFERROR(IF($C513="","",VLOOKUP($C513,'Menü Kartları'!$B$5:$C$154,2,FALSE)),"— tanımsız —")</f>
      </c>
      <c r="E513" s="21"/>
      <c r="F513" s="11">
        <f>IFERROR(IF(OR($C513="",$E513=""),0,$E513*VLOOKUP($C513,'Menü Kartları'!$B$5:$E$154,4,FALSE)),0)</f>
      </c>
      <c r="G513" s="11">
        <f>IFERROR(IF(OR($C513="",$E513=""),0,$E513*VLOOKUP($C513,'Menü Kartları'!$B$5:$G$154,6,FALSE)),0)</f>
      </c>
      <c r="H513" s="17">
        <f>IF($C513="","",$F513-$G513)</f>
      </c>
    </row>
    <row r="514" spans="2:8" x14ac:dyDescent="0.25">
      <c r="B514" s="22"/>
      <c r="C514" s="12"/>
      <c r="D514" s="15">
        <f>IFERROR(IF($C514="","",VLOOKUP($C514,'Menü Kartları'!$B$5:$C$154,2,FALSE)),"— tanımsız —")</f>
      </c>
      <c r="E514" s="23"/>
      <c r="F514" s="11">
        <f>IFERROR(IF(OR($C514="",$E514=""),0,$E514*VLOOKUP($C514,'Menü Kartları'!$B$5:$E$154,4,FALSE)),0)</f>
      </c>
      <c r="G514" s="11">
        <f>IFERROR(IF(OR($C514="",$E514=""),0,$E514*VLOOKUP($C514,'Menü Kartları'!$B$5:$G$154,6,FALSE)),0)</f>
      </c>
      <c r="H514" s="17">
        <f>IF($C514="","",$F514-$G514)</f>
      </c>
    </row>
    <row r="515" spans="2:8" x14ac:dyDescent="0.25">
      <c r="B515" s="20"/>
      <c r="C515" s="8"/>
      <c r="D515" s="15">
        <f>IFERROR(IF($C515="","",VLOOKUP($C515,'Menü Kartları'!$B$5:$C$154,2,FALSE)),"— tanımsız —")</f>
      </c>
      <c r="E515" s="21"/>
      <c r="F515" s="11">
        <f>IFERROR(IF(OR($C515="",$E515=""),0,$E515*VLOOKUP($C515,'Menü Kartları'!$B$5:$E$154,4,FALSE)),0)</f>
      </c>
      <c r="G515" s="11">
        <f>IFERROR(IF(OR($C515="",$E515=""),0,$E515*VLOOKUP($C515,'Menü Kartları'!$B$5:$G$154,6,FALSE)),0)</f>
      </c>
      <c r="H515" s="17">
        <f>IF($C515="","",$F515-$G515)</f>
      </c>
    </row>
    <row r="516" spans="2:8" x14ac:dyDescent="0.25">
      <c r="B516" s="22"/>
      <c r="C516" s="12"/>
      <c r="D516" s="15">
        <f>IFERROR(IF($C516="","",VLOOKUP($C516,'Menü Kartları'!$B$5:$C$154,2,FALSE)),"— tanımsız —")</f>
      </c>
      <c r="E516" s="23"/>
      <c r="F516" s="11">
        <f>IFERROR(IF(OR($C516="",$E516=""),0,$E516*VLOOKUP($C516,'Menü Kartları'!$B$5:$E$154,4,FALSE)),0)</f>
      </c>
      <c r="G516" s="11">
        <f>IFERROR(IF(OR($C516="",$E516=""),0,$E516*VLOOKUP($C516,'Menü Kartları'!$B$5:$G$154,6,FALSE)),0)</f>
      </c>
      <c r="H516" s="17">
        <f>IF($C516="","",$F516-$G516)</f>
      </c>
    </row>
    <row r="517" spans="2:8" x14ac:dyDescent="0.25">
      <c r="B517" s="20"/>
      <c r="C517" s="8"/>
      <c r="D517" s="15">
        <f>IFERROR(IF($C517="","",VLOOKUP($C517,'Menü Kartları'!$B$5:$C$154,2,FALSE)),"— tanımsız —")</f>
      </c>
      <c r="E517" s="21"/>
      <c r="F517" s="11">
        <f>IFERROR(IF(OR($C517="",$E517=""),0,$E517*VLOOKUP($C517,'Menü Kartları'!$B$5:$E$154,4,FALSE)),0)</f>
      </c>
      <c r="G517" s="11">
        <f>IFERROR(IF(OR($C517="",$E517=""),0,$E517*VLOOKUP($C517,'Menü Kartları'!$B$5:$G$154,6,FALSE)),0)</f>
      </c>
      <c r="H517" s="17">
        <f>IF($C517="","",$F517-$G517)</f>
      </c>
    </row>
    <row r="518" spans="2:8" x14ac:dyDescent="0.25">
      <c r="B518" s="22"/>
      <c r="C518" s="12"/>
      <c r="D518" s="15">
        <f>IFERROR(IF($C518="","",VLOOKUP($C518,'Menü Kartları'!$B$5:$C$154,2,FALSE)),"— tanımsız —")</f>
      </c>
      <c r="E518" s="23"/>
      <c r="F518" s="11">
        <f>IFERROR(IF(OR($C518="",$E518=""),0,$E518*VLOOKUP($C518,'Menü Kartları'!$B$5:$E$154,4,FALSE)),0)</f>
      </c>
      <c r="G518" s="11">
        <f>IFERROR(IF(OR($C518="",$E518=""),0,$E518*VLOOKUP($C518,'Menü Kartları'!$B$5:$G$154,6,FALSE)),0)</f>
      </c>
      <c r="H518" s="17">
        <f>IF($C518="","",$F518-$G518)</f>
      </c>
    </row>
    <row r="519" spans="2:8" x14ac:dyDescent="0.25">
      <c r="B519" s="20"/>
      <c r="C519" s="8"/>
      <c r="D519" s="15">
        <f>IFERROR(IF($C519="","",VLOOKUP($C519,'Menü Kartları'!$B$5:$C$154,2,FALSE)),"— tanımsız —")</f>
      </c>
      <c r="E519" s="21"/>
      <c r="F519" s="11">
        <f>IFERROR(IF(OR($C519="",$E519=""),0,$E519*VLOOKUP($C519,'Menü Kartları'!$B$5:$E$154,4,FALSE)),0)</f>
      </c>
      <c r="G519" s="11">
        <f>IFERROR(IF(OR($C519="",$E519=""),0,$E519*VLOOKUP($C519,'Menü Kartları'!$B$5:$G$154,6,FALSE)),0)</f>
      </c>
      <c r="H519" s="17">
        <f>IF($C519="","",$F519-$G519)</f>
      </c>
    </row>
    <row r="520" spans="2:8" x14ac:dyDescent="0.25">
      <c r="B520" s="22"/>
      <c r="C520" s="12"/>
      <c r="D520" s="15">
        <f>IFERROR(IF($C520="","",VLOOKUP($C520,'Menü Kartları'!$B$5:$C$154,2,FALSE)),"— tanımsız —")</f>
      </c>
      <c r="E520" s="23"/>
      <c r="F520" s="11">
        <f>IFERROR(IF(OR($C520="",$E520=""),0,$E520*VLOOKUP($C520,'Menü Kartları'!$B$5:$E$154,4,FALSE)),0)</f>
      </c>
      <c r="G520" s="11">
        <f>IFERROR(IF(OR($C520="",$E520=""),0,$E520*VLOOKUP($C520,'Menü Kartları'!$B$5:$G$154,6,FALSE)),0)</f>
      </c>
      <c r="H520" s="17">
        <f>IF($C520="","",$F520-$G520)</f>
      </c>
    </row>
    <row r="521" spans="2:8" x14ac:dyDescent="0.25">
      <c r="B521" s="20"/>
      <c r="C521" s="8"/>
      <c r="D521" s="15">
        <f>IFERROR(IF($C521="","",VLOOKUP($C521,'Menü Kartları'!$B$5:$C$154,2,FALSE)),"— tanımsız —")</f>
      </c>
      <c r="E521" s="21"/>
      <c r="F521" s="11">
        <f>IFERROR(IF(OR($C521="",$E521=""),0,$E521*VLOOKUP($C521,'Menü Kartları'!$B$5:$E$154,4,FALSE)),0)</f>
      </c>
      <c r="G521" s="11">
        <f>IFERROR(IF(OR($C521="",$E521=""),0,$E521*VLOOKUP($C521,'Menü Kartları'!$B$5:$G$154,6,FALSE)),0)</f>
      </c>
      <c r="H521" s="17">
        <f>IF($C521="","",$F521-$G521)</f>
      </c>
    </row>
    <row r="522" spans="2:8" x14ac:dyDescent="0.25">
      <c r="B522" s="22"/>
      <c r="C522" s="12"/>
      <c r="D522" s="15">
        <f>IFERROR(IF($C522="","",VLOOKUP($C522,'Menü Kartları'!$B$5:$C$154,2,FALSE)),"— tanımsız —")</f>
      </c>
      <c r="E522" s="23"/>
      <c r="F522" s="11">
        <f>IFERROR(IF(OR($C522="",$E522=""),0,$E522*VLOOKUP($C522,'Menü Kartları'!$B$5:$E$154,4,FALSE)),0)</f>
      </c>
      <c r="G522" s="11">
        <f>IFERROR(IF(OR($C522="",$E522=""),0,$E522*VLOOKUP($C522,'Menü Kartları'!$B$5:$G$154,6,FALSE)),0)</f>
      </c>
      <c r="H522" s="17">
        <f>IF($C522="","",$F522-$G522)</f>
      </c>
    </row>
    <row r="523" spans="2:8" x14ac:dyDescent="0.25">
      <c r="B523" s="20"/>
      <c r="C523" s="8"/>
      <c r="D523" s="15">
        <f>IFERROR(IF($C523="","",VLOOKUP($C523,'Menü Kartları'!$B$5:$C$154,2,FALSE)),"— tanımsız —")</f>
      </c>
      <c r="E523" s="21"/>
      <c r="F523" s="11">
        <f>IFERROR(IF(OR($C523="",$E523=""),0,$E523*VLOOKUP($C523,'Menü Kartları'!$B$5:$E$154,4,FALSE)),0)</f>
      </c>
      <c r="G523" s="11">
        <f>IFERROR(IF(OR($C523="",$E523=""),0,$E523*VLOOKUP($C523,'Menü Kartları'!$B$5:$G$154,6,FALSE)),0)</f>
      </c>
      <c r="H523" s="17">
        <f>IF($C523="","",$F523-$G523)</f>
      </c>
    </row>
    <row r="524" spans="2:8" x14ac:dyDescent="0.25">
      <c r="B524" s="22"/>
      <c r="C524" s="12"/>
      <c r="D524" s="15">
        <f>IFERROR(IF($C524="","",VLOOKUP($C524,'Menü Kartları'!$B$5:$C$154,2,FALSE)),"— tanımsız —")</f>
      </c>
      <c r="E524" s="23"/>
      <c r="F524" s="11">
        <f>IFERROR(IF(OR($C524="",$E524=""),0,$E524*VLOOKUP($C524,'Menü Kartları'!$B$5:$E$154,4,FALSE)),0)</f>
      </c>
      <c r="G524" s="11">
        <f>IFERROR(IF(OR($C524="",$E524=""),0,$E524*VLOOKUP($C524,'Menü Kartları'!$B$5:$G$154,6,FALSE)),0)</f>
      </c>
      <c r="H524" s="17">
        <f>IF($C524="","",$F524-$G524)</f>
      </c>
    </row>
    <row r="525" spans="2:8" x14ac:dyDescent="0.25">
      <c r="B525" s="20"/>
      <c r="C525" s="8"/>
      <c r="D525" s="15">
        <f>IFERROR(IF($C525="","",VLOOKUP($C525,'Menü Kartları'!$B$5:$C$154,2,FALSE)),"— tanımsız —")</f>
      </c>
      <c r="E525" s="21"/>
      <c r="F525" s="11">
        <f>IFERROR(IF(OR($C525="",$E525=""),0,$E525*VLOOKUP($C525,'Menü Kartları'!$B$5:$E$154,4,FALSE)),0)</f>
      </c>
      <c r="G525" s="11">
        <f>IFERROR(IF(OR($C525="",$E525=""),0,$E525*VLOOKUP($C525,'Menü Kartları'!$B$5:$G$154,6,FALSE)),0)</f>
      </c>
      <c r="H525" s="17">
        <f>IF($C525="","",$F525-$G525)</f>
      </c>
    </row>
    <row r="526" spans="2:8" x14ac:dyDescent="0.25">
      <c r="B526" s="22"/>
      <c r="C526" s="12"/>
      <c r="D526" s="15">
        <f>IFERROR(IF($C526="","",VLOOKUP($C526,'Menü Kartları'!$B$5:$C$154,2,FALSE)),"— tanımsız —")</f>
      </c>
      <c r="E526" s="23"/>
      <c r="F526" s="11">
        <f>IFERROR(IF(OR($C526="",$E526=""),0,$E526*VLOOKUP($C526,'Menü Kartları'!$B$5:$E$154,4,FALSE)),0)</f>
      </c>
      <c r="G526" s="11">
        <f>IFERROR(IF(OR($C526="",$E526=""),0,$E526*VLOOKUP($C526,'Menü Kartları'!$B$5:$G$154,6,FALSE)),0)</f>
      </c>
      <c r="H526" s="17">
        <f>IF($C526="","",$F526-$G526)</f>
      </c>
    </row>
    <row r="527" spans="2:8" x14ac:dyDescent="0.25">
      <c r="B527" s="20"/>
      <c r="C527" s="8"/>
      <c r="D527" s="15">
        <f>IFERROR(IF($C527="","",VLOOKUP($C527,'Menü Kartları'!$B$5:$C$154,2,FALSE)),"— tanımsız —")</f>
      </c>
      <c r="E527" s="21"/>
      <c r="F527" s="11">
        <f>IFERROR(IF(OR($C527="",$E527=""),0,$E527*VLOOKUP($C527,'Menü Kartları'!$B$5:$E$154,4,FALSE)),0)</f>
      </c>
      <c r="G527" s="11">
        <f>IFERROR(IF(OR($C527="",$E527=""),0,$E527*VLOOKUP($C527,'Menü Kartları'!$B$5:$G$154,6,FALSE)),0)</f>
      </c>
      <c r="H527" s="17">
        <f>IF($C527="","",$F527-$G527)</f>
      </c>
    </row>
    <row r="528" spans="2:8" x14ac:dyDescent="0.25">
      <c r="B528" s="22"/>
      <c r="C528" s="12"/>
      <c r="D528" s="15">
        <f>IFERROR(IF($C528="","",VLOOKUP($C528,'Menü Kartları'!$B$5:$C$154,2,FALSE)),"— tanımsız —")</f>
      </c>
      <c r="E528" s="23"/>
      <c r="F528" s="11">
        <f>IFERROR(IF(OR($C528="",$E528=""),0,$E528*VLOOKUP($C528,'Menü Kartları'!$B$5:$E$154,4,FALSE)),0)</f>
      </c>
      <c r="G528" s="11">
        <f>IFERROR(IF(OR($C528="",$E528=""),0,$E528*VLOOKUP($C528,'Menü Kartları'!$B$5:$G$154,6,FALSE)),0)</f>
      </c>
      <c r="H528" s="17">
        <f>IF($C528="","",$F528-$G528)</f>
      </c>
    </row>
    <row r="529" spans="2:8" x14ac:dyDescent="0.25">
      <c r="B529" s="20"/>
      <c r="C529" s="8"/>
      <c r="D529" s="15">
        <f>IFERROR(IF($C529="","",VLOOKUP($C529,'Menü Kartları'!$B$5:$C$154,2,FALSE)),"— tanımsız —")</f>
      </c>
      <c r="E529" s="21"/>
      <c r="F529" s="11">
        <f>IFERROR(IF(OR($C529="",$E529=""),0,$E529*VLOOKUP($C529,'Menü Kartları'!$B$5:$E$154,4,FALSE)),0)</f>
      </c>
      <c r="G529" s="11">
        <f>IFERROR(IF(OR($C529="",$E529=""),0,$E529*VLOOKUP($C529,'Menü Kartları'!$B$5:$G$154,6,FALSE)),0)</f>
      </c>
      <c r="H529" s="17">
        <f>IF($C529="","",$F529-$G529)</f>
      </c>
    </row>
    <row r="530" spans="2:8" x14ac:dyDescent="0.25">
      <c r="B530" s="22"/>
      <c r="C530" s="12"/>
      <c r="D530" s="15">
        <f>IFERROR(IF($C530="","",VLOOKUP($C530,'Menü Kartları'!$B$5:$C$154,2,FALSE)),"— tanımsız —")</f>
      </c>
      <c r="E530" s="23"/>
      <c r="F530" s="11">
        <f>IFERROR(IF(OR($C530="",$E530=""),0,$E530*VLOOKUP($C530,'Menü Kartları'!$B$5:$E$154,4,FALSE)),0)</f>
      </c>
      <c r="G530" s="11">
        <f>IFERROR(IF(OR($C530="",$E530=""),0,$E530*VLOOKUP($C530,'Menü Kartları'!$B$5:$G$154,6,FALSE)),0)</f>
      </c>
      <c r="H530" s="17">
        <f>IF($C530="","",$F530-$G530)</f>
      </c>
    </row>
    <row r="531" spans="2:8" x14ac:dyDescent="0.25">
      <c r="B531" s="20"/>
      <c r="C531" s="8"/>
      <c r="D531" s="15">
        <f>IFERROR(IF($C531="","",VLOOKUP($C531,'Menü Kartları'!$B$5:$C$154,2,FALSE)),"— tanımsız —")</f>
      </c>
      <c r="E531" s="21"/>
      <c r="F531" s="11">
        <f>IFERROR(IF(OR($C531="",$E531=""),0,$E531*VLOOKUP($C531,'Menü Kartları'!$B$5:$E$154,4,FALSE)),0)</f>
      </c>
      <c r="G531" s="11">
        <f>IFERROR(IF(OR($C531="",$E531=""),0,$E531*VLOOKUP($C531,'Menü Kartları'!$B$5:$G$154,6,FALSE)),0)</f>
      </c>
      <c r="H531" s="17">
        <f>IF($C531="","",$F531-$G531)</f>
      </c>
    </row>
    <row r="532" spans="2:8" x14ac:dyDescent="0.25">
      <c r="B532" s="22"/>
      <c r="C532" s="12"/>
      <c r="D532" s="15">
        <f>IFERROR(IF($C532="","",VLOOKUP($C532,'Menü Kartları'!$B$5:$C$154,2,FALSE)),"— tanımsız —")</f>
      </c>
      <c r="E532" s="23"/>
      <c r="F532" s="11">
        <f>IFERROR(IF(OR($C532="",$E532=""),0,$E532*VLOOKUP($C532,'Menü Kartları'!$B$5:$E$154,4,FALSE)),0)</f>
      </c>
      <c r="G532" s="11">
        <f>IFERROR(IF(OR($C532="",$E532=""),0,$E532*VLOOKUP($C532,'Menü Kartları'!$B$5:$G$154,6,FALSE)),0)</f>
      </c>
      <c r="H532" s="17">
        <f>IF($C532="","",$F532-$G532)</f>
      </c>
    </row>
    <row r="533" spans="2:8" x14ac:dyDescent="0.25">
      <c r="B533" s="20"/>
      <c r="C533" s="8"/>
      <c r="D533" s="15">
        <f>IFERROR(IF($C533="","",VLOOKUP($C533,'Menü Kartları'!$B$5:$C$154,2,FALSE)),"— tanımsız —")</f>
      </c>
      <c r="E533" s="21"/>
      <c r="F533" s="11">
        <f>IFERROR(IF(OR($C533="",$E533=""),0,$E533*VLOOKUP($C533,'Menü Kartları'!$B$5:$E$154,4,FALSE)),0)</f>
      </c>
      <c r="G533" s="11">
        <f>IFERROR(IF(OR($C533="",$E533=""),0,$E533*VLOOKUP($C533,'Menü Kartları'!$B$5:$G$154,6,FALSE)),0)</f>
      </c>
      <c r="H533" s="17">
        <f>IF($C533="","",$F533-$G533)</f>
      </c>
    </row>
    <row r="534" spans="2:8" x14ac:dyDescent="0.25">
      <c r="B534" s="22"/>
      <c r="C534" s="12"/>
      <c r="D534" s="15">
        <f>IFERROR(IF($C534="","",VLOOKUP($C534,'Menü Kartları'!$B$5:$C$154,2,FALSE)),"— tanımsız —")</f>
      </c>
      <c r="E534" s="23"/>
      <c r="F534" s="11">
        <f>IFERROR(IF(OR($C534="",$E534=""),0,$E534*VLOOKUP($C534,'Menü Kartları'!$B$5:$E$154,4,FALSE)),0)</f>
      </c>
      <c r="G534" s="11">
        <f>IFERROR(IF(OR($C534="",$E534=""),0,$E534*VLOOKUP($C534,'Menü Kartları'!$B$5:$G$154,6,FALSE)),0)</f>
      </c>
      <c r="H534" s="17">
        <f>IF($C534="","",$F534-$G534)</f>
      </c>
    </row>
    <row r="535" spans="2:8" x14ac:dyDescent="0.25">
      <c r="B535" s="20"/>
      <c r="C535" s="8"/>
      <c r="D535" s="15">
        <f>IFERROR(IF($C535="","",VLOOKUP($C535,'Menü Kartları'!$B$5:$C$154,2,FALSE)),"— tanımsız —")</f>
      </c>
      <c r="E535" s="21"/>
      <c r="F535" s="11">
        <f>IFERROR(IF(OR($C535="",$E535=""),0,$E535*VLOOKUP($C535,'Menü Kartları'!$B$5:$E$154,4,FALSE)),0)</f>
      </c>
      <c r="G535" s="11">
        <f>IFERROR(IF(OR($C535="",$E535=""),0,$E535*VLOOKUP($C535,'Menü Kartları'!$B$5:$G$154,6,FALSE)),0)</f>
      </c>
      <c r="H535" s="17">
        <f>IF($C535="","",$F535-$G535)</f>
      </c>
    </row>
    <row r="536" spans="2:8" x14ac:dyDescent="0.25">
      <c r="B536" s="22"/>
      <c r="C536" s="12"/>
      <c r="D536" s="15">
        <f>IFERROR(IF($C536="","",VLOOKUP($C536,'Menü Kartları'!$B$5:$C$154,2,FALSE)),"— tanımsız —")</f>
      </c>
      <c r="E536" s="23"/>
      <c r="F536" s="11">
        <f>IFERROR(IF(OR($C536="",$E536=""),0,$E536*VLOOKUP($C536,'Menü Kartları'!$B$5:$E$154,4,FALSE)),0)</f>
      </c>
      <c r="G536" s="11">
        <f>IFERROR(IF(OR($C536="",$E536=""),0,$E536*VLOOKUP($C536,'Menü Kartları'!$B$5:$G$154,6,FALSE)),0)</f>
      </c>
      <c r="H536" s="17">
        <f>IF($C536="","",$F536-$G536)</f>
      </c>
    </row>
    <row r="537" spans="2:8" x14ac:dyDescent="0.25">
      <c r="B537" s="20"/>
      <c r="C537" s="8"/>
      <c r="D537" s="15">
        <f>IFERROR(IF($C537="","",VLOOKUP($C537,'Menü Kartları'!$B$5:$C$154,2,FALSE)),"— tanımsız —")</f>
      </c>
      <c r="E537" s="21"/>
      <c r="F537" s="11">
        <f>IFERROR(IF(OR($C537="",$E537=""),0,$E537*VLOOKUP($C537,'Menü Kartları'!$B$5:$E$154,4,FALSE)),0)</f>
      </c>
      <c r="G537" s="11">
        <f>IFERROR(IF(OR($C537="",$E537=""),0,$E537*VLOOKUP($C537,'Menü Kartları'!$B$5:$G$154,6,FALSE)),0)</f>
      </c>
      <c r="H537" s="17">
        <f>IF($C537="","",$F537-$G537)</f>
      </c>
    </row>
    <row r="538" spans="2:8" x14ac:dyDescent="0.25">
      <c r="B538" s="22"/>
      <c r="C538" s="12"/>
      <c r="D538" s="15">
        <f>IFERROR(IF($C538="","",VLOOKUP($C538,'Menü Kartları'!$B$5:$C$154,2,FALSE)),"— tanımsız —")</f>
      </c>
      <c r="E538" s="23"/>
      <c r="F538" s="11">
        <f>IFERROR(IF(OR($C538="",$E538=""),0,$E538*VLOOKUP($C538,'Menü Kartları'!$B$5:$E$154,4,FALSE)),0)</f>
      </c>
      <c r="G538" s="11">
        <f>IFERROR(IF(OR($C538="",$E538=""),0,$E538*VLOOKUP($C538,'Menü Kartları'!$B$5:$G$154,6,FALSE)),0)</f>
      </c>
      <c r="H538" s="17">
        <f>IF($C538="","",$F538-$G538)</f>
      </c>
    </row>
    <row r="539" spans="2:8" x14ac:dyDescent="0.25">
      <c r="B539" s="20"/>
      <c r="C539" s="8"/>
      <c r="D539" s="15">
        <f>IFERROR(IF($C539="","",VLOOKUP($C539,'Menü Kartları'!$B$5:$C$154,2,FALSE)),"— tanımsız —")</f>
      </c>
      <c r="E539" s="21"/>
      <c r="F539" s="11">
        <f>IFERROR(IF(OR($C539="",$E539=""),0,$E539*VLOOKUP($C539,'Menü Kartları'!$B$5:$E$154,4,FALSE)),0)</f>
      </c>
      <c r="G539" s="11">
        <f>IFERROR(IF(OR($C539="",$E539=""),0,$E539*VLOOKUP($C539,'Menü Kartları'!$B$5:$G$154,6,FALSE)),0)</f>
      </c>
      <c r="H539" s="17">
        <f>IF($C539="","",$F539-$G539)</f>
      </c>
    </row>
    <row r="540" spans="2:8" x14ac:dyDescent="0.25">
      <c r="B540" s="22"/>
      <c r="C540" s="12"/>
      <c r="D540" s="15">
        <f>IFERROR(IF($C540="","",VLOOKUP($C540,'Menü Kartları'!$B$5:$C$154,2,FALSE)),"— tanımsız —")</f>
      </c>
      <c r="E540" s="23"/>
      <c r="F540" s="11">
        <f>IFERROR(IF(OR($C540="",$E540=""),0,$E540*VLOOKUP($C540,'Menü Kartları'!$B$5:$E$154,4,FALSE)),0)</f>
      </c>
      <c r="G540" s="11">
        <f>IFERROR(IF(OR($C540="",$E540=""),0,$E540*VLOOKUP($C540,'Menü Kartları'!$B$5:$G$154,6,FALSE)),0)</f>
      </c>
      <c r="H540" s="17">
        <f>IF($C540="","",$F540-$G540)</f>
      </c>
    </row>
    <row r="541" spans="2:8" x14ac:dyDescent="0.25">
      <c r="B541" s="20"/>
      <c r="C541" s="8"/>
      <c r="D541" s="15">
        <f>IFERROR(IF($C541="","",VLOOKUP($C541,'Menü Kartları'!$B$5:$C$154,2,FALSE)),"— tanımsız —")</f>
      </c>
      <c r="E541" s="21"/>
      <c r="F541" s="11">
        <f>IFERROR(IF(OR($C541="",$E541=""),0,$E541*VLOOKUP($C541,'Menü Kartları'!$B$5:$E$154,4,FALSE)),0)</f>
      </c>
      <c r="G541" s="11">
        <f>IFERROR(IF(OR($C541="",$E541=""),0,$E541*VLOOKUP($C541,'Menü Kartları'!$B$5:$G$154,6,FALSE)),0)</f>
      </c>
      <c r="H541" s="17">
        <f>IF($C541="","",$F541-$G541)</f>
      </c>
    </row>
    <row r="542" spans="2:8" x14ac:dyDescent="0.25">
      <c r="B542" s="22"/>
      <c r="C542" s="12"/>
      <c r="D542" s="15">
        <f>IFERROR(IF($C542="","",VLOOKUP($C542,'Menü Kartları'!$B$5:$C$154,2,FALSE)),"— tanımsız —")</f>
      </c>
      <c r="E542" s="23"/>
      <c r="F542" s="11">
        <f>IFERROR(IF(OR($C542="",$E542=""),0,$E542*VLOOKUP($C542,'Menü Kartları'!$B$5:$E$154,4,FALSE)),0)</f>
      </c>
      <c r="G542" s="11">
        <f>IFERROR(IF(OR($C542="",$E542=""),0,$E542*VLOOKUP($C542,'Menü Kartları'!$B$5:$G$154,6,FALSE)),0)</f>
      </c>
      <c r="H542" s="17">
        <f>IF($C542="","",$F542-$G542)</f>
      </c>
    </row>
    <row r="543" spans="2:8" x14ac:dyDescent="0.25">
      <c r="B543" s="20"/>
      <c r="C543" s="8"/>
      <c r="D543" s="15">
        <f>IFERROR(IF($C543="","",VLOOKUP($C543,'Menü Kartları'!$B$5:$C$154,2,FALSE)),"— tanımsız —")</f>
      </c>
      <c r="E543" s="21"/>
      <c r="F543" s="11">
        <f>IFERROR(IF(OR($C543="",$E543=""),0,$E543*VLOOKUP($C543,'Menü Kartları'!$B$5:$E$154,4,FALSE)),0)</f>
      </c>
      <c r="G543" s="11">
        <f>IFERROR(IF(OR($C543="",$E543=""),0,$E543*VLOOKUP($C543,'Menü Kartları'!$B$5:$G$154,6,FALSE)),0)</f>
      </c>
      <c r="H543" s="17">
        <f>IF($C543="","",$F543-$G543)</f>
      </c>
    </row>
    <row r="544" spans="2:8" x14ac:dyDescent="0.25">
      <c r="B544" s="22"/>
      <c r="C544" s="12"/>
      <c r="D544" s="15">
        <f>IFERROR(IF($C544="","",VLOOKUP($C544,'Menü Kartları'!$B$5:$C$154,2,FALSE)),"— tanımsız —")</f>
      </c>
      <c r="E544" s="23"/>
      <c r="F544" s="11">
        <f>IFERROR(IF(OR($C544="",$E544=""),0,$E544*VLOOKUP($C544,'Menü Kartları'!$B$5:$E$154,4,FALSE)),0)</f>
      </c>
      <c r="G544" s="11">
        <f>IFERROR(IF(OR($C544="",$E544=""),0,$E544*VLOOKUP($C544,'Menü Kartları'!$B$5:$G$154,6,FALSE)),0)</f>
      </c>
      <c r="H544" s="17">
        <f>IF($C544="","",$F544-$G544)</f>
      </c>
    </row>
    <row r="545" spans="2:8" x14ac:dyDescent="0.25">
      <c r="B545" s="20"/>
      <c r="C545" s="8"/>
      <c r="D545" s="15">
        <f>IFERROR(IF($C545="","",VLOOKUP($C545,'Menü Kartları'!$B$5:$C$154,2,FALSE)),"— tanımsız —")</f>
      </c>
      <c r="E545" s="21"/>
      <c r="F545" s="11">
        <f>IFERROR(IF(OR($C545="",$E545=""),0,$E545*VLOOKUP($C545,'Menü Kartları'!$B$5:$E$154,4,FALSE)),0)</f>
      </c>
      <c r="G545" s="11">
        <f>IFERROR(IF(OR($C545="",$E545=""),0,$E545*VLOOKUP($C545,'Menü Kartları'!$B$5:$G$154,6,FALSE)),0)</f>
      </c>
      <c r="H545" s="17">
        <f>IF($C545="","",$F545-$G545)</f>
      </c>
    </row>
    <row r="546" spans="2:8" x14ac:dyDescent="0.25">
      <c r="B546" s="22"/>
      <c r="C546" s="12"/>
      <c r="D546" s="15">
        <f>IFERROR(IF($C546="","",VLOOKUP($C546,'Menü Kartları'!$B$5:$C$154,2,FALSE)),"— tanımsız —")</f>
      </c>
      <c r="E546" s="23"/>
      <c r="F546" s="11">
        <f>IFERROR(IF(OR($C546="",$E546=""),0,$E546*VLOOKUP($C546,'Menü Kartları'!$B$5:$E$154,4,FALSE)),0)</f>
      </c>
      <c r="G546" s="11">
        <f>IFERROR(IF(OR($C546="",$E546=""),0,$E546*VLOOKUP($C546,'Menü Kartları'!$B$5:$G$154,6,FALSE)),0)</f>
      </c>
      <c r="H546" s="17">
        <f>IF($C546="","",$F546-$G546)</f>
      </c>
    </row>
    <row r="547" spans="2:8" x14ac:dyDescent="0.25">
      <c r="B547" s="20"/>
      <c r="C547" s="8"/>
      <c r="D547" s="15">
        <f>IFERROR(IF($C547="","",VLOOKUP($C547,'Menü Kartları'!$B$5:$C$154,2,FALSE)),"— tanımsız —")</f>
      </c>
      <c r="E547" s="21"/>
      <c r="F547" s="11">
        <f>IFERROR(IF(OR($C547="",$E547=""),0,$E547*VLOOKUP($C547,'Menü Kartları'!$B$5:$E$154,4,FALSE)),0)</f>
      </c>
      <c r="G547" s="11">
        <f>IFERROR(IF(OR($C547="",$E547=""),0,$E547*VLOOKUP($C547,'Menü Kartları'!$B$5:$G$154,6,FALSE)),0)</f>
      </c>
      <c r="H547" s="17">
        <f>IF($C547="","",$F547-$G547)</f>
      </c>
    </row>
    <row r="548" spans="2:8" x14ac:dyDescent="0.25">
      <c r="B548" s="22"/>
      <c r="C548" s="12"/>
      <c r="D548" s="15">
        <f>IFERROR(IF($C548="","",VLOOKUP($C548,'Menü Kartları'!$B$5:$C$154,2,FALSE)),"— tanımsız —")</f>
      </c>
      <c r="E548" s="23"/>
      <c r="F548" s="11">
        <f>IFERROR(IF(OR($C548="",$E548=""),0,$E548*VLOOKUP($C548,'Menü Kartları'!$B$5:$E$154,4,FALSE)),0)</f>
      </c>
      <c r="G548" s="11">
        <f>IFERROR(IF(OR($C548="",$E548=""),0,$E548*VLOOKUP($C548,'Menü Kartları'!$B$5:$G$154,6,FALSE)),0)</f>
      </c>
      <c r="H548" s="17">
        <f>IF($C548="","",$F548-$G548)</f>
      </c>
    </row>
    <row r="549" spans="2:8" x14ac:dyDescent="0.25">
      <c r="B549" s="20"/>
      <c r="C549" s="8"/>
      <c r="D549" s="15">
        <f>IFERROR(IF($C549="","",VLOOKUP($C549,'Menü Kartları'!$B$5:$C$154,2,FALSE)),"— tanımsız —")</f>
      </c>
      <c r="E549" s="21"/>
      <c r="F549" s="11">
        <f>IFERROR(IF(OR($C549="",$E549=""),0,$E549*VLOOKUP($C549,'Menü Kartları'!$B$5:$E$154,4,FALSE)),0)</f>
      </c>
      <c r="G549" s="11">
        <f>IFERROR(IF(OR($C549="",$E549=""),0,$E549*VLOOKUP($C549,'Menü Kartları'!$B$5:$G$154,6,FALSE)),0)</f>
      </c>
      <c r="H549" s="17">
        <f>IF($C549="","",$F549-$G549)</f>
      </c>
    </row>
    <row r="550" spans="2:8" x14ac:dyDescent="0.25">
      <c r="B550" s="22"/>
      <c r="C550" s="12"/>
      <c r="D550" s="15">
        <f>IFERROR(IF($C550="","",VLOOKUP($C550,'Menü Kartları'!$B$5:$C$154,2,FALSE)),"— tanımsız —")</f>
      </c>
      <c r="E550" s="23"/>
      <c r="F550" s="11">
        <f>IFERROR(IF(OR($C550="",$E550=""),0,$E550*VLOOKUP($C550,'Menü Kartları'!$B$5:$E$154,4,FALSE)),0)</f>
      </c>
      <c r="G550" s="11">
        <f>IFERROR(IF(OR($C550="",$E550=""),0,$E550*VLOOKUP($C550,'Menü Kartları'!$B$5:$G$154,6,FALSE)),0)</f>
      </c>
      <c r="H550" s="17">
        <f>IF($C550="","",$F550-$G550)</f>
      </c>
    </row>
    <row r="551" spans="2:8" x14ac:dyDescent="0.25">
      <c r="B551" s="20"/>
      <c r="C551" s="8"/>
      <c r="D551" s="15">
        <f>IFERROR(IF($C551="","",VLOOKUP($C551,'Menü Kartları'!$B$5:$C$154,2,FALSE)),"— tanımsız —")</f>
      </c>
      <c r="E551" s="21"/>
      <c r="F551" s="11">
        <f>IFERROR(IF(OR($C551="",$E551=""),0,$E551*VLOOKUP($C551,'Menü Kartları'!$B$5:$E$154,4,FALSE)),0)</f>
      </c>
      <c r="G551" s="11">
        <f>IFERROR(IF(OR($C551="",$E551=""),0,$E551*VLOOKUP($C551,'Menü Kartları'!$B$5:$G$154,6,FALSE)),0)</f>
      </c>
      <c r="H551" s="17">
        <f>IF($C551="","",$F551-$G551)</f>
      </c>
    </row>
    <row r="552" spans="2:8" x14ac:dyDescent="0.25">
      <c r="B552" s="22"/>
      <c r="C552" s="12"/>
      <c r="D552" s="15">
        <f>IFERROR(IF($C552="","",VLOOKUP($C552,'Menü Kartları'!$B$5:$C$154,2,FALSE)),"— tanımsız —")</f>
      </c>
      <c r="E552" s="23"/>
      <c r="F552" s="11">
        <f>IFERROR(IF(OR($C552="",$E552=""),0,$E552*VLOOKUP($C552,'Menü Kartları'!$B$5:$E$154,4,FALSE)),0)</f>
      </c>
      <c r="G552" s="11">
        <f>IFERROR(IF(OR($C552="",$E552=""),0,$E552*VLOOKUP($C552,'Menü Kartları'!$B$5:$G$154,6,FALSE)),0)</f>
      </c>
      <c r="H552" s="17">
        <f>IF($C552="","",$F552-$G552)</f>
      </c>
    </row>
    <row r="553" spans="2:8" x14ac:dyDescent="0.25">
      <c r="B553" s="20"/>
      <c r="C553" s="8"/>
      <c r="D553" s="15">
        <f>IFERROR(IF($C553="","",VLOOKUP($C553,'Menü Kartları'!$B$5:$C$154,2,FALSE)),"— tanımsız —")</f>
      </c>
      <c r="E553" s="21"/>
      <c r="F553" s="11">
        <f>IFERROR(IF(OR($C553="",$E553=""),0,$E553*VLOOKUP($C553,'Menü Kartları'!$B$5:$E$154,4,FALSE)),0)</f>
      </c>
      <c r="G553" s="11">
        <f>IFERROR(IF(OR($C553="",$E553=""),0,$E553*VLOOKUP($C553,'Menü Kartları'!$B$5:$G$154,6,FALSE)),0)</f>
      </c>
      <c r="H553" s="17">
        <f>IF($C553="","",$F553-$G553)</f>
      </c>
    </row>
    <row r="554" spans="2:8" x14ac:dyDescent="0.25">
      <c r="B554" s="22"/>
      <c r="C554" s="12"/>
      <c r="D554" s="15">
        <f>IFERROR(IF($C554="","",VLOOKUP($C554,'Menü Kartları'!$B$5:$C$154,2,FALSE)),"— tanımsız —")</f>
      </c>
      <c r="E554" s="23"/>
      <c r="F554" s="11">
        <f>IFERROR(IF(OR($C554="",$E554=""),0,$E554*VLOOKUP($C554,'Menü Kartları'!$B$5:$E$154,4,FALSE)),0)</f>
      </c>
      <c r="G554" s="11">
        <f>IFERROR(IF(OR($C554="",$E554=""),0,$E554*VLOOKUP($C554,'Menü Kartları'!$B$5:$G$154,6,FALSE)),0)</f>
      </c>
      <c r="H554" s="17">
        <f>IF($C554="","",$F554-$G554)</f>
      </c>
    </row>
    <row r="555" spans="2:8" x14ac:dyDescent="0.25">
      <c r="B555" s="20"/>
      <c r="C555" s="8"/>
      <c r="D555" s="15">
        <f>IFERROR(IF($C555="","",VLOOKUP($C555,'Menü Kartları'!$B$5:$C$154,2,FALSE)),"— tanımsız —")</f>
      </c>
      <c r="E555" s="21"/>
      <c r="F555" s="11">
        <f>IFERROR(IF(OR($C555="",$E555=""),0,$E555*VLOOKUP($C555,'Menü Kartları'!$B$5:$E$154,4,FALSE)),0)</f>
      </c>
      <c r="G555" s="11">
        <f>IFERROR(IF(OR($C555="",$E555=""),0,$E555*VLOOKUP($C555,'Menü Kartları'!$B$5:$G$154,6,FALSE)),0)</f>
      </c>
      <c r="H555" s="17">
        <f>IF($C555="","",$F555-$G555)</f>
      </c>
    </row>
    <row r="556" spans="2:8" x14ac:dyDescent="0.25">
      <c r="B556" s="22"/>
      <c r="C556" s="12"/>
      <c r="D556" s="15">
        <f>IFERROR(IF($C556="","",VLOOKUP($C556,'Menü Kartları'!$B$5:$C$154,2,FALSE)),"— tanımsız —")</f>
      </c>
      <c r="E556" s="23"/>
      <c r="F556" s="11">
        <f>IFERROR(IF(OR($C556="",$E556=""),0,$E556*VLOOKUP($C556,'Menü Kartları'!$B$5:$E$154,4,FALSE)),0)</f>
      </c>
      <c r="G556" s="11">
        <f>IFERROR(IF(OR($C556="",$E556=""),0,$E556*VLOOKUP($C556,'Menü Kartları'!$B$5:$G$154,6,FALSE)),0)</f>
      </c>
      <c r="H556" s="17">
        <f>IF($C556="","",$F556-$G556)</f>
      </c>
    </row>
    <row r="557" spans="2:8" x14ac:dyDescent="0.25">
      <c r="B557" s="20"/>
      <c r="C557" s="8"/>
      <c r="D557" s="15">
        <f>IFERROR(IF($C557="","",VLOOKUP($C557,'Menü Kartları'!$B$5:$C$154,2,FALSE)),"— tanımsız —")</f>
      </c>
      <c r="E557" s="21"/>
      <c r="F557" s="11">
        <f>IFERROR(IF(OR($C557="",$E557=""),0,$E557*VLOOKUP($C557,'Menü Kartları'!$B$5:$E$154,4,FALSE)),0)</f>
      </c>
      <c r="G557" s="11">
        <f>IFERROR(IF(OR($C557="",$E557=""),0,$E557*VLOOKUP($C557,'Menü Kartları'!$B$5:$G$154,6,FALSE)),0)</f>
      </c>
      <c r="H557" s="17">
        <f>IF($C557="","",$F557-$G557)</f>
      </c>
    </row>
    <row r="558" spans="2:8" x14ac:dyDescent="0.25">
      <c r="B558" s="22"/>
      <c r="C558" s="12"/>
      <c r="D558" s="15">
        <f>IFERROR(IF($C558="","",VLOOKUP($C558,'Menü Kartları'!$B$5:$C$154,2,FALSE)),"— tanımsız —")</f>
      </c>
      <c r="E558" s="23"/>
      <c r="F558" s="11">
        <f>IFERROR(IF(OR($C558="",$E558=""),0,$E558*VLOOKUP($C558,'Menü Kartları'!$B$5:$E$154,4,FALSE)),0)</f>
      </c>
      <c r="G558" s="11">
        <f>IFERROR(IF(OR($C558="",$E558=""),0,$E558*VLOOKUP($C558,'Menü Kartları'!$B$5:$G$154,6,FALSE)),0)</f>
      </c>
      <c r="H558" s="17">
        <f>IF($C558="","",$F558-$G558)</f>
      </c>
    </row>
    <row r="559" spans="2:8" x14ac:dyDescent="0.25">
      <c r="B559" s="20"/>
      <c r="C559" s="8"/>
      <c r="D559" s="15">
        <f>IFERROR(IF($C559="","",VLOOKUP($C559,'Menü Kartları'!$B$5:$C$154,2,FALSE)),"— tanımsız —")</f>
      </c>
      <c r="E559" s="21"/>
      <c r="F559" s="11">
        <f>IFERROR(IF(OR($C559="",$E559=""),0,$E559*VLOOKUP($C559,'Menü Kartları'!$B$5:$E$154,4,FALSE)),0)</f>
      </c>
      <c r="G559" s="11">
        <f>IFERROR(IF(OR($C559="",$E559=""),0,$E559*VLOOKUP($C559,'Menü Kartları'!$B$5:$G$154,6,FALSE)),0)</f>
      </c>
      <c r="H559" s="17">
        <f>IF($C559="","",$F559-$G559)</f>
      </c>
    </row>
    <row r="560" spans="2:8" x14ac:dyDescent="0.25">
      <c r="B560" s="22"/>
      <c r="C560" s="12"/>
      <c r="D560" s="15">
        <f>IFERROR(IF($C560="","",VLOOKUP($C560,'Menü Kartları'!$B$5:$C$154,2,FALSE)),"— tanımsız —")</f>
      </c>
      <c r="E560" s="23"/>
      <c r="F560" s="11">
        <f>IFERROR(IF(OR($C560="",$E560=""),0,$E560*VLOOKUP($C560,'Menü Kartları'!$B$5:$E$154,4,FALSE)),0)</f>
      </c>
      <c r="G560" s="11">
        <f>IFERROR(IF(OR($C560="",$E560=""),0,$E560*VLOOKUP($C560,'Menü Kartları'!$B$5:$G$154,6,FALSE)),0)</f>
      </c>
      <c r="H560" s="17">
        <f>IF($C560="","",$F560-$G560)</f>
      </c>
    </row>
    <row r="561" spans="2:8" x14ac:dyDescent="0.25">
      <c r="B561" s="20"/>
      <c r="C561" s="8"/>
      <c r="D561" s="15">
        <f>IFERROR(IF($C561="","",VLOOKUP($C561,'Menü Kartları'!$B$5:$C$154,2,FALSE)),"— tanımsız —")</f>
      </c>
      <c r="E561" s="21"/>
      <c r="F561" s="11">
        <f>IFERROR(IF(OR($C561="",$E561=""),0,$E561*VLOOKUP($C561,'Menü Kartları'!$B$5:$E$154,4,FALSE)),0)</f>
      </c>
      <c r="G561" s="11">
        <f>IFERROR(IF(OR($C561="",$E561=""),0,$E561*VLOOKUP($C561,'Menü Kartları'!$B$5:$G$154,6,FALSE)),0)</f>
      </c>
      <c r="H561" s="17">
        <f>IF($C561="","",$F561-$G561)</f>
      </c>
    </row>
    <row r="562" spans="2:8" x14ac:dyDescent="0.25">
      <c r="B562" s="22"/>
      <c r="C562" s="12"/>
      <c r="D562" s="15">
        <f>IFERROR(IF($C562="","",VLOOKUP($C562,'Menü Kartları'!$B$5:$C$154,2,FALSE)),"— tanımsız —")</f>
      </c>
      <c r="E562" s="23"/>
      <c r="F562" s="11">
        <f>IFERROR(IF(OR($C562="",$E562=""),0,$E562*VLOOKUP($C562,'Menü Kartları'!$B$5:$E$154,4,FALSE)),0)</f>
      </c>
      <c r="G562" s="11">
        <f>IFERROR(IF(OR($C562="",$E562=""),0,$E562*VLOOKUP($C562,'Menü Kartları'!$B$5:$G$154,6,FALSE)),0)</f>
      </c>
      <c r="H562" s="17">
        <f>IF($C562="","",$F562-$G562)</f>
      </c>
    </row>
    <row r="563" spans="2:8" x14ac:dyDescent="0.25">
      <c r="B563" s="20"/>
      <c r="C563" s="8"/>
      <c r="D563" s="15">
        <f>IFERROR(IF($C563="","",VLOOKUP($C563,'Menü Kartları'!$B$5:$C$154,2,FALSE)),"— tanımsız —")</f>
      </c>
      <c r="E563" s="21"/>
      <c r="F563" s="11">
        <f>IFERROR(IF(OR($C563="",$E563=""),0,$E563*VLOOKUP($C563,'Menü Kartları'!$B$5:$E$154,4,FALSE)),0)</f>
      </c>
      <c r="G563" s="11">
        <f>IFERROR(IF(OR($C563="",$E563=""),0,$E563*VLOOKUP($C563,'Menü Kartları'!$B$5:$G$154,6,FALSE)),0)</f>
      </c>
      <c r="H563" s="17">
        <f>IF($C563="","",$F563-$G563)</f>
      </c>
    </row>
    <row r="564" spans="2:8" x14ac:dyDescent="0.25">
      <c r="B564" s="22"/>
      <c r="C564" s="12"/>
      <c r="D564" s="15">
        <f>IFERROR(IF($C564="","",VLOOKUP($C564,'Menü Kartları'!$B$5:$C$154,2,FALSE)),"— tanımsız —")</f>
      </c>
      <c r="E564" s="23"/>
      <c r="F564" s="11">
        <f>IFERROR(IF(OR($C564="",$E564=""),0,$E564*VLOOKUP($C564,'Menü Kartları'!$B$5:$E$154,4,FALSE)),0)</f>
      </c>
      <c r="G564" s="11">
        <f>IFERROR(IF(OR($C564="",$E564=""),0,$E564*VLOOKUP($C564,'Menü Kartları'!$B$5:$G$154,6,FALSE)),0)</f>
      </c>
      <c r="H564" s="17">
        <f>IF($C564="","",$F564-$G564)</f>
      </c>
    </row>
    <row r="565" spans="2:8" x14ac:dyDescent="0.25">
      <c r="B565" s="20"/>
      <c r="C565" s="8"/>
      <c r="D565" s="15">
        <f>IFERROR(IF($C565="","",VLOOKUP($C565,'Menü Kartları'!$B$5:$C$154,2,FALSE)),"— tanımsız —")</f>
      </c>
      <c r="E565" s="21"/>
      <c r="F565" s="11">
        <f>IFERROR(IF(OR($C565="",$E565=""),0,$E565*VLOOKUP($C565,'Menü Kartları'!$B$5:$E$154,4,FALSE)),0)</f>
      </c>
      <c r="G565" s="11">
        <f>IFERROR(IF(OR($C565="",$E565=""),0,$E565*VLOOKUP($C565,'Menü Kartları'!$B$5:$G$154,6,FALSE)),0)</f>
      </c>
      <c r="H565" s="17">
        <f>IF($C565="","",$F565-$G565)</f>
      </c>
    </row>
    <row r="566" spans="2:8" x14ac:dyDescent="0.25">
      <c r="B566" s="22"/>
      <c r="C566" s="12"/>
      <c r="D566" s="15">
        <f>IFERROR(IF($C566="","",VLOOKUP($C566,'Menü Kartları'!$B$5:$C$154,2,FALSE)),"— tanımsız —")</f>
      </c>
      <c r="E566" s="23"/>
      <c r="F566" s="11">
        <f>IFERROR(IF(OR($C566="",$E566=""),0,$E566*VLOOKUP($C566,'Menü Kartları'!$B$5:$E$154,4,FALSE)),0)</f>
      </c>
      <c r="G566" s="11">
        <f>IFERROR(IF(OR($C566="",$E566=""),0,$E566*VLOOKUP($C566,'Menü Kartları'!$B$5:$G$154,6,FALSE)),0)</f>
      </c>
      <c r="H566" s="17">
        <f>IF($C566="","",$F566-$G566)</f>
      </c>
    </row>
    <row r="567" spans="2:8" x14ac:dyDescent="0.25">
      <c r="B567" s="20"/>
      <c r="C567" s="8"/>
      <c r="D567" s="15">
        <f>IFERROR(IF($C567="","",VLOOKUP($C567,'Menü Kartları'!$B$5:$C$154,2,FALSE)),"— tanımsız —")</f>
      </c>
      <c r="E567" s="21"/>
      <c r="F567" s="11">
        <f>IFERROR(IF(OR($C567="",$E567=""),0,$E567*VLOOKUP($C567,'Menü Kartları'!$B$5:$E$154,4,FALSE)),0)</f>
      </c>
      <c r="G567" s="11">
        <f>IFERROR(IF(OR($C567="",$E567=""),0,$E567*VLOOKUP($C567,'Menü Kartları'!$B$5:$G$154,6,FALSE)),0)</f>
      </c>
      <c r="H567" s="17">
        <f>IF($C567="","",$F567-$G567)</f>
      </c>
    </row>
    <row r="568" spans="2:8" x14ac:dyDescent="0.25">
      <c r="B568" s="22"/>
      <c r="C568" s="12"/>
      <c r="D568" s="15">
        <f>IFERROR(IF($C568="","",VLOOKUP($C568,'Menü Kartları'!$B$5:$C$154,2,FALSE)),"— tanımsız —")</f>
      </c>
      <c r="E568" s="23"/>
      <c r="F568" s="11">
        <f>IFERROR(IF(OR($C568="",$E568=""),0,$E568*VLOOKUP($C568,'Menü Kartları'!$B$5:$E$154,4,FALSE)),0)</f>
      </c>
      <c r="G568" s="11">
        <f>IFERROR(IF(OR($C568="",$E568=""),0,$E568*VLOOKUP($C568,'Menü Kartları'!$B$5:$G$154,6,FALSE)),0)</f>
      </c>
      <c r="H568" s="17">
        <f>IF($C568="","",$F568-$G568)</f>
      </c>
    </row>
    <row r="569" spans="2:8" x14ac:dyDescent="0.25">
      <c r="B569" s="20"/>
      <c r="C569" s="8"/>
      <c r="D569" s="15">
        <f>IFERROR(IF($C569="","",VLOOKUP($C569,'Menü Kartları'!$B$5:$C$154,2,FALSE)),"— tanımsız —")</f>
      </c>
      <c r="E569" s="21"/>
      <c r="F569" s="11">
        <f>IFERROR(IF(OR($C569="",$E569=""),0,$E569*VLOOKUP($C569,'Menü Kartları'!$B$5:$E$154,4,FALSE)),0)</f>
      </c>
      <c r="G569" s="11">
        <f>IFERROR(IF(OR($C569="",$E569=""),0,$E569*VLOOKUP($C569,'Menü Kartları'!$B$5:$G$154,6,FALSE)),0)</f>
      </c>
      <c r="H569" s="17">
        <f>IF($C569="","",$F569-$G569)</f>
      </c>
    </row>
    <row r="570" spans="2:8" x14ac:dyDescent="0.25">
      <c r="B570" s="22"/>
      <c r="C570" s="12"/>
      <c r="D570" s="15">
        <f>IFERROR(IF($C570="","",VLOOKUP($C570,'Menü Kartları'!$B$5:$C$154,2,FALSE)),"— tanımsız —")</f>
      </c>
      <c r="E570" s="23"/>
      <c r="F570" s="11">
        <f>IFERROR(IF(OR($C570="",$E570=""),0,$E570*VLOOKUP($C570,'Menü Kartları'!$B$5:$E$154,4,FALSE)),0)</f>
      </c>
      <c r="G570" s="11">
        <f>IFERROR(IF(OR($C570="",$E570=""),0,$E570*VLOOKUP($C570,'Menü Kartları'!$B$5:$G$154,6,FALSE)),0)</f>
      </c>
      <c r="H570" s="17">
        <f>IF($C570="","",$F570-$G570)</f>
      </c>
    </row>
    <row r="571" spans="2:8" x14ac:dyDescent="0.25">
      <c r="B571" s="20"/>
      <c r="C571" s="8"/>
      <c r="D571" s="15">
        <f>IFERROR(IF($C571="","",VLOOKUP($C571,'Menü Kartları'!$B$5:$C$154,2,FALSE)),"— tanımsız —")</f>
      </c>
      <c r="E571" s="21"/>
      <c r="F571" s="11">
        <f>IFERROR(IF(OR($C571="",$E571=""),0,$E571*VLOOKUP($C571,'Menü Kartları'!$B$5:$E$154,4,FALSE)),0)</f>
      </c>
      <c r="G571" s="11">
        <f>IFERROR(IF(OR($C571="",$E571=""),0,$E571*VLOOKUP($C571,'Menü Kartları'!$B$5:$G$154,6,FALSE)),0)</f>
      </c>
      <c r="H571" s="17">
        <f>IF($C571="","",$F571-$G571)</f>
      </c>
    </row>
    <row r="572" spans="2:8" x14ac:dyDescent="0.25">
      <c r="B572" s="22"/>
      <c r="C572" s="12"/>
      <c r="D572" s="15">
        <f>IFERROR(IF($C572="","",VLOOKUP($C572,'Menü Kartları'!$B$5:$C$154,2,FALSE)),"— tanımsız —")</f>
      </c>
      <c r="E572" s="23"/>
      <c r="F572" s="11">
        <f>IFERROR(IF(OR($C572="",$E572=""),0,$E572*VLOOKUP($C572,'Menü Kartları'!$B$5:$E$154,4,FALSE)),0)</f>
      </c>
      <c r="G572" s="11">
        <f>IFERROR(IF(OR($C572="",$E572=""),0,$E572*VLOOKUP($C572,'Menü Kartları'!$B$5:$G$154,6,FALSE)),0)</f>
      </c>
      <c r="H572" s="17">
        <f>IF($C572="","",$F572-$G572)</f>
      </c>
    </row>
    <row r="573" spans="2:8" x14ac:dyDescent="0.25">
      <c r="B573" s="20"/>
      <c r="C573" s="8"/>
      <c r="D573" s="15">
        <f>IFERROR(IF($C573="","",VLOOKUP($C573,'Menü Kartları'!$B$5:$C$154,2,FALSE)),"— tanımsız —")</f>
      </c>
      <c r="E573" s="21"/>
      <c r="F573" s="11">
        <f>IFERROR(IF(OR($C573="",$E573=""),0,$E573*VLOOKUP($C573,'Menü Kartları'!$B$5:$E$154,4,FALSE)),0)</f>
      </c>
      <c r="G573" s="11">
        <f>IFERROR(IF(OR($C573="",$E573=""),0,$E573*VLOOKUP($C573,'Menü Kartları'!$B$5:$G$154,6,FALSE)),0)</f>
      </c>
      <c r="H573" s="17">
        <f>IF($C573="","",$F573-$G573)</f>
      </c>
    </row>
    <row r="574" spans="2:8" x14ac:dyDescent="0.25">
      <c r="B574" s="22"/>
      <c r="C574" s="12"/>
      <c r="D574" s="15">
        <f>IFERROR(IF($C574="","",VLOOKUP($C574,'Menü Kartları'!$B$5:$C$154,2,FALSE)),"— tanımsız —")</f>
      </c>
      <c r="E574" s="23"/>
      <c r="F574" s="11">
        <f>IFERROR(IF(OR($C574="",$E574=""),0,$E574*VLOOKUP($C574,'Menü Kartları'!$B$5:$E$154,4,FALSE)),0)</f>
      </c>
      <c r="G574" s="11">
        <f>IFERROR(IF(OR($C574="",$E574=""),0,$E574*VLOOKUP($C574,'Menü Kartları'!$B$5:$G$154,6,FALSE)),0)</f>
      </c>
      <c r="H574" s="17">
        <f>IF($C574="","",$F574-$G574)</f>
      </c>
    </row>
    <row r="575" spans="2:8" x14ac:dyDescent="0.25">
      <c r="B575" s="20"/>
      <c r="C575" s="8"/>
      <c r="D575" s="15">
        <f>IFERROR(IF($C575="","",VLOOKUP($C575,'Menü Kartları'!$B$5:$C$154,2,FALSE)),"— tanımsız —")</f>
      </c>
      <c r="E575" s="21"/>
      <c r="F575" s="11">
        <f>IFERROR(IF(OR($C575="",$E575=""),0,$E575*VLOOKUP($C575,'Menü Kartları'!$B$5:$E$154,4,FALSE)),0)</f>
      </c>
      <c r="G575" s="11">
        <f>IFERROR(IF(OR($C575="",$E575=""),0,$E575*VLOOKUP($C575,'Menü Kartları'!$B$5:$G$154,6,FALSE)),0)</f>
      </c>
      <c r="H575" s="17">
        <f>IF($C575="","",$F575-$G575)</f>
      </c>
    </row>
    <row r="576" spans="2:8" x14ac:dyDescent="0.25">
      <c r="B576" s="22"/>
      <c r="C576" s="12"/>
      <c r="D576" s="15">
        <f>IFERROR(IF($C576="","",VLOOKUP($C576,'Menü Kartları'!$B$5:$C$154,2,FALSE)),"— tanımsız —")</f>
      </c>
      <c r="E576" s="23"/>
      <c r="F576" s="11">
        <f>IFERROR(IF(OR($C576="",$E576=""),0,$E576*VLOOKUP($C576,'Menü Kartları'!$B$5:$E$154,4,FALSE)),0)</f>
      </c>
      <c r="G576" s="11">
        <f>IFERROR(IF(OR($C576="",$E576=""),0,$E576*VLOOKUP($C576,'Menü Kartları'!$B$5:$G$154,6,FALSE)),0)</f>
      </c>
      <c r="H576" s="17">
        <f>IF($C576="","",$F576-$G576)</f>
      </c>
    </row>
    <row r="577" spans="2:8" x14ac:dyDescent="0.25">
      <c r="B577" s="20"/>
      <c r="C577" s="8"/>
      <c r="D577" s="15">
        <f>IFERROR(IF($C577="","",VLOOKUP($C577,'Menü Kartları'!$B$5:$C$154,2,FALSE)),"— tanımsız —")</f>
      </c>
      <c r="E577" s="21"/>
      <c r="F577" s="11">
        <f>IFERROR(IF(OR($C577="",$E577=""),0,$E577*VLOOKUP($C577,'Menü Kartları'!$B$5:$E$154,4,FALSE)),0)</f>
      </c>
      <c r="G577" s="11">
        <f>IFERROR(IF(OR($C577="",$E577=""),0,$E577*VLOOKUP($C577,'Menü Kartları'!$B$5:$G$154,6,FALSE)),0)</f>
      </c>
      <c r="H577" s="17">
        <f>IF($C577="","",$F577-$G577)</f>
      </c>
    </row>
    <row r="578" spans="2:8" x14ac:dyDescent="0.25">
      <c r="B578" s="22"/>
      <c r="C578" s="12"/>
      <c r="D578" s="15">
        <f>IFERROR(IF($C578="","",VLOOKUP($C578,'Menü Kartları'!$B$5:$C$154,2,FALSE)),"— tanımsız —")</f>
      </c>
      <c r="E578" s="23"/>
      <c r="F578" s="11">
        <f>IFERROR(IF(OR($C578="",$E578=""),0,$E578*VLOOKUP($C578,'Menü Kartları'!$B$5:$E$154,4,FALSE)),0)</f>
      </c>
      <c r="G578" s="11">
        <f>IFERROR(IF(OR($C578="",$E578=""),0,$E578*VLOOKUP($C578,'Menü Kartları'!$B$5:$G$154,6,FALSE)),0)</f>
      </c>
      <c r="H578" s="17">
        <f>IF($C578="","",$F578-$G578)</f>
      </c>
    </row>
    <row r="579" spans="2:8" x14ac:dyDescent="0.25">
      <c r="B579" s="20"/>
      <c r="C579" s="8"/>
      <c r="D579" s="15">
        <f>IFERROR(IF($C579="","",VLOOKUP($C579,'Menü Kartları'!$B$5:$C$154,2,FALSE)),"— tanımsız —")</f>
      </c>
      <c r="E579" s="21"/>
      <c r="F579" s="11">
        <f>IFERROR(IF(OR($C579="",$E579=""),0,$E579*VLOOKUP($C579,'Menü Kartları'!$B$5:$E$154,4,FALSE)),0)</f>
      </c>
      <c r="G579" s="11">
        <f>IFERROR(IF(OR($C579="",$E579=""),0,$E579*VLOOKUP($C579,'Menü Kartları'!$B$5:$G$154,6,FALSE)),0)</f>
      </c>
      <c r="H579" s="17">
        <f>IF($C579="","",$F579-$G579)</f>
      </c>
    </row>
    <row r="580" spans="2:8" x14ac:dyDescent="0.25">
      <c r="B580" s="22"/>
      <c r="C580" s="12"/>
      <c r="D580" s="15">
        <f>IFERROR(IF($C580="","",VLOOKUP($C580,'Menü Kartları'!$B$5:$C$154,2,FALSE)),"— tanımsız —")</f>
      </c>
      <c r="E580" s="23"/>
      <c r="F580" s="11">
        <f>IFERROR(IF(OR($C580="",$E580=""),0,$E580*VLOOKUP($C580,'Menü Kartları'!$B$5:$E$154,4,FALSE)),0)</f>
      </c>
      <c r="G580" s="11">
        <f>IFERROR(IF(OR($C580="",$E580=""),0,$E580*VLOOKUP($C580,'Menü Kartları'!$B$5:$G$154,6,FALSE)),0)</f>
      </c>
      <c r="H580" s="17">
        <f>IF($C580="","",$F580-$G580)</f>
      </c>
    </row>
    <row r="581" spans="2:8" x14ac:dyDescent="0.25">
      <c r="B581" s="20"/>
      <c r="C581" s="8"/>
      <c r="D581" s="15">
        <f>IFERROR(IF($C581="","",VLOOKUP($C581,'Menü Kartları'!$B$5:$C$154,2,FALSE)),"— tanımsız —")</f>
      </c>
      <c r="E581" s="21"/>
      <c r="F581" s="11">
        <f>IFERROR(IF(OR($C581="",$E581=""),0,$E581*VLOOKUP($C581,'Menü Kartları'!$B$5:$E$154,4,FALSE)),0)</f>
      </c>
      <c r="G581" s="11">
        <f>IFERROR(IF(OR($C581="",$E581=""),0,$E581*VLOOKUP($C581,'Menü Kartları'!$B$5:$G$154,6,FALSE)),0)</f>
      </c>
      <c r="H581" s="17">
        <f>IF($C581="","",$F581-$G581)</f>
      </c>
    </row>
    <row r="582" spans="2:8" x14ac:dyDescent="0.25">
      <c r="B582" s="22"/>
      <c r="C582" s="12"/>
      <c r="D582" s="15">
        <f>IFERROR(IF($C582="","",VLOOKUP($C582,'Menü Kartları'!$B$5:$C$154,2,FALSE)),"— tanımsız —")</f>
      </c>
      <c r="E582" s="23"/>
      <c r="F582" s="11">
        <f>IFERROR(IF(OR($C582="",$E582=""),0,$E582*VLOOKUP($C582,'Menü Kartları'!$B$5:$E$154,4,FALSE)),0)</f>
      </c>
      <c r="G582" s="11">
        <f>IFERROR(IF(OR($C582="",$E582=""),0,$E582*VLOOKUP($C582,'Menü Kartları'!$B$5:$G$154,6,FALSE)),0)</f>
      </c>
      <c r="H582" s="17">
        <f>IF($C582="","",$F582-$G582)</f>
      </c>
    </row>
    <row r="583" spans="2:8" x14ac:dyDescent="0.25">
      <c r="B583" s="20"/>
      <c r="C583" s="8"/>
      <c r="D583" s="15">
        <f>IFERROR(IF($C583="","",VLOOKUP($C583,'Menü Kartları'!$B$5:$C$154,2,FALSE)),"— tanımsız —")</f>
      </c>
      <c r="E583" s="21"/>
      <c r="F583" s="11">
        <f>IFERROR(IF(OR($C583="",$E583=""),0,$E583*VLOOKUP($C583,'Menü Kartları'!$B$5:$E$154,4,FALSE)),0)</f>
      </c>
      <c r="G583" s="11">
        <f>IFERROR(IF(OR($C583="",$E583=""),0,$E583*VLOOKUP($C583,'Menü Kartları'!$B$5:$G$154,6,FALSE)),0)</f>
      </c>
      <c r="H583" s="17">
        <f>IF($C583="","",$F583-$G583)</f>
      </c>
    </row>
    <row r="584" spans="2:8" x14ac:dyDescent="0.25">
      <c r="B584" s="22"/>
      <c r="C584" s="12"/>
      <c r="D584" s="15">
        <f>IFERROR(IF($C584="","",VLOOKUP($C584,'Menü Kartları'!$B$5:$C$154,2,FALSE)),"— tanımsız —")</f>
      </c>
      <c r="E584" s="23"/>
      <c r="F584" s="11">
        <f>IFERROR(IF(OR($C584="",$E584=""),0,$E584*VLOOKUP($C584,'Menü Kartları'!$B$5:$E$154,4,FALSE)),0)</f>
      </c>
      <c r="G584" s="11">
        <f>IFERROR(IF(OR($C584="",$E584=""),0,$E584*VLOOKUP($C584,'Menü Kartları'!$B$5:$G$154,6,FALSE)),0)</f>
      </c>
      <c r="H584" s="17">
        <f>IF($C584="","",$F584-$G584)</f>
      </c>
    </row>
    <row r="585" spans="2:8" x14ac:dyDescent="0.25">
      <c r="B585" s="20"/>
      <c r="C585" s="8"/>
      <c r="D585" s="15">
        <f>IFERROR(IF($C585="","",VLOOKUP($C585,'Menü Kartları'!$B$5:$C$154,2,FALSE)),"— tanımsız —")</f>
      </c>
      <c r="E585" s="21"/>
      <c r="F585" s="11">
        <f>IFERROR(IF(OR($C585="",$E585=""),0,$E585*VLOOKUP($C585,'Menü Kartları'!$B$5:$E$154,4,FALSE)),0)</f>
      </c>
      <c r="G585" s="11">
        <f>IFERROR(IF(OR($C585="",$E585=""),0,$E585*VLOOKUP($C585,'Menü Kartları'!$B$5:$G$154,6,FALSE)),0)</f>
      </c>
      <c r="H585" s="17">
        <f>IF($C585="","",$F585-$G585)</f>
      </c>
    </row>
    <row r="586" spans="2:8" x14ac:dyDescent="0.25">
      <c r="B586" s="22"/>
      <c r="C586" s="12"/>
      <c r="D586" s="15">
        <f>IFERROR(IF($C586="","",VLOOKUP($C586,'Menü Kartları'!$B$5:$C$154,2,FALSE)),"— tanımsız —")</f>
      </c>
      <c r="E586" s="23"/>
      <c r="F586" s="11">
        <f>IFERROR(IF(OR($C586="",$E586=""),0,$E586*VLOOKUP($C586,'Menü Kartları'!$B$5:$E$154,4,FALSE)),0)</f>
      </c>
      <c r="G586" s="11">
        <f>IFERROR(IF(OR($C586="",$E586=""),0,$E586*VLOOKUP($C586,'Menü Kartları'!$B$5:$G$154,6,FALSE)),0)</f>
      </c>
      <c r="H586" s="17">
        <f>IF($C586="","",$F586-$G586)</f>
      </c>
    </row>
    <row r="587" spans="2:8" x14ac:dyDescent="0.25">
      <c r="B587" s="20"/>
      <c r="C587" s="8"/>
      <c r="D587" s="15">
        <f>IFERROR(IF($C587="","",VLOOKUP($C587,'Menü Kartları'!$B$5:$C$154,2,FALSE)),"— tanımsız —")</f>
      </c>
      <c r="E587" s="21"/>
      <c r="F587" s="11">
        <f>IFERROR(IF(OR($C587="",$E587=""),0,$E587*VLOOKUP($C587,'Menü Kartları'!$B$5:$E$154,4,FALSE)),0)</f>
      </c>
      <c r="G587" s="11">
        <f>IFERROR(IF(OR($C587="",$E587=""),0,$E587*VLOOKUP($C587,'Menü Kartları'!$B$5:$G$154,6,FALSE)),0)</f>
      </c>
      <c r="H587" s="17">
        <f>IF($C587="","",$F587-$G587)</f>
      </c>
    </row>
    <row r="588" spans="2:8" x14ac:dyDescent="0.25">
      <c r="B588" s="22"/>
      <c r="C588" s="12"/>
      <c r="D588" s="15">
        <f>IFERROR(IF($C588="","",VLOOKUP($C588,'Menü Kartları'!$B$5:$C$154,2,FALSE)),"— tanımsız —")</f>
      </c>
      <c r="E588" s="23"/>
      <c r="F588" s="11">
        <f>IFERROR(IF(OR($C588="",$E588=""),0,$E588*VLOOKUP($C588,'Menü Kartları'!$B$5:$E$154,4,FALSE)),0)</f>
      </c>
      <c r="G588" s="11">
        <f>IFERROR(IF(OR($C588="",$E588=""),0,$E588*VLOOKUP($C588,'Menü Kartları'!$B$5:$G$154,6,FALSE)),0)</f>
      </c>
      <c r="H588" s="17">
        <f>IF($C588="","",$F588-$G588)</f>
      </c>
    </row>
    <row r="589" spans="2:8" x14ac:dyDescent="0.25">
      <c r="B589" s="20"/>
      <c r="C589" s="8"/>
      <c r="D589" s="15">
        <f>IFERROR(IF($C589="","",VLOOKUP($C589,'Menü Kartları'!$B$5:$C$154,2,FALSE)),"— tanımsız —")</f>
      </c>
      <c r="E589" s="21"/>
      <c r="F589" s="11">
        <f>IFERROR(IF(OR($C589="",$E589=""),0,$E589*VLOOKUP($C589,'Menü Kartları'!$B$5:$E$154,4,FALSE)),0)</f>
      </c>
      <c r="G589" s="11">
        <f>IFERROR(IF(OR($C589="",$E589=""),0,$E589*VLOOKUP($C589,'Menü Kartları'!$B$5:$G$154,6,FALSE)),0)</f>
      </c>
      <c r="H589" s="17">
        <f>IF($C589="","",$F589-$G589)</f>
      </c>
    </row>
    <row r="590" spans="2:8" x14ac:dyDescent="0.25">
      <c r="B590" s="22"/>
      <c r="C590" s="12"/>
      <c r="D590" s="15">
        <f>IFERROR(IF($C590="","",VLOOKUP($C590,'Menü Kartları'!$B$5:$C$154,2,FALSE)),"— tanımsız —")</f>
      </c>
      <c r="E590" s="23"/>
      <c r="F590" s="11">
        <f>IFERROR(IF(OR($C590="",$E590=""),0,$E590*VLOOKUP($C590,'Menü Kartları'!$B$5:$E$154,4,FALSE)),0)</f>
      </c>
      <c r="G590" s="11">
        <f>IFERROR(IF(OR($C590="",$E590=""),0,$E590*VLOOKUP($C590,'Menü Kartları'!$B$5:$G$154,6,FALSE)),0)</f>
      </c>
      <c r="H590" s="17">
        <f>IF($C590="","",$F590-$G590)</f>
      </c>
    </row>
    <row r="591" spans="2:8" x14ac:dyDescent="0.25">
      <c r="B591" s="20"/>
      <c r="C591" s="8"/>
      <c r="D591" s="15">
        <f>IFERROR(IF($C591="","",VLOOKUP($C591,'Menü Kartları'!$B$5:$C$154,2,FALSE)),"— tanımsız —")</f>
      </c>
      <c r="E591" s="21"/>
      <c r="F591" s="11">
        <f>IFERROR(IF(OR($C591="",$E591=""),0,$E591*VLOOKUP($C591,'Menü Kartları'!$B$5:$E$154,4,FALSE)),0)</f>
      </c>
      <c r="G591" s="11">
        <f>IFERROR(IF(OR($C591="",$E591=""),0,$E591*VLOOKUP($C591,'Menü Kartları'!$B$5:$G$154,6,FALSE)),0)</f>
      </c>
      <c r="H591" s="17">
        <f>IF($C591="","",$F591-$G591)</f>
      </c>
    </row>
    <row r="592" spans="2:8" x14ac:dyDescent="0.25">
      <c r="B592" s="22"/>
      <c r="C592" s="12"/>
      <c r="D592" s="15">
        <f>IFERROR(IF($C592="","",VLOOKUP($C592,'Menü Kartları'!$B$5:$C$154,2,FALSE)),"— tanımsız —")</f>
      </c>
      <c r="E592" s="23"/>
      <c r="F592" s="11">
        <f>IFERROR(IF(OR($C592="",$E592=""),0,$E592*VLOOKUP($C592,'Menü Kartları'!$B$5:$E$154,4,FALSE)),0)</f>
      </c>
      <c r="G592" s="11">
        <f>IFERROR(IF(OR($C592="",$E592=""),0,$E592*VLOOKUP($C592,'Menü Kartları'!$B$5:$G$154,6,FALSE)),0)</f>
      </c>
      <c r="H592" s="17">
        <f>IF($C592="","",$F592-$G592)</f>
      </c>
    </row>
    <row r="593" spans="2:8" x14ac:dyDescent="0.25">
      <c r="B593" s="20"/>
      <c r="C593" s="8"/>
      <c r="D593" s="15">
        <f>IFERROR(IF($C593="","",VLOOKUP($C593,'Menü Kartları'!$B$5:$C$154,2,FALSE)),"— tanımsız —")</f>
      </c>
      <c r="E593" s="21"/>
      <c r="F593" s="11">
        <f>IFERROR(IF(OR($C593="",$E593=""),0,$E593*VLOOKUP($C593,'Menü Kartları'!$B$5:$E$154,4,FALSE)),0)</f>
      </c>
      <c r="G593" s="11">
        <f>IFERROR(IF(OR($C593="",$E593=""),0,$E593*VLOOKUP($C593,'Menü Kartları'!$B$5:$G$154,6,FALSE)),0)</f>
      </c>
      <c r="H593" s="17">
        <f>IF($C593="","",$F593-$G593)</f>
      </c>
    </row>
    <row r="594" spans="2:8" x14ac:dyDescent="0.25">
      <c r="B594" s="22"/>
      <c r="C594" s="12"/>
      <c r="D594" s="15">
        <f>IFERROR(IF($C594="","",VLOOKUP($C594,'Menü Kartları'!$B$5:$C$154,2,FALSE)),"— tanımsız —")</f>
      </c>
      <c r="E594" s="23"/>
      <c r="F594" s="11">
        <f>IFERROR(IF(OR($C594="",$E594=""),0,$E594*VLOOKUP($C594,'Menü Kartları'!$B$5:$E$154,4,FALSE)),0)</f>
      </c>
      <c r="G594" s="11">
        <f>IFERROR(IF(OR($C594="",$E594=""),0,$E594*VLOOKUP($C594,'Menü Kartları'!$B$5:$G$154,6,FALSE)),0)</f>
      </c>
      <c r="H594" s="17">
        <f>IF($C594="","",$F594-$G594)</f>
      </c>
    </row>
    <row r="595" spans="2:8" x14ac:dyDescent="0.25">
      <c r="B595" s="20"/>
      <c r="C595" s="8"/>
      <c r="D595" s="15">
        <f>IFERROR(IF($C595="","",VLOOKUP($C595,'Menü Kartları'!$B$5:$C$154,2,FALSE)),"— tanımsız —")</f>
      </c>
      <c r="E595" s="21"/>
      <c r="F595" s="11">
        <f>IFERROR(IF(OR($C595="",$E595=""),0,$E595*VLOOKUP($C595,'Menü Kartları'!$B$5:$E$154,4,FALSE)),0)</f>
      </c>
      <c r="G595" s="11">
        <f>IFERROR(IF(OR($C595="",$E595=""),0,$E595*VLOOKUP($C595,'Menü Kartları'!$B$5:$G$154,6,FALSE)),0)</f>
      </c>
      <c r="H595" s="17">
        <f>IF($C595="","",$F595-$G595)</f>
      </c>
    </row>
    <row r="596" spans="2:8" x14ac:dyDescent="0.25">
      <c r="B596" s="22"/>
      <c r="C596" s="12"/>
      <c r="D596" s="15">
        <f>IFERROR(IF($C596="","",VLOOKUP($C596,'Menü Kartları'!$B$5:$C$154,2,FALSE)),"— tanımsız —")</f>
      </c>
      <c r="E596" s="23"/>
      <c r="F596" s="11">
        <f>IFERROR(IF(OR($C596="",$E596=""),0,$E596*VLOOKUP($C596,'Menü Kartları'!$B$5:$E$154,4,FALSE)),0)</f>
      </c>
      <c r="G596" s="11">
        <f>IFERROR(IF(OR($C596="",$E596=""),0,$E596*VLOOKUP($C596,'Menü Kartları'!$B$5:$G$154,6,FALSE)),0)</f>
      </c>
      <c r="H596" s="17">
        <f>IF($C596="","",$F596-$G596)</f>
      </c>
    </row>
    <row r="597" spans="2:8" x14ac:dyDescent="0.25">
      <c r="B597" s="20"/>
      <c r="C597" s="8"/>
      <c r="D597" s="15">
        <f>IFERROR(IF($C597="","",VLOOKUP($C597,'Menü Kartları'!$B$5:$C$154,2,FALSE)),"— tanımsız —")</f>
      </c>
      <c r="E597" s="21"/>
      <c r="F597" s="11">
        <f>IFERROR(IF(OR($C597="",$E597=""),0,$E597*VLOOKUP($C597,'Menü Kartları'!$B$5:$E$154,4,FALSE)),0)</f>
      </c>
      <c r="G597" s="11">
        <f>IFERROR(IF(OR($C597="",$E597=""),0,$E597*VLOOKUP($C597,'Menü Kartları'!$B$5:$G$154,6,FALSE)),0)</f>
      </c>
      <c r="H597" s="17">
        <f>IF($C597="","",$F597-$G597)</f>
      </c>
    </row>
    <row r="598" spans="2:8" x14ac:dyDescent="0.25">
      <c r="B598" s="22"/>
      <c r="C598" s="12"/>
      <c r="D598" s="15">
        <f>IFERROR(IF($C598="","",VLOOKUP($C598,'Menü Kartları'!$B$5:$C$154,2,FALSE)),"— tanımsız —")</f>
      </c>
      <c r="E598" s="23"/>
      <c r="F598" s="11">
        <f>IFERROR(IF(OR($C598="",$E598=""),0,$E598*VLOOKUP($C598,'Menü Kartları'!$B$5:$E$154,4,FALSE)),0)</f>
      </c>
      <c r="G598" s="11">
        <f>IFERROR(IF(OR($C598="",$E598=""),0,$E598*VLOOKUP($C598,'Menü Kartları'!$B$5:$G$154,6,FALSE)),0)</f>
      </c>
      <c r="H598" s="17">
        <f>IF($C598="","",$F598-$G598)</f>
      </c>
    </row>
    <row r="599" spans="2:8" x14ac:dyDescent="0.25">
      <c r="B599" s="20"/>
      <c r="C599" s="8"/>
      <c r="D599" s="15">
        <f>IFERROR(IF($C599="","",VLOOKUP($C599,'Menü Kartları'!$B$5:$C$154,2,FALSE)),"— tanımsız —")</f>
      </c>
      <c r="E599" s="21"/>
      <c r="F599" s="11">
        <f>IFERROR(IF(OR($C599="",$E599=""),0,$E599*VLOOKUP($C599,'Menü Kartları'!$B$5:$E$154,4,FALSE)),0)</f>
      </c>
      <c r="G599" s="11">
        <f>IFERROR(IF(OR($C599="",$E599=""),0,$E599*VLOOKUP($C599,'Menü Kartları'!$B$5:$G$154,6,FALSE)),0)</f>
      </c>
      <c r="H599" s="17">
        <f>IF($C599="","",$F599-$G599)</f>
      </c>
    </row>
    <row r="600" spans="2:8" x14ac:dyDescent="0.25">
      <c r="B600" s="22"/>
      <c r="C600" s="12"/>
      <c r="D600" s="15">
        <f>IFERROR(IF($C600="","",VLOOKUP($C600,'Menü Kartları'!$B$5:$C$154,2,FALSE)),"— tanımsız —")</f>
      </c>
      <c r="E600" s="23"/>
      <c r="F600" s="11">
        <f>IFERROR(IF(OR($C600="",$E600=""),0,$E600*VLOOKUP($C600,'Menü Kartları'!$B$5:$E$154,4,FALSE)),0)</f>
      </c>
      <c r="G600" s="11">
        <f>IFERROR(IF(OR($C600="",$E600=""),0,$E600*VLOOKUP($C600,'Menü Kartları'!$B$5:$G$154,6,FALSE)),0)</f>
      </c>
      <c r="H600" s="17">
        <f>IF($C600="","",$F600-$G600)</f>
      </c>
    </row>
    <row r="601" spans="2:8" x14ac:dyDescent="0.25">
      <c r="B601" s="20"/>
      <c r="C601" s="8"/>
      <c r="D601" s="15">
        <f>IFERROR(IF($C601="","",VLOOKUP($C601,'Menü Kartları'!$B$5:$C$154,2,FALSE)),"— tanımsız —")</f>
      </c>
      <c r="E601" s="21"/>
      <c r="F601" s="11">
        <f>IFERROR(IF(OR($C601="",$E601=""),0,$E601*VLOOKUP($C601,'Menü Kartları'!$B$5:$E$154,4,FALSE)),0)</f>
      </c>
      <c r="G601" s="11">
        <f>IFERROR(IF(OR($C601="",$E601=""),0,$E601*VLOOKUP($C601,'Menü Kartları'!$B$5:$G$154,6,FALSE)),0)</f>
      </c>
      <c r="H601" s="17">
        <f>IF($C601="","",$F601-$G601)</f>
      </c>
    </row>
    <row r="602" spans="2:8" x14ac:dyDescent="0.25">
      <c r="B602" s="22"/>
      <c r="C602" s="12"/>
      <c r="D602" s="15">
        <f>IFERROR(IF($C602="","",VLOOKUP($C602,'Menü Kartları'!$B$5:$C$154,2,FALSE)),"— tanımsız —")</f>
      </c>
      <c r="E602" s="23"/>
      <c r="F602" s="11">
        <f>IFERROR(IF(OR($C602="",$E602=""),0,$E602*VLOOKUP($C602,'Menü Kartları'!$B$5:$E$154,4,FALSE)),0)</f>
      </c>
      <c r="G602" s="11">
        <f>IFERROR(IF(OR($C602="",$E602=""),0,$E602*VLOOKUP($C602,'Menü Kartları'!$B$5:$G$154,6,FALSE)),0)</f>
      </c>
      <c r="H602" s="17">
        <f>IF($C602="","",$F602-$G602)</f>
      </c>
    </row>
    <row r="603" spans="2:8" x14ac:dyDescent="0.25">
      <c r="B603" s="20"/>
      <c r="C603" s="8"/>
      <c r="D603" s="15">
        <f>IFERROR(IF($C603="","",VLOOKUP($C603,'Menü Kartları'!$B$5:$C$154,2,FALSE)),"— tanımsız —")</f>
      </c>
      <c r="E603" s="21"/>
      <c r="F603" s="11">
        <f>IFERROR(IF(OR($C603="",$E603=""),0,$E603*VLOOKUP($C603,'Menü Kartları'!$B$5:$E$154,4,FALSE)),0)</f>
      </c>
      <c r="G603" s="11">
        <f>IFERROR(IF(OR($C603="",$E603=""),0,$E603*VLOOKUP($C603,'Menü Kartları'!$B$5:$G$154,6,FALSE)),0)</f>
      </c>
      <c r="H603" s="17">
        <f>IF($C603="","",$F603-$G603)</f>
      </c>
    </row>
    <row r="604" spans="2:8" x14ac:dyDescent="0.25">
      <c r="B604" s="22"/>
      <c r="C604" s="12"/>
      <c r="D604" s="15">
        <f>IFERROR(IF($C604="","",VLOOKUP($C604,'Menü Kartları'!$B$5:$C$154,2,FALSE)),"— tanımsız —")</f>
      </c>
      <c r="E604" s="23"/>
      <c r="F604" s="11">
        <f>IFERROR(IF(OR($C604="",$E604=""),0,$E604*VLOOKUP($C604,'Menü Kartları'!$B$5:$E$154,4,FALSE)),0)</f>
      </c>
      <c r="G604" s="11">
        <f>IFERROR(IF(OR($C604="",$E604=""),0,$E604*VLOOKUP($C604,'Menü Kartları'!$B$5:$G$154,6,FALSE)),0)</f>
      </c>
      <c r="H604" s="17">
        <f>IF($C604="","",$F604-$G604)</f>
      </c>
    </row>
    <row r="605" spans="2:8" x14ac:dyDescent="0.25">
      <c r="B605" s="20"/>
      <c r="C605" s="8"/>
      <c r="D605" s="15">
        <f>IFERROR(IF($C605="","",VLOOKUP($C605,'Menü Kartları'!$B$5:$C$154,2,FALSE)),"— tanımsız —")</f>
      </c>
      <c r="E605" s="21"/>
      <c r="F605" s="11">
        <f>IFERROR(IF(OR($C605="",$E605=""),0,$E605*VLOOKUP($C605,'Menü Kartları'!$B$5:$E$154,4,FALSE)),0)</f>
      </c>
      <c r="G605" s="11">
        <f>IFERROR(IF(OR($C605="",$E605=""),0,$E605*VLOOKUP($C605,'Menü Kartları'!$B$5:$G$154,6,FALSE)),0)</f>
      </c>
      <c r="H605" s="17">
        <f>IF($C605="","",$F605-$G605)</f>
      </c>
    </row>
    <row r="606" spans="2:8" x14ac:dyDescent="0.25">
      <c r="B606" s="22"/>
      <c r="C606" s="12"/>
      <c r="D606" s="15">
        <f>IFERROR(IF($C606="","",VLOOKUP($C606,'Menü Kartları'!$B$5:$C$154,2,FALSE)),"— tanımsız —")</f>
      </c>
      <c r="E606" s="23"/>
      <c r="F606" s="11">
        <f>IFERROR(IF(OR($C606="",$E606=""),0,$E606*VLOOKUP($C606,'Menü Kartları'!$B$5:$E$154,4,FALSE)),0)</f>
      </c>
      <c r="G606" s="11">
        <f>IFERROR(IF(OR($C606="",$E606=""),0,$E606*VLOOKUP($C606,'Menü Kartları'!$B$5:$G$154,6,FALSE)),0)</f>
      </c>
      <c r="H606" s="17">
        <f>IF($C606="","",$F606-$G606)</f>
      </c>
    </row>
    <row r="607" spans="2:8" x14ac:dyDescent="0.25">
      <c r="B607" s="20"/>
      <c r="C607" s="8"/>
      <c r="D607" s="15">
        <f>IFERROR(IF($C607="","",VLOOKUP($C607,'Menü Kartları'!$B$5:$C$154,2,FALSE)),"— tanımsız —")</f>
      </c>
      <c r="E607" s="21"/>
      <c r="F607" s="11">
        <f>IFERROR(IF(OR($C607="",$E607=""),0,$E607*VLOOKUP($C607,'Menü Kartları'!$B$5:$E$154,4,FALSE)),0)</f>
      </c>
      <c r="G607" s="11">
        <f>IFERROR(IF(OR($C607="",$E607=""),0,$E607*VLOOKUP($C607,'Menü Kartları'!$B$5:$G$154,6,FALSE)),0)</f>
      </c>
      <c r="H607" s="17">
        <f>IF($C607="","",$F607-$G607)</f>
      </c>
    </row>
    <row r="608" spans="2:8" x14ac:dyDescent="0.25">
      <c r="B608" s="22"/>
      <c r="C608" s="12"/>
      <c r="D608" s="15">
        <f>IFERROR(IF($C608="","",VLOOKUP($C608,'Menü Kartları'!$B$5:$C$154,2,FALSE)),"— tanımsız —")</f>
      </c>
      <c r="E608" s="23"/>
      <c r="F608" s="11">
        <f>IFERROR(IF(OR($C608="",$E608=""),0,$E608*VLOOKUP($C608,'Menü Kartları'!$B$5:$E$154,4,FALSE)),0)</f>
      </c>
      <c r="G608" s="11">
        <f>IFERROR(IF(OR($C608="",$E608=""),0,$E608*VLOOKUP($C608,'Menü Kartları'!$B$5:$G$154,6,FALSE)),0)</f>
      </c>
      <c r="H608" s="17">
        <f>IF($C608="","",$F608-$G608)</f>
      </c>
    </row>
    <row r="609" spans="2:8" x14ac:dyDescent="0.25">
      <c r="B609" s="20"/>
      <c r="C609" s="8"/>
      <c r="D609" s="15">
        <f>IFERROR(IF($C609="","",VLOOKUP($C609,'Menü Kartları'!$B$5:$C$154,2,FALSE)),"— tanımsız —")</f>
      </c>
      <c r="E609" s="21"/>
      <c r="F609" s="11">
        <f>IFERROR(IF(OR($C609="",$E609=""),0,$E609*VLOOKUP($C609,'Menü Kartları'!$B$5:$E$154,4,FALSE)),0)</f>
      </c>
      <c r="G609" s="11">
        <f>IFERROR(IF(OR($C609="",$E609=""),0,$E609*VLOOKUP($C609,'Menü Kartları'!$B$5:$G$154,6,FALSE)),0)</f>
      </c>
      <c r="H609" s="17">
        <f>IF($C609="","",$F609-$G609)</f>
      </c>
    </row>
    <row r="610" spans="2:8" x14ac:dyDescent="0.25">
      <c r="B610" s="22"/>
      <c r="C610" s="12"/>
      <c r="D610" s="15">
        <f>IFERROR(IF($C610="","",VLOOKUP($C610,'Menü Kartları'!$B$5:$C$154,2,FALSE)),"— tanımsız —")</f>
      </c>
      <c r="E610" s="23"/>
      <c r="F610" s="11">
        <f>IFERROR(IF(OR($C610="",$E610=""),0,$E610*VLOOKUP($C610,'Menü Kartları'!$B$5:$E$154,4,FALSE)),0)</f>
      </c>
      <c r="G610" s="11">
        <f>IFERROR(IF(OR($C610="",$E610=""),0,$E610*VLOOKUP($C610,'Menü Kartları'!$B$5:$G$154,6,FALSE)),0)</f>
      </c>
      <c r="H610" s="17">
        <f>IF($C610="","",$F610-$G610)</f>
      </c>
    </row>
    <row r="611" spans="2:8" x14ac:dyDescent="0.25">
      <c r="B611" s="20"/>
      <c r="C611" s="8"/>
      <c r="D611" s="15">
        <f>IFERROR(IF($C611="","",VLOOKUP($C611,'Menü Kartları'!$B$5:$C$154,2,FALSE)),"— tanımsız —")</f>
      </c>
      <c r="E611" s="21"/>
      <c r="F611" s="11">
        <f>IFERROR(IF(OR($C611="",$E611=""),0,$E611*VLOOKUP($C611,'Menü Kartları'!$B$5:$E$154,4,FALSE)),0)</f>
      </c>
      <c r="G611" s="11">
        <f>IFERROR(IF(OR($C611="",$E611=""),0,$E611*VLOOKUP($C611,'Menü Kartları'!$B$5:$G$154,6,FALSE)),0)</f>
      </c>
      <c r="H611" s="17">
        <f>IF($C611="","",$F611-$G611)</f>
      </c>
    </row>
    <row r="612" spans="2:8" x14ac:dyDescent="0.25">
      <c r="B612" s="22"/>
      <c r="C612" s="12"/>
      <c r="D612" s="15">
        <f>IFERROR(IF($C612="","",VLOOKUP($C612,'Menü Kartları'!$B$5:$C$154,2,FALSE)),"— tanımsız —")</f>
      </c>
      <c r="E612" s="23"/>
      <c r="F612" s="11">
        <f>IFERROR(IF(OR($C612="",$E612=""),0,$E612*VLOOKUP($C612,'Menü Kartları'!$B$5:$E$154,4,FALSE)),0)</f>
      </c>
      <c r="G612" s="11">
        <f>IFERROR(IF(OR($C612="",$E612=""),0,$E612*VLOOKUP($C612,'Menü Kartları'!$B$5:$G$154,6,FALSE)),0)</f>
      </c>
      <c r="H612" s="17">
        <f>IF($C612="","",$F612-$G612)</f>
      </c>
    </row>
    <row r="613" spans="2:8" x14ac:dyDescent="0.25">
      <c r="B613" s="20"/>
      <c r="C613" s="8"/>
      <c r="D613" s="15">
        <f>IFERROR(IF($C613="","",VLOOKUP($C613,'Menü Kartları'!$B$5:$C$154,2,FALSE)),"— tanımsız —")</f>
      </c>
      <c r="E613" s="21"/>
      <c r="F613" s="11">
        <f>IFERROR(IF(OR($C613="",$E613=""),0,$E613*VLOOKUP($C613,'Menü Kartları'!$B$5:$E$154,4,FALSE)),0)</f>
      </c>
      <c r="G613" s="11">
        <f>IFERROR(IF(OR($C613="",$E613=""),0,$E613*VLOOKUP($C613,'Menü Kartları'!$B$5:$G$154,6,FALSE)),0)</f>
      </c>
      <c r="H613" s="17">
        <f>IF($C613="","",$F613-$G613)</f>
      </c>
    </row>
    <row r="614" spans="2:8" x14ac:dyDescent="0.25">
      <c r="B614" s="22"/>
      <c r="C614" s="12"/>
      <c r="D614" s="15">
        <f>IFERROR(IF($C614="","",VLOOKUP($C614,'Menü Kartları'!$B$5:$C$154,2,FALSE)),"— tanımsız —")</f>
      </c>
      <c r="E614" s="23"/>
      <c r="F614" s="11">
        <f>IFERROR(IF(OR($C614="",$E614=""),0,$E614*VLOOKUP($C614,'Menü Kartları'!$B$5:$E$154,4,FALSE)),0)</f>
      </c>
      <c r="G614" s="11">
        <f>IFERROR(IF(OR($C614="",$E614=""),0,$E614*VLOOKUP($C614,'Menü Kartları'!$B$5:$G$154,6,FALSE)),0)</f>
      </c>
      <c r="H614" s="17">
        <f>IF($C614="","",$F614-$G614)</f>
      </c>
    </row>
    <row r="615" spans="2:8" x14ac:dyDescent="0.25">
      <c r="B615" s="20"/>
      <c r="C615" s="8"/>
      <c r="D615" s="15">
        <f>IFERROR(IF($C615="","",VLOOKUP($C615,'Menü Kartları'!$B$5:$C$154,2,FALSE)),"— tanımsız —")</f>
      </c>
      <c r="E615" s="21"/>
      <c r="F615" s="11">
        <f>IFERROR(IF(OR($C615="",$E615=""),0,$E615*VLOOKUP($C615,'Menü Kartları'!$B$5:$E$154,4,FALSE)),0)</f>
      </c>
      <c r="G615" s="11">
        <f>IFERROR(IF(OR($C615="",$E615=""),0,$E615*VLOOKUP($C615,'Menü Kartları'!$B$5:$G$154,6,FALSE)),0)</f>
      </c>
      <c r="H615" s="17">
        <f>IF($C615="","",$F615-$G615)</f>
      </c>
    </row>
    <row r="616" spans="2:8" x14ac:dyDescent="0.25">
      <c r="B616" s="22"/>
      <c r="C616" s="12"/>
      <c r="D616" s="15">
        <f>IFERROR(IF($C616="","",VLOOKUP($C616,'Menü Kartları'!$B$5:$C$154,2,FALSE)),"— tanımsız —")</f>
      </c>
      <c r="E616" s="23"/>
      <c r="F616" s="11">
        <f>IFERROR(IF(OR($C616="",$E616=""),0,$E616*VLOOKUP($C616,'Menü Kartları'!$B$5:$E$154,4,FALSE)),0)</f>
      </c>
      <c r="G616" s="11">
        <f>IFERROR(IF(OR($C616="",$E616=""),0,$E616*VLOOKUP($C616,'Menü Kartları'!$B$5:$G$154,6,FALSE)),0)</f>
      </c>
      <c r="H616" s="17">
        <f>IF($C616="","",$F616-$G616)</f>
      </c>
    </row>
    <row r="617" spans="2:8" x14ac:dyDescent="0.25">
      <c r="B617" s="20"/>
      <c r="C617" s="8"/>
      <c r="D617" s="15">
        <f>IFERROR(IF($C617="","",VLOOKUP($C617,'Menü Kartları'!$B$5:$C$154,2,FALSE)),"— tanımsız —")</f>
      </c>
      <c r="E617" s="21"/>
      <c r="F617" s="11">
        <f>IFERROR(IF(OR($C617="",$E617=""),0,$E617*VLOOKUP($C617,'Menü Kartları'!$B$5:$E$154,4,FALSE)),0)</f>
      </c>
      <c r="G617" s="11">
        <f>IFERROR(IF(OR($C617="",$E617=""),0,$E617*VLOOKUP($C617,'Menü Kartları'!$B$5:$G$154,6,FALSE)),0)</f>
      </c>
      <c r="H617" s="17">
        <f>IF($C617="","",$F617-$G617)</f>
      </c>
    </row>
    <row r="618" spans="2:8" x14ac:dyDescent="0.25">
      <c r="B618" s="22"/>
      <c r="C618" s="12"/>
      <c r="D618" s="15">
        <f>IFERROR(IF($C618="","",VLOOKUP($C618,'Menü Kartları'!$B$5:$C$154,2,FALSE)),"— tanımsız —")</f>
      </c>
      <c r="E618" s="23"/>
      <c r="F618" s="11">
        <f>IFERROR(IF(OR($C618="",$E618=""),0,$E618*VLOOKUP($C618,'Menü Kartları'!$B$5:$E$154,4,FALSE)),0)</f>
      </c>
      <c r="G618" s="11">
        <f>IFERROR(IF(OR($C618="",$E618=""),0,$E618*VLOOKUP($C618,'Menü Kartları'!$B$5:$G$154,6,FALSE)),0)</f>
      </c>
      <c r="H618" s="17">
        <f>IF($C618="","",$F618-$G618)</f>
      </c>
    </row>
    <row r="619" spans="2:8" x14ac:dyDescent="0.25">
      <c r="B619" s="20"/>
      <c r="C619" s="8"/>
      <c r="D619" s="15">
        <f>IFERROR(IF($C619="","",VLOOKUP($C619,'Menü Kartları'!$B$5:$C$154,2,FALSE)),"— tanımsız —")</f>
      </c>
      <c r="E619" s="21"/>
      <c r="F619" s="11">
        <f>IFERROR(IF(OR($C619="",$E619=""),0,$E619*VLOOKUP($C619,'Menü Kartları'!$B$5:$E$154,4,FALSE)),0)</f>
      </c>
      <c r="G619" s="11">
        <f>IFERROR(IF(OR($C619="",$E619=""),0,$E619*VLOOKUP($C619,'Menü Kartları'!$B$5:$G$154,6,FALSE)),0)</f>
      </c>
      <c r="H619" s="17">
        <f>IF($C619="","",$F619-$G619)</f>
      </c>
    </row>
    <row r="620" spans="2:8" x14ac:dyDescent="0.25">
      <c r="B620" s="22"/>
      <c r="C620" s="12"/>
      <c r="D620" s="15">
        <f>IFERROR(IF($C620="","",VLOOKUP($C620,'Menü Kartları'!$B$5:$C$154,2,FALSE)),"— tanımsız —")</f>
      </c>
      <c r="E620" s="23"/>
      <c r="F620" s="11">
        <f>IFERROR(IF(OR($C620="",$E620=""),0,$E620*VLOOKUP($C620,'Menü Kartları'!$B$5:$E$154,4,FALSE)),0)</f>
      </c>
      <c r="G620" s="11">
        <f>IFERROR(IF(OR($C620="",$E620=""),0,$E620*VLOOKUP($C620,'Menü Kartları'!$B$5:$G$154,6,FALSE)),0)</f>
      </c>
      <c r="H620" s="17">
        <f>IF($C620="","",$F620-$G620)</f>
      </c>
    </row>
    <row r="621" spans="2:8" x14ac:dyDescent="0.25">
      <c r="B621" s="20"/>
      <c r="C621" s="8"/>
      <c r="D621" s="15">
        <f>IFERROR(IF($C621="","",VLOOKUP($C621,'Menü Kartları'!$B$5:$C$154,2,FALSE)),"— tanımsız —")</f>
      </c>
      <c r="E621" s="21"/>
      <c r="F621" s="11">
        <f>IFERROR(IF(OR($C621="",$E621=""),0,$E621*VLOOKUP($C621,'Menü Kartları'!$B$5:$E$154,4,FALSE)),0)</f>
      </c>
      <c r="G621" s="11">
        <f>IFERROR(IF(OR($C621="",$E621=""),0,$E621*VLOOKUP($C621,'Menü Kartları'!$B$5:$G$154,6,FALSE)),0)</f>
      </c>
      <c r="H621" s="17">
        <f>IF($C621="","",$F621-$G621)</f>
      </c>
    </row>
    <row r="622" spans="2:8" x14ac:dyDescent="0.25">
      <c r="B622" s="22"/>
      <c r="C622" s="12"/>
      <c r="D622" s="15">
        <f>IFERROR(IF($C622="","",VLOOKUP($C622,'Menü Kartları'!$B$5:$C$154,2,FALSE)),"— tanımsız —")</f>
      </c>
      <c r="E622" s="23"/>
      <c r="F622" s="11">
        <f>IFERROR(IF(OR($C622="",$E622=""),0,$E622*VLOOKUP($C622,'Menü Kartları'!$B$5:$E$154,4,FALSE)),0)</f>
      </c>
      <c r="G622" s="11">
        <f>IFERROR(IF(OR($C622="",$E622=""),0,$E622*VLOOKUP($C622,'Menü Kartları'!$B$5:$G$154,6,FALSE)),0)</f>
      </c>
      <c r="H622" s="17">
        <f>IF($C622="","",$F622-$G622)</f>
      </c>
    </row>
    <row r="623" spans="2:8" x14ac:dyDescent="0.25">
      <c r="B623" s="20"/>
      <c r="C623" s="8"/>
      <c r="D623" s="15">
        <f>IFERROR(IF($C623="","",VLOOKUP($C623,'Menü Kartları'!$B$5:$C$154,2,FALSE)),"— tanımsız —")</f>
      </c>
      <c r="E623" s="21"/>
      <c r="F623" s="11">
        <f>IFERROR(IF(OR($C623="",$E623=""),0,$E623*VLOOKUP($C623,'Menü Kartları'!$B$5:$E$154,4,FALSE)),0)</f>
      </c>
      <c r="G623" s="11">
        <f>IFERROR(IF(OR($C623="",$E623=""),0,$E623*VLOOKUP($C623,'Menü Kartları'!$B$5:$G$154,6,FALSE)),0)</f>
      </c>
      <c r="H623" s="17">
        <f>IF($C623="","",$F623-$G623)</f>
      </c>
    </row>
    <row r="624" spans="2:8" x14ac:dyDescent="0.25">
      <c r="B624" s="22"/>
      <c r="C624" s="12"/>
      <c r="D624" s="15">
        <f>IFERROR(IF($C624="","",VLOOKUP($C624,'Menü Kartları'!$B$5:$C$154,2,FALSE)),"— tanımsız —")</f>
      </c>
      <c r="E624" s="23"/>
      <c r="F624" s="11">
        <f>IFERROR(IF(OR($C624="",$E624=""),0,$E624*VLOOKUP($C624,'Menü Kartları'!$B$5:$E$154,4,FALSE)),0)</f>
      </c>
      <c r="G624" s="11">
        <f>IFERROR(IF(OR($C624="",$E624=""),0,$E624*VLOOKUP($C624,'Menü Kartları'!$B$5:$G$154,6,FALSE)),0)</f>
      </c>
      <c r="H624" s="17">
        <f>IF($C624="","",$F624-$G624)</f>
      </c>
    </row>
    <row r="625" spans="2:8" x14ac:dyDescent="0.25">
      <c r="B625" s="20"/>
      <c r="C625" s="8"/>
      <c r="D625" s="15">
        <f>IFERROR(IF($C625="","",VLOOKUP($C625,'Menü Kartları'!$B$5:$C$154,2,FALSE)),"— tanımsız —")</f>
      </c>
      <c r="E625" s="21"/>
      <c r="F625" s="11">
        <f>IFERROR(IF(OR($C625="",$E625=""),0,$E625*VLOOKUP($C625,'Menü Kartları'!$B$5:$E$154,4,FALSE)),0)</f>
      </c>
      <c r="G625" s="11">
        <f>IFERROR(IF(OR($C625="",$E625=""),0,$E625*VLOOKUP($C625,'Menü Kartları'!$B$5:$G$154,6,FALSE)),0)</f>
      </c>
      <c r="H625" s="17">
        <f>IF($C625="","",$F625-$G625)</f>
      </c>
    </row>
    <row r="626" spans="2:8" x14ac:dyDescent="0.25">
      <c r="B626" s="22"/>
      <c r="C626" s="12"/>
      <c r="D626" s="15">
        <f>IFERROR(IF($C626="","",VLOOKUP($C626,'Menü Kartları'!$B$5:$C$154,2,FALSE)),"— tanımsız —")</f>
      </c>
      <c r="E626" s="23"/>
      <c r="F626" s="11">
        <f>IFERROR(IF(OR($C626="",$E626=""),0,$E626*VLOOKUP($C626,'Menü Kartları'!$B$5:$E$154,4,FALSE)),0)</f>
      </c>
      <c r="G626" s="11">
        <f>IFERROR(IF(OR($C626="",$E626=""),0,$E626*VLOOKUP($C626,'Menü Kartları'!$B$5:$G$154,6,FALSE)),0)</f>
      </c>
      <c r="H626" s="17">
        <f>IF($C626="","",$F626-$G626)</f>
      </c>
    </row>
    <row r="627" spans="2:8" x14ac:dyDescent="0.25">
      <c r="B627" s="20"/>
      <c r="C627" s="8"/>
      <c r="D627" s="15">
        <f>IFERROR(IF($C627="","",VLOOKUP($C627,'Menü Kartları'!$B$5:$C$154,2,FALSE)),"— tanımsız —")</f>
      </c>
      <c r="E627" s="21"/>
      <c r="F627" s="11">
        <f>IFERROR(IF(OR($C627="",$E627=""),0,$E627*VLOOKUP($C627,'Menü Kartları'!$B$5:$E$154,4,FALSE)),0)</f>
      </c>
      <c r="G627" s="11">
        <f>IFERROR(IF(OR($C627="",$E627=""),0,$E627*VLOOKUP($C627,'Menü Kartları'!$B$5:$G$154,6,FALSE)),0)</f>
      </c>
      <c r="H627" s="17">
        <f>IF($C627="","",$F627-$G627)</f>
      </c>
    </row>
    <row r="628" spans="2:8" x14ac:dyDescent="0.25">
      <c r="B628" s="22"/>
      <c r="C628" s="12"/>
      <c r="D628" s="15">
        <f>IFERROR(IF($C628="","",VLOOKUP($C628,'Menü Kartları'!$B$5:$C$154,2,FALSE)),"— tanımsız —")</f>
      </c>
      <c r="E628" s="23"/>
      <c r="F628" s="11">
        <f>IFERROR(IF(OR($C628="",$E628=""),0,$E628*VLOOKUP($C628,'Menü Kartları'!$B$5:$E$154,4,FALSE)),0)</f>
      </c>
      <c r="G628" s="11">
        <f>IFERROR(IF(OR($C628="",$E628=""),0,$E628*VLOOKUP($C628,'Menü Kartları'!$B$5:$G$154,6,FALSE)),0)</f>
      </c>
      <c r="H628" s="17">
        <f>IF($C628="","",$F628-$G628)</f>
      </c>
    </row>
    <row r="629" spans="2:8" x14ac:dyDescent="0.25">
      <c r="B629" s="20"/>
      <c r="C629" s="8"/>
      <c r="D629" s="15">
        <f>IFERROR(IF($C629="","",VLOOKUP($C629,'Menü Kartları'!$B$5:$C$154,2,FALSE)),"— tanımsız —")</f>
      </c>
      <c r="E629" s="21"/>
      <c r="F629" s="11">
        <f>IFERROR(IF(OR($C629="",$E629=""),0,$E629*VLOOKUP($C629,'Menü Kartları'!$B$5:$E$154,4,FALSE)),0)</f>
      </c>
      <c r="G629" s="11">
        <f>IFERROR(IF(OR($C629="",$E629=""),0,$E629*VLOOKUP($C629,'Menü Kartları'!$B$5:$G$154,6,FALSE)),0)</f>
      </c>
      <c r="H629" s="17">
        <f>IF($C629="","",$F629-$G629)</f>
      </c>
    </row>
    <row r="630" spans="2:8" x14ac:dyDescent="0.25">
      <c r="B630" s="22"/>
      <c r="C630" s="12"/>
      <c r="D630" s="15">
        <f>IFERROR(IF($C630="","",VLOOKUP($C630,'Menü Kartları'!$B$5:$C$154,2,FALSE)),"— tanımsız —")</f>
      </c>
      <c r="E630" s="23"/>
      <c r="F630" s="11">
        <f>IFERROR(IF(OR($C630="",$E630=""),0,$E630*VLOOKUP($C630,'Menü Kartları'!$B$5:$E$154,4,FALSE)),0)</f>
      </c>
      <c r="G630" s="11">
        <f>IFERROR(IF(OR($C630="",$E630=""),0,$E630*VLOOKUP($C630,'Menü Kartları'!$B$5:$G$154,6,FALSE)),0)</f>
      </c>
      <c r="H630" s="17">
        <f>IF($C630="","",$F630-$G630)</f>
      </c>
    </row>
    <row r="631" spans="2:8" x14ac:dyDescent="0.25">
      <c r="B631" s="20"/>
      <c r="C631" s="8"/>
      <c r="D631" s="15">
        <f>IFERROR(IF($C631="","",VLOOKUP($C631,'Menü Kartları'!$B$5:$C$154,2,FALSE)),"— tanımsız —")</f>
      </c>
      <c r="E631" s="21"/>
      <c r="F631" s="11">
        <f>IFERROR(IF(OR($C631="",$E631=""),0,$E631*VLOOKUP($C631,'Menü Kartları'!$B$5:$E$154,4,FALSE)),0)</f>
      </c>
      <c r="G631" s="11">
        <f>IFERROR(IF(OR($C631="",$E631=""),0,$E631*VLOOKUP($C631,'Menü Kartları'!$B$5:$G$154,6,FALSE)),0)</f>
      </c>
      <c r="H631" s="17">
        <f>IF($C631="","",$F631-$G631)</f>
      </c>
    </row>
    <row r="632" spans="2:8" x14ac:dyDescent="0.25">
      <c r="B632" s="22"/>
      <c r="C632" s="12"/>
      <c r="D632" s="15">
        <f>IFERROR(IF($C632="","",VLOOKUP($C632,'Menü Kartları'!$B$5:$C$154,2,FALSE)),"— tanımsız —")</f>
      </c>
      <c r="E632" s="23"/>
      <c r="F632" s="11">
        <f>IFERROR(IF(OR($C632="",$E632=""),0,$E632*VLOOKUP($C632,'Menü Kartları'!$B$5:$E$154,4,FALSE)),0)</f>
      </c>
      <c r="G632" s="11">
        <f>IFERROR(IF(OR($C632="",$E632=""),0,$E632*VLOOKUP($C632,'Menü Kartları'!$B$5:$G$154,6,FALSE)),0)</f>
      </c>
      <c r="H632" s="17">
        <f>IF($C632="","",$F632-$G632)</f>
      </c>
    </row>
    <row r="633" spans="2:8" x14ac:dyDescent="0.25">
      <c r="B633" s="20"/>
      <c r="C633" s="8"/>
      <c r="D633" s="15">
        <f>IFERROR(IF($C633="","",VLOOKUP($C633,'Menü Kartları'!$B$5:$C$154,2,FALSE)),"— tanımsız —")</f>
      </c>
      <c r="E633" s="21"/>
      <c r="F633" s="11">
        <f>IFERROR(IF(OR($C633="",$E633=""),0,$E633*VLOOKUP($C633,'Menü Kartları'!$B$5:$E$154,4,FALSE)),0)</f>
      </c>
      <c r="G633" s="11">
        <f>IFERROR(IF(OR($C633="",$E633=""),0,$E633*VLOOKUP($C633,'Menü Kartları'!$B$5:$G$154,6,FALSE)),0)</f>
      </c>
      <c r="H633" s="17">
        <f>IF($C633="","",$F633-$G633)</f>
      </c>
    </row>
    <row r="634" spans="2:8" x14ac:dyDescent="0.25">
      <c r="B634" s="22"/>
      <c r="C634" s="12"/>
      <c r="D634" s="15">
        <f>IFERROR(IF($C634="","",VLOOKUP($C634,'Menü Kartları'!$B$5:$C$154,2,FALSE)),"— tanımsız —")</f>
      </c>
      <c r="E634" s="23"/>
      <c r="F634" s="11">
        <f>IFERROR(IF(OR($C634="",$E634=""),0,$E634*VLOOKUP($C634,'Menü Kartları'!$B$5:$E$154,4,FALSE)),0)</f>
      </c>
      <c r="G634" s="11">
        <f>IFERROR(IF(OR($C634="",$E634=""),0,$E634*VLOOKUP($C634,'Menü Kartları'!$B$5:$G$154,6,FALSE)),0)</f>
      </c>
      <c r="H634" s="17">
        <f>IF($C634="","",$F634-$G634)</f>
      </c>
    </row>
    <row r="635" spans="2:8" x14ac:dyDescent="0.25">
      <c r="B635" s="20"/>
      <c r="C635" s="8"/>
      <c r="D635" s="15">
        <f>IFERROR(IF($C635="","",VLOOKUP($C635,'Menü Kartları'!$B$5:$C$154,2,FALSE)),"— tanımsız —")</f>
      </c>
      <c r="E635" s="21"/>
      <c r="F635" s="11">
        <f>IFERROR(IF(OR($C635="",$E635=""),0,$E635*VLOOKUP($C635,'Menü Kartları'!$B$5:$E$154,4,FALSE)),0)</f>
      </c>
      <c r="G635" s="11">
        <f>IFERROR(IF(OR($C635="",$E635=""),0,$E635*VLOOKUP($C635,'Menü Kartları'!$B$5:$G$154,6,FALSE)),0)</f>
      </c>
      <c r="H635" s="17">
        <f>IF($C635="","",$F635-$G635)</f>
      </c>
    </row>
    <row r="636" spans="2:8" x14ac:dyDescent="0.25">
      <c r="B636" s="22"/>
      <c r="C636" s="12"/>
      <c r="D636" s="15">
        <f>IFERROR(IF($C636="","",VLOOKUP($C636,'Menü Kartları'!$B$5:$C$154,2,FALSE)),"— tanımsız —")</f>
      </c>
      <c r="E636" s="23"/>
      <c r="F636" s="11">
        <f>IFERROR(IF(OR($C636="",$E636=""),0,$E636*VLOOKUP($C636,'Menü Kartları'!$B$5:$E$154,4,FALSE)),0)</f>
      </c>
      <c r="G636" s="11">
        <f>IFERROR(IF(OR($C636="",$E636=""),0,$E636*VLOOKUP($C636,'Menü Kartları'!$B$5:$G$154,6,FALSE)),0)</f>
      </c>
      <c r="H636" s="17">
        <f>IF($C636="","",$F636-$G636)</f>
      </c>
    </row>
    <row r="637" spans="2:8" x14ac:dyDescent="0.25">
      <c r="B637" s="20"/>
      <c r="C637" s="8"/>
      <c r="D637" s="15">
        <f>IFERROR(IF($C637="","",VLOOKUP($C637,'Menü Kartları'!$B$5:$C$154,2,FALSE)),"— tanımsız —")</f>
      </c>
      <c r="E637" s="21"/>
      <c r="F637" s="11">
        <f>IFERROR(IF(OR($C637="",$E637=""),0,$E637*VLOOKUP($C637,'Menü Kartları'!$B$5:$E$154,4,FALSE)),0)</f>
      </c>
      <c r="G637" s="11">
        <f>IFERROR(IF(OR($C637="",$E637=""),0,$E637*VLOOKUP($C637,'Menü Kartları'!$B$5:$G$154,6,FALSE)),0)</f>
      </c>
      <c r="H637" s="17">
        <f>IF($C637="","",$F637-$G637)</f>
      </c>
    </row>
    <row r="638" spans="2:8" x14ac:dyDescent="0.25">
      <c r="B638" s="22"/>
      <c r="C638" s="12"/>
      <c r="D638" s="15">
        <f>IFERROR(IF($C638="","",VLOOKUP($C638,'Menü Kartları'!$B$5:$C$154,2,FALSE)),"— tanımsız —")</f>
      </c>
      <c r="E638" s="23"/>
      <c r="F638" s="11">
        <f>IFERROR(IF(OR($C638="",$E638=""),0,$E638*VLOOKUP($C638,'Menü Kartları'!$B$5:$E$154,4,FALSE)),0)</f>
      </c>
      <c r="G638" s="11">
        <f>IFERROR(IF(OR($C638="",$E638=""),0,$E638*VLOOKUP($C638,'Menü Kartları'!$B$5:$G$154,6,FALSE)),0)</f>
      </c>
      <c r="H638" s="17">
        <f>IF($C638="","",$F638-$G638)</f>
      </c>
    </row>
    <row r="639" spans="2:8" x14ac:dyDescent="0.25">
      <c r="B639" s="20"/>
      <c r="C639" s="8"/>
      <c r="D639" s="15">
        <f>IFERROR(IF($C639="","",VLOOKUP($C639,'Menü Kartları'!$B$5:$C$154,2,FALSE)),"— tanımsız —")</f>
      </c>
      <c r="E639" s="21"/>
      <c r="F639" s="11">
        <f>IFERROR(IF(OR($C639="",$E639=""),0,$E639*VLOOKUP($C639,'Menü Kartları'!$B$5:$E$154,4,FALSE)),0)</f>
      </c>
      <c r="G639" s="11">
        <f>IFERROR(IF(OR($C639="",$E639=""),0,$E639*VLOOKUP($C639,'Menü Kartları'!$B$5:$G$154,6,FALSE)),0)</f>
      </c>
      <c r="H639" s="17">
        <f>IF($C639="","",$F639-$G639)</f>
      </c>
    </row>
    <row r="640" spans="2:8" x14ac:dyDescent="0.25">
      <c r="B640" s="22"/>
      <c r="C640" s="12"/>
      <c r="D640" s="15">
        <f>IFERROR(IF($C640="","",VLOOKUP($C640,'Menü Kartları'!$B$5:$C$154,2,FALSE)),"— tanımsız —")</f>
      </c>
      <c r="E640" s="23"/>
      <c r="F640" s="11">
        <f>IFERROR(IF(OR($C640="",$E640=""),0,$E640*VLOOKUP($C640,'Menü Kartları'!$B$5:$E$154,4,FALSE)),0)</f>
      </c>
      <c r="G640" s="11">
        <f>IFERROR(IF(OR($C640="",$E640=""),0,$E640*VLOOKUP($C640,'Menü Kartları'!$B$5:$G$154,6,FALSE)),0)</f>
      </c>
      <c r="H640" s="17">
        <f>IF($C640="","",$F640-$G640)</f>
      </c>
    </row>
    <row r="641" spans="2:8" x14ac:dyDescent="0.25">
      <c r="B641" s="20"/>
      <c r="C641" s="8"/>
      <c r="D641" s="15">
        <f>IFERROR(IF($C641="","",VLOOKUP($C641,'Menü Kartları'!$B$5:$C$154,2,FALSE)),"— tanımsız —")</f>
      </c>
      <c r="E641" s="21"/>
      <c r="F641" s="11">
        <f>IFERROR(IF(OR($C641="",$E641=""),0,$E641*VLOOKUP($C641,'Menü Kartları'!$B$5:$E$154,4,FALSE)),0)</f>
      </c>
      <c r="G641" s="11">
        <f>IFERROR(IF(OR($C641="",$E641=""),0,$E641*VLOOKUP($C641,'Menü Kartları'!$B$5:$G$154,6,FALSE)),0)</f>
      </c>
      <c r="H641" s="17">
        <f>IF($C641="","",$F641-$G641)</f>
      </c>
    </row>
    <row r="642" spans="2:8" x14ac:dyDescent="0.25">
      <c r="B642" s="22"/>
      <c r="C642" s="12"/>
      <c r="D642" s="15">
        <f>IFERROR(IF($C642="","",VLOOKUP($C642,'Menü Kartları'!$B$5:$C$154,2,FALSE)),"— tanımsız —")</f>
      </c>
      <c r="E642" s="23"/>
      <c r="F642" s="11">
        <f>IFERROR(IF(OR($C642="",$E642=""),0,$E642*VLOOKUP($C642,'Menü Kartları'!$B$5:$E$154,4,FALSE)),0)</f>
      </c>
      <c r="G642" s="11">
        <f>IFERROR(IF(OR($C642="",$E642=""),0,$E642*VLOOKUP($C642,'Menü Kartları'!$B$5:$G$154,6,FALSE)),0)</f>
      </c>
      <c r="H642" s="17">
        <f>IF($C642="","",$F642-$G642)</f>
      </c>
    </row>
    <row r="643" spans="2:8" x14ac:dyDescent="0.25">
      <c r="B643" s="20"/>
      <c r="C643" s="8"/>
      <c r="D643" s="15">
        <f>IFERROR(IF($C643="","",VLOOKUP($C643,'Menü Kartları'!$B$5:$C$154,2,FALSE)),"— tanımsız —")</f>
      </c>
      <c r="E643" s="21"/>
      <c r="F643" s="11">
        <f>IFERROR(IF(OR($C643="",$E643=""),0,$E643*VLOOKUP($C643,'Menü Kartları'!$B$5:$E$154,4,FALSE)),0)</f>
      </c>
      <c r="G643" s="11">
        <f>IFERROR(IF(OR($C643="",$E643=""),0,$E643*VLOOKUP($C643,'Menü Kartları'!$B$5:$G$154,6,FALSE)),0)</f>
      </c>
      <c r="H643" s="17">
        <f>IF($C643="","",$F643-$G643)</f>
      </c>
    </row>
    <row r="644" spans="2:8" x14ac:dyDescent="0.25">
      <c r="B644" s="22"/>
      <c r="C644" s="12"/>
      <c r="D644" s="15">
        <f>IFERROR(IF($C644="","",VLOOKUP($C644,'Menü Kartları'!$B$5:$C$154,2,FALSE)),"— tanımsız —")</f>
      </c>
      <c r="E644" s="23"/>
      <c r="F644" s="11">
        <f>IFERROR(IF(OR($C644="",$E644=""),0,$E644*VLOOKUP($C644,'Menü Kartları'!$B$5:$E$154,4,FALSE)),0)</f>
      </c>
      <c r="G644" s="11">
        <f>IFERROR(IF(OR($C644="",$E644=""),0,$E644*VLOOKUP($C644,'Menü Kartları'!$B$5:$G$154,6,FALSE)),0)</f>
      </c>
      <c r="H644" s="17">
        <f>IF($C644="","",$F644-$G644)</f>
      </c>
    </row>
    <row r="645" spans="2:8" x14ac:dyDescent="0.25">
      <c r="B645" s="20"/>
      <c r="C645" s="8"/>
      <c r="D645" s="15">
        <f>IFERROR(IF($C645="","",VLOOKUP($C645,'Menü Kartları'!$B$5:$C$154,2,FALSE)),"— tanımsız —")</f>
      </c>
      <c r="E645" s="21"/>
      <c r="F645" s="11">
        <f>IFERROR(IF(OR($C645="",$E645=""),0,$E645*VLOOKUP($C645,'Menü Kartları'!$B$5:$E$154,4,FALSE)),0)</f>
      </c>
      <c r="G645" s="11">
        <f>IFERROR(IF(OR($C645="",$E645=""),0,$E645*VLOOKUP($C645,'Menü Kartları'!$B$5:$G$154,6,FALSE)),0)</f>
      </c>
      <c r="H645" s="17">
        <f>IF($C645="","",$F645-$G645)</f>
      </c>
    </row>
    <row r="646" spans="2:8" x14ac:dyDescent="0.25">
      <c r="B646" s="22"/>
      <c r="C646" s="12"/>
      <c r="D646" s="15">
        <f>IFERROR(IF($C646="","",VLOOKUP($C646,'Menü Kartları'!$B$5:$C$154,2,FALSE)),"— tanımsız —")</f>
      </c>
      <c r="E646" s="23"/>
      <c r="F646" s="11">
        <f>IFERROR(IF(OR($C646="",$E646=""),0,$E646*VLOOKUP($C646,'Menü Kartları'!$B$5:$E$154,4,FALSE)),0)</f>
      </c>
      <c r="G646" s="11">
        <f>IFERROR(IF(OR($C646="",$E646=""),0,$E646*VLOOKUP($C646,'Menü Kartları'!$B$5:$G$154,6,FALSE)),0)</f>
      </c>
      <c r="H646" s="17">
        <f>IF($C646="","",$F646-$G646)</f>
      </c>
    </row>
    <row r="647" spans="2:8" x14ac:dyDescent="0.25">
      <c r="B647" s="20"/>
      <c r="C647" s="8"/>
      <c r="D647" s="15">
        <f>IFERROR(IF($C647="","",VLOOKUP($C647,'Menü Kartları'!$B$5:$C$154,2,FALSE)),"— tanımsız —")</f>
      </c>
      <c r="E647" s="21"/>
      <c r="F647" s="11">
        <f>IFERROR(IF(OR($C647="",$E647=""),0,$E647*VLOOKUP($C647,'Menü Kartları'!$B$5:$E$154,4,FALSE)),0)</f>
      </c>
      <c r="G647" s="11">
        <f>IFERROR(IF(OR($C647="",$E647=""),0,$E647*VLOOKUP($C647,'Menü Kartları'!$B$5:$G$154,6,FALSE)),0)</f>
      </c>
      <c r="H647" s="17">
        <f>IF($C647="","",$F647-$G647)</f>
      </c>
    </row>
    <row r="648" spans="2:8" x14ac:dyDescent="0.25">
      <c r="B648" s="22"/>
      <c r="C648" s="12"/>
      <c r="D648" s="15">
        <f>IFERROR(IF($C648="","",VLOOKUP($C648,'Menü Kartları'!$B$5:$C$154,2,FALSE)),"— tanımsız —")</f>
      </c>
      <c r="E648" s="23"/>
      <c r="F648" s="11">
        <f>IFERROR(IF(OR($C648="",$E648=""),0,$E648*VLOOKUP($C648,'Menü Kartları'!$B$5:$E$154,4,FALSE)),0)</f>
      </c>
      <c r="G648" s="11">
        <f>IFERROR(IF(OR($C648="",$E648=""),0,$E648*VLOOKUP($C648,'Menü Kartları'!$B$5:$G$154,6,FALSE)),0)</f>
      </c>
      <c r="H648" s="17">
        <f>IF($C648="","",$F648-$G648)</f>
      </c>
    </row>
    <row r="649" spans="2:8" x14ac:dyDescent="0.25">
      <c r="B649" s="20"/>
      <c r="C649" s="8"/>
      <c r="D649" s="15">
        <f>IFERROR(IF($C649="","",VLOOKUP($C649,'Menü Kartları'!$B$5:$C$154,2,FALSE)),"— tanımsız —")</f>
      </c>
      <c r="E649" s="21"/>
      <c r="F649" s="11">
        <f>IFERROR(IF(OR($C649="",$E649=""),0,$E649*VLOOKUP($C649,'Menü Kartları'!$B$5:$E$154,4,FALSE)),0)</f>
      </c>
      <c r="G649" s="11">
        <f>IFERROR(IF(OR($C649="",$E649=""),0,$E649*VLOOKUP($C649,'Menü Kartları'!$B$5:$G$154,6,FALSE)),0)</f>
      </c>
      <c r="H649" s="17">
        <f>IF($C649="","",$F649-$G649)</f>
      </c>
    </row>
    <row r="650" spans="2:8" x14ac:dyDescent="0.25">
      <c r="B650" s="22"/>
      <c r="C650" s="12"/>
      <c r="D650" s="15">
        <f>IFERROR(IF($C650="","",VLOOKUP($C650,'Menü Kartları'!$B$5:$C$154,2,FALSE)),"— tanımsız —")</f>
      </c>
      <c r="E650" s="23"/>
      <c r="F650" s="11">
        <f>IFERROR(IF(OR($C650="",$E650=""),0,$E650*VLOOKUP($C650,'Menü Kartları'!$B$5:$E$154,4,FALSE)),0)</f>
      </c>
      <c r="G650" s="11">
        <f>IFERROR(IF(OR($C650="",$E650=""),0,$E650*VLOOKUP($C650,'Menü Kartları'!$B$5:$G$154,6,FALSE)),0)</f>
      </c>
      <c r="H650" s="17">
        <f>IF($C650="","",$F650-$G650)</f>
      </c>
    </row>
    <row r="651" spans="2:8" x14ac:dyDescent="0.25">
      <c r="B651" s="20"/>
      <c r="C651" s="8"/>
      <c r="D651" s="15">
        <f>IFERROR(IF($C651="","",VLOOKUP($C651,'Menü Kartları'!$B$5:$C$154,2,FALSE)),"— tanımsız —")</f>
      </c>
      <c r="E651" s="21"/>
      <c r="F651" s="11">
        <f>IFERROR(IF(OR($C651="",$E651=""),0,$E651*VLOOKUP($C651,'Menü Kartları'!$B$5:$E$154,4,FALSE)),0)</f>
      </c>
      <c r="G651" s="11">
        <f>IFERROR(IF(OR($C651="",$E651=""),0,$E651*VLOOKUP($C651,'Menü Kartları'!$B$5:$G$154,6,FALSE)),0)</f>
      </c>
      <c r="H651" s="17">
        <f>IF($C651="","",$F651-$G651)</f>
      </c>
    </row>
    <row r="652" spans="2:8" x14ac:dyDescent="0.25">
      <c r="B652" s="22"/>
      <c r="C652" s="12"/>
      <c r="D652" s="15">
        <f>IFERROR(IF($C652="","",VLOOKUP($C652,'Menü Kartları'!$B$5:$C$154,2,FALSE)),"— tanımsız —")</f>
      </c>
      <c r="E652" s="23"/>
      <c r="F652" s="11">
        <f>IFERROR(IF(OR($C652="",$E652=""),0,$E652*VLOOKUP($C652,'Menü Kartları'!$B$5:$E$154,4,FALSE)),0)</f>
      </c>
      <c r="G652" s="11">
        <f>IFERROR(IF(OR($C652="",$E652=""),0,$E652*VLOOKUP($C652,'Menü Kartları'!$B$5:$G$154,6,FALSE)),0)</f>
      </c>
      <c r="H652" s="17">
        <f>IF($C652="","",$F652-$G652)</f>
      </c>
    </row>
    <row r="653" spans="2:8" x14ac:dyDescent="0.25">
      <c r="B653" s="20"/>
      <c r="C653" s="8"/>
      <c r="D653" s="15">
        <f>IFERROR(IF($C653="","",VLOOKUP($C653,'Menü Kartları'!$B$5:$C$154,2,FALSE)),"— tanımsız —")</f>
      </c>
      <c r="E653" s="21"/>
      <c r="F653" s="11">
        <f>IFERROR(IF(OR($C653="",$E653=""),0,$E653*VLOOKUP($C653,'Menü Kartları'!$B$5:$E$154,4,FALSE)),0)</f>
      </c>
      <c r="G653" s="11">
        <f>IFERROR(IF(OR($C653="",$E653=""),0,$E653*VLOOKUP($C653,'Menü Kartları'!$B$5:$G$154,6,FALSE)),0)</f>
      </c>
      <c r="H653" s="17">
        <f>IF($C653="","",$F653-$G653)</f>
      </c>
    </row>
    <row r="654" spans="2:8" x14ac:dyDescent="0.25">
      <c r="B654" s="22"/>
      <c r="C654" s="12"/>
      <c r="D654" s="15">
        <f>IFERROR(IF($C654="","",VLOOKUP($C654,'Menü Kartları'!$B$5:$C$154,2,FALSE)),"— tanımsız —")</f>
      </c>
      <c r="E654" s="23"/>
      <c r="F654" s="11">
        <f>IFERROR(IF(OR($C654="",$E654=""),0,$E654*VLOOKUP($C654,'Menü Kartları'!$B$5:$E$154,4,FALSE)),0)</f>
      </c>
      <c r="G654" s="11">
        <f>IFERROR(IF(OR($C654="",$E654=""),0,$E654*VLOOKUP($C654,'Menü Kartları'!$B$5:$G$154,6,FALSE)),0)</f>
      </c>
      <c r="H654" s="17">
        <f>IF($C654="","",$F654-$G654)</f>
      </c>
    </row>
    <row r="655" spans="2:8" x14ac:dyDescent="0.25">
      <c r="B655" s="20"/>
      <c r="C655" s="8"/>
      <c r="D655" s="15">
        <f>IFERROR(IF($C655="","",VLOOKUP($C655,'Menü Kartları'!$B$5:$C$154,2,FALSE)),"— tanımsız —")</f>
      </c>
      <c r="E655" s="21"/>
      <c r="F655" s="11">
        <f>IFERROR(IF(OR($C655="",$E655=""),0,$E655*VLOOKUP($C655,'Menü Kartları'!$B$5:$E$154,4,FALSE)),0)</f>
      </c>
      <c r="G655" s="11">
        <f>IFERROR(IF(OR($C655="",$E655=""),0,$E655*VLOOKUP($C655,'Menü Kartları'!$B$5:$G$154,6,FALSE)),0)</f>
      </c>
      <c r="H655" s="17">
        <f>IF($C655="","",$F655-$G655)</f>
      </c>
    </row>
    <row r="656" spans="2:8" x14ac:dyDescent="0.25">
      <c r="B656" s="22"/>
      <c r="C656" s="12"/>
      <c r="D656" s="15">
        <f>IFERROR(IF($C656="","",VLOOKUP($C656,'Menü Kartları'!$B$5:$C$154,2,FALSE)),"— tanımsız —")</f>
      </c>
      <c r="E656" s="23"/>
      <c r="F656" s="11">
        <f>IFERROR(IF(OR($C656="",$E656=""),0,$E656*VLOOKUP($C656,'Menü Kartları'!$B$5:$E$154,4,FALSE)),0)</f>
      </c>
      <c r="G656" s="11">
        <f>IFERROR(IF(OR($C656="",$E656=""),0,$E656*VLOOKUP($C656,'Menü Kartları'!$B$5:$G$154,6,FALSE)),0)</f>
      </c>
      <c r="H656" s="17">
        <f>IF($C656="","",$F656-$G656)</f>
      </c>
    </row>
    <row r="657" spans="2:8" x14ac:dyDescent="0.25">
      <c r="B657" s="20"/>
      <c r="C657" s="8"/>
      <c r="D657" s="15">
        <f>IFERROR(IF($C657="","",VLOOKUP($C657,'Menü Kartları'!$B$5:$C$154,2,FALSE)),"— tanımsız —")</f>
      </c>
      <c r="E657" s="21"/>
      <c r="F657" s="11">
        <f>IFERROR(IF(OR($C657="",$E657=""),0,$E657*VLOOKUP($C657,'Menü Kartları'!$B$5:$E$154,4,FALSE)),0)</f>
      </c>
      <c r="G657" s="11">
        <f>IFERROR(IF(OR($C657="",$E657=""),0,$E657*VLOOKUP($C657,'Menü Kartları'!$B$5:$G$154,6,FALSE)),0)</f>
      </c>
      <c r="H657" s="17">
        <f>IF($C657="","",$F657-$G657)</f>
      </c>
    </row>
    <row r="658" spans="2:8" x14ac:dyDescent="0.25">
      <c r="B658" s="22"/>
      <c r="C658" s="12"/>
      <c r="D658" s="15">
        <f>IFERROR(IF($C658="","",VLOOKUP($C658,'Menü Kartları'!$B$5:$C$154,2,FALSE)),"— tanımsız —")</f>
      </c>
      <c r="E658" s="23"/>
      <c r="F658" s="11">
        <f>IFERROR(IF(OR($C658="",$E658=""),0,$E658*VLOOKUP($C658,'Menü Kartları'!$B$5:$E$154,4,FALSE)),0)</f>
      </c>
      <c r="G658" s="11">
        <f>IFERROR(IF(OR($C658="",$E658=""),0,$E658*VLOOKUP($C658,'Menü Kartları'!$B$5:$G$154,6,FALSE)),0)</f>
      </c>
      <c r="H658" s="17">
        <f>IF($C658="","",$F658-$G658)</f>
      </c>
    </row>
    <row r="659" spans="2:8" x14ac:dyDescent="0.25">
      <c r="B659" s="20"/>
      <c r="C659" s="8"/>
      <c r="D659" s="15">
        <f>IFERROR(IF($C659="","",VLOOKUP($C659,'Menü Kartları'!$B$5:$C$154,2,FALSE)),"— tanımsız —")</f>
      </c>
      <c r="E659" s="21"/>
      <c r="F659" s="11">
        <f>IFERROR(IF(OR($C659="",$E659=""),0,$E659*VLOOKUP($C659,'Menü Kartları'!$B$5:$E$154,4,FALSE)),0)</f>
      </c>
      <c r="G659" s="11">
        <f>IFERROR(IF(OR($C659="",$E659=""),0,$E659*VLOOKUP($C659,'Menü Kartları'!$B$5:$G$154,6,FALSE)),0)</f>
      </c>
      <c r="H659" s="17">
        <f>IF($C659="","",$F659-$G659)</f>
      </c>
    </row>
    <row r="660" spans="2:8" x14ac:dyDescent="0.25">
      <c r="B660" s="22"/>
      <c r="C660" s="12"/>
      <c r="D660" s="15">
        <f>IFERROR(IF($C660="","",VLOOKUP($C660,'Menü Kartları'!$B$5:$C$154,2,FALSE)),"— tanımsız —")</f>
      </c>
      <c r="E660" s="23"/>
      <c r="F660" s="11">
        <f>IFERROR(IF(OR($C660="",$E660=""),0,$E660*VLOOKUP($C660,'Menü Kartları'!$B$5:$E$154,4,FALSE)),0)</f>
      </c>
      <c r="G660" s="11">
        <f>IFERROR(IF(OR($C660="",$E660=""),0,$E660*VLOOKUP($C660,'Menü Kartları'!$B$5:$G$154,6,FALSE)),0)</f>
      </c>
      <c r="H660" s="17">
        <f>IF($C660="","",$F660-$G660)</f>
      </c>
    </row>
    <row r="661" spans="2:8" x14ac:dyDescent="0.25">
      <c r="B661" s="20"/>
      <c r="C661" s="8"/>
      <c r="D661" s="15">
        <f>IFERROR(IF($C661="","",VLOOKUP($C661,'Menü Kartları'!$B$5:$C$154,2,FALSE)),"— tanımsız —")</f>
      </c>
      <c r="E661" s="21"/>
      <c r="F661" s="11">
        <f>IFERROR(IF(OR($C661="",$E661=""),0,$E661*VLOOKUP($C661,'Menü Kartları'!$B$5:$E$154,4,FALSE)),0)</f>
      </c>
      <c r="G661" s="11">
        <f>IFERROR(IF(OR($C661="",$E661=""),0,$E661*VLOOKUP($C661,'Menü Kartları'!$B$5:$G$154,6,FALSE)),0)</f>
      </c>
      <c r="H661" s="17">
        <f>IF($C661="","",$F661-$G661)</f>
      </c>
    </row>
    <row r="662" spans="2:8" x14ac:dyDescent="0.25">
      <c r="B662" s="22"/>
      <c r="C662" s="12"/>
      <c r="D662" s="15">
        <f>IFERROR(IF($C662="","",VLOOKUP($C662,'Menü Kartları'!$B$5:$C$154,2,FALSE)),"— tanımsız —")</f>
      </c>
      <c r="E662" s="23"/>
      <c r="F662" s="11">
        <f>IFERROR(IF(OR($C662="",$E662=""),0,$E662*VLOOKUP($C662,'Menü Kartları'!$B$5:$E$154,4,FALSE)),0)</f>
      </c>
      <c r="G662" s="11">
        <f>IFERROR(IF(OR($C662="",$E662=""),0,$E662*VLOOKUP($C662,'Menü Kartları'!$B$5:$G$154,6,FALSE)),0)</f>
      </c>
      <c r="H662" s="17">
        <f>IF($C662="","",$F662-$G662)</f>
      </c>
    </row>
    <row r="663" spans="2:8" x14ac:dyDescent="0.25">
      <c r="B663" s="20"/>
      <c r="C663" s="8"/>
      <c r="D663" s="15">
        <f>IFERROR(IF($C663="","",VLOOKUP($C663,'Menü Kartları'!$B$5:$C$154,2,FALSE)),"— tanımsız —")</f>
      </c>
      <c r="E663" s="21"/>
      <c r="F663" s="11">
        <f>IFERROR(IF(OR($C663="",$E663=""),0,$E663*VLOOKUP($C663,'Menü Kartları'!$B$5:$E$154,4,FALSE)),0)</f>
      </c>
      <c r="G663" s="11">
        <f>IFERROR(IF(OR($C663="",$E663=""),0,$E663*VLOOKUP($C663,'Menü Kartları'!$B$5:$G$154,6,FALSE)),0)</f>
      </c>
      <c r="H663" s="17">
        <f>IF($C663="","",$F663-$G663)</f>
      </c>
    </row>
    <row r="664" spans="2:8" x14ac:dyDescent="0.25">
      <c r="B664" s="22"/>
      <c r="C664" s="12"/>
      <c r="D664" s="15">
        <f>IFERROR(IF($C664="","",VLOOKUP($C664,'Menü Kartları'!$B$5:$C$154,2,FALSE)),"— tanımsız —")</f>
      </c>
      <c r="E664" s="23"/>
      <c r="F664" s="11">
        <f>IFERROR(IF(OR($C664="",$E664=""),0,$E664*VLOOKUP($C664,'Menü Kartları'!$B$5:$E$154,4,FALSE)),0)</f>
      </c>
      <c r="G664" s="11">
        <f>IFERROR(IF(OR($C664="",$E664=""),0,$E664*VLOOKUP($C664,'Menü Kartları'!$B$5:$G$154,6,FALSE)),0)</f>
      </c>
      <c r="H664" s="17">
        <f>IF($C664="","",$F664-$G664)</f>
      </c>
    </row>
    <row r="665" spans="2:8" x14ac:dyDescent="0.25">
      <c r="B665" s="20"/>
      <c r="C665" s="8"/>
      <c r="D665" s="15">
        <f>IFERROR(IF($C665="","",VLOOKUP($C665,'Menü Kartları'!$B$5:$C$154,2,FALSE)),"— tanımsız —")</f>
      </c>
      <c r="E665" s="21"/>
      <c r="F665" s="11">
        <f>IFERROR(IF(OR($C665="",$E665=""),0,$E665*VLOOKUP($C665,'Menü Kartları'!$B$5:$E$154,4,FALSE)),0)</f>
      </c>
      <c r="G665" s="11">
        <f>IFERROR(IF(OR($C665="",$E665=""),0,$E665*VLOOKUP($C665,'Menü Kartları'!$B$5:$G$154,6,FALSE)),0)</f>
      </c>
      <c r="H665" s="17">
        <f>IF($C665="","",$F665-$G665)</f>
      </c>
    </row>
    <row r="666" spans="2:8" x14ac:dyDescent="0.25">
      <c r="B666" s="22"/>
      <c r="C666" s="12"/>
      <c r="D666" s="15">
        <f>IFERROR(IF($C666="","",VLOOKUP($C666,'Menü Kartları'!$B$5:$C$154,2,FALSE)),"— tanımsız —")</f>
      </c>
      <c r="E666" s="23"/>
      <c r="F666" s="11">
        <f>IFERROR(IF(OR($C666="",$E666=""),0,$E666*VLOOKUP($C666,'Menü Kartları'!$B$5:$E$154,4,FALSE)),0)</f>
      </c>
      <c r="G666" s="11">
        <f>IFERROR(IF(OR($C666="",$E666=""),0,$E666*VLOOKUP($C666,'Menü Kartları'!$B$5:$G$154,6,FALSE)),0)</f>
      </c>
      <c r="H666" s="17">
        <f>IF($C666="","",$F666-$G666)</f>
      </c>
    </row>
    <row r="667" spans="2:8" x14ac:dyDescent="0.25">
      <c r="B667" s="20"/>
      <c r="C667" s="8"/>
      <c r="D667" s="15">
        <f>IFERROR(IF($C667="","",VLOOKUP($C667,'Menü Kartları'!$B$5:$C$154,2,FALSE)),"— tanımsız —")</f>
      </c>
      <c r="E667" s="21"/>
      <c r="F667" s="11">
        <f>IFERROR(IF(OR($C667="",$E667=""),0,$E667*VLOOKUP($C667,'Menü Kartları'!$B$5:$E$154,4,FALSE)),0)</f>
      </c>
      <c r="G667" s="11">
        <f>IFERROR(IF(OR($C667="",$E667=""),0,$E667*VLOOKUP($C667,'Menü Kartları'!$B$5:$G$154,6,FALSE)),0)</f>
      </c>
      <c r="H667" s="17">
        <f>IF($C667="","",$F667-$G667)</f>
      </c>
    </row>
    <row r="668" spans="2:8" x14ac:dyDescent="0.25">
      <c r="B668" s="22"/>
      <c r="C668" s="12"/>
      <c r="D668" s="15">
        <f>IFERROR(IF($C668="","",VLOOKUP($C668,'Menü Kartları'!$B$5:$C$154,2,FALSE)),"— tanımsız —")</f>
      </c>
      <c r="E668" s="23"/>
      <c r="F668" s="11">
        <f>IFERROR(IF(OR($C668="",$E668=""),0,$E668*VLOOKUP($C668,'Menü Kartları'!$B$5:$E$154,4,FALSE)),0)</f>
      </c>
      <c r="G668" s="11">
        <f>IFERROR(IF(OR($C668="",$E668=""),0,$E668*VLOOKUP($C668,'Menü Kartları'!$B$5:$G$154,6,FALSE)),0)</f>
      </c>
      <c r="H668" s="17">
        <f>IF($C668="","",$F668-$G668)</f>
      </c>
    </row>
    <row r="669" spans="2:8" x14ac:dyDescent="0.25">
      <c r="B669" s="20"/>
      <c r="C669" s="8"/>
      <c r="D669" s="15">
        <f>IFERROR(IF($C669="","",VLOOKUP($C669,'Menü Kartları'!$B$5:$C$154,2,FALSE)),"— tanımsız —")</f>
      </c>
      <c r="E669" s="21"/>
      <c r="F669" s="11">
        <f>IFERROR(IF(OR($C669="",$E669=""),0,$E669*VLOOKUP($C669,'Menü Kartları'!$B$5:$E$154,4,FALSE)),0)</f>
      </c>
      <c r="G669" s="11">
        <f>IFERROR(IF(OR($C669="",$E669=""),0,$E669*VLOOKUP($C669,'Menü Kartları'!$B$5:$G$154,6,FALSE)),0)</f>
      </c>
      <c r="H669" s="17">
        <f>IF($C669="","",$F669-$G669)</f>
      </c>
    </row>
    <row r="670" spans="2:8" x14ac:dyDescent="0.25">
      <c r="B670" s="22"/>
      <c r="C670" s="12"/>
      <c r="D670" s="15">
        <f>IFERROR(IF($C670="","",VLOOKUP($C670,'Menü Kartları'!$B$5:$C$154,2,FALSE)),"— tanımsız —")</f>
      </c>
      <c r="E670" s="23"/>
      <c r="F670" s="11">
        <f>IFERROR(IF(OR($C670="",$E670=""),0,$E670*VLOOKUP($C670,'Menü Kartları'!$B$5:$E$154,4,FALSE)),0)</f>
      </c>
      <c r="G670" s="11">
        <f>IFERROR(IF(OR($C670="",$E670=""),0,$E670*VLOOKUP($C670,'Menü Kartları'!$B$5:$G$154,6,FALSE)),0)</f>
      </c>
      <c r="H670" s="17">
        <f>IF($C670="","",$F670-$G670)</f>
      </c>
    </row>
    <row r="671" spans="2:8" x14ac:dyDescent="0.25">
      <c r="B671" s="20"/>
      <c r="C671" s="8"/>
      <c r="D671" s="15">
        <f>IFERROR(IF($C671="","",VLOOKUP($C671,'Menü Kartları'!$B$5:$C$154,2,FALSE)),"— tanımsız —")</f>
      </c>
      <c r="E671" s="21"/>
      <c r="F671" s="11">
        <f>IFERROR(IF(OR($C671="",$E671=""),0,$E671*VLOOKUP($C671,'Menü Kartları'!$B$5:$E$154,4,FALSE)),0)</f>
      </c>
      <c r="G671" s="11">
        <f>IFERROR(IF(OR($C671="",$E671=""),0,$E671*VLOOKUP($C671,'Menü Kartları'!$B$5:$G$154,6,FALSE)),0)</f>
      </c>
      <c r="H671" s="17">
        <f>IF($C671="","",$F671-$G671)</f>
      </c>
    </row>
    <row r="672" spans="2:8" x14ac:dyDescent="0.25">
      <c r="B672" s="22"/>
      <c r="C672" s="12"/>
      <c r="D672" s="15">
        <f>IFERROR(IF($C672="","",VLOOKUP($C672,'Menü Kartları'!$B$5:$C$154,2,FALSE)),"— tanımsız —")</f>
      </c>
      <c r="E672" s="23"/>
      <c r="F672" s="11">
        <f>IFERROR(IF(OR($C672="",$E672=""),0,$E672*VLOOKUP($C672,'Menü Kartları'!$B$5:$E$154,4,FALSE)),0)</f>
      </c>
      <c r="G672" s="11">
        <f>IFERROR(IF(OR($C672="",$E672=""),0,$E672*VLOOKUP($C672,'Menü Kartları'!$B$5:$G$154,6,FALSE)),0)</f>
      </c>
      <c r="H672" s="17">
        <f>IF($C672="","",$F672-$G672)</f>
      </c>
    </row>
    <row r="673" spans="2:8" x14ac:dyDescent="0.25">
      <c r="B673" s="20"/>
      <c r="C673" s="8"/>
      <c r="D673" s="15">
        <f>IFERROR(IF($C673="","",VLOOKUP($C673,'Menü Kartları'!$B$5:$C$154,2,FALSE)),"— tanımsız —")</f>
      </c>
      <c r="E673" s="21"/>
      <c r="F673" s="11">
        <f>IFERROR(IF(OR($C673="",$E673=""),0,$E673*VLOOKUP($C673,'Menü Kartları'!$B$5:$E$154,4,FALSE)),0)</f>
      </c>
      <c r="G673" s="11">
        <f>IFERROR(IF(OR($C673="",$E673=""),0,$E673*VLOOKUP($C673,'Menü Kartları'!$B$5:$G$154,6,FALSE)),0)</f>
      </c>
      <c r="H673" s="17">
        <f>IF($C673="","",$F673-$G673)</f>
      </c>
    </row>
    <row r="674" spans="2:8" x14ac:dyDescent="0.25">
      <c r="B674" s="22"/>
      <c r="C674" s="12"/>
      <c r="D674" s="15">
        <f>IFERROR(IF($C674="","",VLOOKUP($C674,'Menü Kartları'!$B$5:$C$154,2,FALSE)),"— tanımsız —")</f>
      </c>
      <c r="E674" s="23"/>
      <c r="F674" s="11">
        <f>IFERROR(IF(OR($C674="",$E674=""),0,$E674*VLOOKUP($C674,'Menü Kartları'!$B$5:$E$154,4,FALSE)),0)</f>
      </c>
      <c r="G674" s="11">
        <f>IFERROR(IF(OR($C674="",$E674=""),0,$E674*VLOOKUP($C674,'Menü Kartları'!$B$5:$G$154,6,FALSE)),0)</f>
      </c>
      <c r="H674" s="17">
        <f>IF($C674="","",$F674-$G674)</f>
      </c>
    </row>
    <row r="675" spans="2:8" x14ac:dyDescent="0.25">
      <c r="B675" s="20"/>
      <c r="C675" s="8"/>
      <c r="D675" s="15">
        <f>IFERROR(IF($C675="","",VLOOKUP($C675,'Menü Kartları'!$B$5:$C$154,2,FALSE)),"— tanımsız —")</f>
      </c>
      <c r="E675" s="21"/>
      <c r="F675" s="11">
        <f>IFERROR(IF(OR($C675="",$E675=""),0,$E675*VLOOKUP($C675,'Menü Kartları'!$B$5:$E$154,4,FALSE)),0)</f>
      </c>
      <c r="G675" s="11">
        <f>IFERROR(IF(OR($C675="",$E675=""),0,$E675*VLOOKUP($C675,'Menü Kartları'!$B$5:$G$154,6,FALSE)),0)</f>
      </c>
      <c r="H675" s="17">
        <f>IF($C675="","",$F675-$G675)</f>
      </c>
    </row>
    <row r="676" spans="2:8" x14ac:dyDescent="0.25">
      <c r="B676" s="22"/>
      <c r="C676" s="12"/>
      <c r="D676" s="15">
        <f>IFERROR(IF($C676="","",VLOOKUP($C676,'Menü Kartları'!$B$5:$C$154,2,FALSE)),"— tanımsız —")</f>
      </c>
      <c r="E676" s="23"/>
      <c r="F676" s="11">
        <f>IFERROR(IF(OR($C676="",$E676=""),0,$E676*VLOOKUP($C676,'Menü Kartları'!$B$5:$E$154,4,FALSE)),0)</f>
      </c>
      <c r="G676" s="11">
        <f>IFERROR(IF(OR($C676="",$E676=""),0,$E676*VLOOKUP($C676,'Menü Kartları'!$B$5:$G$154,6,FALSE)),0)</f>
      </c>
      <c r="H676" s="17">
        <f>IF($C676="","",$F676-$G676)</f>
      </c>
    </row>
    <row r="677" spans="2:8" x14ac:dyDescent="0.25">
      <c r="B677" s="20"/>
      <c r="C677" s="8"/>
      <c r="D677" s="15">
        <f>IFERROR(IF($C677="","",VLOOKUP($C677,'Menü Kartları'!$B$5:$C$154,2,FALSE)),"— tanımsız —")</f>
      </c>
      <c r="E677" s="21"/>
      <c r="F677" s="11">
        <f>IFERROR(IF(OR($C677="",$E677=""),0,$E677*VLOOKUP($C677,'Menü Kartları'!$B$5:$E$154,4,FALSE)),0)</f>
      </c>
      <c r="G677" s="11">
        <f>IFERROR(IF(OR($C677="",$E677=""),0,$E677*VLOOKUP($C677,'Menü Kartları'!$B$5:$G$154,6,FALSE)),0)</f>
      </c>
      <c r="H677" s="17">
        <f>IF($C677="","",$F677-$G677)</f>
      </c>
    </row>
    <row r="678" spans="2:8" x14ac:dyDescent="0.25">
      <c r="B678" s="22"/>
      <c r="C678" s="12"/>
      <c r="D678" s="15">
        <f>IFERROR(IF($C678="","",VLOOKUP($C678,'Menü Kartları'!$B$5:$C$154,2,FALSE)),"— tanımsız —")</f>
      </c>
      <c r="E678" s="23"/>
      <c r="F678" s="11">
        <f>IFERROR(IF(OR($C678="",$E678=""),0,$E678*VLOOKUP($C678,'Menü Kartları'!$B$5:$E$154,4,FALSE)),0)</f>
      </c>
      <c r="G678" s="11">
        <f>IFERROR(IF(OR($C678="",$E678=""),0,$E678*VLOOKUP($C678,'Menü Kartları'!$B$5:$G$154,6,FALSE)),0)</f>
      </c>
      <c r="H678" s="17">
        <f>IF($C678="","",$F678-$G678)</f>
      </c>
    </row>
    <row r="679" spans="2:8" x14ac:dyDescent="0.25">
      <c r="B679" s="20"/>
      <c r="C679" s="8"/>
      <c r="D679" s="15">
        <f>IFERROR(IF($C679="","",VLOOKUP($C679,'Menü Kartları'!$B$5:$C$154,2,FALSE)),"— tanımsız —")</f>
      </c>
      <c r="E679" s="21"/>
      <c r="F679" s="11">
        <f>IFERROR(IF(OR($C679="",$E679=""),0,$E679*VLOOKUP($C679,'Menü Kartları'!$B$5:$E$154,4,FALSE)),0)</f>
      </c>
      <c r="G679" s="11">
        <f>IFERROR(IF(OR($C679="",$E679=""),0,$E679*VLOOKUP($C679,'Menü Kartları'!$B$5:$G$154,6,FALSE)),0)</f>
      </c>
      <c r="H679" s="17">
        <f>IF($C679="","",$F679-$G679)</f>
      </c>
    </row>
    <row r="680" spans="2:8" x14ac:dyDescent="0.25">
      <c r="B680" s="22"/>
      <c r="C680" s="12"/>
      <c r="D680" s="15">
        <f>IFERROR(IF($C680="","",VLOOKUP($C680,'Menü Kartları'!$B$5:$C$154,2,FALSE)),"— tanımsız —")</f>
      </c>
      <c r="E680" s="23"/>
      <c r="F680" s="11">
        <f>IFERROR(IF(OR($C680="",$E680=""),0,$E680*VLOOKUP($C680,'Menü Kartları'!$B$5:$E$154,4,FALSE)),0)</f>
      </c>
      <c r="G680" s="11">
        <f>IFERROR(IF(OR($C680="",$E680=""),0,$E680*VLOOKUP($C680,'Menü Kartları'!$B$5:$G$154,6,FALSE)),0)</f>
      </c>
      <c r="H680" s="17">
        <f>IF($C680="","",$F680-$G680)</f>
      </c>
    </row>
    <row r="681" spans="2:8" x14ac:dyDescent="0.25">
      <c r="B681" s="20"/>
      <c r="C681" s="8"/>
      <c r="D681" s="15">
        <f>IFERROR(IF($C681="","",VLOOKUP($C681,'Menü Kartları'!$B$5:$C$154,2,FALSE)),"— tanımsız —")</f>
      </c>
      <c r="E681" s="21"/>
      <c r="F681" s="11">
        <f>IFERROR(IF(OR($C681="",$E681=""),0,$E681*VLOOKUP($C681,'Menü Kartları'!$B$5:$E$154,4,FALSE)),0)</f>
      </c>
      <c r="G681" s="11">
        <f>IFERROR(IF(OR($C681="",$E681=""),0,$E681*VLOOKUP($C681,'Menü Kartları'!$B$5:$G$154,6,FALSE)),0)</f>
      </c>
      <c r="H681" s="17">
        <f>IF($C681="","",$F681-$G681)</f>
      </c>
    </row>
    <row r="682" spans="2:8" x14ac:dyDescent="0.25">
      <c r="B682" s="22"/>
      <c r="C682" s="12"/>
      <c r="D682" s="15">
        <f>IFERROR(IF($C682="","",VLOOKUP($C682,'Menü Kartları'!$B$5:$C$154,2,FALSE)),"— tanımsız —")</f>
      </c>
      <c r="E682" s="23"/>
      <c r="F682" s="11">
        <f>IFERROR(IF(OR($C682="",$E682=""),0,$E682*VLOOKUP($C682,'Menü Kartları'!$B$5:$E$154,4,FALSE)),0)</f>
      </c>
      <c r="G682" s="11">
        <f>IFERROR(IF(OR($C682="",$E682=""),0,$E682*VLOOKUP($C682,'Menü Kartları'!$B$5:$G$154,6,FALSE)),0)</f>
      </c>
      <c r="H682" s="17">
        <f>IF($C682="","",$F682-$G682)</f>
      </c>
    </row>
    <row r="683" spans="2:8" x14ac:dyDescent="0.25">
      <c r="B683" s="20"/>
      <c r="C683" s="8"/>
      <c r="D683" s="15">
        <f>IFERROR(IF($C683="","",VLOOKUP($C683,'Menü Kartları'!$B$5:$C$154,2,FALSE)),"— tanımsız —")</f>
      </c>
      <c r="E683" s="21"/>
      <c r="F683" s="11">
        <f>IFERROR(IF(OR($C683="",$E683=""),0,$E683*VLOOKUP($C683,'Menü Kartları'!$B$5:$E$154,4,FALSE)),0)</f>
      </c>
      <c r="G683" s="11">
        <f>IFERROR(IF(OR($C683="",$E683=""),0,$E683*VLOOKUP($C683,'Menü Kartları'!$B$5:$G$154,6,FALSE)),0)</f>
      </c>
      <c r="H683" s="17">
        <f>IF($C683="","",$F683-$G683)</f>
      </c>
    </row>
    <row r="684" spans="2:8" x14ac:dyDescent="0.25">
      <c r="B684" s="22"/>
      <c r="C684" s="12"/>
      <c r="D684" s="15">
        <f>IFERROR(IF($C684="","",VLOOKUP($C684,'Menü Kartları'!$B$5:$C$154,2,FALSE)),"— tanımsız —")</f>
      </c>
      <c r="E684" s="23"/>
      <c r="F684" s="11">
        <f>IFERROR(IF(OR($C684="",$E684=""),0,$E684*VLOOKUP($C684,'Menü Kartları'!$B$5:$E$154,4,FALSE)),0)</f>
      </c>
      <c r="G684" s="11">
        <f>IFERROR(IF(OR($C684="",$E684=""),0,$E684*VLOOKUP($C684,'Menü Kartları'!$B$5:$G$154,6,FALSE)),0)</f>
      </c>
      <c r="H684" s="17">
        <f>IF($C684="","",$F684-$G684)</f>
      </c>
    </row>
    <row r="685" spans="2:8" x14ac:dyDescent="0.25">
      <c r="B685" s="20"/>
      <c r="C685" s="8"/>
      <c r="D685" s="15">
        <f>IFERROR(IF($C685="","",VLOOKUP($C685,'Menü Kartları'!$B$5:$C$154,2,FALSE)),"— tanımsız —")</f>
      </c>
      <c r="E685" s="21"/>
      <c r="F685" s="11">
        <f>IFERROR(IF(OR($C685="",$E685=""),0,$E685*VLOOKUP($C685,'Menü Kartları'!$B$5:$E$154,4,FALSE)),0)</f>
      </c>
      <c r="G685" s="11">
        <f>IFERROR(IF(OR($C685="",$E685=""),0,$E685*VLOOKUP($C685,'Menü Kartları'!$B$5:$G$154,6,FALSE)),0)</f>
      </c>
      <c r="H685" s="17">
        <f>IF($C685="","",$F685-$G685)</f>
      </c>
    </row>
    <row r="686" spans="2:8" x14ac:dyDescent="0.25">
      <c r="B686" s="22"/>
      <c r="C686" s="12"/>
      <c r="D686" s="15">
        <f>IFERROR(IF($C686="","",VLOOKUP($C686,'Menü Kartları'!$B$5:$C$154,2,FALSE)),"— tanımsız —")</f>
      </c>
      <c r="E686" s="23"/>
      <c r="F686" s="11">
        <f>IFERROR(IF(OR($C686="",$E686=""),0,$E686*VLOOKUP($C686,'Menü Kartları'!$B$5:$E$154,4,FALSE)),0)</f>
      </c>
      <c r="G686" s="11">
        <f>IFERROR(IF(OR($C686="",$E686=""),0,$E686*VLOOKUP($C686,'Menü Kartları'!$B$5:$G$154,6,FALSE)),0)</f>
      </c>
      <c r="H686" s="17">
        <f>IF($C686="","",$F686-$G686)</f>
      </c>
    </row>
    <row r="687" spans="2:8" x14ac:dyDescent="0.25">
      <c r="B687" s="20"/>
      <c r="C687" s="8"/>
      <c r="D687" s="15">
        <f>IFERROR(IF($C687="","",VLOOKUP($C687,'Menü Kartları'!$B$5:$C$154,2,FALSE)),"— tanımsız —")</f>
      </c>
      <c r="E687" s="21"/>
      <c r="F687" s="11">
        <f>IFERROR(IF(OR($C687="",$E687=""),0,$E687*VLOOKUP($C687,'Menü Kartları'!$B$5:$E$154,4,FALSE)),0)</f>
      </c>
      <c r="G687" s="11">
        <f>IFERROR(IF(OR($C687="",$E687=""),0,$E687*VLOOKUP($C687,'Menü Kartları'!$B$5:$G$154,6,FALSE)),0)</f>
      </c>
      <c r="H687" s="17">
        <f>IF($C687="","",$F687-$G687)</f>
      </c>
    </row>
    <row r="688" spans="2:8" x14ac:dyDescent="0.25">
      <c r="B688" s="22"/>
      <c r="C688" s="12"/>
      <c r="D688" s="15">
        <f>IFERROR(IF($C688="","",VLOOKUP($C688,'Menü Kartları'!$B$5:$C$154,2,FALSE)),"— tanımsız —")</f>
      </c>
      <c r="E688" s="23"/>
      <c r="F688" s="11">
        <f>IFERROR(IF(OR($C688="",$E688=""),0,$E688*VLOOKUP($C688,'Menü Kartları'!$B$5:$E$154,4,FALSE)),0)</f>
      </c>
      <c r="G688" s="11">
        <f>IFERROR(IF(OR($C688="",$E688=""),0,$E688*VLOOKUP($C688,'Menü Kartları'!$B$5:$G$154,6,FALSE)),0)</f>
      </c>
      <c r="H688" s="17">
        <f>IF($C688="","",$F688-$G688)</f>
      </c>
    </row>
    <row r="689" spans="2:8" x14ac:dyDescent="0.25">
      <c r="B689" s="20"/>
      <c r="C689" s="8"/>
      <c r="D689" s="15">
        <f>IFERROR(IF($C689="","",VLOOKUP($C689,'Menü Kartları'!$B$5:$C$154,2,FALSE)),"— tanımsız —")</f>
      </c>
      <c r="E689" s="21"/>
      <c r="F689" s="11">
        <f>IFERROR(IF(OR($C689="",$E689=""),0,$E689*VLOOKUP($C689,'Menü Kartları'!$B$5:$E$154,4,FALSE)),0)</f>
      </c>
      <c r="G689" s="11">
        <f>IFERROR(IF(OR($C689="",$E689=""),0,$E689*VLOOKUP($C689,'Menü Kartları'!$B$5:$G$154,6,FALSE)),0)</f>
      </c>
      <c r="H689" s="17">
        <f>IF($C689="","",$F689-$G689)</f>
      </c>
    </row>
    <row r="690" spans="2:8" x14ac:dyDescent="0.25">
      <c r="B690" s="22"/>
      <c r="C690" s="12"/>
      <c r="D690" s="15">
        <f>IFERROR(IF($C690="","",VLOOKUP($C690,'Menü Kartları'!$B$5:$C$154,2,FALSE)),"— tanımsız —")</f>
      </c>
      <c r="E690" s="23"/>
      <c r="F690" s="11">
        <f>IFERROR(IF(OR($C690="",$E690=""),0,$E690*VLOOKUP($C690,'Menü Kartları'!$B$5:$E$154,4,FALSE)),0)</f>
      </c>
      <c r="G690" s="11">
        <f>IFERROR(IF(OR($C690="",$E690=""),0,$E690*VLOOKUP($C690,'Menü Kartları'!$B$5:$G$154,6,FALSE)),0)</f>
      </c>
      <c r="H690" s="17">
        <f>IF($C690="","",$F690-$G690)</f>
      </c>
    </row>
    <row r="691" spans="2:8" x14ac:dyDescent="0.25">
      <c r="B691" s="20"/>
      <c r="C691" s="8"/>
      <c r="D691" s="15">
        <f>IFERROR(IF($C691="","",VLOOKUP($C691,'Menü Kartları'!$B$5:$C$154,2,FALSE)),"— tanımsız —")</f>
      </c>
      <c r="E691" s="21"/>
      <c r="F691" s="11">
        <f>IFERROR(IF(OR($C691="",$E691=""),0,$E691*VLOOKUP($C691,'Menü Kartları'!$B$5:$E$154,4,FALSE)),0)</f>
      </c>
      <c r="G691" s="11">
        <f>IFERROR(IF(OR($C691="",$E691=""),0,$E691*VLOOKUP($C691,'Menü Kartları'!$B$5:$G$154,6,FALSE)),0)</f>
      </c>
      <c r="H691" s="17">
        <f>IF($C691="","",$F691-$G691)</f>
      </c>
    </row>
    <row r="692" spans="2:8" x14ac:dyDescent="0.25">
      <c r="B692" s="22"/>
      <c r="C692" s="12"/>
      <c r="D692" s="15">
        <f>IFERROR(IF($C692="","",VLOOKUP($C692,'Menü Kartları'!$B$5:$C$154,2,FALSE)),"— tanımsız —")</f>
      </c>
      <c r="E692" s="23"/>
      <c r="F692" s="11">
        <f>IFERROR(IF(OR($C692="",$E692=""),0,$E692*VLOOKUP($C692,'Menü Kartları'!$B$5:$E$154,4,FALSE)),0)</f>
      </c>
      <c r="G692" s="11">
        <f>IFERROR(IF(OR($C692="",$E692=""),0,$E692*VLOOKUP($C692,'Menü Kartları'!$B$5:$G$154,6,FALSE)),0)</f>
      </c>
      <c r="H692" s="17">
        <f>IF($C692="","",$F692-$G692)</f>
      </c>
    </row>
    <row r="693" spans="2:8" x14ac:dyDescent="0.25">
      <c r="B693" s="20"/>
      <c r="C693" s="8"/>
      <c r="D693" s="15">
        <f>IFERROR(IF($C693="","",VLOOKUP($C693,'Menü Kartları'!$B$5:$C$154,2,FALSE)),"— tanımsız —")</f>
      </c>
      <c r="E693" s="21"/>
      <c r="F693" s="11">
        <f>IFERROR(IF(OR($C693="",$E693=""),0,$E693*VLOOKUP($C693,'Menü Kartları'!$B$5:$E$154,4,FALSE)),0)</f>
      </c>
      <c r="G693" s="11">
        <f>IFERROR(IF(OR($C693="",$E693=""),0,$E693*VLOOKUP($C693,'Menü Kartları'!$B$5:$G$154,6,FALSE)),0)</f>
      </c>
      <c r="H693" s="17">
        <f>IF($C693="","",$F693-$G693)</f>
      </c>
    </row>
    <row r="694" spans="2:8" x14ac:dyDescent="0.25">
      <c r="B694" s="22"/>
      <c r="C694" s="12"/>
      <c r="D694" s="15">
        <f>IFERROR(IF($C694="","",VLOOKUP($C694,'Menü Kartları'!$B$5:$C$154,2,FALSE)),"— tanımsız —")</f>
      </c>
      <c r="E694" s="23"/>
      <c r="F694" s="11">
        <f>IFERROR(IF(OR($C694="",$E694=""),0,$E694*VLOOKUP($C694,'Menü Kartları'!$B$5:$E$154,4,FALSE)),0)</f>
      </c>
      <c r="G694" s="11">
        <f>IFERROR(IF(OR($C694="",$E694=""),0,$E694*VLOOKUP($C694,'Menü Kartları'!$B$5:$G$154,6,FALSE)),0)</f>
      </c>
      <c r="H694" s="17">
        <f>IF($C694="","",$F694-$G694)</f>
      </c>
    </row>
    <row r="695" spans="2:8" x14ac:dyDescent="0.25">
      <c r="B695" s="20"/>
      <c r="C695" s="8"/>
      <c r="D695" s="15">
        <f>IFERROR(IF($C695="","",VLOOKUP($C695,'Menü Kartları'!$B$5:$C$154,2,FALSE)),"— tanımsız —")</f>
      </c>
      <c r="E695" s="21"/>
      <c r="F695" s="11">
        <f>IFERROR(IF(OR($C695="",$E695=""),0,$E695*VLOOKUP($C695,'Menü Kartları'!$B$5:$E$154,4,FALSE)),0)</f>
      </c>
      <c r="G695" s="11">
        <f>IFERROR(IF(OR($C695="",$E695=""),0,$E695*VLOOKUP($C695,'Menü Kartları'!$B$5:$G$154,6,FALSE)),0)</f>
      </c>
      <c r="H695" s="17">
        <f>IF($C695="","",$F695-$G695)</f>
      </c>
    </row>
    <row r="696" spans="2:8" x14ac:dyDescent="0.25">
      <c r="B696" s="22"/>
      <c r="C696" s="12"/>
      <c r="D696" s="15">
        <f>IFERROR(IF($C696="","",VLOOKUP($C696,'Menü Kartları'!$B$5:$C$154,2,FALSE)),"— tanımsız —")</f>
      </c>
      <c r="E696" s="23"/>
      <c r="F696" s="11">
        <f>IFERROR(IF(OR($C696="",$E696=""),0,$E696*VLOOKUP($C696,'Menü Kartları'!$B$5:$E$154,4,FALSE)),0)</f>
      </c>
      <c r="G696" s="11">
        <f>IFERROR(IF(OR($C696="",$E696=""),0,$E696*VLOOKUP($C696,'Menü Kartları'!$B$5:$G$154,6,FALSE)),0)</f>
      </c>
      <c r="H696" s="17">
        <f>IF($C696="","",$F696-$G696)</f>
      </c>
    </row>
    <row r="697" spans="2:8" x14ac:dyDescent="0.25">
      <c r="B697" s="20"/>
      <c r="C697" s="8"/>
      <c r="D697" s="15">
        <f>IFERROR(IF($C697="","",VLOOKUP($C697,'Menü Kartları'!$B$5:$C$154,2,FALSE)),"— tanımsız —")</f>
      </c>
      <c r="E697" s="21"/>
      <c r="F697" s="11">
        <f>IFERROR(IF(OR($C697="",$E697=""),0,$E697*VLOOKUP($C697,'Menü Kartları'!$B$5:$E$154,4,FALSE)),0)</f>
      </c>
      <c r="G697" s="11">
        <f>IFERROR(IF(OR($C697="",$E697=""),0,$E697*VLOOKUP($C697,'Menü Kartları'!$B$5:$G$154,6,FALSE)),0)</f>
      </c>
      <c r="H697" s="17">
        <f>IF($C697="","",$F697-$G697)</f>
      </c>
    </row>
    <row r="698" spans="2:8" x14ac:dyDescent="0.25">
      <c r="B698" s="22"/>
      <c r="C698" s="12"/>
      <c r="D698" s="15">
        <f>IFERROR(IF($C698="","",VLOOKUP($C698,'Menü Kartları'!$B$5:$C$154,2,FALSE)),"— tanımsız —")</f>
      </c>
      <c r="E698" s="23"/>
      <c r="F698" s="11">
        <f>IFERROR(IF(OR($C698="",$E698=""),0,$E698*VLOOKUP($C698,'Menü Kartları'!$B$5:$E$154,4,FALSE)),0)</f>
      </c>
      <c r="G698" s="11">
        <f>IFERROR(IF(OR($C698="",$E698=""),0,$E698*VLOOKUP($C698,'Menü Kartları'!$B$5:$G$154,6,FALSE)),0)</f>
      </c>
      <c r="H698" s="17">
        <f>IF($C698="","",$F698-$G698)</f>
      </c>
    </row>
    <row r="699" spans="2:8" x14ac:dyDescent="0.25">
      <c r="B699" s="20"/>
      <c r="C699" s="8"/>
      <c r="D699" s="15">
        <f>IFERROR(IF($C699="","",VLOOKUP($C699,'Menü Kartları'!$B$5:$C$154,2,FALSE)),"— tanımsız —")</f>
      </c>
      <c r="E699" s="21"/>
      <c r="F699" s="11">
        <f>IFERROR(IF(OR($C699="",$E699=""),0,$E699*VLOOKUP($C699,'Menü Kartları'!$B$5:$E$154,4,FALSE)),0)</f>
      </c>
      <c r="G699" s="11">
        <f>IFERROR(IF(OR($C699="",$E699=""),0,$E699*VLOOKUP($C699,'Menü Kartları'!$B$5:$G$154,6,FALSE)),0)</f>
      </c>
      <c r="H699" s="17">
        <f>IF($C699="","",$F699-$G699)</f>
      </c>
    </row>
    <row r="700" spans="2:8" x14ac:dyDescent="0.25">
      <c r="B700" s="22"/>
      <c r="C700" s="12"/>
      <c r="D700" s="15">
        <f>IFERROR(IF($C700="","",VLOOKUP($C700,'Menü Kartları'!$B$5:$C$154,2,FALSE)),"— tanımsız —")</f>
      </c>
      <c r="E700" s="23"/>
      <c r="F700" s="11">
        <f>IFERROR(IF(OR($C700="",$E700=""),0,$E700*VLOOKUP($C700,'Menü Kartları'!$B$5:$E$154,4,FALSE)),0)</f>
      </c>
      <c r="G700" s="11">
        <f>IFERROR(IF(OR($C700="",$E700=""),0,$E700*VLOOKUP($C700,'Menü Kartları'!$B$5:$G$154,6,FALSE)),0)</f>
      </c>
      <c r="H700" s="17">
        <f>IF($C700="","",$F700-$G700)</f>
      </c>
    </row>
    <row r="701" spans="2:8" x14ac:dyDescent="0.25">
      <c r="B701" s="20"/>
      <c r="C701" s="8"/>
      <c r="D701" s="15">
        <f>IFERROR(IF($C701="","",VLOOKUP($C701,'Menü Kartları'!$B$5:$C$154,2,FALSE)),"— tanımsız —")</f>
      </c>
      <c r="E701" s="21"/>
      <c r="F701" s="11">
        <f>IFERROR(IF(OR($C701="",$E701=""),0,$E701*VLOOKUP($C701,'Menü Kartları'!$B$5:$E$154,4,FALSE)),0)</f>
      </c>
      <c r="G701" s="11">
        <f>IFERROR(IF(OR($C701="",$E701=""),0,$E701*VLOOKUP($C701,'Menü Kartları'!$B$5:$G$154,6,FALSE)),0)</f>
      </c>
      <c r="H701" s="17">
        <f>IF($C701="","",$F701-$G701)</f>
      </c>
    </row>
    <row r="702" spans="2:8" x14ac:dyDescent="0.25">
      <c r="B702" s="22"/>
      <c r="C702" s="12"/>
      <c r="D702" s="15">
        <f>IFERROR(IF($C702="","",VLOOKUP($C702,'Menü Kartları'!$B$5:$C$154,2,FALSE)),"— tanımsız —")</f>
      </c>
      <c r="E702" s="23"/>
      <c r="F702" s="11">
        <f>IFERROR(IF(OR($C702="",$E702=""),0,$E702*VLOOKUP($C702,'Menü Kartları'!$B$5:$E$154,4,FALSE)),0)</f>
      </c>
      <c r="G702" s="11">
        <f>IFERROR(IF(OR($C702="",$E702=""),0,$E702*VLOOKUP($C702,'Menü Kartları'!$B$5:$G$154,6,FALSE)),0)</f>
      </c>
      <c r="H702" s="17">
        <f>IF($C702="","",$F702-$G702)</f>
      </c>
    </row>
    <row r="703" spans="2:8" x14ac:dyDescent="0.25">
      <c r="B703" s="20"/>
      <c r="C703" s="8"/>
      <c r="D703" s="15">
        <f>IFERROR(IF($C703="","",VLOOKUP($C703,'Menü Kartları'!$B$5:$C$154,2,FALSE)),"— tanımsız —")</f>
      </c>
      <c r="E703" s="21"/>
      <c r="F703" s="11">
        <f>IFERROR(IF(OR($C703="",$E703=""),0,$E703*VLOOKUP($C703,'Menü Kartları'!$B$5:$E$154,4,FALSE)),0)</f>
      </c>
      <c r="G703" s="11">
        <f>IFERROR(IF(OR($C703="",$E703=""),0,$E703*VLOOKUP($C703,'Menü Kartları'!$B$5:$G$154,6,FALSE)),0)</f>
      </c>
      <c r="H703" s="17">
        <f>IF($C703="","",$F703-$G703)</f>
      </c>
    </row>
    <row r="704" spans="2:8" x14ac:dyDescent="0.25">
      <c r="B704" s="22"/>
      <c r="C704" s="12"/>
      <c r="D704" s="15">
        <f>IFERROR(IF($C704="","",VLOOKUP($C704,'Menü Kartları'!$B$5:$C$154,2,FALSE)),"— tanımsız —")</f>
      </c>
      <c r="E704" s="23"/>
      <c r="F704" s="11">
        <f>IFERROR(IF(OR($C704="",$E704=""),0,$E704*VLOOKUP($C704,'Menü Kartları'!$B$5:$E$154,4,FALSE)),0)</f>
      </c>
      <c r="G704" s="11">
        <f>IFERROR(IF(OR($C704="",$E704=""),0,$E704*VLOOKUP($C704,'Menü Kartları'!$B$5:$G$154,6,FALSE)),0)</f>
      </c>
      <c r="H704" s="17">
        <f>IF($C704="","",$F704-$G704)</f>
      </c>
    </row>
    <row r="705" spans="2:8" x14ac:dyDescent="0.25">
      <c r="B705" s="20"/>
      <c r="C705" s="8"/>
      <c r="D705" s="15">
        <f>IFERROR(IF($C705="","",VLOOKUP($C705,'Menü Kartları'!$B$5:$C$154,2,FALSE)),"— tanımsız —")</f>
      </c>
      <c r="E705" s="21"/>
      <c r="F705" s="11">
        <f>IFERROR(IF(OR($C705="",$E705=""),0,$E705*VLOOKUP($C705,'Menü Kartları'!$B$5:$E$154,4,FALSE)),0)</f>
      </c>
      <c r="G705" s="11">
        <f>IFERROR(IF(OR($C705="",$E705=""),0,$E705*VLOOKUP($C705,'Menü Kartları'!$B$5:$G$154,6,FALSE)),0)</f>
      </c>
      <c r="H705" s="17">
        <f>IF($C705="","",$F705-$G705)</f>
      </c>
    </row>
    <row r="706" spans="2:8" x14ac:dyDescent="0.25">
      <c r="B706" s="22"/>
      <c r="C706" s="12"/>
      <c r="D706" s="15">
        <f>IFERROR(IF($C706="","",VLOOKUP($C706,'Menü Kartları'!$B$5:$C$154,2,FALSE)),"— tanımsız —")</f>
      </c>
      <c r="E706" s="23"/>
      <c r="F706" s="11">
        <f>IFERROR(IF(OR($C706="",$E706=""),0,$E706*VLOOKUP($C706,'Menü Kartları'!$B$5:$E$154,4,FALSE)),0)</f>
      </c>
      <c r="G706" s="11">
        <f>IFERROR(IF(OR($C706="",$E706=""),0,$E706*VLOOKUP($C706,'Menü Kartları'!$B$5:$G$154,6,FALSE)),0)</f>
      </c>
      <c r="H706" s="17">
        <f>IF($C706="","",$F706-$G706)</f>
      </c>
    </row>
    <row r="707" spans="2:8" x14ac:dyDescent="0.25">
      <c r="B707" s="20"/>
      <c r="C707" s="8"/>
      <c r="D707" s="15">
        <f>IFERROR(IF($C707="","",VLOOKUP($C707,'Menü Kartları'!$B$5:$C$154,2,FALSE)),"— tanımsız —")</f>
      </c>
      <c r="E707" s="21"/>
      <c r="F707" s="11">
        <f>IFERROR(IF(OR($C707="",$E707=""),0,$E707*VLOOKUP($C707,'Menü Kartları'!$B$5:$E$154,4,FALSE)),0)</f>
      </c>
      <c r="G707" s="11">
        <f>IFERROR(IF(OR($C707="",$E707=""),0,$E707*VLOOKUP($C707,'Menü Kartları'!$B$5:$G$154,6,FALSE)),0)</f>
      </c>
      <c r="H707" s="17">
        <f>IF($C707="","",$F707-$G707)</f>
      </c>
    </row>
    <row r="708" spans="2:8" x14ac:dyDescent="0.25">
      <c r="B708" s="22"/>
      <c r="C708" s="12"/>
      <c r="D708" s="15">
        <f>IFERROR(IF($C708="","",VLOOKUP($C708,'Menü Kartları'!$B$5:$C$154,2,FALSE)),"— tanımsız —")</f>
      </c>
      <c r="E708" s="23"/>
      <c r="F708" s="11">
        <f>IFERROR(IF(OR($C708="",$E708=""),0,$E708*VLOOKUP($C708,'Menü Kartları'!$B$5:$E$154,4,FALSE)),0)</f>
      </c>
      <c r="G708" s="11">
        <f>IFERROR(IF(OR($C708="",$E708=""),0,$E708*VLOOKUP($C708,'Menü Kartları'!$B$5:$G$154,6,FALSE)),0)</f>
      </c>
      <c r="H708" s="17">
        <f>IF($C708="","",$F708-$G708)</f>
      </c>
    </row>
    <row r="709" spans="2:8" x14ac:dyDescent="0.25">
      <c r="B709" s="20"/>
      <c r="C709" s="8"/>
      <c r="D709" s="15">
        <f>IFERROR(IF($C709="","",VLOOKUP($C709,'Menü Kartları'!$B$5:$C$154,2,FALSE)),"— tanımsız —")</f>
      </c>
      <c r="E709" s="21"/>
      <c r="F709" s="11">
        <f>IFERROR(IF(OR($C709="",$E709=""),0,$E709*VLOOKUP($C709,'Menü Kartları'!$B$5:$E$154,4,FALSE)),0)</f>
      </c>
      <c r="G709" s="11">
        <f>IFERROR(IF(OR($C709="",$E709=""),0,$E709*VLOOKUP($C709,'Menü Kartları'!$B$5:$G$154,6,FALSE)),0)</f>
      </c>
      <c r="H709" s="17">
        <f>IF($C709="","",$F709-$G709)</f>
      </c>
    </row>
    <row r="710" spans="2:8" x14ac:dyDescent="0.25">
      <c r="B710" s="22"/>
      <c r="C710" s="12"/>
      <c r="D710" s="15">
        <f>IFERROR(IF($C710="","",VLOOKUP($C710,'Menü Kartları'!$B$5:$C$154,2,FALSE)),"— tanımsız —")</f>
      </c>
      <c r="E710" s="23"/>
      <c r="F710" s="11">
        <f>IFERROR(IF(OR($C710="",$E710=""),0,$E710*VLOOKUP($C710,'Menü Kartları'!$B$5:$E$154,4,FALSE)),0)</f>
      </c>
      <c r="G710" s="11">
        <f>IFERROR(IF(OR($C710="",$E710=""),0,$E710*VLOOKUP($C710,'Menü Kartları'!$B$5:$G$154,6,FALSE)),0)</f>
      </c>
      <c r="H710" s="17">
        <f>IF($C710="","",$F710-$G710)</f>
      </c>
    </row>
    <row r="711" spans="2:8" x14ac:dyDescent="0.25">
      <c r="B711" s="20"/>
      <c r="C711" s="8"/>
      <c r="D711" s="15">
        <f>IFERROR(IF($C711="","",VLOOKUP($C711,'Menü Kartları'!$B$5:$C$154,2,FALSE)),"— tanımsız —")</f>
      </c>
      <c r="E711" s="21"/>
      <c r="F711" s="11">
        <f>IFERROR(IF(OR($C711="",$E711=""),0,$E711*VLOOKUP($C711,'Menü Kartları'!$B$5:$E$154,4,FALSE)),0)</f>
      </c>
      <c r="G711" s="11">
        <f>IFERROR(IF(OR($C711="",$E711=""),0,$E711*VLOOKUP($C711,'Menü Kartları'!$B$5:$G$154,6,FALSE)),0)</f>
      </c>
      <c r="H711" s="17">
        <f>IF($C711="","",$F711-$G711)</f>
      </c>
    </row>
    <row r="712" spans="2:8" x14ac:dyDescent="0.25">
      <c r="B712" s="22"/>
      <c r="C712" s="12"/>
      <c r="D712" s="15">
        <f>IFERROR(IF($C712="","",VLOOKUP($C712,'Menü Kartları'!$B$5:$C$154,2,FALSE)),"— tanımsız —")</f>
      </c>
      <c r="E712" s="23"/>
      <c r="F712" s="11">
        <f>IFERROR(IF(OR($C712="",$E712=""),0,$E712*VLOOKUP($C712,'Menü Kartları'!$B$5:$E$154,4,FALSE)),0)</f>
      </c>
      <c r="G712" s="11">
        <f>IFERROR(IF(OR($C712="",$E712=""),0,$E712*VLOOKUP($C712,'Menü Kartları'!$B$5:$G$154,6,FALSE)),0)</f>
      </c>
      <c r="H712" s="17">
        <f>IF($C712="","",$F712-$G712)</f>
      </c>
    </row>
    <row r="713" spans="2:8" x14ac:dyDescent="0.25">
      <c r="B713" s="20"/>
      <c r="C713" s="8"/>
      <c r="D713" s="15">
        <f>IFERROR(IF($C713="","",VLOOKUP($C713,'Menü Kartları'!$B$5:$C$154,2,FALSE)),"— tanımsız —")</f>
      </c>
      <c r="E713" s="21"/>
      <c r="F713" s="11">
        <f>IFERROR(IF(OR($C713="",$E713=""),0,$E713*VLOOKUP($C713,'Menü Kartları'!$B$5:$E$154,4,FALSE)),0)</f>
      </c>
      <c r="G713" s="11">
        <f>IFERROR(IF(OR($C713="",$E713=""),0,$E713*VLOOKUP($C713,'Menü Kartları'!$B$5:$G$154,6,FALSE)),0)</f>
      </c>
      <c r="H713" s="17">
        <f>IF($C713="","",$F713-$G713)</f>
      </c>
    </row>
    <row r="714" spans="2:8" x14ac:dyDescent="0.25">
      <c r="B714" s="22"/>
      <c r="C714" s="12"/>
      <c r="D714" s="15">
        <f>IFERROR(IF($C714="","",VLOOKUP($C714,'Menü Kartları'!$B$5:$C$154,2,FALSE)),"— tanımsız —")</f>
      </c>
      <c r="E714" s="23"/>
      <c r="F714" s="11">
        <f>IFERROR(IF(OR($C714="",$E714=""),0,$E714*VLOOKUP($C714,'Menü Kartları'!$B$5:$E$154,4,FALSE)),0)</f>
      </c>
      <c r="G714" s="11">
        <f>IFERROR(IF(OR($C714="",$E714=""),0,$E714*VLOOKUP($C714,'Menü Kartları'!$B$5:$G$154,6,FALSE)),0)</f>
      </c>
      <c r="H714" s="17">
        <f>IF($C714="","",$F714-$G714)</f>
      </c>
    </row>
    <row r="715" spans="2:8" x14ac:dyDescent="0.25">
      <c r="B715" s="20"/>
      <c r="C715" s="8"/>
      <c r="D715" s="15">
        <f>IFERROR(IF($C715="","",VLOOKUP($C715,'Menü Kartları'!$B$5:$C$154,2,FALSE)),"— tanımsız —")</f>
      </c>
      <c r="E715" s="21"/>
      <c r="F715" s="11">
        <f>IFERROR(IF(OR($C715="",$E715=""),0,$E715*VLOOKUP($C715,'Menü Kartları'!$B$5:$E$154,4,FALSE)),0)</f>
      </c>
      <c r="G715" s="11">
        <f>IFERROR(IF(OR($C715="",$E715=""),0,$E715*VLOOKUP($C715,'Menü Kartları'!$B$5:$G$154,6,FALSE)),0)</f>
      </c>
      <c r="H715" s="17">
        <f>IF($C715="","",$F715-$G715)</f>
      </c>
    </row>
    <row r="716" spans="2:8" x14ac:dyDescent="0.25">
      <c r="B716" s="22"/>
      <c r="C716" s="12"/>
      <c r="D716" s="15">
        <f>IFERROR(IF($C716="","",VLOOKUP($C716,'Menü Kartları'!$B$5:$C$154,2,FALSE)),"— tanımsız —")</f>
      </c>
      <c r="E716" s="23"/>
      <c r="F716" s="11">
        <f>IFERROR(IF(OR($C716="",$E716=""),0,$E716*VLOOKUP($C716,'Menü Kartları'!$B$5:$E$154,4,FALSE)),0)</f>
      </c>
      <c r="G716" s="11">
        <f>IFERROR(IF(OR($C716="",$E716=""),0,$E716*VLOOKUP($C716,'Menü Kartları'!$B$5:$G$154,6,FALSE)),0)</f>
      </c>
      <c r="H716" s="17">
        <f>IF($C716="","",$F716-$G716)</f>
      </c>
    </row>
    <row r="717" spans="2:8" x14ac:dyDescent="0.25">
      <c r="B717" s="20"/>
      <c r="C717" s="8"/>
      <c r="D717" s="15">
        <f>IFERROR(IF($C717="","",VLOOKUP($C717,'Menü Kartları'!$B$5:$C$154,2,FALSE)),"— tanımsız —")</f>
      </c>
      <c r="E717" s="21"/>
      <c r="F717" s="11">
        <f>IFERROR(IF(OR($C717="",$E717=""),0,$E717*VLOOKUP($C717,'Menü Kartları'!$B$5:$E$154,4,FALSE)),0)</f>
      </c>
      <c r="G717" s="11">
        <f>IFERROR(IF(OR($C717="",$E717=""),0,$E717*VLOOKUP($C717,'Menü Kartları'!$B$5:$G$154,6,FALSE)),0)</f>
      </c>
      <c r="H717" s="17">
        <f>IF($C717="","",$F717-$G717)</f>
      </c>
    </row>
    <row r="718" spans="2:8" x14ac:dyDescent="0.25">
      <c r="B718" s="22"/>
      <c r="C718" s="12"/>
      <c r="D718" s="15">
        <f>IFERROR(IF($C718="","",VLOOKUP($C718,'Menü Kartları'!$B$5:$C$154,2,FALSE)),"— tanımsız —")</f>
      </c>
      <c r="E718" s="23"/>
      <c r="F718" s="11">
        <f>IFERROR(IF(OR($C718="",$E718=""),0,$E718*VLOOKUP($C718,'Menü Kartları'!$B$5:$E$154,4,FALSE)),0)</f>
      </c>
      <c r="G718" s="11">
        <f>IFERROR(IF(OR($C718="",$E718=""),0,$E718*VLOOKUP($C718,'Menü Kartları'!$B$5:$G$154,6,FALSE)),0)</f>
      </c>
      <c r="H718" s="17">
        <f>IF($C718="","",$F718-$G718)</f>
      </c>
    </row>
    <row r="719" spans="2:8" x14ac:dyDescent="0.25">
      <c r="B719" s="20"/>
      <c r="C719" s="8"/>
      <c r="D719" s="15">
        <f>IFERROR(IF($C719="","",VLOOKUP($C719,'Menü Kartları'!$B$5:$C$154,2,FALSE)),"— tanımsız —")</f>
      </c>
      <c r="E719" s="21"/>
      <c r="F719" s="11">
        <f>IFERROR(IF(OR($C719="",$E719=""),0,$E719*VLOOKUP($C719,'Menü Kartları'!$B$5:$E$154,4,FALSE)),0)</f>
      </c>
      <c r="G719" s="11">
        <f>IFERROR(IF(OR($C719="",$E719=""),0,$E719*VLOOKUP($C719,'Menü Kartları'!$B$5:$G$154,6,FALSE)),0)</f>
      </c>
      <c r="H719" s="17">
        <f>IF($C719="","",$F719-$G719)</f>
      </c>
    </row>
    <row r="720" spans="2:8" x14ac:dyDescent="0.25">
      <c r="B720" s="22"/>
      <c r="C720" s="12"/>
      <c r="D720" s="15">
        <f>IFERROR(IF($C720="","",VLOOKUP($C720,'Menü Kartları'!$B$5:$C$154,2,FALSE)),"— tanımsız —")</f>
      </c>
      <c r="E720" s="23"/>
      <c r="F720" s="11">
        <f>IFERROR(IF(OR($C720="",$E720=""),0,$E720*VLOOKUP($C720,'Menü Kartları'!$B$5:$E$154,4,FALSE)),0)</f>
      </c>
      <c r="G720" s="11">
        <f>IFERROR(IF(OR($C720="",$E720=""),0,$E720*VLOOKUP($C720,'Menü Kartları'!$B$5:$G$154,6,FALSE)),0)</f>
      </c>
      <c r="H720" s="17">
        <f>IF($C720="","",$F720-$G720)</f>
      </c>
    </row>
    <row r="721" spans="2:8" x14ac:dyDescent="0.25">
      <c r="B721" s="20"/>
      <c r="C721" s="8"/>
      <c r="D721" s="15">
        <f>IFERROR(IF($C721="","",VLOOKUP($C721,'Menü Kartları'!$B$5:$C$154,2,FALSE)),"— tanımsız —")</f>
      </c>
      <c r="E721" s="21"/>
      <c r="F721" s="11">
        <f>IFERROR(IF(OR($C721="",$E721=""),0,$E721*VLOOKUP($C721,'Menü Kartları'!$B$5:$E$154,4,FALSE)),0)</f>
      </c>
      <c r="G721" s="11">
        <f>IFERROR(IF(OR($C721="",$E721=""),0,$E721*VLOOKUP($C721,'Menü Kartları'!$B$5:$G$154,6,FALSE)),0)</f>
      </c>
      <c r="H721" s="17">
        <f>IF($C721="","",$F721-$G721)</f>
      </c>
    </row>
    <row r="722" spans="2:8" x14ac:dyDescent="0.25">
      <c r="B722" s="22"/>
      <c r="C722" s="12"/>
      <c r="D722" s="15">
        <f>IFERROR(IF($C722="","",VLOOKUP($C722,'Menü Kartları'!$B$5:$C$154,2,FALSE)),"— tanımsız —")</f>
      </c>
      <c r="E722" s="23"/>
      <c r="F722" s="11">
        <f>IFERROR(IF(OR($C722="",$E722=""),0,$E722*VLOOKUP($C722,'Menü Kartları'!$B$5:$E$154,4,FALSE)),0)</f>
      </c>
      <c r="G722" s="11">
        <f>IFERROR(IF(OR($C722="",$E722=""),0,$E722*VLOOKUP($C722,'Menü Kartları'!$B$5:$G$154,6,FALSE)),0)</f>
      </c>
      <c r="H722" s="17">
        <f>IF($C722="","",$F722-$G722)</f>
      </c>
    </row>
    <row r="723" spans="2:8" x14ac:dyDescent="0.25">
      <c r="B723" s="20"/>
      <c r="C723" s="8"/>
      <c r="D723" s="15">
        <f>IFERROR(IF($C723="","",VLOOKUP($C723,'Menü Kartları'!$B$5:$C$154,2,FALSE)),"— tanımsız —")</f>
      </c>
      <c r="E723" s="21"/>
      <c r="F723" s="11">
        <f>IFERROR(IF(OR($C723="",$E723=""),0,$E723*VLOOKUP($C723,'Menü Kartları'!$B$5:$E$154,4,FALSE)),0)</f>
      </c>
      <c r="G723" s="11">
        <f>IFERROR(IF(OR($C723="",$E723=""),0,$E723*VLOOKUP($C723,'Menü Kartları'!$B$5:$G$154,6,FALSE)),0)</f>
      </c>
      <c r="H723" s="17">
        <f>IF($C723="","",$F723-$G723)</f>
      </c>
    </row>
    <row r="724" spans="2:8" x14ac:dyDescent="0.25">
      <c r="B724" s="22"/>
      <c r="C724" s="12"/>
      <c r="D724" s="15">
        <f>IFERROR(IF($C724="","",VLOOKUP($C724,'Menü Kartları'!$B$5:$C$154,2,FALSE)),"— tanımsız —")</f>
      </c>
      <c r="E724" s="23"/>
      <c r="F724" s="11">
        <f>IFERROR(IF(OR($C724="",$E724=""),0,$E724*VLOOKUP($C724,'Menü Kartları'!$B$5:$E$154,4,FALSE)),0)</f>
      </c>
      <c r="G724" s="11">
        <f>IFERROR(IF(OR($C724="",$E724=""),0,$E724*VLOOKUP($C724,'Menü Kartları'!$B$5:$G$154,6,FALSE)),0)</f>
      </c>
      <c r="H724" s="17">
        <f>IF($C724="","",$F724-$G724)</f>
      </c>
    </row>
    <row r="725" spans="2:8" x14ac:dyDescent="0.25">
      <c r="B725" s="20"/>
      <c r="C725" s="8"/>
      <c r="D725" s="15">
        <f>IFERROR(IF($C725="","",VLOOKUP($C725,'Menü Kartları'!$B$5:$C$154,2,FALSE)),"— tanımsız —")</f>
      </c>
      <c r="E725" s="21"/>
      <c r="F725" s="11">
        <f>IFERROR(IF(OR($C725="",$E725=""),0,$E725*VLOOKUP($C725,'Menü Kartları'!$B$5:$E$154,4,FALSE)),0)</f>
      </c>
      <c r="G725" s="11">
        <f>IFERROR(IF(OR($C725="",$E725=""),0,$E725*VLOOKUP($C725,'Menü Kartları'!$B$5:$G$154,6,FALSE)),0)</f>
      </c>
      <c r="H725" s="17">
        <f>IF($C725="","",$F725-$G725)</f>
      </c>
    </row>
    <row r="726" spans="2:8" x14ac:dyDescent="0.25">
      <c r="B726" s="22"/>
      <c r="C726" s="12"/>
      <c r="D726" s="15">
        <f>IFERROR(IF($C726="","",VLOOKUP($C726,'Menü Kartları'!$B$5:$C$154,2,FALSE)),"— tanımsız —")</f>
      </c>
      <c r="E726" s="23"/>
      <c r="F726" s="11">
        <f>IFERROR(IF(OR($C726="",$E726=""),0,$E726*VLOOKUP($C726,'Menü Kartları'!$B$5:$E$154,4,FALSE)),0)</f>
      </c>
      <c r="G726" s="11">
        <f>IFERROR(IF(OR($C726="",$E726=""),0,$E726*VLOOKUP($C726,'Menü Kartları'!$B$5:$G$154,6,FALSE)),0)</f>
      </c>
      <c r="H726" s="17">
        <f>IF($C726="","",$F726-$G726)</f>
      </c>
    </row>
    <row r="727" spans="2:8" x14ac:dyDescent="0.25">
      <c r="B727" s="20"/>
      <c r="C727" s="8"/>
      <c r="D727" s="15">
        <f>IFERROR(IF($C727="","",VLOOKUP($C727,'Menü Kartları'!$B$5:$C$154,2,FALSE)),"— tanımsız —")</f>
      </c>
      <c r="E727" s="21"/>
      <c r="F727" s="11">
        <f>IFERROR(IF(OR($C727="",$E727=""),0,$E727*VLOOKUP($C727,'Menü Kartları'!$B$5:$E$154,4,FALSE)),0)</f>
      </c>
      <c r="G727" s="11">
        <f>IFERROR(IF(OR($C727="",$E727=""),0,$E727*VLOOKUP($C727,'Menü Kartları'!$B$5:$G$154,6,FALSE)),0)</f>
      </c>
      <c r="H727" s="17">
        <f>IF($C727="","",$F727-$G727)</f>
      </c>
    </row>
    <row r="728" spans="2:8" x14ac:dyDescent="0.25">
      <c r="B728" s="22"/>
      <c r="C728" s="12"/>
      <c r="D728" s="15">
        <f>IFERROR(IF($C728="","",VLOOKUP($C728,'Menü Kartları'!$B$5:$C$154,2,FALSE)),"— tanımsız —")</f>
      </c>
      <c r="E728" s="23"/>
      <c r="F728" s="11">
        <f>IFERROR(IF(OR($C728="",$E728=""),0,$E728*VLOOKUP($C728,'Menü Kartları'!$B$5:$E$154,4,FALSE)),0)</f>
      </c>
      <c r="G728" s="11">
        <f>IFERROR(IF(OR($C728="",$E728=""),0,$E728*VLOOKUP($C728,'Menü Kartları'!$B$5:$G$154,6,FALSE)),0)</f>
      </c>
      <c r="H728" s="17">
        <f>IF($C728="","",$F728-$G728)</f>
      </c>
    </row>
    <row r="729" spans="2:8" x14ac:dyDescent="0.25">
      <c r="B729" s="20"/>
      <c r="C729" s="8"/>
      <c r="D729" s="15">
        <f>IFERROR(IF($C729="","",VLOOKUP($C729,'Menü Kartları'!$B$5:$C$154,2,FALSE)),"— tanımsız —")</f>
      </c>
      <c r="E729" s="21"/>
      <c r="F729" s="11">
        <f>IFERROR(IF(OR($C729="",$E729=""),0,$E729*VLOOKUP($C729,'Menü Kartları'!$B$5:$E$154,4,FALSE)),0)</f>
      </c>
      <c r="G729" s="11">
        <f>IFERROR(IF(OR($C729="",$E729=""),0,$E729*VLOOKUP($C729,'Menü Kartları'!$B$5:$G$154,6,FALSE)),0)</f>
      </c>
      <c r="H729" s="17">
        <f>IF($C729="","",$F729-$G729)</f>
      </c>
    </row>
    <row r="730" spans="2:8" x14ac:dyDescent="0.25">
      <c r="B730" s="22"/>
      <c r="C730" s="12"/>
      <c r="D730" s="15">
        <f>IFERROR(IF($C730="","",VLOOKUP($C730,'Menü Kartları'!$B$5:$C$154,2,FALSE)),"— tanımsız —")</f>
      </c>
      <c r="E730" s="23"/>
      <c r="F730" s="11">
        <f>IFERROR(IF(OR($C730="",$E730=""),0,$E730*VLOOKUP($C730,'Menü Kartları'!$B$5:$E$154,4,FALSE)),0)</f>
      </c>
      <c r="G730" s="11">
        <f>IFERROR(IF(OR($C730="",$E730=""),0,$E730*VLOOKUP($C730,'Menü Kartları'!$B$5:$G$154,6,FALSE)),0)</f>
      </c>
      <c r="H730" s="17">
        <f>IF($C730="","",$F730-$G730)</f>
      </c>
    </row>
    <row r="731" spans="2:8" x14ac:dyDescent="0.25">
      <c r="B731" s="20"/>
      <c r="C731" s="8"/>
      <c r="D731" s="15">
        <f>IFERROR(IF($C731="","",VLOOKUP($C731,'Menü Kartları'!$B$5:$C$154,2,FALSE)),"— tanımsız —")</f>
      </c>
      <c r="E731" s="21"/>
      <c r="F731" s="11">
        <f>IFERROR(IF(OR($C731="",$E731=""),0,$E731*VLOOKUP($C731,'Menü Kartları'!$B$5:$E$154,4,FALSE)),0)</f>
      </c>
      <c r="G731" s="11">
        <f>IFERROR(IF(OR($C731="",$E731=""),0,$E731*VLOOKUP($C731,'Menü Kartları'!$B$5:$G$154,6,FALSE)),0)</f>
      </c>
      <c r="H731" s="17">
        <f>IF($C731="","",$F731-$G731)</f>
      </c>
    </row>
    <row r="732" spans="2:8" x14ac:dyDescent="0.25">
      <c r="B732" s="22"/>
      <c r="C732" s="12"/>
      <c r="D732" s="15">
        <f>IFERROR(IF($C732="","",VLOOKUP($C732,'Menü Kartları'!$B$5:$C$154,2,FALSE)),"— tanımsız —")</f>
      </c>
      <c r="E732" s="23"/>
      <c r="F732" s="11">
        <f>IFERROR(IF(OR($C732="",$E732=""),0,$E732*VLOOKUP($C732,'Menü Kartları'!$B$5:$E$154,4,FALSE)),0)</f>
      </c>
      <c r="G732" s="11">
        <f>IFERROR(IF(OR($C732="",$E732=""),0,$E732*VLOOKUP($C732,'Menü Kartları'!$B$5:$G$154,6,FALSE)),0)</f>
      </c>
      <c r="H732" s="17">
        <f>IF($C732="","",$F732-$G732)</f>
      </c>
    </row>
    <row r="733" spans="2:8" x14ac:dyDescent="0.25">
      <c r="B733" s="20"/>
      <c r="C733" s="8"/>
      <c r="D733" s="15">
        <f>IFERROR(IF($C733="","",VLOOKUP($C733,'Menü Kartları'!$B$5:$C$154,2,FALSE)),"— tanımsız —")</f>
      </c>
      <c r="E733" s="21"/>
      <c r="F733" s="11">
        <f>IFERROR(IF(OR($C733="",$E733=""),0,$E733*VLOOKUP($C733,'Menü Kartları'!$B$5:$E$154,4,FALSE)),0)</f>
      </c>
      <c r="G733" s="11">
        <f>IFERROR(IF(OR($C733="",$E733=""),0,$E733*VLOOKUP($C733,'Menü Kartları'!$B$5:$G$154,6,FALSE)),0)</f>
      </c>
      <c r="H733" s="17">
        <f>IF($C733="","",$F733-$G733)</f>
      </c>
    </row>
    <row r="734" spans="2:8" x14ac:dyDescent="0.25">
      <c r="B734" s="22"/>
      <c r="C734" s="12"/>
      <c r="D734" s="15">
        <f>IFERROR(IF($C734="","",VLOOKUP($C734,'Menü Kartları'!$B$5:$C$154,2,FALSE)),"— tanımsız —")</f>
      </c>
      <c r="E734" s="23"/>
      <c r="F734" s="11">
        <f>IFERROR(IF(OR($C734="",$E734=""),0,$E734*VLOOKUP($C734,'Menü Kartları'!$B$5:$E$154,4,FALSE)),0)</f>
      </c>
      <c r="G734" s="11">
        <f>IFERROR(IF(OR($C734="",$E734=""),0,$E734*VLOOKUP($C734,'Menü Kartları'!$B$5:$G$154,6,FALSE)),0)</f>
      </c>
      <c r="H734" s="17">
        <f>IF($C734="","",$F734-$G734)</f>
      </c>
    </row>
    <row r="735" spans="2:8" x14ac:dyDescent="0.25">
      <c r="B735" s="20"/>
      <c r="C735" s="8"/>
      <c r="D735" s="15">
        <f>IFERROR(IF($C735="","",VLOOKUP($C735,'Menü Kartları'!$B$5:$C$154,2,FALSE)),"— tanımsız —")</f>
      </c>
      <c r="E735" s="21"/>
      <c r="F735" s="11">
        <f>IFERROR(IF(OR($C735="",$E735=""),0,$E735*VLOOKUP($C735,'Menü Kartları'!$B$5:$E$154,4,FALSE)),0)</f>
      </c>
      <c r="G735" s="11">
        <f>IFERROR(IF(OR($C735="",$E735=""),0,$E735*VLOOKUP($C735,'Menü Kartları'!$B$5:$G$154,6,FALSE)),0)</f>
      </c>
      <c r="H735" s="17">
        <f>IF($C735="","",$F735-$G735)</f>
      </c>
    </row>
    <row r="736" spans="2:8" x14ac:dyDescent="0.25">
      <c r="B736" s="22"/>
      <c r="C736" s="12"/>
      <c r="D736" s="15">
        <f>IFERROR(IF($C736="","",VLOOKUP($C736,'Menü Kartları'!$B$5:$C$154,2,FALSE)),"— tanımsız —")</f>
      </c>
      <c r="E736" s="23"/>
      <c r="F736" s="11">
        <f>IFERROR(IF(OR($C736="",$E736=""),0,$E736*VLOOKUP($C736,'Menü Kartları'!$B$5:$E$154,4,FALSE)),0)</f>
      </c>
      <c r="G736" s="11">
        <f>IFERROR(IF(OR($C736="",$E736=""),0,$E736*VLOOKUP($C736,'Menü Kartları'!$B$5:$G$154,6,FALSE)),0)</f>
      </c>
      <c r="H736" s="17">
        <f>IF($C736="","",$F736-$G736)</f>
      </c>
    </row>
    <row r="737" spans="2:8" x14ac:dyDescent="0.25">
      <c r="B737" s="20"/>
      <c r="C737" s="8"/>
      <c r="D737" s="15">
        <f>IFERROR(IF($C737="","",VLOOKUP($C737,'Menü Kartları'!$B$5:$C$154,2,FALSE)),"— tanımsız —")</f>
      </c>
      <c r="E737" s="21"/>
      <c r="F737" s="11">
        <f>IFERROR(IF(OR($C737="",$E737=""),0,$E737*VLOOKUP($C737,'Menü Kartları'!$B$5:$E$154,4,FALSE)),0)</f>
      </c>
      <c r="G737" s="11">
        <f>IFERROR(IF(OR($C737="",$E737=""),0,$E737*VLOOKUP($C737,'Menü Kartları'!$B$5:$G$154,6,FALSE)),0)</f>
      </c>
      <c r="H737" s="17">
        <f>IF($C737="","",$F737-$G737)</f>
      </c>
    </row>
    <row r="738" spans="2:8" x14ac:dyDescent="0.25">
      <c r="B738" s="22"/>
      <c r="C738" s="12"/>
      <c r="D738" s="15">
        <f>IFERROR(IF($C738="","",VLOOKUP($C738,'Menü Kartları'!$B$5:$C$154,2,FALSE)),"— tanımsız —")</f>
      </c>
      <c r="E738" s="23"/>
      <c r="F738" s="11">
        <f>IFERROR(IF(OR($C738="",$E738=""),0,$E738*VLOOKUP($C738,'Menü Kartları'!$B$5:$E$154,4,FALSE)),0)</f>
      </c>
      <c r="G738" s="11">
        <f>IFERROR(IF(OR($C738="",$E738=""),0,$E738*VLOOKUP($C738,'Menü Kartları'!$B$5:$G$154,6,FALSE)),0)</f>
      </c>
      <c r="H738" s="17">
        <f>IF($C738="","",$F738-$G738)</f>
      </c>
    </row>
    <row r="739" spans="2:8" x14ac:dyDescent="0.25">
      <c r="B739" s="20"/>
      <c r="C739" s="8"/>
      <c r="D739" s="15">
        <f>IFERROR(IF($C739="","",VLOOKUP($C739,'Menü Kartları'!$B$5:$C$154,2,FALSE)),"— tanımsız —")</f>
      </c>
      <c r="E739" s="21"/>
      <c r="F739" s="11">
        <f>IFERROR(IF(OR($C739="",$E739=""),0,$E739*VLOOKUP($C739,'Menü Kartları'!$B$5:$E$154,4,FALSE)),0)</f>
      </c>
      <c r="G739" s="11">
        <f>IFERROR(IF(OR($C739="",$E739=""),0,$E739*VLOOKUP($C739,'Menü Kartları'!$B$5:$G$154,6,FALSE)),0)</f>
      </c>
      <c r="H739" s="17">
        <f>IF($C739="","",$F739-$G739)</f>
      </c>
    </row>
    <row r="740" spans="2:8" x14ac:dyDescent="0.25">
      <c r="B740" s="22"/>
      <c r="C740" s="12"/>
      <c r="D740" s="15">
        <f>IFERROR(IF($C740="","",VLOOKUP($C740,'Menü Kartları'!$B$5:$C$154,2,FALSE)),"— tanımsız —")</f>
      </c>
      <c r="E740" s="23"/>
      <c r="F740" s="11">
        <f>IFERROR(IF(OR($C740="",$E740=""),0,$E740*VLOOKUP($C740,'Menü Kartları'!$B$5:$E$154,4,FALSE)),0)</f>
      </c>
      <c r="G740" s="11">
        <f>IFERROR(IF(OR($C740="",$E740=""),0,$E740*VLOOKUP($C740,'Menü Kartları'!$B$5:$G$154,6,FALSE)),0)</f>
      </c>
      <c r="H740" s="17">
        <f>IF($C740="","",$F740-$G740)</f>
      </c>
    </row>
    <row r="741" spans="2:8" x14ac:dyDescent="0.25">
      <c r="B741" s="20"/>
      <c r="C741" s="8"/>
      <c r="D741" s="15">
        <f>IFERROR(IF($C741="","",VLOOKUP($C741,'Menü Kartları'!$B$5:$C$154,2,FALSE)),"— tanımsız —")</f>
      </c>
      <c r="E741" s="21"/>
      <c r="F741" s="11">
        <f>IFERROR(IF(OR($C741="",$E741=""),0,$E741*VLOOKUP($C741,'Menü Kartları'!$B$5:$E$154,4,FALSE)),0)</f>
      </c>
      <c r="G741" s="11">
        <f>IFERROR(IF(OR($C741="",$E741=""),0,$E741*VLOOKUP($C741,'Menü Kartları'!$B$5:$G$154,6,FALSE)),0)</f>
      </c>
      <c r="H741" s="17">
        <f>IF($C741="","",$F741-$G741)</f>
      </c>
    </row>
    <row r="742" spans="2:8" x14ac:dyDescent="0.25">
      <c r="B742" s="22"/>
      <c r="C742" s="12"/>
      <c r="D742" s="15">
        <f>IFERROR(IF($C742="","",VLOOKUP($C742,'Menü Kartları'!$B$5:$C$154,2,FALSE)),"— tanımsız —")</f>
      </c>
      <c r="E742" s="23"/>
      <c r="F742" s="11">
        <f>IFERROR(IF(OR($C742="",$E742=""),0,$E742*VLOOKUP($C742,'Menü Kartları'!$B$5:$E$154,4,FALSE)),0)</f>
      </c>
      <c r="G742" s="11">
        <f>IFERROR(IF(OR($C742="",$E742=""),0,$E742*VLOOKUP($C742,'Menü Kartları'!$B$5:$G$154,6,FALSE)),0)</f>
      </c>
      <c r="H742" s="17">
        <f>IF($C742="","",$F742-$G742)</f>
      </c>
    </row>
    <row r="743" spans="2:8" x14ac:dyDescent="0.25">
      <c r="B743" s="20"/>
      <c r="C743" s="8"/>
      <c r="D743" s="15">
        <f>IFERROR(IF($C743="","",VLOOKUP($C743,'Menü Kartları'!$B$5:$C$154,2,FALSE)),"— tanımsız —")</f>
      </c>
      <c r="E743" s="21"/>
      <c r="F743" s="11">
        <f>IFERROR(IF(OR($C743="",$E743=""),0,$E743*VLOOKUP($C743,'Menü Kartları'!$B$5:$E$154,4,FALSE)),0)</f>
      </c>
      <c r="G743" s="11">
        <f>IFERROR(IF(OR($C743="",$E743=""),0,$E743*VLOOKUP($C743,'Menü Kartları'!$B$5:$G$154,6,FALSE)),0)</f>
      </c>
      <c r="H743" s="17">
        <f>IF($C743="","",$F743-$G743)</f>
      </c>
    </row>
    <row r="744" spans="2:8" x14ac:dyDescent="0.25">
      <c r="B744" s="22"/>
      <c r="C744" s="12"/>
      <c r="D744" s="15">
        <f>IFERROR(IF($C744="","",VLOOKUP($C744,'Menü Kartları'!$B$5:$C$154,2,FALSE)),"— tanımsız —")</f>
      </c>
      <c r="E744" s="23"/>
      <c r="F744" s="11">
        <f>IFERROR(IF(OR($C744="",$E744=""),0,$E744*VLOOKUP($C744,'Menü Kartları'!$B$5:$E$154,4,FALSE)),0)</f>
      </c>
      <c r="G744" s="11">
        <f>IFERROR(IF(OR($C744="",$E744=""),0,$E744*VLOOKUP($C744,'Menü Kartları'!$B$5:$G$154,6,FALSE)),0)</f>
      </c>
      <c r="H744" s="17">
        <f>IF($C744="","",$F744-$G744)</f>
      </c>
    </row>
    <row r="745" spans="2:8" x14ac:dyDescent="0.25">
      <c r="B745" s="20"/>
      <c r="C745" s="8"/>
      <c r="D745" s="15">
        <f>IFERROR(IF($C745="","",VLOOKUP($C745,'Menü Kartları'!$B$5:$C$154,2,FALSE)),"— tanımsız —")</f>
      </c>
      <c r="E745" s="21"/>
      <c r="F745" s="11">
        <f>IFERROR(IF(OR($C745="",$E745=""),0,$E745*VLOOKUP($C745,'Menü Kartları'!$B$5:$E$154,4,FALSE)),0)</f>
      </c>
      <c r="G745" s="11">
        <f>IFERROR(IF(OR($C745="",$E745=""),0,$E745*VLOOKUP($C745,'Menü Kartları'!$B$5:$G$154,6,FALSE)),0)</f>
      </c>
      <c r="H745" s="17">
        <f>IF($C745="","",$F745-$G745)</f>
      </c>
    </row>
    <row r="746" spans="2:8" x14ac:dyDescent="0.25">
      <c r="B746" s="22"/>
      <c r="C746" s="12"/>
      <c r="D746" s="15">
        <f>IFERROR(IF($C746="","",VLOOKUP($C746,'Menü Kartları'!$B$5:$C$154,2,FALSE)),"— tanımsız —")</f>
      </c>
      <c r="E746" s="23"/>
      <c r="F746" s="11">
        <f>IFERROR(IF(OR($C746="",$E746=""),0,$E746*VLOOKUP($C746,'Menü Kartları'!$B$5:$E$154,4,FALSE)),0)</f>
      </c>
      <c r="G746" s="11">
        <f>IFERROR(IF(OR($C746="",$E746=""),0,$E746*VLOOKUP($C746,'Menü Kartları'!$B$5:$G$154,6,FALSE)),0)</f>
      </c>
      <c r="H746" s="17">
        <f>IF($C746="","",$F746-$G746)</f>
      </c>
    </row>
    <row r="747" spans="2:8" x14ac:dyDescent="0.25">
      <c r="B747" s="20"/>
      <c r="C747" s="8"/>
      <c r="D747" s="15">
        <f>IFERROR(IF($C747="","",VLOOKUP($C747,'Menü Kartları'!$B$5:$C$154,2,FALSE)),"— tanımsız —")</f>
      </c>
      <c r="E747" s="21"/>
      <c r="F747" s="11">
        <f>IFERROR(IF(OR($C747="",$E747=""),0,$E747*VLOOKUP($C747,'Menü Kartları'!$B$5:$E$154,4,FALSE)),0)</f>
      </c>
      <c r="G747" s="11">
        <f>IFERROR(IF(OR($C747="",$E747=""),0,$E747*VLOOKUP($C747,'Menü Kartları'!$B$5:$G$154,6,FALSE)),0)</f>
      </c>
      <c r="H747" s="17">
        <f>IF($C747="","",$F747-$G747)</f>
      </c>
    </row>
    <row r="748" spans="2:8" x14ac:dyDescent="0.25">
      <c r="B748" s="22"/>
      <c r="C748" s="12"/>
      <c r="D748" s="15">
        <f>IFERROR(IF($C748="","",VLOOKUP($C748,'Menü Kartları'!$B$5:$C$154,2,FALSE)),"— tanımsız —")</f>
      </c>
      <c r="E748" s="23"/>
      <c r="F748" s="11">
        <f>IFERROR(IF(OR($C748="",$E748=""),0,$E748*VLOOKUP($C748,'Menü Kartları'!$B$5:$E$154,4,FALSE)),0)</f>
      </c>
      <c r="G748" s="11">
        <f>IFERROR(IF(OR($C748="",$E748=""),0,$E748*VLOOKUP($C748,'Menü Kartları'!$B$5:$G$154,6,FALSE)),0)</f>
      </c>
      <c r="H748" s="17">
        <f>IF($C748="","",$F748-$G748)</f>
      </c>
    </row>
    <row r="749" spans="2:8" x14ac:dyDescent="0.25">
      <c r="B749" s="20"/>
      <c r="C749" s="8"/>
      <c r="D749" s="15">
        <f>IFERROR(IF($C749="","",VLOOKUP($C749,'Menü Kartları'!$B$5:$C$154,2,FALSE)),"— tanımsız —")</f>
      </c>
      <c r="E749" s="21"/>
      <c r="F749" s="11">
        <f>IFERROR(IF(OR($C749="",$E749=""),0,$E749*VLOOKUP($C749,'Menü Kartları'!$B$5:$E$154,4,FALSE)),0)</f>
      </c>
      <c r="G749" s="11">
        <f>IFERROR(IF(OR($C749="",$E749=""),0,$E749*VLOOKUP($C749,'Menü Kartları'!$B$5:$G$154,6,FALSE)),0)</f>
      </c>
      <c r="H749" s="17">
        <f>IF($C749="","",$F749-$G749)</f>
      </c>
    </row>
    <row r="750" spans="2:8" x14ac:dyDescent="0.25">
      <c r="B750" s="22"/>
      <c r="C750" s="12"/>
      <c r="D750" s="15">
        <f>IFERROR(IF($C750="","",VLOOKUP($C750,'Menü Kartları'!$B$5:$C$154,2,FALSE)),"— tanımsız —")</f>
      </c>
      <c r="E750" s="23"/>
      <c r="F750" s="11">
        <f>IFERROR(IF(OR($C750="",$E750=""),0,$E750*VLOOKUP($C750,'Menü Kartları'!$B$5:$E$154,4,FALSE)),0)</f>
      </c>
      <c r="G750" s="11">
        <f>IFERROR(IF(OR($C750="",$E750=""),0,$E750*VLOOKUP($C750,'Menü Kartları'!$B$5:$G$154,6,FALSE)),0)</f>
      </c>
      <c r="H750" s="17">
        <f>IF($C750="","",$F750-$G750)</f>
      </c>
    </row>
    <row r="751" spans="2:8" x14ac:dyDescent="0.25">
      <c r="B751" s="20"/>
      <c r="C751" s="8"/>
      <c r="D751" s="15">
        <f>IFERROR(IF($C751="","",VLOOKUP($C751,'Menü Kartları'!$B$5:$C$154,2,FALSE)),"— tanımsız —")</f>
      </c>
      <c r="E751" s="21"/>
      <c r="F751" s="11">
        <f>IFERROR(IF(OR($C751="",$E751=""),0,$E751*VLOOKUP($C751,'Menü Kartları'!$B$5:$E$154,4,FALSE)),0)</f>
      </c>
      <c r="G751" s="11">
        <f>IFERROR(IF(OR($C751="",$E751=""),0,$E751*VLOOKUP($C751,'Menü Kartları'!$B$5:$G$154,6,FALSE)),0)</f>
      </c>
      <c r="H751" s="17">
        <f>IF($C751="","",$F751-$G751)</f>
      </c>
    </row>
    <row r="752" spans="2:8" x14ac:dyDescent="0.25">
      <c r="B752" s="22"/>
      <c r="C752" s="12"/>
      <c r="D752" s="15">
        <f>IFERROR(IF($C752="","",VLOOKUP($C752,'Menü Kartları'!$B$5:$C$154,2,FALSE)),"— tanımsız —")</f>
      </c>
      <c r="E752" s="23"/>
      <c r="F752" s="11">
        <f>IFERROR(IF(OR($C752="",$E752=""),0,$E752*VLOOKUP($C752,'Menü Kartları'!$B$5:$E$154,4,FALSE)),0)</f>
      </c>
      <c r="G752" s="11">
        <f>IFERROR(IF(OR($C752="",$E752=""),0,$E752*VLOOKUP($C752,'Menü Kartları'!$B$5:$G$154,6,FALSE)),0)</f>
      </c>
      <c r="H752" s="17">
        <f>IF($C752="","",$F752-$G752)</f>
      </c>
    </row>
    <row r="753" spans="2:8" x14ac:dyDescent="0.25">
      <c r="B753" s="20"/>
      <c r="C753" s="8"/>
      <c r="D753" s="15">
        <f>IFERROR(IF($C753="","",VLOOKUP($C753,'Menü Kartları'!$B$5:$C$154,2,FALSE)),"— tanımsız —")</f>
      </c>
      <c r="E753" s="21"/>
      <c r="F753" s="11">
        <f>IFERROR(IF(OR($C753="",$E753=""),0,$E753*VLOOKUP($C753,'Menü Kartları'!$B$5:$E$154,4,FALSE)),0)</f>
      </c>
      <c r="G753" s="11">
        <f>IFERROR(IF(OR($C753="",$E753=""),0,$E753*VLOOKUP($C753,'Menü Kartları'!$B$5:$G$154,6,FALSE)),0)</f>
      </c>
      <c r="H753" s="17">
        <f>IF($C753="","",$F753-$G753)</f>
      </c>
    </row>
    <row r="754" spans="2:8" x14ac:dyDescent="0.25">
      <c r="B754" s="22"/>
      <c r="C754" s="12"/>
      <c r="D754" s="15">
        <f>IFERROR(IF($C754="","",VLOOKUP($C754,'Menü Kartları'!$B$5:$C$154,2,FALSE)),"— tanımsız —")</f>
      </c>
      <c r="E754" s="23"/>
      <c r="F754" s="11">
        <f>IFERROR(IF(OR($C754="",$E754=""),0,$E754*VLOOKUP($C754,'Menü Kartları'!$B$5:$E$154,4,FALSE)),0)</f>
      </c>
      <c r="G754" s="11">
        <f>IFERROR(IF(OR($C754="",$E754=""),0,$E754*VLOOKUP($C754,'Menü Kartları'!$B$5:$G$154,6,FALSE)),0)</f>
      </c>
      <c r="H754" s="17">
        <f>IF($C754="","",$F754-$G754)</f>
      </c>
    </row>
    <row r="755" spans="2:8" x14ac:dyDescent="0.25">
      <c r="B755" s="20"/>
      <c r="C755" s="8"/>
      <c r="D755" s="15">
        <f>IFERROR(IF($C755="","",VLOOKUP($C755,'Menü Kartları'!$B$5:$C$154,2,FALSE)),"— tanımsız —")</f>
      </c>
      <c r="E755" s="21"/>
      <c r="F755" s="11">
        <f>IFERROR(IF(OR($C755="",$E755=""),0,$E755*VLOOKUP($C755,'Menü Kartları'!$B$5:$E$154,4,FALSE)),0)</f>
      </c>
      <c r="G755" s="11">
        <f>IFERROR(IF(OR($C755="",$E755=""),0,$E755*VLOOKUP($C755,'Menü Kartları'!$B$5:$G$154,6,FALSE)),0)</f>
      </c>
      <c r="H755" s="17">
        <f>IF($C755="","",$F755-$G755)</f>
      </c>
    </row>
    <row r="756" spans="2:8" x14ac:dyDescent="0.25">
      <c r="B756" s="22"/>
      <c r="C756" s="12"/>
      <c r="D756" s="15">
        <f>IFERROR(IF($C756="","",VLOOKUP($C756,'Menü Kartları'!$B$5:$C$154,2,FALSE)),"— tanımsız —")</f>
      </c>
      <c r="E756" s="23"/>
      <c r="F756" s="11">
        <f>IFERROR(IF(OR($C756="",$E756=""),0,$E756*VLOOKUP($C756,'Menü Kartları'!$B$5:$E$154,4,FALSE)),0)</f>
      </c>
      <c r="G756" s="11">
        <f>IFERROR(IF(OR($C756="",$E756=""),0,$E756*VLOOKUP($C756,'Menü Kartları'!$B$5:$G$154,6,FALSE)),0)</f>
      </c>
      <c r="H756" s="17">
        <f>IF($C756="","",$F756-$G756)</f>
      </c>
    </row>
    <row r="757" spans="2:8" x14ac:dyDescent="0.25">
      <c r="B757" s="20"/>
      <c r="C757" s="8"/>
      <c r="D757" s="15">
        <f>IFERROR(IF($C757="","",VLOOKUP($C757,'Menü Kartları'!$B$5:$C$154,2,FALSE)),"— tanımsız —")</f>
      </c>
      <c r="E757" s="21"/>
      <c r="F757" s="11">
        <f>IFERROR(IF(OR($C757="",$E757=""),0,$E757*VLOOKUP($C757,'Menü Kartları'!$B$5:$E$154,4,FALSE)),0)</f>
      </c>
      <c r="G757" s="11">
        <f>IFERROR(IF(OR($C757="",$E757=""),0,$E757*VLOOKUP($C757,'Menü Kartları'!$B$5:$G$154,6,FALSE)),0)</f>
      </c>
      <c r="H757" s="17">
        <f>IF($C757="","",$F757-$G757)</f>
      </c>
    </row>
    <row r="758" spans="2:8" x14ac:dyDescent="0.25">
      <c r="B758" s="22"/>
      <c r="C758" s="12"/>
      <c r="D758" s="15">
        <f>IFERROR(IF($C758="","",VLOOKUP($C758,'Menü Kartları'!$B$5:$C$154,2,FALSE)),"— tanımsız —")</f>
      </c>
      <c r="E758" s="23"/>
      <c r="F758" s="11">
        <f>IFERROR(IF(OR($C758="",$E758=""),0,$E758*VLOOKUP($C758,'Menü Kartları'!$B$5:$E$154,4,FALSE)),0)</f>
      </c>
      <c r="G758" s="11">
        <f>IFERROR(IF(OR($C758="",$E758=""),0,$E758*VLOOKUP($C758,'Menü Kartları'!$B$5:$G$154,6,FALSE)),0)</f>
      </c>
      <c r="H758" s="17">
        <f>IF($C758="","",$F758-$G758)</f>
      </c>
    </row>
    <row r="759" spans="2:8" x14ac:dyDescent="0.25">
      <c r="B759" s="20"/>
      <c r="C759" s="8"/>
      <c r="D759" s="15">
        <f>IFERROR(IF($C759="","",VLOOKUP($C759,'Menü Kartları'!$B$5:$C$154,2,FALSE)),"— tanımsız —")</f>
      </c>
      <c r="E759" s="21"/>
      <c r="F759" s="11">
        <f>IFERROR(IF(OR($C759="",$E759=""),0,$E759*VLOOKUP($C759,'Menü Kartları'!$B$5:$E$154,4,FALSE)),0)</f>
      </c>
      <c r="G759" s="11">
        <f>IFERROR(IF(OR($C759="",$E759=""),0,$E759*VLOOKUP($C759,'Menü Kartları'!$B$5:$G$154,6,FALSE)),0)</f>
      </c>
      <c r="H759" s="17">
        <f>IF($C759="","",$F759-$G759)</f>
      </c>
    </row>
    <row r="760" spans="2:8" x14ac:dyDescent="0.25">
      <c r="B760" s="22"/>
      <c r="C760" s="12"/>
      <c r="D760" s="15">
        <f>IFERROR(IF($C760="","",VLOOKUP($C760,'Menü Kartları'!$B$5:$C$154,2,FALSE)),"— tanımsız —")</f>
      </c>
      <c r="E760" s="23"/>
      <c r="F760" s="11">
        <f>IFERROR(IF(OR($C760="",$E760=""),0,$E760*VLOOKUP($C760,'Menü Kartları'!$B$5:$E$154,4,FALSE)),0)</f>
      </c>
      <c r="G760" s="11">
        <f>IFERROR(IF(OR($C760="",$E760=""),0,$E760*VLOOKUP($C760,'Menü Kartları'!$B$5:$G$154,6,FALSE)),0)</f>
      </c>
      <c r="H760" s="17">
        <f>IF($C760="","",$F760-$G760)</f>
      </c>
    </row>
    <row r="761" spans="2:8" x14ac:dyDescent="0.25">
      <c r="B761" s="20"/>
      <c r="C761" s="8"/>
      <c r="D761" s="15">
        <f>IFERROR(IF($C761="","",VLOOKUP($C761,'Menü Kartları'!$B$5:$C$154,2,FALSE)),"— tanımsız —")</f>
      </c>
      <c r="E761" s="21"/>
      <c r="F761" s="11">
        <f>IFERROR(IF(OR($C761="",$E761=""),0,$E761*VLOOKUP($C761,'Menü Kartları'!$B$5:$E$154,4,FALSE)),0)</f>
      </c>
      <c r="G761" s="11">
        <f>IFERROR(IF(OR($C761="",$E761=""),0,$E761*VLOOKUP($C761,'Menü Kartları'!$B$5:$G$154,6,FALSE)),0)</f>
      </c>
      <c r="H761" s="17">
        <f>IF($C761="","",$F761-$G761)</f>
      </c>
    </row>
    <row r="762" spans="2:8" x14ac:dyDescent="0.25">
      <c r="B762" s="22"/>
      <c r="C762" s="12"/>
      <c r="D762" s="15">
        <f>IFERROR(IF($C762="","",VLOOKUP($C762,'Menü Kartları'!$B$5:$C$154,2,FALSE)),"— tanımsız —")</f>
      </c>
      <c r="E762" s="23"/>
      <c r="F762" s="11">
        <f>IFERROR(IF(OR($C762="",$E762=""),0,$E762*VLOOKUP($C762,'Menü Kartları'!$B$5:$E$154,4,FALSE)),0)</f>
      </c>
      <c r="G762" s="11">
        <f>IFERROR(IF(OR($C762="",$E762=""),0,$E762*VLOOKUP($C762,'Menü Kartları'!$B$5:$G$154,6,FALSE)),0)</f>
      </c>
      <c r="H762" s="17">
        <f>IF($C762="","",$F762-$G762)</f>
      </c>
    </row>
    <row r="763" spans="2:8" x14ac:dyDescent="0.25">
      <c r="B763" s="20"/>
      <c r="C763" s="8"/>
      <c r="D763" s="15">
        <f>IFERROR(IF($C763="","",VLOOKUP($C763,'Menü Kartları'!$B$5:$C$154,2,FALSE)),"— tanımsız —")</f>
      </c>
      <c r="E763" s="21"/>
      <c r="F763" s="11">
        <f>IFERROR(IF(OR($C763="",$E763=""),0,$E763*VLOOKUP($C763,'Menü Kartları'!$B$5:$E$154,4,FALSE)),0)</f>
      </c>
      <c r="G763" s="11">
        <f>IFERROR(IF(OR($C763="",$E763=""),0,$E763*VLOOKUP($C763,'Menü Kartları'!$B$5:$G$154,6,FALSE)),0)</f>
      </c>
      <c r="H763" s="17">
        <f>IF($C763="","",$F763-$G763)</f>
      </c>
    </row>
    <row r="764" spans="2:8" x14ac:dyDescent="0.25">
      <c r="B764" s="22"/>
      <c r="C764" s="12"/>
      <c r="D764" s="15">
        <f>IFERROR(IF($C764="","",VLOOKUP($C764,'Menü Kartları'!$B$5:$C$154,2,FALSE)),"— tanımsız —")</f>
      </c>
      <c r="E764" s="23"/>
      <c r="F764" s="11">
        <f>IFERROR(IF(OR($C764="",$E764=""),0,$E764*VLOOKUP($C764,'Menü Kartları'!$B$5:$E$154,4,FALSE)),0)</f>
      </c>
      <c r="G764" s="11">
        <f>IFERROR(IF(OR($C764="",$E764=""),0,$E764*VLOOKUP($C764,'Menü Kartları'!$B$5:$G$154,6,FALSE)),0)</f>
      </c>
      <c r="H764" s="17">
        <f>IF($C764="","",$F764-$G764)</f>
      </c>
    </row>
    <row r="765" spans="2:8" x14ac:dyDescent="0.25">
      <c r="B765" s="20"/>
      <c r="C765" s="8"/>
      <c r="D765" s="15">
        <f>IFERROR(IF($C765="","",VLOOKUP($C765,'Menü Kartları'!$B$5:$C$154,2,FALSE)),"— tanımsız —")</f>
      </c>
      <c r="E765" s="21"/>
      <c r="F765" s="11">
        <f>IFERROR(IF(OR($C765="",$E765=""),0,$E765*VLOOKUP($C765,'Menü Kartları'!$B$5:$E$154,4,FALSE)),0)</f>
      </c>
      <c r="G765" s="11">
        <f>IFERROR(IF(OR($C765="",$E765=""),0,$E765*VLOOKUP($C765,'Menü Kartları'!$B$5:$G$154,6,FALSE)),0)</f>
      </c>
      <c r="H765" s="17">
        <f>IF($C765="","",$F765-$G765)</f>
      </c>
    </row>
    <row r="766" spans="2:8" x14ac:dyDescent="0.25">
      <c r="B766" s="22"/>
      <c r="C766" s="12"/>
      <c r="D766" s="15">
        <f>IFERROR(IF($C766="","",VLOOKUP($C766,'Menü Kartları'!$B$5:$C$154,2,FALSE)),"— tanımsız —")</f>
      </c>
      <c r="E766" s="23"/>
      <c r="F766" s="11">
        <f>IFERROR(IF(OR($C766="",$E766=""),0,$E766*VLOOKUP($C766,'Menü Kartları'!$B$5:$E$154,4,FALSE)),0)</f>
      </c>
      <c r="G766" s="11">
        <f>IFERROR(IF(OR($C766="",$E766=""),0,$E766*VLOOKUP($C766,'Menü Kartları'!$B$5:$G$154,6,FALSE)),0)</f>
      </c>
      <c r="H766" s="17">
        <f>IF($C766="","",$F766-$G766)</f>
      </c>
    </row>
    <row r="767" spans="2:8" x14ac:dyDescent="0.25">
      <c r="B767" s="20"/>
      <c r="C767" s="8"/>
      <c r="D767" s="15">
        <f>IFERROR(IF($C767="","",VLOOKUP($C767,'Menü Kartları'!$B$5:$C$154,2,FALSE)),"— tanımsız —")</f>
      </c>
      <c r="E767" s="21"/>
      <c r="F767" s="11">
        <f>IFERROR(IF(OR($C767="",$E767=""),0,$E767*VLOOKUP($C767,'Menü Kartları'!$B$5:$E$154,4,FALSE)),0)</f>
      </c>
      <c r="G767" s="11">
        <f>IFERROR(IF(OR($C767="",$E767=""),0,$E767*VLOOKUP($C767,'Menü Kartları'!$B$5:$G$154,6,FALSE)),0)</f>
      </c>
      <c r="H767" s="17">
        <f>IF($C767="","",$F767-$G767)</f>
      </c>
    </row>
    <row r="768" spans="2:8" x14ac:dyDescent="0.25">
      <c r="B768" s="22"/>
      <c r="C768" s="12"/>
      <c r="D768" s="15">
        <f>IFERROR(IF($C768="","",VLOOKUP($C768,'Menü Kartları'!$B$5:$C$154,2,FALSE)),"— tanımsız —")</f>
      </c>
      <c r="E768" s="23"/>
      <c r="F768" s="11">
        <f>IFERROR(IF(OR($C768="",$E768=""),0,$E768*VLOOKUP($C768,'Menü Kartları'!$B$5:$E$154,4,FALSE)),0)</f>
      </c>
      <c r="G768" s="11">
        <f>IFERROR(IF(OR($C768="",$E768=""),0,$E768*VLOOKUP($C768,'Menü Kartları'!$B$5:$G$154,6,FALSE)),0)</f>
      </c>
      <c r="H768" s="17">
        <f>IF($C768="","",$F768-$G768)</f>
      </c>
    </row>
    <row r="769" spans="2:8" x14ac:dyDescent="0.25">
      <c r="B769" s="20"/>
      <c r="C769" s="8"/>
      <c r="D769" s="15">
        <f>IFERROR(IF($C769="","",VLOOKUP($C769,'Menü Kartları'!$B$5:$C$154,2,FALSE)),"— tanımsız —")</f>
      </c>
      <c r="E769" s="21"/>
      <c r="F769" s="11">
        <f>IFERROR(IF(OR($C769="",$E769=""),0,$E769*VLOOKUP($C769,'Menü Kartları'!$B$5:$E$154,4,FALSE)),0)</f>
      </c>
      <c r="G769" s="11">
        <f>IFERROR(IF(OR($C769="",$E769=""),0,$E769*VLOOKUP($C769,'Menü Kartları'!$B$5:$G$154,6,FALSE)),0)</f>
      </c>
      <c r="H769" s="17">
        <f>IF($C769="","",$F769-$G769)</f>
      </c>
    </row>
    <row r="770" spans="2:8" x14ac:dyDescent="0.25">
      <c r="B770" s="22"/>
      <c r="C770" s="12"/>
      <c r="D770" s="15">
        <f>IFERROR(IF($C770="","",VLOOKUP($C770,'Menü Kartları'!$B$5:$C$154,2,FALSE)),"— tanımsız —")</f>
      </c>
      <c r="E770" s="23"/>
      <c r="F770" s="11">
        <f>IFERROR(IF(OR($C770="",$E770=""),0,$E770*VLOOKUP($C770,'Menü Kartları'!$B$5:$E$154,4,FALSE)),0)</f>
      </c>
      <c r="G770" s="11">
        <f>IFERROR(IF(OR($C770="",$E770=""),0,$E770*VLOOKUP($C770,'Menü Kartları'!$B$5:$G$154,6,FALSE)),0)</f>
      </c>
      <c r="H770" s="17">
        <f>IF($C770="","",$F770-$G770)</f>
      </c>
    </row>
    <row r="771" spans="2:8" x14ac:dyDescent="0.25">
      <c r="B771" s="20"/>
      <c r="C771" s="8"/>
      <c r="D771" s="15">
        <f>IFERROR(IF($C771="","",VLOOKUP($C771,'Menü Kartları'!$B$5:$C$154,2,FALSE)),"— tanımsız —")</f>
      </c>
      <c r="E771" s="21"/>
      <c r="F771" s="11">
        <f>IFERROR(IF(OR($C771="",$E771=""),0,$E771*VLOOKUP($C771,'Menü Kartları'!$B$5:$E$154,4,FALSE)),0)</f>
      </c>
      <c r="G771" s="11">
        <f>IFERROR(IF(OR($C771="",$E771=""),0,$E771*VLOOKUP($C771,'Menü Kartları'!$B$5:$G$154,6,FALSE)),0)</f>
      </c>
      <c r="H771" s="17">
        <f>IF($C771="","",$F771-$G771)</f>
      </c>
    </row>
    <row r="772" spans="2:8" x14ac:dyDescent="0.25">
      <c r="B772" s="22"/>
      <c r="C772" s="12"/>
      <c r="D772" s="15">
        <f>IFERROR(IF($C772="","",VLOOKUP($C772,'Menü Kartları'!$B$5:$C$154,2,FALSE)),"— tanımsız —")</f>
      </c>
      <c r="E772" s="23"/>
      <c r="F772" s="11">
        <f>IFERROR(IF(OR($C772="",$E772=""),0,$E772*VLOOKUP($C772,'Menü Kartları'!$B$5:$E$154,4,FALSE)),0)</f>
      </c>
      <c r="G772" s="11">
        <f>IFERROR(IF(OR($C772="",$E772=""),0,$E772*VLOOKUP($C772,'Menü Kartları'!$B$5:$G$154,6,FALSE)),0)</f>
      </c>
      <c r="H772" s="17">
        <f>IF($C772="","",$F772-$G772)</f>
      </c>
    </row>
    <row r="773" spans="2:8" x14ac:dyDescent="0.25">
      <c r="B773" s="20"/>
      <c r="C773" s="8"/>
      <c r="D773" s="15">
        <f>IFERROR(IF($C773="","",VLOOKUP($C773,'Menü Kartları'!$B$5:$C$154,2,FALSE)),"— tanımsız —")</f>
      </c>
      <c r="E773" s="21"/>
      <c r="F773" s="11">
        <f>IFERROR(IF(OR($C773="",$E773=""),0,$E773*VLOOKUP($C773,'Menü Kartları'!$B$5:$E$154,4,FALSE)),0)</f>
      </c>
      <c r="G773" s="11">
        <f>IFERROR(IF(OR($C773="",$E773=""),0,$E773*VLOOKUP($C773,'Menü Kartları'!$B$5:$G$154,6,FALSE)),0)</f>
      </c>
      <c r="H773" s="17">
        <f>IF($C773="","",$F773-$G773)</f>
      </c>
    </row>
    <row r="774" spans="2:8" x14ac:dyDescent="0.25">
      <c r="B774" s="22"/>
      <c r="C774" s="12"/>
      <c r="D774" s="15">
        <f>IFERROR(IF($C774="","",VLOOKUP($C774,'Menü Kartları'!$B$5:$C$154,2,FALSE)),"— tanımsız —")</f>
      </c>
      <c r="E774" s="23"/>
      <c r="F774" s="11">
        <f>IFERROR(IF(OR($C774="",$E774=""),0,$E774*VLOOKUP($C774,'Menü Kartları'!$B$5:$E$154,4,FALSE)),0)</f>
      </c>
      <c r="G774" s="11">
        <f>IFERROR(IF(OR($C774="",$E774=""),0,$E774*VLOOKUP($C774,'Menü Kartları'!$B$5:$G$154,6,FALSE)),0)</f>
      </c>
      <c r="H774" s="17">
        <f>IF($C774="","",$F774-$G774)</f>
      </c>
    </row>
    <row r="775" spans="2:8" x14ac:dyDescent="0.25">
      <c r="B775" s="20"/>
      <c r="C775" s="8"/>
      <c r="D775" s="15">
        <f>IFERROR(IF($C775="","",VLOOKUP($C775,'Menü Kartları'!$B$5:$C$154,2,FALSE)),"— tanımsız —")</f>
      </c>
      <c r="E775" s="21"/>
      <c r="F775" s="11">
        <f>IFERROR(IF(OR($C775="",$E775=""),0,$E775*VLOOKUP($C775,'Menü Kartları'!$B$5:$E$154,4,FALSE)),0)</f>
      </c>
      <c r="G775" s="11">
        <f>IFERROR(IF(OR($C775="",$E775=""),0,$E775*VLOOKUP($C775,'Menü Kartları'!$B$5:$G$154,6,FALSE)),0)</f>
      </c>
      <c r="H775" s="17">
        <f>IF($C775="","",$F775-$G775)</f>
      </c>
    </row>
    <row r="776" spans="2:8" x14ac:dyDescent="0.25">
      <c r="B776" s="22"/>
      <c r="C776" s="12"/>
      <c r="D776" s="15">
        <f>IFERROR(IF($C776="","",VLOOKUP($C776,'Menü Kartları'!$B$5:$C$154,2,FALSE)),"— tanımsız —")</f>
      </c>
      <c r="E776" s="23"/>
      <c r="F776" s="11">
        <f>IFERROR(IF(OR($C776="",$E776=""),0,$E776*VLOOKUP($C776,'Menü Kartları'!$B$5:$E$154,4,FALSE)),0)</f>
      </c>
      <c r="G776" s="11">
        <f>IFERROR(IF(OR($C776="",$E776=""),0,$E776*VLOOKUP($C776,'Menü Kartları'!$B$5:$G$154,6,FALSE)),0)</f>
      </c>
      <c r="H776" s="17">
        <f>IF($C776="","",$F776-$G776)</f>
      </c>
    </row>
    <row r="777" spans="2:8" x14ac:dyDescent="0.25">
      <c r="B777" s="20"/>
      <c r="C777" s="8"/>
      <c r="D777" s="15">
        <f>IFERROR(IF($C777="","",VLOOKUP($C777,'Menü Kartları'!$B$5:$C$154,2,FALSE)),"— tanımsız —")</f>
      </c>
      <c r="E777" s="21"/>
      <c r="F777" s="11">
        <f>IFERROR(IF(OR($C777="",$E777=""),0,$E777*VLOOKUP($C777,'Menü Kartları'!$B$5:$E$154,4,FALSE)),0)</f>
      </c>
      <c r="G777" s="11">
        <f>IFERROR(IF(OR($C777="",$E777=""),0,$E777*VLOOKUP($C777,'Menü Kartları'!$B$5:$G$154,6,FALSE)),0)</f>
      </c>
      <c r="H777" s="17">
        <f>IF($C777="","",$F777-$G777)</f>
      </c>
    </row>
    <row r="778" spans="2:8" x14ac:dyDescent="0.25">
      <c r="B778" s="22"/>
      <c r="C778" s="12"/>
      <c r="D778" s="15">
        <f>IFERROR(IF($C778="","",VLOOKUP($C778,'Menü Kartları'!$B$5:$C$154,2,FALSE)),"— tanımsız —")</f>
      </c>
      <c r="E778" s="23"/>
      <c r="F778" s="11">
        <f>IFERROR(IF(OR($C778="",$E778=""),0,$E778*VLOOKUP($C778,'Menü Kartları'!$B$5:$E$154,4,FALSE)),0)</f>
      </c>
      <c r="G778" s="11">
        <f>IFERROR(IF(OR($C778="",$E778=""),0,$E778*VLOOKUP($C778,'Menü Kartları'!$B$5:$G$154,6,FALSE)),0)</f>
      </c>
      <c r="H778" s="17">
        <f>IF($C778="","",$F778-$G778)</f>
      </c>
    </row>
    <row r="779" spans="2:8" x14ac:dyDescent="0.25">
      <c r="B779" s="20"/>
      <c r="C779" s="8"/>
      <c r="D779" s="15">
        <f>IFERROR(IF($C779="","",VLOOKUP($C779,'Menü Kartları'!$B$5:$C$154,2,FALSE)),"— tanımsız —")</f>
      </c>
      <c r="E779" s="21"/>
      <c r="F779" s="11">
        <f>IFERROR(IF(OR($C779="",$E779=""),0,$E779*VLOOKUP($C779,'Menü Kartları'!$B$5:$E$154,4,FALSE)),0)</f>
      </c>
      <c r="G779" s="11">
        <f>IFERROR(IF(OR($C779="",$E779=""),0,$E779*VLOOKUP($C779,'Menü Kartları'!$B$5:$G$154,6,FALSE)),0)</f>
      </c>
      <c r="H779" s="17">
        <f>IF($C779="","",$F779-$G779)</f>
      </c>
    </row>
    <row r="780" spans="2:8" x14ac:dyDescent="0.25">
      <c r="B780" s="22"/>
      <c r="C780" s="12"/>
      <c r="D780" s="15">
        <f>IFERROR(IF($C780="","",VLOOKUP($C780,'Menü Kartları'!$B$5:$C$154,2,FALSE)),"— tanımsız —")</f>
      </c>
      <c r="E780" s="23"/>
      <c r="F780" s="11">
        <f>IFERROR(IF(OR($C780="",$E780=""),0,$E780*VLOOKUP($C780,'Menü Kartları'!$B$5:$E$154,4,FALSE)),0)</f>
      </c>
      <c r="G780" s="11">
        <f>IFERROR(IF(OR($C780="",$E780=""),0,$E780*VLOOKUP($C780,'Menü Kartları'!$B$5:$G$154,6,FALSE)),0)</f>
      </c>
      <c r="H780" s="17">
        <f>IF($C780="","",$F780-$G780)</f>
      </c>
    </row>
    <row r="781" spans="2:8" x14ac:dyDescent="0.25">
      <c r="B781" s="20"/>
      <c r="C781" s="8"/>
      <c r="D781" s="15">
        <f>IFERROR(IF($C781="","",VLOOKUP($C781,'Menü Kartları'!$B$5:$C$154,2,FALSE)),"— tanımsız —")</f>
      </c>
      <c r="E781" s="21"/>
      <c r="F781" s="11">
        <f>IFERROR(IF(OR($C781="",$E781=""),0,$E781*VLOOKUP($C781,'Menü Kartları'!$B$5:$E$154,4,FALSE)),0)</f>
      </c>
      <c r="G781" s="11">
        <f>IFERROR(IF(OR($C781="",$E781=""),0,$E781*VLOOKUP($C781,'Menü Kartları'!$B$5:$G$154,6,FALSE)),0)</f>
      </c>
      <c r="H781" s="17">
        <f>IF($C781="","",$F781-$G781)</f>
      </c>
    </row>
    <row r="782" spans="2:8" x14ac:dyDescent="0.25">
      <c r="B782" s="22"/>
      <c r="C782" s="12"/>
      <c r="D782" s="15">
        <f>IFERROR(IF($C782="","",VLOOKUP($C782,'Menü Kartları'!$B$5:$C$154,2,FALSE)),"— tanımsız —")</f>
      </c>
      <c r="E782" s="23"/>
      <c r="F782" s="11">
        <f>IFERROR(IF(OR($C782="",$E782=""),0,$E782*VLOOKUP($C782,'Menü Kartları'!$B$5:$E$154,4,FALSE)),0)</f>
      </c>
      <c r="G782" s="11">
        <f>IFERROR(IF(OR($C782="",$E782=""),0,$E782*VLOOKUP($C782,'Menü Kartları'!$B$5:$G$154,6,FALSE)),0)</f>
      </c>
      <c r="H782" s="17">
        <f>IF($C782="","",$F782-$G782)</f>
      </c>
    </row>
    <row r="783" spans="2:8" x14ac:dyDescent="0.25">
      <c r="B783" s="20"/>
      <c r="C783" s="8"/>
      <c r="D783" s="15">
        <f>IFERROR(IF($C783="","",VLOOKUP($C783,'Menü Kartları'!$B$5:$C$154,2,FALSE)),"— tanımsız —")</f>
      </c>
      <c r="E783" s="21"/>
      <c r="F783" s="11">
        <f>IFERROR(IF(OR($C783="",$E783=""),0,$E783*VLOOKUP($C783,'Menü Kartları'!$B$5:$E$154,4,FALSE)),0)</f>
      </c>
      <c r="G783" s="11">
        <f>IFERROR(IF(OR($C783="",$E783=""),0,$E783*VLOOKUP($C783,'Menü Kartları'!$B$5:$G$154,6,FALSE)),0)</f>
      </c>
      <c r="H783" s="17">
        <f>IF($C783="","",$F783-$G783)</f>
      </c>
    </row>
    <row r="784" spans="2:8" x14ac:dyDescent="0.25">
      <c r="B784" s="22"/>
      <c r="C784" s="12"/>
      <c r="D784" s="15">
        <f>IFERROR(IF($C784="","",VLOOKUP($C784,'Menü Kartları'!$B$5:$C$154,2,FALSE)),"— tanımsız —")</f>
      </c>
      <c r="E784" s="23"/>
      <c r="F784" s="11">
        <f>IFERROR(IF(OR($C784="",$E784=""),0,$E784*VLOOKUP($C784,'Menü Kartları'!$B$5:$E$154,4,FALSE)),0)</f>
      </c>
      <c r="G784" s="11">
        <f>IFERROR(IF(OR($C784="",$E784=""),0,$E784*VLOOKUP($C784,'Menü Kartları'!$B$5:$G$154,6,FALSE)),0)</f>
      </c>
      <c r="H784" s="17">
        <f>IF($C784="","",$F784-$G784)</f>
      </c>
    </row>
    <row r="785" spans="2:8" x14ac:dyDescent="0.25">
      <c r="B785" s="20"/>
      <c r="C785" s="8"/>
      <c r="D785" s="15">
        <f>IFERROR(IF($C785="","",VLOOKUP($C785,'Menü Kartları'!$B$5:$C$154,2,FALSE)),"— tanımsız —")</f>
      </c>
      <c r="E785" s="21"/>
      <c r="F785" s="11">
        <f>IFERROR(IF(OR($C785="",$E785=""),0,$E785*VLOOKUP($C785,'Menü Kartları'!$B$5:$E$154,4,FALSE)),0)</f>
      </c>
      <c r="G785" s="11">
        <f>IFERROR(IF(OR($C785="",$E785=""),0,$E785*VLOOKUP($C785,'Menü Kartları'!$B$5:$G$154,6,FALSE)),0)</f>
      </c>
      <c r="H785" s="17">
        <f>IF($C785="","",$F785-$G785)</f>
      </c>
    </row>
    <row r="786" spans="2:8" x14ac:dyDescent="0.25">
      <c r="B786" s="22"/>
      <c r="C786" s="12"/>
      <c r="D786" s="15">
        <f>IFERROR(IF($C786="","",VLOOKUP($C786,'Menü Kartları'!$B$5:$C$154,2,FALSE)),"— tanımsız —")</f>
      </c>
      <c r="E786" s="23"/>
      <c r="F786" s="11">
        <f>IFERROR(IF(OR($C786="",$E786=""),0,$E786*VLOOKUP($C786,'Menü Kartları'!$B$5:$E$154,4,FALSE)),0)</f>
      </c>
      <c r="G786" s="11">
        <f>IFERROR(IF(OR($C786="",$E786=""),0,$E786*VLOOKUP($C786,'Menü Kartları'!$B$5:$G$154,6,FALSE)),0)</f>
      </c>
      <c r="H786" s="17">
        <f>IF($C786="","",$F786-$G786)</f>
      </c>
    </row>
    <row r="787" spans="2:8" x14ac:dyDescent="0.25">
      <c r="B787" s="20"/>
      <c r="C787" s="8"/>
      <c r="D787" s="15">
        <f>IFERROR(IF($C787="","",VLOOKUP($C787,'Menü Kartları'!$B$5:$C$154,2,FALSE)),"— tanımsız —")</f>
      </c>
      <c r="E787" s="21"/>
      <c r="F787" s="11">
        <f>IFERROR(IF(OR($C787="",$E787=""),0,$E787*VLOOKUP($C787,'Menü Kartları'!$B$5:$E$154,4,FALSE)),0)</f>
      </c>
      <c r="G787" s="11">
        <f>IFERROR(IF(OR($C787="",$E787=""),0,$E787*VLOOKUP($C787,'Menü Kartları'!$B$5:$G$154,6,FALSE)),0)</f>
      </c>
      <c r="H787" s="17">
        <f>IF($C787="","",$F787-$G787)</f>
      </c>
    </row>
    <row r="788" spans="2:8" x14ac:dyDescent="0.25">
      <c r="B788" s="22"/>
      <c r="C788" s="12"/>
      <c r="D788" s="15">
        <f>IFERROR(IF($C788="","",VLOOKUP($C788,'Menü Kartları'!$B$5:$C$154,2,FALSE)),"— tanımsız —")</f>
      </c>
      <c r="E788" s="23"/>
      <c r="F788" s="11">
        <f>IFERROR(IF(OR($C788="",$E788=""),0,$E788*VLOOKUP($C788,'Menü Kartları'!$B$5:$E$154,4,FALSE)),0)</f>
      </c>
      <c r="G788" s="11">
        <f>IFERROR(IF(OR($C788="",$E788=""),0,$E788*VLOOKUP($C788,'Menü Kartları'!$B$5:$G$154,6,FALSE)),0)</f>
      </c>
      <c r="H788" s="17">
        <f>IF($C788="","",$F788-$G788)</f>
      </c>
    </row>
    <row r="789" spans="2:8" x14ac:dyDescent="0.25">
      <c r="B789" s="20"/>
      <c r="C789" s="8"/>
      <c r="D789" s="15">
        <f>IFERROR(IF($C789="","",VLOOKUP($C789,'Menü Kartları'!$B$5:$C$154,2,FALSE)),"— tanımsız —")</f>
      </c>
      <c r="E789" s="21"/>
      <c r="F789" s="11">
        <f>IFERROR(IF(OR($C789="",$E789=""),0,$E789*VLOOKUP($C789,'Menü Kartları'!$B$5:$E$154,4,FALSE)),0)</f>
      </c>
      <c r="G789" s="11">
        <f>IFERROR(IF(OR($C789="",$E789=""),0,$E789*VLOOKUP($C789,'Menü Kartları'!$B$5:$G$154,6,FALSE)),0)</f>
      </c>
      <c r="H789" s="17">
        <f>IF($C789="","",$F789-$G789)</f>
      </c>
    </row>
    <row r="790" spans="2:8" x14ac:dyDescent="0.25">
      <c r="B790" s="22"/>
      <c r="C790" s="12"/>
      <c r="D790" s="15">
        <f>IFERROR(IF($C790="","",VLOOKUP($C790,'Menü Kartları'!$B$5:$C$154,2,FALSE)),"— tanımsız —")</f>
      </c>
      <c r="E790" s="23"/>
      <c r="F790" s="11">
        <f>IFERROR(IF(OR($C790="",$E790=""),0,$E790*VLOOKUP($C790,'Menü Kartları'!$B$5:$E$154,4,FALSE)),0)</f>
      </c>
      <c r="G790" s="11">
        <f>IFERROR(IF(OR($C790="",$E790=""),0,$E790*VLOOKUP($C790,'Menü Kartları'!$B$5:$G$154,6,FALSE)),0)</f>
      </c>
      <c r="H790" s="17">
        <f>IF($C790="","",$F790-$G790)</f>
      </c>
    </row>
    <row r="791" spans="2:8" x14ac:dyDescent="0.25">
      <c r="B791" s="20"/>
      <c r="C791" s="8"/>
      <c r="D791" s="15">
        <f>IFERROR(IF($C791="","",VLOOKUP($C791,'Menü Kartları'!$B$5:$C$154,2,FALSE)),"— tanımsız —")</f>
      </c>
      <c r="E791" s="21"/>
      <c r="F791" s="11">
        <f>IFERROR(IF(OR($C791="",$E791=""),0,$E791*VLOOKUP($C791,'Menü Kartları'!$B$5:$E$154,4,FALSE)),0)</f>
      </c>
      <c r="G791" s="11">
        <f>IFERROR(IF(OR($C791="",$E791=""),0,$E791*VLOOKUP($C791,'Menü Kartları'!$B$5:$G$154,6,FALSE)),0)</f>
      </c>
      <c r="H791" s="17">
        <f>IF($C791="","",$F791-$G791)</f>
      </c>
    </row>
    <row r="792" spans="2:8" x14ac:dyDescent="0.25">
      <c r="B792" s="22"/>
      <c r="C792" s="12"/>
      <c r="D792" s="15">
        <f>IFERROR(IF($C792="","",VLOOKUP($C792,'Menü Kartları'!$B$5:$C$154,2,FALSE)),"— tanımsız —")</f>
      </c>
      <c r="E792" s="23"/>
      <c r="F792" s="11">
        <f>IFERROR(IF(OR($C792="",$E792=""),0,$E792*VLOOKUP($C792,'Menü Kartları'!$B$5:$E$154,4,FALSE)),0)</f>
      </c>
      <c r="G792" s="11">
        <f>IFERROR(IF(OR($C792="",$E792=""),0,$E792*VLOOKUP($C792,'Menü Kartları'!$B$5:$G$154,6,FALSE)),0)</f>
      </c>
      <c r="H792" s="17">
        <f>IF($C792="","",$F792-$G792)</f>
      </c>
    </row>
    <row r="793" spans="2:8" x14ac:dyDescent="0.25">
      <c r="B793" s="20"/>
      <c r="C793" s="8"/>
      <c r="D793" s="15">
        <f>IFERROR(IF($C793="","",VLOOKUP($C793,'Menü Kartları'!$B$5:$C$154,2,FALSE)),"— tanımsız —")</f>
      </c>
      <c r="E793" s="21"/>
      <c r="F793" s="11">
        <f>IFERROR(IF(OR($C793="",$E793=""),0,$E793*VLOOKUP($C793,'Menü Kartları'!$B$5:$E$154,4,FALSE)),0)</f>
      </c>
      <c r="G793" s="11">
        <f>IFERROR(IF(OR($C793="",$E793=""),0,$E793*VLOOKUP($C793,'Menü Kartları'!$B$5:$G$154,6,FALSE)),0)</f>
      </c>
      <c r="H793" s="17">
        <f>IF($C793="","",$F793-$G793)</f>
      </c>
    </row>
    <row r="794" spans="2:8" x14ac:dyDescent="0.25">
      <c r="B794" s="22"/>
      <c r="C794" s="12"/>
      <c r="D794" s="15">
        <f>IFERROR(IF($C794="","",VLOOKUP($C794,'Menü Kartları'!$B$5:$C$154,2,FALSE)),"— tanımsız —")</f>
      </c>
      <c r="E794" s="23"/>
      <c r="F794" s="11">
        <f>IFERROR(IF(OR($C794="",$E794=""),0,$E794*VLOOKUP($C794,'Menü Kartları'!$B$5:$E$154,4,FALSE)),0)</f>
      </c>
      <c r="G794" s="11">
        <f>IFERROR(IF(OR($C794="",$E794=""),0,$E794*VLOOKUP($C794,'Menü Kartları'!$B$5:$G$154,6,FALSE)),0)</f>
      </c>
      <c r="H794" s="17">
        <f>IF($C794="","",$F794-$G794)</f>
      </c>
    </row>
    <row r="795" spans="2:8" x14ac:dyDescent="0.25">
      <c r="B795" s="20"/>
      <c r="C795" s="8"/>
      <c r="D795" s="15">
        <f>IFERROR(IF($C795="","",VLOOKUP($C795,'Menü Kartları'!$B$5:$C$154,2,FALSE)),"— tanımsız —")</f>
      </c>
      <c r="E795" s="21"/>
      <c r="F795" s="11">
        <f>IFERROR(IF(OR($C795="",$E795=""),0,$E795*VLOOKUP($C795,'Menü Kartları'!$B$5:$E$154,4,FALSE)),0)</f>
      </c>
      <c r="G795" s="11">
        <f>IFERROR(IF(OR($C795="",$E795=""),0,$E795*VLOOKUP($C795,'Menü Kartları'!$B$5:$G$154,6,FALSE)),0)</f>
      </c>
      <c r="H795" s="17">
        <f>IF($C795="","",$F795-$G795)</f>
      </c>
    </row>
    <row r="796" spans="2:8" x14ac:dyDescent="0.25">
      <c r="B796" s="22"/>
      <c r="C796" s="12"/>
      <c r="D796" s="15">
        <f>IFERROR(IF($C796="","",VLOOKUP($C796,'Menü Kartları'!$B$5:$C$154,2,FALSE)),"— tanımsız —")</f>
      </c>
      <c r="E796" s="23"/>
      <c r="F796" s="11">
        <f>IFERROR(IF(OR($C796="",$E796=""),0,$E796*VLOOKUP($C796,'Menü Kartları'!$B$5:$E$154,4,FALSE)),0)</f>
      </c>
      <c r="G796" s="11">
        <f>IFERROR(IF(OR($C796="",$E796=""),0,$E796*VLOOKUP($C796,'Menü Kartları'!$B$5:$G$154,6,FALSE)),0)</f>
      </c>
      <c r="H796" s="17">
        <f>IF($C796="","",$F796-$G796)</f>
      </c>
    </row>
    <row r="797" spans="2:8" x14ac:dyDescent="0.25">
      <c r="B797" s="20"/>
      <c r="C797" s="8"/>
      <c r="D797" s="15">
        <f>IFERROR(IF($C797="","",VLOOKUP($C797,'Menü Kartları'!$B$5:$C$154,2,FALSE)),"— tanımsız —")</f>
      </c>
      <c r="E797" s="21"/>
      <c r="F797" s="11">
        <f>IFERROR(IF(OR($C797="",$E797=""),0,$E797*VLOOKUP($C797,'Menü Kartları'!$B$5:$E$154,4,FALSE)),0)</f>
      </c>
      <c r="G797" s="11">
        <f>IFERROR(IF(OR($C797="",$E797=""),0,$E797*VLOOKUP($C797,'Menü Kartları'!$B$5:$G$154,6,FALSE)),0)</f>
      </c>
      <c r="H797" s="17">
        <f>IF($C797="","",$F797-$G797)</f>
      </c>
    </row>
    <row r="798" spans="2:8" x14ac:dyDescent="0.25">
      <c r="B798" s="22"/>
      <c r="C798" s="12"/>
      <c r="D798" s="15">
        <f>IFERROR(IF($C798="","",VLOOKUP($C798,'Menü Kartları'!$B$5:$C$154,2,FALSE)),"— tanımsız —")</f>
      </c>
      <c r="E798" s="23"/>
      <c r="F798" s="11">
        <f>IFERROR(IF(OR($C798="",$E798=""),0,$E798*VLOOKUP($C798,'Menü Kartları'!$B$5:$E$154,4,FALSE)),0)</f>
      </c>
      <c r="G798" s="11">
        <f>IFERROR(IF(OR($C798="",$E798=""),0,$E798*VLOOKUP($C798,'Menü Kartları'!$B$5:$G$154,6,FALSE)),0)</f>
      </c>
      <c r="H798" s="17">
        <f>IF($C798="","",$F798-$G798)</f>
      </c>
    </row>
    <row r="799" spans="2:8" x14ac:dyDescent="0.25">
      <c r="B799" s="20"/>
      <c r="C799" s="8"/>
      <c r="D799" s="15">
        <f>IFERROR(IF($C799="","",VLOOKUP($C799,'Menü Kartları'!$B$5:$C$154,2,FALSE)),"— tanımsız —")</f>
      </c>
      <c r="E799" s="21"/>
      <c r="F799" s="11">
        <f>IFERROR(IF(OR($C799="",$E799=""),0,$E799*VLOOKUP($C799,'Menü Kartları'!$B$5:$E$154,4,FALSE)),0)</f>
      </c>
      <c r="G799" s="11">
        <f>IFERROR(IF(OR($C799="",$E799=""),0,$E799*VLOOKUP($C799,'Menü Kartları'!$B$5:$G$154,6,FALSE)),0)</f>
      </c>
      <c r="H799" s="17">
        <f>IF($C799="","",$F799-$G799)</f>
      </c>
    </row>
    <row r="800" spans="2:8" x14ac:dyDescent="0.25">
      <c r="B800" s="22"/>
      <c r="C800" s="12"/>
      <c r="D800" s="15">
        <f>IFERROR(IF($C800="","",VLOOKUP($C800,'Menü Kartları'!$B$5:$C$154,2,FALSE)),"— tanımsız —")</f>
      </c>
      <c r="E800" s="23"/>
      <c r="F800" s="11">
        <f>IFERROR(IF(OR($C800="",$E800=""),0,$E800*VLOOKUP($C800,'Menü Kartları'!$B$5:$E$154,4,FALSE)),0)</f>
      </c>
      <c r="G800" s="11">
        <f>IFERROR(IF(OR($C800="",$E800=""),0,$E800*VLOOKUP($C800,'Menü Kartları'!$B$5:$G$154,6,FALSE)),0)</f>
      </c>
      <c r="H800" s="17">
        <f>IF($C800="","",$F800-$G800)</f>
      </c>
    </row>
    <row r="801" spans="2:8" x14ac:dyDescent="0.25">
      <c r="B801" s="20"/>
      <c r="C801" s="8"/>
      <c r="D801" s="15">
        <f>IFERROR(IF($C801="","",VLOOKUP($C801,'Menü Kartları'!$B$5:$C$154,2,FALSE)),"— tanımsız —")</f>
      </c>
      <c r="E801" s="21"/>
      <c r="F801" s="11">
        <f>IFERROR(IF(OR($C801="",$E801=""),0,$E801*VLOOKUP($C801,'Menü Kartları'!$B$5:$E$154,4,FALSE)),0)</f>
      </c>
      <c r="G801" s="11">
        <f>IFERROR(IF(OR($C801="",$E801=""),0,$E801*VLOOKUP($C801,'Menü Kartları'!$B$5:$G$154,6,FALSE)),0)</f>
      </c>
      <c r="H801" s="17">
        <f>IF($C801="","",$F801-$G801)</f>
      </c>
    </row>
    <row r="802" spans="2:8" x14ac:dyDescent="0.25">
      <c r="B802" s="22"/>
      <c r="C802" s="12"/>
      <c r="D802" s="15">
        <f>IFERROR(IF($C802="","",VLOOKUP($C802,'Menü Kartları'!$B$5:$C$154,2,FALSE)),"— tanımsız —")</f>
      </c>
      <c r="E802" s="23"/>
      <c r="F802" s="11">
        <f>IFERROR(IF(OR($C802="",$E802=""),0,$E802*VLOOKUP($C802,'Menü Kartları'!$B$5:$E$154,4,FALSE)),0)</f>
      </c>
      <c r="G802" s="11">
        <f>IFERROR(IF(OR($C802="",$E802=""),0,$E802*VLOOKUP($C802,'Menü Kartları'!$B$5:$G$154,6,FALSE)),0)</f>
      </c>
      <c r="H802" s="17">
        <f>IF($C802="","",$F802-$G802)</f>
      </c>
    </row>
    <row r="803" spans="2:8" x14ac:dyDescent="0.25">
      <c r="B803" s="20"/>
      <c r="C803" s="8"/>
      <c r="D803" s="15">
        <f>IFERROR(IF($C803="","",VLOOKUP($C803,'Menü Kartları'!$B$5:$C$154,2,FALSE)),"— tanımsız —")</f>
      </c>
      <c r="E803" s="21"/>
      <c r="F803" s="11">
        <f>IFERROR(IF(OR($C803="",$E803=""),0,$E803*VLOOKUP($C803,'Menü Kartları'!$B$5:$E$154,4,FALSE)),0)</f>
      </c>
      <c r="G803" s="11">
        <f>IFERROR(IF(OR($C803="",$E803=""),0,$E803*VLOOKUP($C803,'Menü Kartları'!$B$5:$G$154,6,FALSE)),0)</f>
      </c>
      <c r="H803" s="17">
        <f>IF($C803="","",$F803-$G803)</f>
      </c>
    </row>
    <row r="804" spans="2:8" x14ac:dyDescent="0.25">
      <c r="B804" s="22"/>
      <c r="C804" s="12"/>
      <c r="D804" s="15">
        <f>IFERROR(IF($C804="","",VLOOKUP($C804,'Menü Kartları'!$B$5:$C$154,2,FALSE)),"— tanımsız —")</f>
      </c>
      <c r="E804" s="23"/>
      <c r="F804" s="11">
        <f>IFERROR(IF(OR($C804="",$E804=""),0,$E804*VLOOKUP($C804,'Menü Kartları'!$B$5:$E$154,4,FALSE)),0)</f>
      </c>
      <c r="G804" s="11">
        <f>IFERROR(IF(OR($C804="",$E804=""),0,$E804*VLOOKUP($C804,'Menü Kartları'!$B$5:$G$154,6,FALSE)),0)</f>
      </c>
      <c r="H804" s="17">
        <f>IF($C804="","",$F804-$G804)</f>
      </c>
    </row>
  </sheetData>
  <mergeCells count="2">
    <mergeCell ref="A1:H1"/>
    <mergeCell ref="A2:H2"/>
  </mergeCells>
  <dataValidations count="1">
    <dataValidation type="list" allowBlank="1" sqref="C5:C804">
      <formula1>=MenuKodlari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25"/>
  <sheetFormatPr defaultRowHeight="15" outlineLevelRow="0" outlineLevelCol="0" x14ac:dyDescent="55"/>
  <cols>
    <col min="1" max="1" width="3" customWidth="1"/>
    <col min="2" max="2" width="32" customWidth="1"/>
    <col min="3" max="3" width="20" customWidth="1"/>
    <col min="4" max="4" width="4" customWidth="1"/>
    <col min="5" max="5" width="32" customWidth="1"/>
    <col min="6" max="6" width="20" customWidth="1"/>
  </cols>
  <sheetData>
    <row r="1" ht="34" customHeight="1" spans="1:6" x14ac:dyDescent="0.25">
      <c r="A1" s="1" t="s">
        <v>76</v>
      </c>
      <c r="B1" s="1"/>
      <c r="C1" s="1"/>
      <c r="D1" s="1"/>
      <c r="E1" s="1"/>
      <c r="F1" s="1"/>
    </row>
    <row r="2" ht="20" customHeight="1" spans="1:6" x14ac:dyDescent="0.25">
      <c r="A2" s="2" t="s">
        <v>77</v>
      </c>
      <c r="B2" s="2"/>
      <c r="C2" s="2"/>
      <c r="D2" s="2"/>
      <c r="E2" s="2"/>
      <c r="F2" s="2"/>
    </row>
    <row r="4" spans="2:6" x14ac:dyDescent="0.25">
      <c r="B4" s="24" t="s">
        <v>78</v>
      </c>
      <c r="C4" s="25">
        <f>SUM('Satışlar'!$F$5:$F$804)</f>
      </c>
      <c r="E4" s="24" t="s">
        <v>79</v>
      </c>
      <c r="F4" s="26">
        <f>SUM('Satışlar'!$E$5:$E$804)</f>
      </c>
    </row>
    <row r="5" spans="2:6" x14ac:dyDescent="0.25">
      <c r="B5" s="24" t="s">
        <v>80</v>
      </c>
      <c r="C5" s="25">
        <f>SUM('Satışlar'!$G$5:$G$804)</f>
      </c>
      <c r="E5" s="24" t="s">
        <v>81</v>
      </c>
      <c r="F5" s="26">
        <f>COUNTA('Menü Kartları'!$B$5:$B$154)</f>
      </c>
    </row>
    <row r="6" spans="2:6" x14ac:dyDescent="0.25">
      <c r="B6" s="24" t="s">
        <v>82</v>
      </c>
      <c r="C6" s="25">
        <f>SUM('Satışlar'!$H$5:$H$804)</f>
      </c>
      <c r="E6" s="24" t="s">
        <v>83</v>
      </c>
      <c r="F6" s="26">
        <f>COUNTIF('Menü Kartları'!$J$5:$J$154,"YÜKSEK")</f>
      </c>
    </row>
    <row r="7" spans="2:6" x14ac:dyDescent="0.25">
      <c r="B7" s="24" t="s">
        <v>84</v>
      </c>
      <c r="C7" s="27">
        <f>IFERROR(SUM('Satışlar'!$G$5:$G$804)/SUM('Satışlar'!$F$5:$F$804),0)</f>
      </c>
      <c r="E7" s="24" t="s">
        <v>85</v>
      </c>
      <c r="F7" s="26">
        <f>COUNTIF('Menü Kartları'!$J$5:$J$154,"DİKKAT")</f>
      </c>
    </row>
    <row r="10" spans="2:2" x14ac:dyDescent="0.25">
      <c r="B10" s="3" t="s">
        <v>86</v>
      </c>
    </row>
    <row r="11" ht="30" customHeight="1" spans="2:4" x14ac:dyDescent="0.25">
      <c r="B11" s="7" t="s">
        <v>20</v>
      </c>
      <c r="C11" s="7" t="s">
        <v>87</v>
      </c>
      <c r="D11" s="7" t="s">
        <v>62</v>
      </c>
    </row>
    <row r="12" spans="3:4" x14ac:dyDescent="0.25">
      <c r="C12" s="15">
        <f>IFERROR(INDEX('Menü Kartları'!$C$5:$C$154,MATCH(LARGE('Menü Kartları'!$H$5:$H$154,1),'Menü Kartları'!$H$5:$H$154,0)),"")</f>
      </c>
      <c r="D12" s="11">
        <f>IFERROR(LARGE('Menü Kartları'!$H$5:$H$154,1),"")</f>
      </c>
    </row>
    <row r="13" spans="3:4" x14ac:dyDescent="0.25">
      <c r="C13" s="15">
        <f>IFERROR(INDEX('Menü Kartları'!$C$5:$C$154,MATCH(LARGE('Menü Kartları'!$H$5:$H$154,2),'Menü Kartları'!$H$5:$H$154,0)),"")</f>
      </c>
      <c r="D13" s="11">
        <f>IFERROR(LARGE('Menü Kartları'!$H$5:$H$154,2),"")</f>
      </c>
    </row>
    <row r="14" spans="3:4" x14ac:dyDescent="0.25">
      <c r="C14" s="15">
        <f>IFERROR(INDEX('Menü Kartları'!$C$5:$C$154,MATCH(LARGE('Menü Kartları'!$H$5:$H$154,3),'Menü Kartları'!$H$5:$H$154,0)),"")</f>
      </c>
      <c r="D14" s="11">
        <f>IFERROR(LARGE('Menü Kartları'!$H$5:$H$154,3),"")</f>
      </c>
    </row>
    <row r="15" spans="3:4" x14ac:dyDescent="0.25">
      <c r="C15" s="15">
        <f>IFERROR(INDEX('Menü Kartları'!$C$5:$C$154,MATCH(LARGE('Menü Kartları'!$H$5:$H$154,4),'Menü Kartları'!$H$5:$H$154,0)),"")</f>
      </c>
      <c r="D15" s="11">
        <f>IFERROR(LARGE('Menü Kartları'!$H$5:$H$154,4),"")</f>
      </c>
    </row>
    <row r="16" spans="3:4" x14ac:dyDescent="0.25">
      <c r="C16" s="15">
        <f>IFERROR(INDEX('Menü Kartları'!$C$5:$C$154,MATCH(LARGE('Menü Kartları'!$H$5:$H$154,5),'Menü Kartları'!$H$5:$H$154,0)),"")</f>
      </c>
      <c r="D16" s="11">
        <f>IFERROR(LARGE('Menü Kartları'!$H$5:$H$154,5),"")</f>
      </c>
    </row>
    <row r="17" spans="3:4" x14ac:dyDescent="0.25">
      <c r="C17" s="15">
        <f>IFERROR(INDEX('Menü Kartları'!$C$5:$C$154,MATCH(LARGE('Menü Kartları'!$H$5:$H$154,6),'Menü Kartları'!$H$5:$H$154,0)),"")</f>
      </c>
      <c r="D17" s="11">
        <f>IFERROR(LARGE('Menü Kartları'!$H$5:$H$154,6),"")</f>
      </c>
    </row>
    <row r="18" spans="3:4" x14ac:dyDescent="0.25">
      <c r="C18" s="15">
        <f>IFERROR(INDEX('Menü Kartları'!$C$5:$C$154,MATCH(LARGE('Menü Kartları'!$H$5:$H$154,7),'Menü Kartları'!$H$5:$H$154,0)),"")</f>
      </c>
      <c r="D18" s="11">
        <f>IFERROR(LARGE('Menü Kartları'!$H$5:$H$154,7),"")</f>
      </c>
    </row>
    <row r="19" spans="3:4" x14ac:dyDescent="0.25">
      <c r="C19" s="15">
        <f>IFERROR(INDEX('Menü Kartları'!$C$5:$C$154,MATCH(LARGE('Menü Kartları'!$H$5:$H$154,8),'Menü Kartları'!$H$5:$H$154,0)),"")</f>
      </c>
      <c r="D19" s="11">
        <f>IFERROR(LARGE('Menü Kartları'!$H$5:$H$154,8),"")</f>
      </c>
    </row>
    <row r="20" spans="3:4" x14ac:dyDescent="0.25">
      <c r="C20" s="15">
        <f>IFERROR(INDEX('Menü Kartları'!$C$5:$C$154,MATCH(LARGE('Menü Kartları'!$H$5:$H$154,9),'Menü Kartları'!$H$5:$H$154,0)),"")</f>
      </c>
      <c r="D20" s="11">
        <f>IFERROR(LARGE('Menü Kartları'!$H$5:$H$154,9),"")</f>
      </c>
    </row>
    <row r="21" spans="3:4" x14ac:dyDescent="0.25">
      <c r="C21" s="15">
        <f>IFERROR(INDEX('Menü Kartları'!$C$5:$C$154,MATCH(LARGE('Menü Kartları'!$H$5:$H$154,10),'Menü Kartları'!$H$5:$H$154,0)),"")</f>
      </c>
      <c r="D21" s="11">
        <f>IFERROR(LARGE('Menü Kartları'!$H$5:$H$154,10),"")</f>
      </c>
    </row>
    <row r="23" spans="2:6" x14ac:dyDescent="0.25">
      <c r="B23" s="28" t="s">
        <v>88</v>
      </c>
      <c r="C23" s="28"/>
      <c r="D23" s="28"/>
      <c r="E23" s="28"/>
      <c r="F23" s="28"/>
    </row>
    <row r="24" spans="2:6" x14ac:dyDescent="0.25">
      <c r="B24" s="28"/>
      <c r="C24" s="28"/>
      <c r="D24" s="28"/>
      <c r="E24" s="28"/>
      <c r="F24" s="28"/>
    </row>
    <row r="25" spans="2:6" x14ac:dyDescent="0.25">
      <c r="B25" s="28"/>
      <c r="C25" s="28"/>
      <c r="D25" s="28"/>
      <c r="E25" s="28"/>
      <c r="F25" s="28"/>
    </row>
  </sheetData>
  <mergeCells count="3">
    <mergeCell ref="A1:F1"/>
    <mergeCell ref="A2:F2"/>
    <mergeCell ref="B23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B10"/>
  <sheetFormatPr defaultRowHeight="15" outlineLevelRow="0" outlineLevelCol="0" x14ac:dyDescent="55"/>
  <cols>
    <col min="1" max="1" width="3" customWidth="1"/>
    <col min="2" max="2" width="24" customWidth="1"/>
  </cols>
  <sheetData>
    <row r="1" ht="34" customHeight="1" spans="1:2" x14ac:dyDescent="0.25">
      <c r="A1" s="1" t="s">
        <v>89</v>
      </c>
      <c r="B1" s="1"/>
    </row>
    <row r="2" ht="20" customHeight="1" spans="1:2" x14ac:dyDescent="0.25">
      <c r="A2" s="2" t="s">
        <v>90</v>
      </c>
      <c r="B2" s="2"/>
    </row>
    <row r="4" ht="30" customHeight="1" spans="1:2" x14ac:dyDescent="0.25">
      <c r="A4" s="7" t="s">
        <v>20</v>
      </c>
      <c r="B4" s="7" t="s">
        <v>91</v>
      </c>
    </row>
    <row r="5" spans="2:2" x14ac:dyDescent="0.25">
      <c r="B5" s="29" t="s">
        <v>66</v>
      </c>
    </row>
    <row r="6" spans="2:2" x14ac:dyDescent="0.25">
      <c r="B6" s="29" t="s">
        <v>92</v>
      </c>
    </row>
    <row r="7" spans="2:2" x14ac:dyDescent="0.25">
      <c r="B7" s="29" t="s">
        <v>93</v>
      </c>
    </row>
    <row r="8" spans="2:2" x14ac:dyDescent="0.25">
      <c r="B8" s="29" t="s">
        <v>94</v>
      </c>
    </row>
    <row r="9" spans="2:2" x14ac:dyDescent="0.25">
      <c r="B9" s="29" t="s">
        <v>95</v>
      </c>
    </row>
    <row r="10" spans="2:2" x14ac:dyDescent="0.25">
      <c r="B10" s="29" t="s">
        <v>68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Nasıl Kullanılır</vt:lpstr>
      <vt:lpstr>Malzeme Kartları</vt:lpstr>
      <vt:lpstr>Reçeteler</vt:lpstr>
      <vt:lpstr>Menü Kartları</vt:lpstr>
      <vt:lpstr>Satışlar</vt:lpstr>
      <vt:lpstr>Dashboard</vt:lpstr>
      <vt:lpstr>Listeler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2026-09-11T07:41:18Z</dcterms:created>
  <dcterms:modified xsi:type="dcterms:W3CDTF">2026-09-11T07:41:18Z</dcterms:modified>
</cp:coreProperties>
</file>