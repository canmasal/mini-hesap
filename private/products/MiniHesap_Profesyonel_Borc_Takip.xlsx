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 PANEL" sheetId="1" state="visible" r:id="rId1"/>
    <sheet xmlns:r="http://schemas.openxmlformats.org/officeDocument/2006/relationships" name="BANKA TAKİP" sheetId="2" state="visible" r:id="rId2"/>
    <sheet xmlns:r="http://schemas.openxmlformats.org/officeDocument/2006/relationships" name="ÖDEME TAKİP" sheetId="3" state="visible" r:id="rId3"/>
    <sheet xmlns:r="http://schemas.openxmlformats.org/officeDocument/2006/relationships" name="TAKSİT TAKİP" sheetId="4" state="visible" r:id="rId4"/>
    <sheet xmlns:r="http://schemas.openxmlformats.org/officeDocument/2006/relationships" name="AYLIK ÖZET" sheetId="5" state="visible" r:id="rId5"/>
    <sheet xmlns:r="http://schemas.openxmlformats.org/officeDocument/2006/relationships" name="KULLANIM" sheetId="6" state="visible" r:id="rId6"/>
  </sheets>
  <definedNames>
    <definedName name="_xlnm._FilterDatabase" localSheetId="1" hidden="1">'BANKA TAKİP'!$A$4:$H$19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dd.mm.yyyy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17066"/>
    </font>
    <font>
      <b val="1"/>
      <color rgb="00FFFFFF"/>
    </font>
    <font>
      <b val="1"/>
      <color rgb="00DC2626"/>
    </font>
    <font>
      <b val="1"/>
      <color rgb="0010231A"/>
      <sz val="18"/>
    </font>
    <font>
      <b val="1"/>
      <color rgb="0010231A"/>
    </font>
    <font>
      <b val="1"/>
      <color rgb="0015803D"/>
      <sz val="14"/>
    </font>
  </fonts>
  <fills count="7">
    <fill>
      <patternFill/>
    </fill>
    <fill>
      <patternFill patternType="gray125"/>
    </fill>
    <fill>
      <patternFill patternType="solid">
        <fgColor rgb="0010231A"/>
      </patternFill>
    </fill>
    <fill>
      <patternFill patternType="solid">
        <fgColor rgb="0015803D"/>
      </patternFill>
    </fill>
    <fill>
      <patternFill patternType="solid">
        <fgColor rgb="00EFFAF2"/>
      </patternFill>
    </fill>
    <fill>
      <patternFill patternType="solid">
        <fgColor rgb="00FFF7F7"/>
      </patternFill>
    </fill>
    <fill>
      <patternFill patternType="solid">
        <fgColor rgb="00F8FAF9"/>
      </patternFill>
    </fill>
  </fills>
  <borders count="3">
    <border>
      <left/>
      <right/>
      <top/>
      <bottom/>
      <diagonal/>
    </border>
    <border>
      <left style="thin">
        <color rgb="00DCE7DF"/>
      </left>
      <right style="thin">
        <color rgb="00DCE7DF"/>
      </right>
      <top style="medium">
        <color rgb="00AAB9B0"/>
      </top>
      <bottom style="medium">
        <color rgb="00AAB9B0"/>
      </bottom>
    </border>
    <border>
      <left style="thin">
        <color rgb="00DCE7DF"/>
      </left>
      <right style="thin">
        <color rgb="00DCE7DF"/>
      </right>
      <top style="thin">
        <color rgb="00DCE7DF"/>
      </top>
      <bottom style="thin">
        <color rgb="00DCE7D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5" fillId="4" borderId="2" applyAlignment="1" pivotButton="0" quotePrefix="0" xfId="0">
      <alignment horizontal="center" vertical="center"/>
    </xf>
    <xf numFmtId="10" fontId="5" fillId="4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6" fillId="6" borderId="2" pivotButton="0" quotePrefix="0" xfId="0"/>
    <xf numFmtId="0" fontId="0" fillId="0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5" borderId="1" pivotButton="0" quotePrefix="0" xfId="0"/>
    <xf numFmtId="164" fontId="4" fillId="5" borderId="1" pivotButton="0" quotePrefix="0" xfId="0"/>
    <xf numFmtId="165" fontId="0" fillId="4" borderId="2" pivotButton="0" quotePrefix="0" xfId="0"/>
    <xf numFmtId="0" fontId="0" fillId="4" borderId="2" pivotButton="0" quotePrefix="0" xfId="0"/>
    <xf numFmtId="164" fontId="0" fillId="4" borderId="2" pivotButton="0" quotePrefix="0" xfId="0"/>
    <xf numFmtId="0" fontId="4" fillId="5" borderId="0" pivotButton="0" quotePrefix="0" xfId="0"/>
    <xf numFmtId="164" fontId="4" fillId="5" borderId="0" pivotButton="0" quotePrefix="0" xfId="0"/>
    <xf numFmtId="0" fontId="7" fillId="0" borderId="0" applyAlignment="1" pivotButton="0" quotePrefix="0" xfId="0">
      <alignment horizontal="center"/>
    </xf>
    <xf numFmtId="0" fontId="0" fillId="0" borderId="2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Banka Bazlı Borç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 PANEL'!B9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 PANEL'!$A$10:$A$24</f>
            </numRef>
          </cat>
          <val>
            <numRef>
              <f>'ANA PANEL'!$B$10:$B$24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Banka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Borç Türü Dağılımı</a:t>
            </a:r>
          </a:p>
        </rich>
      </tx>
    </title>
    <plotArea>
      <doughnutChart>
        <varyColors val="1"/>
        <ser>
          <idx val="0"/>
          <order val="0"/>
          <tx>
            <strRef>
              <f>'ANA PANEL'!B27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 PANEL'!$A$28:$A$29</f>
            </numRef>
          </cat>
          <val>
            <numRef>
              <f>'ANA PANEL'!$B$28:$B$29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Ödeme Trendi</a:t>
            </a:r>
          </a:p>
        </rich>
      </tx>
    </title>
    <plotArea>
      <lineChart>
        <grouping val="standard"/>
        <ser>
          <idx val="0"/>
          <order val="0"/>
          <tx>
            <strRef>
              <f>'AYLIK ÖZET'!B4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'AYLIK ÖZET'!$A$5:$A$16</f>
            </numRef>
          </cat>
          <val>
            <numRef>
              <f>'AYLIK ÖZET'!$B$5:$B$16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8" customWidth="1" min="5" max="5"/>
    <col width="4" customWidth="1" min="6" max="6"/>
    <col width="18" customWidth="1" min="7" max="7"/>
    <col width="18" customWidth="1" min="8" max="8"/>
  </cols>
  <sheetData>
    <row r="1" ht="34" customHeight="1">
      <c r="A1" s="1" t="inlineStr">
        <is>
          <t>💳 MİNİHESAP – PROFESYONEL BORÇ TAKİP PANELİ</t>
        </is>
      </c>
    </row>
    <row r="2">
      <c r="A2" s="2" t="inlineStr">
        <is>
          <t>Banka borçlarınızı, limitlerinizi ve ödemelerinizi tek ekrandan yönetin.</t>
        </is>
      </c>
    </row>
    <row r="4">
      <c r="A4" s="3" t="inlineStr">
        <is>
          <t>TOPLAM BORÇ</t>
        </is>
      </c>
      <c r="C4" s="3" t="inlineStr">
        <is>
          <t>TOPLAM LİMİT</t>
        </is>
      </c>
      <c r="E4" s="3" t="inlineStr">
        <is>
          <t>KULLANILABİLİR LİMİT</t>
        </is>
      </c>
      <c r="G4" s="3" t="inlineStr">
        <is>
          <t>BORÇ / LİMİT</t>
        </is>
      </c>
    </row>
    <row r="5" ht="35" customHeight="1">
      <c r="A5" s="4">
        <f>'BANKA TAKİP'!F20</f>
        <v/>
      </c>
      <c r="C5" s="4">
        <f>'BANKA TAKİP'!G20</f>
        <v/>
      </c>
      <c r="E5" s="4">
        <f>'BANKA TAKİP'!H20</f>
        <v/>
      </c>
      <c r="G5" s="5">
        <f>IF(C5=0,0,A5/C5)</f>
        <v/>
      </c>
    </row>
    <row r="8">
      <c r="A8" s="6" t="inlineStr">
        <is>
          <t>BORÇ DAĞILIMI</t>
        </is>
      </c>
    </row>
    <row r="9" ht="32" customHeight="1">
      <c r="A9" s="7" t="inlineStr">
        <is>
          <t>BANKA</t>
        </is>
      </c>
      <c r="B9" s="7" t="inlineStr">
        <is>
          <t>TOPLAM BORÇ</t>
        </is>
      </c>
      <c r="C9" s="7" t="inlineStr">
        <is>
          <t>TOPLAM LİMİT</t>
        </is>
      </c>
      <c r="D9" s="7" t="inlineStr">
        <is>
          <t>KALAN LİMİT</t>
        </is>
      </c>
      <c r="E9" s="7" t="inlineStr">
        <is>
          <t>KULLANIM ORANI</t>
        </is>
      </c>
      <c r="F9" s="7" t="inlineStr"/>
      <c r="G9" s="7" t="inlineStr"/>
      <c r="H9" s="7" t="inlineStr"/>
    </row>
    <row r="10">
      <c r="A10" s="8">
        <f>'BANKA TAKİP'!A5</f>
        <v/>
      </c>
      <c r="B10" s="9">
        <f>'BANKA TAKİP'!F5</f>
        <v/>
      </c>
      <c r="C10" s="9">
        <f>'BANKA TAKİP'!G5</f>
        <v/>
      </c>
      <c r="D10" s="9">
        <f>'BANKA TAKİP'!H5</f>
        <v/>
      </c>
      <c r="E10" s="10">
        <f>IF(C10=0,0,B10/C10)</f>
        <v/>
      </c>
    </row>
    <row r="11">
      <c r="A11" s="8">
        <f>'BANKA TAKİP'!A6</f>
        <v/>
      </c>
      <c r="B11" s="9">
        <f>'BANKA TAKİP'!F6</f>
        <v/>
      </c>
      <c r="C11" s="9">
        <f>'BANKA TAKİP'!G6</f>
        <v/>
      </c>
      <c r="D11" s="9">
        <f>'BANKA TAKİP'!H6</f>
        <v/>
      </c>
      <c r="E11" s="10">
        <f>IF(C11=0,0,B11/C11)</f>
        <v/>
      </c>
    </row>
    <row r="12">
      <c r="A12" s="8">
        <f>'BANKA TAKİP'!A7</f>
        <v/>
      </c>
      <c r="B12" s="9">
        <f>'BANKA TAKİP'!F7</f>
        <v/>
      </c>
      <c r="C12" s="9">
        <f>'BANKA TAKİP'!G7</f>
        <v/>
      </c>
      <c r="D12" s="9">
        <f>'BANKA TAKİP'!H7</f>
        <v/>
      </c>
      <c r="E12" s="10">
        <f>IF(C12=0,0,B12/C12)</f>
        <v/>
      </c>
    </row>
    <row r="13">
      <c r="A13" s="8">
        <f>'BANKA TAKİP'!A8</f>
        <v/>
      </c>
      <c r="B13" s="9">
        <f>'BANKA TAKİP'!F8</f>
        <v/>
      </c>
      <c r="C13" s="9">
        <f>'BANKA TAKİP'!G8</f>
        <v/>
      </c>
      <c r="D13" s="9">
        <f>'BANKA TAKİP'!H8</f>
        <v/>
      </c>
      <c r="E13" s="10">
        <f>IF(C13=0,0,B13/C13)</f>
        <v/>
      </c>
    </row>
    <row r="14">
      <c r="A14" s="8">
        <f>'BANKA TAKİP'!A9</f>
        <v/>
      </c>
      <c r="B14" s="9">
        <f>'BANKA TAKİP'!F9</f>
        <v/>
      </c>
      <c r="C14" s="9">
        <f>'BANKA TAKİP'!G9</f>
        <v/>
      </c>
      <c r="D14" s="9">
        <f>'BANKA TAKİP'!H9</f>
        <v/>
      </c>
      <c r="E14" s="10">
        <f>IF(C14=0,0,B14/C14)</f>
        <v/>
      </c>
    </row>
    <row r="15">
      <c r="A15" s="8">
        <f>'BANKA TAKİP'!A10</f>
        <v/>
      </c>
      <c r="B15" s="9">
        <f>'BANKA TAKİP'!F10</f>
        <v/>
      </c>
      <c r="C15" s="9">
        <f>'BANKA TAKİP'!G10</f>
        <v/>
      </c>
      <c r="D15" s="9">
        <f>'BANKA TAKİP'!H10</f>
        <v/>
      </c>
      <c r="E15" s="10">
        <f>IF(C15=0,0,B15/C15)</f>
        <v/>
      </c>
    </row>
    <row r="16">
      <c r="A16" s="8">
        <f>'BANKA TAKİP'!A11</f>
        <v/>
      </c>
      <c r="B16" s="9">
        <f>'BANKA TAKİP'!F11</f>
        <v/>
      </c>
      <c r="C16" s="9">
        <f>'BANKA TAKİP'!G11</f>
        <v/>
      </c>
      <c r="D16" s="9">
        <f>'BANKA TAKİP'!H11</f>
        <v/>
      </c>
      <c r="E16" s="10">
        <f>IF(C16=0,0,B16/C16)</f>
        <v/>
      </c>
    </row>
    <row r="17">
      <c r="A17" s="8">
        <f>'BANKA TAKİP'!A12</f>
        <v/>
      </c>
      <c r="B17" s="9">
        <f>'BANKA TAKİP'!F12</f>
        <v/>
      </c>
      <c r="C17" s="9">
        <f>'BANKA TAKİP'!G12</f>
        <v/>
      </c>
      <c r="D17" s="9">
        <f>'BANKA TAKİP'!H12</f>
        <v/>
      </c>
      <c r="E17" s="10">
        <f>IF(C17=0,0,B17/C17)</f>
        <v/>
      </c>
    </row>
    <row r="18">
      <c r="A18" s="8">
        <f>'BANKA TAKİP'!A13</f>
        <v/>
      </c>
      <c r="B18" s="9">
        <f>'BANKA TAKİP'!F13</f>
        <v/>
      </c>
      <c r="C18" s="9">
        <f>'BANKA TAKİP'!G13</f>
        <v/>
      </c>
      <c r="D18" s="9">
        <f>'BANKA TAKİP'!H13</f>
        <v/>
      </c>
      <c r="E18" s="10">
        <f>IF(C18=0,0,B18/C18)</f>
        <v/>
      </c>
    </row>
    <row r="19">
      <c r="A19" s="8">
        <f>'BANKA TAKİP'!A14</f>
        <v/>
      </c>
      <c r="B19" s="9">
        <f>'BANKA TAKİP'!F14</f>
        <v/>
      </c>
      <c r="C19" s="9">
        <f>'BANKA TAKİP'!G14</f>
        <v/>
      </c>
      <c r="D19" s="9">
        <f>'BANKA TAKİP'!H14</f>
        <v/>
      </c>
      <c r="E19" s="10">
        <f>IF(C19=0,0,B19/C19)</f>
        <v/>
      </c>
    </row>
    <row r="20">
      <c r="A20" s="8">
        <f>'BANKA TAKİP'!A15</f>
        <v/>
      </c>
      <c r="B20" s="9">
        <f>'BANKA TAKİP'!F15</f>
        <v/>
      </c>
      <c r="C20" s="9">
        <f>'BANKA TAKİP'!G15</f>
        <v/>
      </c>
      <c r="D20" s="9">
        <f>'BANKA TAKİP'!H15</f>
        <v/>
      </c>
      <c r="E20" s="10">
        <f>IF(C20=0,0,B20/C20)</f>
        <v/>
      </c>
    </row>
    <row r="21">
      <c r="A21" s="8">
        <f>'BANKA TAKİP'!A16</f>
        <v/>
      </c>
      <c r="B21" s="9">
        <f>'BANKA TAKİP'!F16</f>
        <v/>
      </c>
      <c r="C21" s="9">
        <f>'BANKA TAKİP'!G16</f>
        <v/>
      </c>
      <c r="D21" s="9">
        <f>'BANKA TAKİP'!H16</f>
        <v/>
      </c>
      <c r="E21" s="10">
        <f>IF(C21=0,0,B21/C21)</f>
        <v/>
      </c>
    </row>
    <row r="22">
      <c r="A22" s="8">
        <f>'BANKA TAKİP'!A17</f>
        <v/>
      </c>
      <c r="B22" s="9">
        <f>'BANKA TAKİP'!F17</f>
        <v/>
      </c>
      <c r="C22" s="9">
        <f>'BANKA TAKİP'!G17</f>
        <v/>
      </c>
      <c r="D22" s="9">
        <f>'BANKA TAKİP'!H17</f>
        <v/>
      </c>
      <c r="E22" s="10">
        <f>IF(C22=0,0,B22/C22)</f>
        <v/>
      </c>
    </row>
    <row r="23">
      <c r="A23" s="8">
        <f>'BANKA TAKİP'!A18</f>
        <v/>
      </c>
      <c r="B23" s="9">
        <f>'BANKA TAKİP'!F18</f>
        <v/>
      </c>
      <c r="C23" s="9">
        <f>'BANKA TAKİP'!G18</f>
        <v/>
      </c>
      <c r="D23" s="9">
        <f>'BANKA TAKİP'!H18</f>
        <v/>
      </c>
      <c r="E23" s="10">
        <f>IF(C23=0,0,B23/C23)</f>
        <v/>
      </c>
    </row>
    <row r="24">
      <c r="A24" s="8">
        <f>'BANKA TAKİP'!A19</f>
        <v/>
      </c>
      <c r="B24" s="9">
        <f>'BANKA TAKİP'!F19</f>
        <v/>
      </c>
      <c r="C24" s="9">
        <f>'BANKA TAKİP'!G19</f>
        <v/>
      </c>
      <c r="D24" s="9">
        <f>'BANKA TAKİP'!H19</f>
        <v/>
      </c>
      <c r="E24" s="10">
        <f>IF(C24=0,0,B24/C24)</f>
        <v/>
      </c>
    </row>
    <row r="27">
      <c r="A27" s="6" t="inlineStr">
        <is>
          <t>HIZLI MENÜ</t>
        </is>
      </c>
    </row>
    <row r="28">
      <c r="A28" s="11" t="inlineStr">
        <is>
          <t>➡ Banka bilgilerini güncellemek için: BANKA TAKİP</t>
        </is>
      </c>
    </row>
    <row r="29">
      <c r="A29" s="11" t="inlineStr">
        <is>
          <t>➡ Ödemeleri kaydetmek için: ÖDEME TAKİP</t>
        </is>
      </c>
    </row>
    <row r="30">
      <c r="A30" s="11" t="inlineStr">
        <is>
          <t>➡ Taksitleri yönetmek için: TAKSİT TAKİP</t>
        </is>
      </c>
    </row>
    <row r="31">
      <c r="A31" s="11" t="inlineStr">
        <is>
          <t>➡ Aylık performansı görmek için: AYLIK ÖZET</t>
        </is>
      </c>
    </row>
  </sheetData>
  <mergeCells count="16">
    <mergeCell ref="A4:B4"/>
    <mergeCell ref="G4:H4"/>
    <mergeCell ref="E4:F4"/>
    <mergeCell ref="A29:E29"/>
    <mergeCell ref="A30:E30"/>
    <mergeCell ref="A31:E31"/>
    <mergeCell ref="A2:H2"/>
    <mergeCell ref="A28:E28"/>
    <mergeCell ref="C5:D5"/>
    <mergeCell ref="A5:B5"/>
    <mergeCell ref="G5:H5"/>
    <mergeCell ref="E5:F5"/>
    <mergeCell ref="A1:H1"/>
    <mergeCell ref="A8:H8"/>
    <mergeCell ref="A27:E27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💳 MİNİHESAP – BANKA BORÇ TAKİP</t>
        </is>
      </c>
    </row>
    <row r="2">
      <c r="A2" s="2" t="inlineStr">
        <is>
          <t>Yeşil alanlara kendi güncel banka bilgilerinizi girin. Hesaplamalar otomatik yapılır.</t>
        </is>
      </c>
    </row>
    <row r="4" ht="32" customHeight="1">
      <c r="A4" s="7" t="inlineStr">
        <is>
          <t>BANKA ADI</t>
        </is>
      </c>
      <c r="B4" s="7" t="inlineStr">
        <is>
          <t>NAKİT LİMİTİ</t>
        </is>
      </c>
      <c r="C4" s="7" t="inlineStr">
        <is>
          <t>NAKİT AVANS BORCU</t>
        </is>
      </c>
      <c r="D4" s="7" t="inlineStr">
        <is>
          <t>KART LİMİTİ</t>
        </is>
      </c>
      <c r="E4" s="7" t="inlineStr">
        <is>
          <t>KART BORCU</t>
        </is>
      </c>
      <c r="F4" s="7" t="inlineStr">
        <is>
          <t>TOPLAM BORÇ</t>
        </is>
      </c>
      <c r="G4" s="7" t="inlineStr">
        <is>
          <t>TOPLAM LİMİT</t>
        </is>
      </c>
      <c r="H4" s="7" t="inlineStr">
        <is>
          <t>KALAN LİMİT</t>
        </is>
      </c>
    </row>
    <row r="5">
      <c r="A5" s="12" t="inlineStr">
        <is>
          <t>AKBANK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4">
        <f>C5+E5</f>
        <v/>
      </c>
      <c r="G5" s="14">
        <f>B5+D5</f>
        <v/>
      </c>
      <c r="H5" s="14">
        <f>G5-F5</f>
        <v/>
      </c>
    </row>
    <row r="6">
      <c r="A6" s="12" t="inlineStr">
        <is>
          <t>HALKBANK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4">
        <f>C6+E6</f>
        <v/>
      </c>
      <c r="G6" s="14">
        <f>B6+D6</f>
        <v/>
      </c>
      <c r="H6" s="14">
        <f>G6-F6</f>
        <v/>
      </c>
    </row>
    <row r="7">
      <c r="A7" s="12" t="inlineStr">
        <is>
          <t>İŞ BANKASI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4">
        <f>C7+E7</f>
        <v/>
      </c>
      <c r="G7" s="14">
        <f>B7+D7</f>
        <v/>
      </c>
      <c r="H7" s="14">
        <f>G7-F7</f>
        <v/>
      </c>
    </row>
    <row r="8">
      <c r="A8" s="12" t="inlineStr">
        <is>
          <t>ING BANK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4">
        <f>C8+E8</f>
        <v/>
      </c>
      <c r="G8" s="14">
        <f>B8+D8</f>
        <v/>
      </c>
      <c r="H8" s="14">
        <f>G8-F8</f>
        <v/>
      </c>
    </row>
    <row r="9">
      <c r="A9" s="12" t="inlineStr">
        <is>
          <t>YAPI KREDİ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4">
        <f>C9+E9</f>
        <v/>
      </c>
      <c r="G9" s="14">
        <f>B9+D9</f>
        <v/>
      </c>
      <c r="H9" s="14">
        <f>G9-F9</f>
        <v/>
      </c>
    </row>
    <row r="10">
      <c r="A10" s="12" t="inlineStr">
        <is>
          <t>TEB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4">
        <f>C10+E10</f>
        <v/>
      </c>
      <c r="G10" s="14">
        <f>B10+D10</f>
        <v/>
      </c>
      <c r="H10" s="14">
        <f>G10-F10</f>
        <v/>
      </c>
    </row>
    <row r="11">
      <c r="A11" s="12" t="inlineStr">
        <is>
          <t>QNB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4">
        <f>C11+E11</f>
        <v/>
      </c>
      <c r="G11" s="14">
        <f>B11+D11</f>
        <v/>
      </c>
      <c r="H11" s="14">
        <f>G11-F11</f>
        <v/>
      </c>
    </row>
    <row r="12">
      <c r="A12" s="12" t="inlineStr">
        <is>
          <t>GARANTİ BBVA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4">
        <f>C12+E12</f>
        <v/>
      </c>
      <c r="G12" s="14">
        <f>B12+D12</f>
        <v/>
      </c>
      <c r="H12" s="14">
        <f>G12-F12</f>
        <v/>
      </c>
    </row>
    <row r="13">
      <c r="A13" s="12" t="inlineStr">
        <is>
          <t>ZİRAAT BANKASI</t>
        </is>
      </c>
      <c r="B13" s="13" t="n">
        <v>0</v>
      </c>
      <c r="C13" s="13" t="n">
        <v>0</v>
      </c>
      <c r="D13" s="13" t="n">
        <v>0</v>
      </c>
      <c r="E13" s="13" t="n">
        <v>0</v>
      </c>
      <c r="F13" s="14">
        <f>C13+E13</f>
        <v/>
      </c>
      <c r="G13" s="14">
        <f>B13+D13</f>
        <v/>
      </c>
      <c r="H13" s="14">
        <f>G13-F13</f>
        <v/>
      </c>
    </row>
    <row r="14">
      <c r="A14" s="12" t="inlineStr">
        <is>
          <t>VAKIFBANK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4">
        <f>C14+E14</f>
        <v/>
      </c>
      <c r="G14" s="14">
        <f>B14+D14</f>
        <v/>
      </c>
      <c r="H14" s="14">
        <f>G14-F14</f>
        <v/>
      </c>
    </row>
    <row r="15">
      <c r="A15" s="12" t="inlineStr">
        <is>
          <t>DENİZBANK</t>
        </is>
      </c>
      <c r="B15" s="13" t="n">
        <v>0</v>
      </c>
      <c r="C15" s="13" t="n">
        <v>0</v>
      </c>
      <c r="D15" s="13" t="n">
        <v>0</v>
      </c>
      <c r="E15" s="13" t="n">
        <v>0</v>
      </c>
      <c r="F15" s="14">
        <f>C15+E15</f>
        <v/>
      </c>
      <c r="G15" s="14">
        <f>B15+D15</f>
        <v/>
      </c>
      <c r="H15" s="14">
        <f>G15-F15</f>
        <v/>
      </c>
    </row>
    <row r="16">
      <c r="A16" s="12" t="inlineStr">
        <is>
          <t>HSBC</t>
        </is>
      </c>
      <c r="B16" s="13" t="n">
        <v>0</v>
      </c>
      <c r="C16" s="13" t="n">
        <v>0</v>
      </c>
      <c r="D16" s="13" t="n">
        <v>0</v>
      </c>
      <c r="E16" s="13" t="n">
        <v>0</v>
      </c>
      <c r="F16" s="14">
        <f>C16+E16</f>
        <v/>
      </c>
      <c r="G16" s="14">
        <f>B16+D16</f>
        <v/>
      </c>
      <c r="H16" s="14">
        <f>G16-F16</f>
        <v/>
      </c>
    </row>
    <row r="17">
      <c r="A17" s="12" t="inlineStr">
        <is>
          <t>KUVEYT TÜRK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4">
        <f>C17+E17</f>
        <v/>
      </c>
      <c r="G17" s="14">
        <f>B17+D17</f>
        <v/>
      </c>
      <c r="H17" s="14">
        <f>G17-F17</f>
        <v/>
      </c>
    </row>
    <row r="18">
      <c r="A18" s="12" t="inlineStr">
        <is>
          <t>TÜRKİYE FİNANS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4">
        <f>C18+E18</f>
        <v/>
      </c>
      <c r="G18" s="14">
        <f>B18+D18</f>
        <v/>
      </c>
      <c r="H18" s="14">
        <f>G18-F18</f>
        <v/>
      </c>
    </row>
    <row r="19">
      <c r="A19" s="12" t="inlineStr">
        <is>
          <t>DİĞER</t>
        </is>
      </c>
      <c r="B19" s="13" t="n">
        <v>0</v>
      </c>
      <c r="C19" s="13" t="n">
        <v>0</v>
      </c>
      <c r="D19" s="13" t="n">
        <v>0</v>
      </c>
      <c r="E19" s="13" t="n">
        <v>0</v>
      </c>
      <c r="F19" s="14">
        <f>C19+E19</f>
        <v/>
      </c>
      <c r="G19" s="14">
        <f>B19+D19</f>
        <v/>
      </c>
      <c r="H19" s="14">
        <f>G19-F19</f>
        <v/>
      </c>
    </row>
    <row r="20">
      <c r="A20" s="15" t="inlineStr">
        <is>
          <t>TOPLAM</t>
        </is>
      </c>
      <c r="B20" s="16">
        <f>SUM(B5:B19)</f>
        <v/>
      </c>
      <c r="C20" s="16">
        <f>SUM(C5:C19)</f>
        <v/>
      </c>
      <c r="D20" s="16">
        <f>SUM(D5:D19)</f>
        <v/>
      </c>
      <c r="E20" s="16">
        <f>SUM(E5:E19)</f>
        <v/>
      </c>
      <c r="F20" s="16">
        <f>SUM(F5:F19)</f>
        <v/>
      </c>
      <c r="G20" s="16">
        <f>SUM(G5:G19)</f>
        <v/>
      </c>
      <c r="H20" s="16">
        <f>SUM(H5:H19)</f>
        <v/>
      </c>
    </row>
  </sheetData>
  <autoFilter ref="A4:H19"/>
  <mergeCells count="2">
    <mergeCell ref="A2:H2"/>
    <mergeCell ref="A1:H1"/>
  </mergeCells>
  <conditionalFormatting sqref="H5:H19">
    <cfRule type="cellIs" priority="1" operator="lessThan" dxfId="0">
      <formula>0</formula>
    </cfRule>
  </conditionalFormatting>
  <dataValidations count="1">
    <dataValidation sqref="B5:E19" showDropDown="0" showInputMessage="0" showErrorMessage="0" allowBlank="1" error="Lütfen 0 veya daha büyük bir tutar girin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35" customWidth="1" min="5" max="5"/>
    <col width="15" customWidth="1" min="6" max="6"/>
    <col width="15" customWidth="1" min="7" max="7"/>
  </cols>
  <sheetData>
    <row r="1" ht="34" customHeight="1">
      <c r="A1" s="1" t="inlineStr">
        <is>
          <t>📅 ÖDEME TAKİP</t>
        </is>
      </c>
    </row>
    <row r="2">
      <c r="A2" s="2" t="inlineStr">
        <is>
          <t>Yaptığınız ödemeleri tarih, banka ve borç türü bazında kaydedin.</t>
        </is>
      </c>
    </row>
    <row r="4" ht="32" customHeight="1">
      <c r="A4" s="7" t="inlineStr">
        <is>
          <t>TARİH</t>
        </is>
      </c>
      <c r="B4" s="7" t="inlineStr">
        <is>
          <t>BANKA</t>
        </is>
      </c>
      <c r="C4" s="7" t="inlineStr">
        <is>
          <t>BORÇ TÜRÜ</t>
        </is>
      </c>
      <c r="D4" s="7" t="inlineStr">
        <is>
          <t>ÖDEME TUTARI</t>
        </is>
      </c>
      <c r="E4" s="7" t="inlineStr">
        <is>
          <t>AÇIKLAMA</t>
        </is>
      </c>
      <c r="F4" s="7" t="inlineStr">
        <is>
          <t>AY</t>
        </is>
      </c>
      <c r="G4" s="7" t="inlineStr">
        <is>
          <t>DURUM</t>
        </is>
      </c>
    </row>
    <row r="5">
      <c r="A5" s="17" t="n"/>
      <c r="B5" s="18" t="n"/>
      <c r="C5" s="18" t="n"/>
      <c r="D5" s="19" t="n"/>
      <c r="E5" s="18" t="n"/>
      <c r="F5" s="8">
        <f>IF(A5="","",TEXT(A5,"mmmm"))</f>
        <v/>
      </c>
      <c r="G5" s="8" t="n"/>
    </row>
    <row r="6">
      <c r="A6" s="17" t="n"/>
      <c r="B6" s="18" t="n"/>
      <c r="C6" s="18" t="n"/>
      <c r="D6" s="19" t="n"/>
      <c r="E6" s="18" t="n"/>
      <c r="F6" s="8">
        <f>IF(A6="","",TEXT(A6,"mmmm"))</f>
        <v/>
      </c>
      <c r="G6" s="8" t="n"/>
    </row>
    <row r="7">
      <c r="A7" s="17" t="n"/>
      <c r="B7" s="18" t="n"/>
      <c r="C7" s="18" t="n"/>
      <c r="D7" s="19" t="n"/>
      <c r="E7" s="18" t="n"/>
      <c r="F7" s="8">
        <f>IF(A7="","",TEXT(A7,"mmmm"))</f>
        <v/>
      </c>
      <c r="G7" s="8" t="n"/>
    </row>
    <row r="8">
      <c r="A8" s="17" t="n"/>
      <c r="B8" s="18" t="n"/>
      <c r="C8" s="18" t="n"/>
      <c r="D8" s="19" t="n"/>
      <c r="E8" s="18" t="n"/>
      <c r="F8" s="8">
        <f>IF(A8="","",TEXT(A8,"mmmm"))</f>
        <v/>
      </c>
      <c r="G8" s="8" t="n"/>
    </row>
    <row r="9">
      <c r="A9" s="17" t="n"/>
      <c r="B9" s="18" t="n"/>
      <c r="C9" s="18" t="n"/>
      <c r="D9" s="19" t="n"/>
      <c r="E9" s="18" t="n"/>
      <c r="F9" s="8">
        <f>IF(A9="","",TEXT(A9,"mmmm"))</f>
        <v/>
      </c>
      <c r="G9" s="8" t="n"/>
    </row>
    <row r="10">
      <c r="A10" s="17" t="n"/>
      <c r="B10" s="18" t="n"/>
      <c r="C10" s="18" t="n"/>
      <c r="D10" s="19" t="n"/>
      <c r="E10" s="18" t="n"/>
      <c r="F10" s="8">
        <f>IF(A10="","",TEXT(A10,"mmmm"))</f>
        <v/>
      </c>
      <c r="G10" s="8" t="n"/>
    </row>
    <row r="11">
      <c r="A11" s="17" t="n"/>
      <c r="B11" s="18" t="n"/>
      <c r="C11" s="18" t="n"/>
      <c r="D11" s="19" t="n"/>
      <c r="E11" s="18" t="n"/>
      <c r="F11" s="8">
        <f>IF(A11="","",TEXT(A11,"mmmm"))</f>
        <v/>
      </c>
      <c r="G11" s="8" t="n"/>
    </row>
    <row r="12">
      <c r="A12" s="17" t="n"/>
      <c r="B12" s="18" t="n"/>
      <c r="C12" s="18" t="n"/>
      <c r="D12" s="19" t="n"/>
      <c r="E12" s="18" t="n"/>
      <c r="F12" s="8">
        <f>IF(A12="","",TEXT(A12,"mmmm"))</f>
        <v/>
      </c>
      <c r="G12" s="8" t="n"/>
    </row>
    <row r="13">
      <c r="A13" s="17" t="n"/>
      <c r="B13" s="18" t="n"/>
      <c r="C13" s="18" t="n"/>
      <c r="D13" s="19" t="n"/>
      <c r="E13" s="18" t="n"/>
      <c r="F13" s="8">
        <f>IF(A13="","",TEXT(A13,"mmmm"))</f>
        <v/>
      </c>
      <c r="G13" s="8" t="n"/>
    </row>
    <row r="14">
      <c r="A14" s="17" t="n"/>
      <c r="B14" s="18" t="n"/>
      <c r="C14" s="18" t="n"/>
      <c r="D14" s="19" t="n"/>
      <c r="E14" s="18" t="n"/>
      <c r="F14" s="8">
        <f>IF(A14="","",TEXT(A14,"mmmm"))</f>
        <v/>
      </c>
      <c r="G14" s="8" t="n"/>
    </row>
    <row r="15">
      <c r="A15" s="17" t="n"/>
      <c r="B15" s="18" t="n"/>
      <c r="C15" s="18" t="n"/>
      <c r="D15" s="19" t="n"/>
      <c r="E15" s="18" t="n"/>
      <c r="F15" s="8">
        <f>IF(A15="","",TEXT(A15,"mmmm"))</f>
        <v/>
      </c>
      <c r="G15" s="8" t="n"/>
    </row>
    <row r="16">
      <c r="A16" s="17" t="n"/>
      <c r="B16" s="18" t="n"/>
      <c r="C16" s="18" t="n"/>
      <c r="D16" s="19" t="n"/>
      <c r="E16" s="18" t="n"/>
      <c r="F16" s="8">
        <f>IF(A16="","",TEXT(A16,"mmmm"))</f>
        <v/>
      </c>
      <c r="G16" s="8" t="n"/>
    </row>
    <row r="17">
      <c r="A17" s="17" t="n"/>
      <c r="B17" s="18" t="n"/>
      <c r="C17" s="18" t="n"/>
      <c r="D17" s="19" t="n"/>
      <c r="E17" s="18" t="n"/>
      <c r="F17" s="8">
        <f>IF(A17="","",TEXT(A17,"mmmm"))</f>
        <v/>
      </c>
      <c r="G17" s="8" t="n"/>
    </row>
    <row r="18">
      <c r="A18" s="17" t="n"/>
      <c r="B18" s="18" t="n"/>
      <c r="C18" s="18" t="n"/>
      <c r="D18" s="19" t="n"/>
      <c r="E18" s="18" t="n"/>
      <c r="F18" s="8">
        <f>IF(A18="","",TEXT(A18,"mmmm"))</f>
        <v/>
      </c>
      <c r="G18" s="8" t="n"/>
    </row>
    <row r="19">
      <c r="A19" s="17" t="n"/>
      <c r="B19" s="18" t="n"/>
      <c r="C19" s="18" t="n"/>
      <c r="D19" s="19" t="n"/>
      <c r="E19" s="18" t="n"/>
      <c r="F19" s="8">
        <f>IF(A19="","",TEXT(A19,"mmmm"))</f>
        <v/>
      </c>
      <c r="G19" s="8" t="n"/>
    </row>
    <row r="20">
      <c r="A20" s="17" t="n"/>
      <c r="B20" s="18" t="n"/>
      <c r="C20" s="18" t="n"/>
      <c r="D20" s="19" t="n"/>
      <c r="E20" s="18" t="n"/>
      <c r="F20" s="8">
        <f>IF(A20="","",TEXT(A20,"mmmm"))</f>
        <v/>
      </c>
      <c r="G20" s="8" t="n"/>
    </row>
    <row r="21">
      <c r="A21" s="17" t="n"/>
      <c r="B21" s="18" t="n"/>
      <c r="C21" s="18" t="n"/>
      <c r="D21" s="19" t="n"/>
      <c r="E21" s="18" t="n"/>
      <c r="F21" s="8">
        <f>IF(A21="","",TEXT(A21,"mmmm"))</f>
        <v/>
      </c>
      <c r="G21" s="8" t="n"/>
    </row>
    <row r="22">
      <c r="A22" s="17" t="n"/>
      <c r="B22" s="18" t="n"/>
      <c r="C22" s="18" t="n"/>
      <c r="D22" s="19" t="n"/>
      <c r="E22" s="18" t="n"/>
      <c r="F22" s="8">
        <f>IF(A22="","",TEXT(A22,"mmmm"))</f>
        <v/>
      </c>
      <c r="G22" s="8" t="n"/>
    </row>
    <row r="23">
      <c r="A23" s="17" t="n"/>
      <c r="B23" s="18" t="n"/>
      <c r="C23" s="18" t="n"/>
      <c r="D23" s="19" t="n"/>
      <c r="E23" s="18" t="n"/>
      <c r="F23" s="8">
        <f>IF(A23="","",TEXT(A23,"mmmm"))</f>
        <v/>
      </c>
      <c r="G23" s="8" t="n"/>
    </row>
    <row r="24">
      <c r="A24" s="17" t="n"/>
      <c r="B24" s="18" t="n"/>
      <c r="C24" s="18" t="n"/>
      <c r="D24" s="19" t="n"/>
      <c r="E24" s="18" t="n"/>
      <c r="F24" s="8">
        <f>IF(A24="","",TEXT(A24,"mmmm"))</f>
        <v/>
      </c>
      <c r="G24" s="8" t="n"/>
    </row>
    <row r="25">
      <c r="A25" s="17" t="n"/>
      <c r="B25" s="18" t="n"/>
      <c r="C25" s="18" t="n"/>
      <c r="D25" s="19" t="n"/>
      <c r="E25" s="18" t="n"/>
      <c r="F25" s="8">
        <f>IF(A25="","",TEXT(A25,"mmmm"))</f>
        <v/>
      </c>
      <c r="G25" s="8" t="n"/>
    </row>
    <row r="26">
      <c r="A26" s="17" t="n"/>
      <c r="B26" s="18" t="n"/>
      <c r="C26" s="18" t="n"/>
      <c r="D26" s="19" t="n"/>
      <c r="E26" s="18" t="n"/>
      <c r="F26" s="8">
        <f>IF(A26="","",TEXT(A26,"mmmm"))</f>
        <v/>
      </c>
      <c r="G26" s="8" t="n"/>
    </row>
    <row r="27">
      <c r="A27" s="17" t="n"/>
      <c r="B27" s="18" t="n"/>
      <c r="C27" s="18" t="n"/>
      <c r="D27" s="19" t="n"/>
      <c r="E27" s="18" t="n"/>
      <c r="F27" s="8">
        <f>IF(A27="","",TEXT(A27,"mmmm"))</f>
        <v/>
      </c>
      <c r="G27" s="8" t="n"/>
    </row>
    <row r="28">
      <c r="A28" s="17" t="n"/>
      <c r="B28" s="18" t="n"/>
      <c r="C28" s="18" t="n"/>
      <c r="D28" s="19" t="n"/>
      <c r="E28" s="18" t="n"/>
      <c r="F28" s="8">
        <f>IF(A28="","",TEXT(A28,"mmmm"))</f>
        <v/>
      </c>
      <c r="G28" s="8" t="n"/>
    </row>
    <row r="29">
      <c r="A29" s="17" t="n"/>
      <c r="B29" s="18" t="n"/>
      <c r="C29" s="18" t="n"/>
      <c r="D29" s="19" t="n"/>
      <c r="E29" s="18" t="n"/>
      <c r="F29" s="8">
        <f>IF(A29="","",TEXT(A29,"mmmm"))</f>
        <v/>
      </c>
      <c r="G29" s="8" t="n"/>
    </row>
    <row r="30">
      <c r="A30" s="17" t="n"/>
      <c r="B30" s="18" t="n"/>
      <c r="C30" s="18" t="n"/>
      <c r="D30" s="19" t="n"/>
      <c r="E30" s="18" t="n"/>
      <c r="F30" s="8">
        <f>IF(A30="","",TEXT(A30,"mmmm"))</f>
        <v/>
      </c>
      <c r="G30" s="8" t="n"/>
    </row>
    <row r="31">
      <c r="A31" s="17" t="n"/>
      <c r="B31" s="18" t="n"/>
      <c r="C31" s="18" t="n"/>
      <c r="D31" s="19" t="n"/>
      <c r="E31" s="18" t="n"/>
      <c r="F31" s="8">
        <f>IF(A31="","",TEXT(A31,"mmmm"))</f>
        <v/>
      </c>
      <c r="G31" s="8" t="n"/>
    </row>
    <row r="32">
      <c r="A32" s="17" t="n"/>
      <c r="B32" s="18" t="n"/>
      <c r="C32" s="18" t="n"/>
      <c r="D32" s="19" t="n"/>
      <c r="E32" s="18" t="n"/>
      <c r="F32" s="8">
        <f>IF(A32="","",TEXT(A32,"mmmm"))</f>
        <v/>
      </c>
      <c r="G32" s="8" t="n"/>
    </row>
    <row r="33">
      <c r="A33" s="17" t="n"/>
      <c r="B33" s="18" t="n"/>
      <c r="C33" s="18" t="n"/>
      <c r="D33" s="19" t="n"/>
      <c r="E33" s="18" t="n"/>
      <c r="F33" s="8">
        <f>IF(A33="","",TEXT(A33,"mmmm"))</f>
        <v/>
      </c>
      <c r="G33" s="8" t="n"/>
    </row>
    <row r="34">
      <c r="A34" s="17" t="n"/>
      <c r="B34" s="18" t="n"/>
      <c r="C34" s="18" t="n"/>
      <c r="D34" s="19" t="n"/>
      <c r="E34" s="18" t="n"/>
      <c r="F34" s="8">
        <f>IF(A34="","",TEXT(A34,"mmmm"))</f>
        <v/>
      </c>
      <c r="G34" s="8" t="n"/>
    </row>
    <row r="35">
      <c r="A35" s="17" t="n"/>
      <c r="B35" s="18" t="n"/>
      <c r="C35" s="18" t="n"/>
      <c r="D35" s="19" t="n"/>
      <c r="E35" s="18" t="n"/>
      <c r="F35" s="8">
        <f>IF(A35="","",TEXT(A35,"mmmm"))</f>
        <v/>
      </c>
      <c r="G35" s="8" t="n"/>
    </row>
    <row r="36">
      <c r="A36" s="17" t="n"/>
      <c r="B36" s="18" t="n"/>
      <c r="C36" s="18" t="n"/>
      <c r="D36" s="19" t="n"/>
      <c r="E36" s="18" t="n"/>
      <c r="F36" s="8">
        <f>IF(A36="","",TEXT(A36,"mmmm"))</f>
        <v/>
      </c>
      <c r="G36" s="8" t="n"/>
    </row>
    <row r="37">
      <c r="A37" s="17" t="n"/>
      <c r="B37" s="18" t="n"/>
      <c r="C37" s="18" t="n"/>
      <c r="D37" s="19" t="n"/>
      <c r="E37" s="18" t="n"/>
      <c r="F37" s="8">
        <f>IF(A37="","",TEXT(A37,"mmmm"))</f>
        <v/>
      </c>
      <c r="G37" s="8" t="n"/>
    </row>
    <row r="38">
      <c r="A38" s="17" t="n"/>
      <c r="B38" s="18" t="n"/>
      <c r="C38" s="18" t="n"/>
      <c r="D38" s="19" t="n"/>
      <c r="E38" s="18" t="n"/>
      <c r="F38" s="8">
        <f>IF(A38="","",TEXT(A38,"mmmm"))</f>
        <v/>
      </c>
      <c r="G38" s="8" t="n"/>
    </row>
    <row r="39">
      <c r="A39" s="17" t="n"/>
      <c r="B39" s="18" t="n"/>
      <c r="C39" s="18" t="n"/>
      <c r="D39" s="19" t="n"/>
      <c r="E39" s="18" t="n"/>
      <c r="F39" s="8">
        <f>IF(A39="","",TEXT(A39,"mmmm"))</f>
        <v/>
      </c>
      <c r="G39" s="8" t="n"/>
    </row>
    <row r="40">
      <c r="A40" s="17" t="n"/>
      <c r="B40" s="18" t="n"/>
      <c r="C40" s="18" t="n"/>
      <c r="D40" s="19" t="n"/>
      <c r="E40" s="18" t="n"/>
      <c r="F40" s="8">
        <f>IF(A40="","",TEXT(A40,"mmmm"))</f>
        <v/>
      </c>
      <c r="G40" s="8" t="n"/>
    </row>
    <row r="41">
      <c r="A41" s="17" t="n"/>
      <c r="B41" s="18" t="n"/>
      <c r="C41" s="18" t="n"/>
      <c r="D41" s="19" t="n"/>
      <c r="E41" s="18" t="n"/>
      <c r="F41" s="8">
        <f>IF(A41="","",TEXT(A41,"mmmm"))</f>
        <v/>
      </c>
      <c r="G41" s="8" t="n"/>
    </row>
    <row r="42">
      <c r="A42" s="17" t="n"/>
      <c r="B42" s="18" t="n"/>
      <c r="C42" s="18" t="n"/>
      <c r="D42" s="19" t="n"/>
      <c r="E42" s="18" t="n"/>
      <c r="F42" s="8">
        <f>IF(A42="","",TEXT(A42,"mmmm"))</f>
        <v/>
      </c>
      <c r="G42" s="8" t="n"/>
    </row>
    <row r="43">
      <c r="A43" s="17" t="n"/>
      <c r="B43" s="18" t="n"/>
      <c r="C43" s="18" t="n"/>
      <c r="D43" s="19" t="n"/>
      <c r="E43" s="18" t="n"/>
      <c r="F43" s="8">
        <f>IF(A43="","",TEXT(A43,"mmmm"))</f>
        <v/>
      </c>
      <c r="G43" s="8" t="n"/>
    </row>
    <row r="44">
      <c r="A44" s="17" t="n"/>
      <c r="B44" s="18" t="n"/>
      <c r="C44" s="18" t="n"/>
      <c r="D44" s="19" t="n"/>
      <c r="E44" s="18" t="n"/>
      <c r="F44" s="8">
        <f>IF(A44="","",TEXT(A44,"mmmm"))</f>
        <v/>
      </c>
      <c r="G44" s="8" t="n"/>
    </row>
    <row r="45">
      <c r="A45" s="17" t="n"/>
      <c r="B45" s="18" t="n"/>
      <c r="C45" s="18" t="n"/>
      <c r="D45" s="19" t="n"/>
      <c r="E45" s="18" t="n"/>
      <c r="F45" s="8">
        <f>IF(A45="","",TEXT(A45,"mmmm"))</f>
        <v/>
      </c>
      <c r="G45" s="8" t="n"/>
    </row>
    <row r="46">
      <c r="A46" s="17" t="n"/>
      <c r="B46" s="18" t="n"/>
      <c r="C46" s="18" t="n"/>
      <c r="D46" s="19" t="n"/>
      <c r="E46" s="18" t="n"/>
      <c r="F46" s="8">
        <f>IF(A46="","",TEXT(A46,"mmmm"))</f>
        <v/>
      </c>
      <c r="G46" s="8" t="n"/>
    </row>
    <row r="47">
      <c r="A47" s="17" t="n"/>
      <c r="B47" s="18" t="n"/>
      <c r="C47" s="18" t="n"/>
      <c r="D47" s="19" t="n"/>
      <c r="E47" s="18" t="n"/>
      <c r="F47" s="8">
        <f>IF(A47="","",TEXT(A47,"mmmm"))</f>
        <v/>
      </c>
      <c r="G47" s="8" t="n"/>
    </row>
    <row r="48">
      <c r="A48" s="17" t="n"/>
      <c r="B48" s="18" t="n"/>
      <c r="C48" s="18" t="n"/>
      <c r="D48" s="19" t="n"/>
      <c r="E48" s="18" t="n"/>
      <c r="F48" s="8">
        <f>IF(A48="","",TEXT(A48,"mmmm"))</f>
        <v/>
      </c>
      <c r="G48" s="8" t="n"/>
    </row>
    <row r="49">
      <c r="A49" s="17" t="n"/>
      <c r="B49" s="18" t="n"/>
      <c r="C49" s="18" t="n"/>
      <c r="D49" s="19" t="n"/>
      <c r="E49" s="18" t="n"/>
      <c r="F49" s="8">
        <f>IF(A49="","",TEXT(A49,"mmmm"))</f>
        <v/>
      </c>
      <c r="G49" s="8" t="n"/>
    </row>
    <row r="50">
      <c r="A50" s="17" t="n"/>
      <c r="B50" s="18" t="n"/>
      <c r="C50" s="18" t="n"/>
      <c r="D50" s="19" t="n"/>
      <c r="E50" s="18" t="n"/>
      <c r="F50" s="8">
        <f>IF(A50="","",TEXT(A50,"mmmm"))</f>
        <v/>
      </c>
      <c r="G50" s="8" t="n"/>
    </row>
    <row r="51">
      <c r="A51" s="17" t="n"/>
      <c r="B51" s="18" t="n"/>
      <c r="C51" s="18" t="n"/>
      <c r="D51" s="19" t="n"/>
      <c r="E51" s="18" t="n"/>
      <c r="F51" s="8">
        <f>IF(A51="","",TEXT(A51,"mmmm"))</f>
        <v/>
      </c>
      <c r="G51" s="8" t="n"/>
    </row>
    <row r="52">
      <c r="A52" s="17" t="n"/>
      <c r="B52" s="18" t="n"/>
      <c r="C52" s="18" t="n"/>
      <c r="D52" s="19" t="n"/>
      <c r="E52" s="18" t="n"/>
      <c r="F52" s="8">
        <f>IF(A52="","",TEXT(A52,"mmmm"))</f>
        <v/>
      </c>
      <c r="G52" s="8" t="n"/>
    </row>
    <row r="53">
      <c r="A53" s="17" t="n"/>
      <c r="B53" s="18" t="n"/>
      <c r="C53" s="18" t="n"/>
      <c r="D53" s="19" t="n"/>
      <c r="E53" s="18" t="n"/>
      <c r="F53" s="8">
        <f>IF(A53="","",TEXT(A53,"mmmm"))</f>
        <v/>
      </c>
      <c r="G53" s="8" t="n"/>
    </row>
    <row r="54">
      <c r="A54" s="17" t="n"/>
      <c r="B54" s="18" t="n"/>
      <c r="C54" s="18" t="n"/>
      <c r="D54" s="19" t="n"/>
      <c r="E54" s="18" t="n"/>
      <c r="F54" s="8">
        <f>IF(A54="","",TEXT(A54,"mmmm"))</f>
        <v/>
      </c>
      <c r="G54" s="8" t="n"/>
    </row>
    <row r="55">
      <c r="A55" s="17" t="n"/>
      <c r="B55" s="18" t="n"/>
      <c r="C55" s="18" t="n"/>
      <c r="D55" s="19" t="n"/>
      <c r="E55" s="18" t="n"/>
      <c r="F55" s="8">
        <f>IF(A55="","",TEXT(A55,"mmmm"))</f>
        <v/>
      </c>
      <c r="G55" s="8" t="n"/>
    </row>
    <row r="56">
      <c r="A56" s="17" t="n"/>
      <c r="B56" s="18" t="n"/>
      <c r="C56" s="18" t="n"/>
      <c r="D56" s="19" t="n"/>
      <c r="E56" s="18" t="n"/>
      <c r="F56" s="8">
        <f>IF(A56="","",TEXT(A56,"mmmm"))</f>
        <v/>
      </c>
      <c r="G56" s="8" t="n"/>
    </row>
    <row r="57">
      <c r="A57" s="17" t="n"/>
      <c r="B57" s="18" t="n"/>
      <c r="C57" s="18" t="n"/>
      <c r="D57" s="19" t="n"/>
      <c r="E57" s="18" t="n"/>
      <c r="F57" s="8">
        <f>IF(A57="","",TEXT(A57,"mmmm"))</f>
        <v/>
      </c>
      <c r="G57" s="8" t="n"/>
    </row>
    <row r="58">
      <c r="A58" s="17" t="n"/>
      <c r="B58" s="18" t="n"/>
      <c r="C58" s="18" t="n"/>
      <c r="D58" s="19" t="n"/>
      <c r="E58" s="18" t="n"/>
      <c r="F58" s="8">
        <f>IF(A58="","",TEXT(A58,"mmmm"))</f>
        <v/>
      </c>
      <c r="G58" s="8" t="n"/>
    </row>
    <row r="59">
      <c r="A59" s="17" t="n"/>
      <c r="B59" s="18" t="n"/>
      <c r="C59" s="18" t="n"/>
      <c r="D59" s="19" t="n"/>
      <c r="E59" s="18" t="n"/>
      <c r="F59" s="8">
        <f>IF(A59="","",TEXT(A59,"mmmm"))</f>
        <v/>
      </c>
      <c r="G59" s="8" t="n"/>
    </row>
    <row r="60">
      <c r="A60" s="17" t="n"/>
      <c r="B60" s="18" t="n"/>
      <c r="C60" s="18" t="n"/>
      <c r="D60" s="19" t="n"/>
      <c r="E60" s="18" t="n"/>
      <c r="F60" s="8">
        <f>IF(A60="","",TEXT(A60,"mmmm"))</f>
        <v/>
      </c>
      <c r="G60" s="8" t="n"/>
    </row>
    <row r="61">
      <c r="A61" s="17" t="n"/>
      <c r="B61" s="18" t="n"/>
      <c r="C61" s="18" t="n"/>
      <c r="D61" s="19" t="n"/>
      <c r="E61" s="18" t="n"/>
      <c r="F61" s="8">
        <f>IF(A61="","",TEXT(A61,"mmmm"))</f>
        <v/>
      </c>
      <c r="G61" s="8" t="n"/>
    </row>
    <row r="62">
      <c r="A62" s="17" t="n"/>
      <c r="B62" s="18" t="n"/>
      <c r="C62" s="18" t="n"/>
      <c r="D62" s="19" t="n"/>
      <c r="E62" s="18" t="n"/>
      <c r="F62" s="8">
        <f>IF(A62="","",TEXT(A62,"mmmm"))</f>
        <v/>
      </c>
      <c r="G62" s="8" t="n"/>
    </row>
    <row r="63">
      <c r="A63" s="17" t="n"/>
      <c r="B63" s="18" t="n"/>
      <c r="C63" s="18" t="n"/>
      <c r="D63" s="19" t="n"/>
      <c r="E63" s="18" t="n"/>
      <c r="F63" s="8">
        <f>IF(A63="","",TEXT(A63,"mmmm"))</f>
        <v/>
      </c>
      <c r="G63" s="8" t="n"/>
    </row>
    <row r="64">
      <c r="A64" s="17" t="n"/>
      <c r="B64" s="18" t="n"/>
      <c r="C64" s="18" t="n"/>
      <c r="D64" s="19" t="n"/>
      <c r="E64" s="18" t="n"/>
      <c r="F64" s="8">
        <f>IF(A64="","",TEXT(A64,"mmmm"))</f>
        <v/>
      </c>
      <c r="G64" s="8" t="n"/>
    </row>
    <row r="65">
      <c r="A65" s="17" t="n"/>
      <c r="B65" s="18" t="n"/>
      <c r="C65" s="18" t="n"/>
      <c r="D65" s="19" t="n"/>
      <c r="E65" s="18" t="n"/>
      <c r="F65" s="8">
        <f>IF(A65="","",TEXT(A65,"mmmm"))</f>
        <v/>
      </c>
      <c r="G65" s="8" t="n"/>
    </row>
    <row r="66">
      <c r="A66" s="17" t="n"/>
      <c r="B66" s="18" t="n"/>
      <c r="C66" s="18" t="n"/>
      <c r="D66" s="19" t="n"/>
      <c r="E66" s="18" t="n"/>
      <c r="F66" s="8">
        <f>IF(A66="","",TEXT(A66,"mmmm"))</f>
        <v/>
      </c>
      <c r="G66" s="8" t="n"/>
    </row>
    <row r="67">
      <c r="A67" s="17" t="n"/>
      <c r="B67" s="18" t="n"/>
      <c r="C67" s="18" t="n"/>
      <c r="D67" s="19" t="n"/>
      <c r="E67" s="18" t="n"/>
      <c r="F67" s="8">
        <f>IF(A67="","",TEXT(A67,"mmmm"))</f>
        <v/>
      </c>
      <c r="G67" s="8" t="n"/>
    </row>
    <row r="68">
      <c r="A68" s="17" t="n"/>
      <c r="B68" s="18" t="n"/>
      <c r="C68" s="18" t="n"/>
      <c r="D68" s="19" t="n"/>
      <c r="E68" s="18" t="n"/>
      <c r="F68" s="8">
        <f>IF(A68="","",TEXT(A68,"mmmm"))</f>
        <v/>
      </c>
      <c r="G68" s="8" t="n"/>
    </row>
    <row r="69">
      <c r="A69" s="17" t="n"/>
      <c r="B69" s="18" t="n"/>
      <c r="C69" s="18" t="n"/>
      <c r="D69" s="19" t="n"/>
      <c r="E69" s="18" t="n"/>
      <c r="F69" s="8">
        <f>IF(A69="","",TEXT(A69,"mmmm"))</f>
        <v/>
      </c>
      <c r="G69" s="8" t="n"/>
    </row>
    <row r="70">
      <c r="A70" s="17" t="n"/>
      <c r="B70" s="18" t="n"/>
      <c r="C70" s="18" t="n"/>
      <c r="D70" s="19" t="n"/>
      <c r="E70" s="18" t="n"/>
      <c r="F70" s="8">
        <f>IF(A70="","",TEXT(A70,"mmmm"))</f>
        <v/>
      </c>
      <c r="G70" s="8" t="n"/>
    </row>
    <row r="71">
      <c r="A71" s="17" t="n"/>
      <c r="B71" s="18" t="n"/>
      <c r="C71" s="18" t="n"/>
      <c r="D71" s="19" t="n"/>
      <c r="E71" s="18" t="n"/>
      <c r="F71" s="8">
        <f>IF(A71="","",TEXT(A71,"mmmm"))</f>
        <v/>
      </c>
      <c r="G71" s="8" t="n"/>
    </row>
    <row r="72">
      <c r="A72" s="17" t="n"/>
      <c r="B72" s="18" t="n"/>
      <c r="C72" s="18" t="n"/>
      <c r="D72" s="19" t="n"/>
      <c r="E72" s="18" t="n"/>
      <c r="F72" s="8">
        <f>IF(A72="","",TEXT(A72,"mmmm"))</f>
        <v/>
      </c>
      <c r="G72" s="8" t="n"/>
    </row>
    <row r="73">
      <c r="A73" s="17" t="n"/>
      <c r="B73" s="18" t="n"/>
      <c r="C73" s="18" t="n"/>
      <c r="D73" s="19" t="n"/>
      <c r="E73" s="18" t="n"/>
      <c r="F73" s="8">
        <f>IF(A73="","",TEXT(A73,"mmmm"))</f>
        <v/>
      </c>
      <c r="G73" s="8" t="n"/>
    </row>
    <row r="74">
      <c r="A74" s="17" t="n"/>
      <c r="B74" s="18" t="n"/>
      <c r="C74" s="18" t="n"/>
      <c r="D74" s="19" t="n"/>
      <c r="E74" s="18" t="n"/>
      <c r="F74" s="8">
        <f>IF(A74="","",TEXT(A74,"mmmm"))</f>
        <v/>
      </c>
      <c r="G74" s="8" t="n"/>
    </row>
    <row r="75">
      <c r="A75" s="17" t="n"/>
      <c r="B75" s="18" t="n"/>
      <c r="C75" s="18" t="n"/>
      <c r="D75" s="19" t="n"/>
      <c r="E75" s="18" t="n"/>
      <c r="F75" s="8">
        <f>IF(A75="","",TEXT(A75,"mmmm"))</f>
        <v/>
      </c>
      <c r="G75" s="8" t="n"/>
    </row>
    <row r="76">
      <c r="A76" s="17" t="n"/>
      <c r="B76" s="18" t="n"/>
      <c r="C76" s="18" t="n"/>
      <c r="D76" s="19" t="n"/>
      <c r="E76" s="18" t="n"/>
      <c r="F76" s="8">
        <f>IF(A76="","",TEXT(A76,"mmmm"))</f>
        <v/>
      </c>
      <c r="G76" s="8" t="n"/>
    </row>
    <row r="77">
      <c r="A77" s="17" t="n"/>
      <c r="B77" s="18" t="n"/>
      <c r="C77" s="18" t="n"/>
      <c r="D77" s="19" t="n"/>
      <c r="E77" s="18" t="n"/>
      <c r="F77" s="8">
        <f>IF(A77="","",TEXT(A77,"mmmm"))</f>
        <v/>
      </c>
      <c r="G77" s="8" t="n"/>
    </row>
    <row r="78">
      <c r="A78" s="17" t="n"/>
      <c r="B78" s="18" t="n"/>
      <c r="C78" s="18" t="n"/>
      <c r="D78" s="19" t="n"/>
      <c r="E78" s="18" t="n"/>
      <c r="F78" s="8">
        <f>IF(A78="","",TEXT(A78,"mmmm"))</f>
        <v/>
      </c>
      <c r="G78" s="8" t="n"/>
    </row>
    <row r="79">
      <c r="A79" s="17" t="n"/>
      <c r="B79" s="18" t="n"/>
      <c r="C79" s="18" t="n"/>
      <c r="D79" s="19" t="n"/>
      <c r="E79" s="18" t="n"/>
      <c r="F79" s="8">
        <f>IF(A79="","",TEXT(A79,"mmmm"))</f>
        <v/>
      </c>
      <c r="G79" s="8" t="n"/>
    </row>
    <row r="80">
      <c r="A80" s="17" t="n"/>
      <c r="B80" s="18" t="n"/>
      <c r="C80" s="18" t="n"/>
      <c r="D80" s="19" t="n"/>
      <c r="E80" s="18" t="n"/>
      <c r="F80" s="8">
        <f>IF(A80="","",TEXT(A80,"mmmm"))</f>
        <v/>
      </c>
      <c r="G80" s="8" t="n"/>
    </row>
    <row r="81">
      <c r="A81" s="17" t="n"/>
      <c r="B81" s="18" t="n"/>
      <c r="C81" s="18" t="n"/>
      <c r="D81" s="19" t="n"/>
      <c r="E81" s="18" t="n"/>
      <c r="F81" s="8">
        <f>IF(A81="","",TEXT(A81,"mmmm"))</f>
        <v/>
      </c>
      <c r="G81" s="8" t="n"/>
    </row>
    <row r="82">
      <c r="A82" s="17" t="n"/>
      <c r="B82" s="18" t="n"/>
      <c r="C82" s="18" t="n"/>
      <c r="D82" s="19" t="n"/>
      <c r="E82" s="18" t="n"/>
      <c r="F82" s="8">
        <f>IF(A82="","",TEXT(A82,"mmmm"))</f>
        <v/>
      </c>
      <c r="G82" s="8" t="n"/>
    </row>
    <row r="83">
      <c r="A83" s="17" t="n"/>
      <c r="B83" s="18" t="n"/>
      <c r="C83" s="18" t="n"/>
      <c r="D83" s="19" t="n"/>
      <c r="E83" s="18" t="n"/>
      <c r="F83" s="8">
        <f>IF(A83="","",TEXT(A83,"mmmm"))</f>
        <v/>
      </c>
      <c r="G83" s="8" t="n"/>
    </row>
    <row r="84">
      <c r="A84" s="17" t="n"/>
      <c r="B84" s="18" t="n"/>
      <c r="C84" s="18" t="n"/>
      <c r="D84" s="19" t="n"/>
      <c r="E84" s="18" t="n"/>
      <c r="F84" s="8">
        <f>IF(A84="","",TEXT(A84,"mmmm"))</f>
        <v/>
      </c>
      <c r="G84" s="8" t="n"/>
    </row>
    <row r="85">
      <c r="A85" s="17" t="n"/>
      <c r="B85" s="18" t="n"/>
      <c r="C85" s="18" t="n"/>
      <c r="D85" s="19" t="n"/>
      <c r="E85" s="18" t="n"/>
      <c r="F85" s="8">
        <f>IF(A85="","",TEXT(A85,"mmmm"))</f>
        <v/>
      </c>
      <c r="G85" s="8" t="n"/>
    </row>
    <row r="86">
      <c r="A86" s="17" t="n"/>
      <c r="B86" s="18" t="n"/>
      <c r="C86" s="18" t="n"/>
      <c r="D86" s="19" t="n"/>
      <c r="E86" s="18" t="n"/>
      <c r="F86" s="8">
        <f>IF(A86="","",TEXT(A86,"mmmm"))</f>
        <v/>
      </c>
      <c r="G86" s="8" t="n"/>
    </row>
    <row r="87">
      <c r="A87" s="17" t="n"/>
      <c r="B87" s="18" t="n"/>
      <c r="C87" s="18" t="n"/>
      <c r="D87" s="19" t="n"/>
      <c r="E87" s="18" t="n"/>
      <c r="F87" s="8">
        <f>IF(A87="","",TEXT(A87,"mmmm"))</f>
        <v/>
      </c>
      <c r="G87" s="8" t="n"/>
    </row>
    <row r="88">
      <c r="A88" s="17" t="n"/>
      <c r="B88" s="18" t="n"/>
      <c r="C88" s="18" t="n"/>
      <c r="D88" s="19" t="n"/>
      <c r="E88" s="18" t="n"/>
      <c r="F88" s="8">
        <f>IF(A88="","",TEXT(A88,"mmmm"))</f>
        <v/>
      </c>
      <c r="G88" s="8" t="n"/>
    </row>
    <row r="89">
      <c r="A89" s="17" t="n"/>
      <c r="B89" s="18" t="n"/>
      <c r="C89" s="18" t="n"/>
      <c r="D89" s="19" t="n"/>
      <c r="E89" s="18" t="n"/>
      <c r="F89" s="8">
        <f>IF(A89="","",TEXT(A89,"mmmm"))</f>
        <v/>
      </c>
      <c r="G89" s="8" t="n"/>
    </row>
    <row r="90">
      <c r="A90" s="17" t="n"/>
      <c r="B90" s="18" t="n"/>
      <c r="C90" s="18" t="n"/>
      <c r="D90" s="19" t="n"/>
      <c r="E90" s="18" t="n"/>
      <c r="F90" s="8">
        <f>IF(A90="","",TEXT(A90,"mmmm"))</f>
        <v/>
      </c>
      <c r="G90" s="8" t="n"/>
    </row>
    <row r="91">
      <c r="A91" s="17" t="n"/>
      <c r="B91" s="18" t="n"/>
      <c r="C91" s="18" t="n"/>
      <c r="D91" s="19" t="n"/>
      <c r="E91" s="18" t="n"/>
      <c r="F91" s="8">
        <f>IF(A91="","",TEXT(A91,"mmmm"))</f>
        <v/>
      </c>
      <c r="G91" s="8" t="n"/>
    </row>
    <row r="92">
      <c r="A92" s="17" t="n"/>
      <c r="B92" s="18" t="n"/>
      <c r="C92" s="18" t="n"/>
      <c r="D92" s="19" t="n"/>
      <c r="E92" s="18" t="n"/>
      <c r="F92" s="8">
        <f>IF(A92="","",TEXT(A92,"mmmm"))</f>
        <v/>
      </c>
      <c r="G92" s="8" t="n"/>
    </row>
    <row r="93">
      <c r="A93" s="17" t="n"/>
      <c r="B93" s="18" t="n"/>
      <c r="C93" s="18" t="n"/>
      <c r="D93" s="19" t="n"/>
      <c r="E93" s="18" t="n"/>
      <c r="F93" s="8">
        <f>IF(A93="","",TEXT(A93,"mmmm"))</f>
        <v/>
      </c>
      <c r="G93" s="8" t="n"/>
    </row>
    <row r="94">
      <c r="A94" s="17" t="n"/>
      <c r="B94" s="18" t="n"/>
      <c r="C94" s="18" t="n"/>
      <c r="D94" s="19" t="n"/>
      <c r="E94" s="18" t="n"/>
      <c r="F94" s="8">
        <f>IF(A94="","",TEXT(A94,"mmmm"))</f>
        <v/>
      </c>
      <c r="G94" s="8" t="n"/>
    </row>
    <row r="95">
      <c r="A95" s="17" t="n"/>
      <c r="B95" s="18" t="n"/>
      <c r="C95" s="18" t="n"/>
      <c r="D95" s="19" t="n"/>
      <c r="E95" s="18" t="n"/>
      <c r="F95" s="8">
        <f>IF(A95="","",TEXT(A95,"mmmm"))</f>
        <v/>
      </c>
      <c r="G95" s="8" t="n"/>
    </row>
    <row r="96">
      <c r="A96" s="17" t="n"/>
      <c r="B96" s="18" t="n"/>
      <c r="C96" s="18" t="n"/>
      <c r="D96" s="19" t="n"/>
      <c r="E96" s="18" t="n"/>
      <c r="F96" s="8">
        <f>IF(A96="","",TEXT(A96,"mmmm"))</f>
        <v/>
      </c>
      <c r="G96" s="8" t="n"/>
    </row>
    <row r="97">
      <c r="A97" s="17" t="n"/>
      <c r="B97" s="18" t="n"/>
      <c r="C97" s="18" t="n"/>
      <c r="D97" s="19" t="n"/>
      <c r="E97" s="18" t="n"/>
      <c r="F97" s="8">
        <f>IF(A97="","",TEXT(A97,"mmmm"))</f>
        <v/>
      </c>
      <c r="G97" s="8" t="n"/>
    </row>
    <row r="98">
      <c r="A98" s="17" t="n"/>
      <c r="B98" s="18" t="n"/>
      <c r="C98" s="18" t="n"/>
      <c r="D98" s="19" t="n"/>
      <c r="E98" s="18" t="n"/>
      <c r="F98" s="8">
        <f>IF(A98="","",TEXT(A98,"mmmm"))</f>
        <v/>
      </c>
      <c r="G98" s="8" t="n"/>
    </row>
    <row r="99">
      <c r="A99" s="17" t="n"/>
      <c r="B99" s="18" t="n"/>
      <c r="C99" s="18" t="n"/>
      <c r="D99" s="19" t="n"/>
      <c r="E99" s="18" t="n"/>
      <c r="F99" s="8">
        <f>IF(A99="","",TEXT(A99,"mmmm"))</f>
        <v/>
      </c>
      <c r="G99" s="8" t="n"/>
    </row>
    <row r="100">
      <c r="A100" s="17" t="n"/>
      <c r="B100" s="18" t="n"/>
      <c r="C100" s="18" t="n"/>
      <c r="D100" s="19" t="n"/>
      <c r="E100" s="18" t="n"/>
      <c r="F100" s="8">
        <f>IF(A100="","",TEXT(A100,"mmmm"))</f>
        <v/>
      </c>
      <c r="G100" s="8" t="n"/>
    </row>
    <row r="101">
      <c r="A101" s="17" t="n"/>
      <c r="B101" s="18" t="n"/>
      <c r="C101" s="18" t="n"/>
      <c r="D101" s="19" t="n"/>
      <c r="E101" s="18" t="n"/>
      <c r="F101" s="8">
        <f>IF(A101="","",TEXT(A101,"mmmm"))</f>
        <v/>
      </c>
      <c r="G101" s="8" t="n"/>
    </row>
    <row r="102">
      <c r="A102" s="17" t="n"/>
      <c r="B102" s="18" t="n"/>
      <c r="C102" s="18" t="n"/>
      <c r="D102" s="19" t="n"/>
      <c r="E102" s="18" t="n"/>
      <c r="F102" s="8">
        <f>IF(A102="","",TEXT(A102,"mmmm"))</f>
        <v/>
      </c>
      <c r="G102" s="8" t="n"/>
    </row>
    <row r="103">
      <c r="A103" s="17" t="n"/>
      <c r="B103" s="18" t="n"/>
      <c r="C103" s="18" t="n"/>
      <c r="D103" s="19" t="n"/>
      <c r="E103" s="18" t="n"/>
      <c r="F103" s="8">
        <f>IF(A103="","",TEXT(A103,"mmmm"))</f>
        <v/>
      </c>
      <c r="G103" s="8" t="n"/>
    </row>
    <row r="104">
      <c r="A104" s="17" t="n"/>
      <c r="B104" s="18" t="n"/>
      <c r="C104" s="18" t="n"/>
      <c r="D104" s="19" t="n"/>
      <c r="E104" s="18" t="n"/>
      <c r="F104" s="8">
        <f>IF(A104="","",TEXT(A104,"mmmm"))</f>
        <v/>
      </c>
      <c r="G104" s="8" t="n"/>
    </row>
  </sheetData>
  <mergeCells count="2">
    <mergeCell ref="A2:G2"/>
    <mergeCell ref="A1:G1"/>
  </mergeCells>
  <dataValidations count="2">
    <dataValidation sqref="C5:C104" showDropDown="0" showInputMessage="0" showErrorMessage="0" allowBlank="1" type="list">
      <formula1>"Kredi Kartı,Nakit Avans,Diğer"</formula1>
    </dataValidation>
    <dataValidation sqref="G5:G104" showDropDown="0" showInputMessage="0" showErrorMessage="0" allowBlank="1" type="list">
      <formula1>"Ödendi,Bekliyor"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  <col width="20" customWidth="1" min="9" max="9"/>
  </cols>
  <sheetData>
    <row r="1" ht="34" customHeight="1">
      <c r="A1" s="1" t="inlineStr">
        <is>
          <t>🧾 TAKSİT TAKİP</t>
        </is>
      </c>
    </row>
    <row r="2">
      <c r="A2" s="2" t="inlineStr">
        <is>
          <t>Taksitli alışveriş ve borçlarınızı dönem dönem takip edin.</t>
        </is>
      </c>
    </row>
    <row r="4" ht="32" customHeight="1">
      <c r="A4" s="7" t="inlineStr">
        <is>
          <t>BORÇ / ALIŞVERİŞ</t>
        </is>
      </c>
      <c r="B4" s="7" t="inlineStr">
        <is>
          <t>BANKA</t>
        </is>
      </c>
      <c r="C4" s="7" t="inlineStr">
        <is>
          <t>TOPLAM TUTAR</t>
        </is>
      </c>
      <c r="D4" s="7" t="inlineStr">
        <is>
          <t>TAKSİT SAYISI</t>
        </is>
      </c>
      <c r="E4" s="7" t="inlineStr">
        <is>
          <t>AYLIK TAKSİT</t>
        </is>
      </c>
      <c r="F4" s="7" t="inlineStr">
        <is>
          <t>ÖDENEN TAKSİT</t>
        </is>
      </c>
      <c r="G4" s="7" t="inlineStr">
        <is>
          <t>KALAN TAKSİT</t>
        </is>
      </c>
      <c r="H4" s="7" t="inlineStr">
        <is>
          <t>KALAN BORÇ</t>
        </is>
      </c>
      <c r="I4" s="7" t="inlineStr">
        <is>
          <t>İLK ÖDEME TARİHİ</t>
        </is>
      </c>
    </row>
    <row r="5">
      <c r="A5" s="18" t="n"/>
      <c r="B5" s="18" t="n"/>
      <c r="C5" s="19" t="n"/>
      <c r="D5" s="18" t="n"/>
      <c r="E5" s="9">
        <f>IFERROR(C5/D5,0)</f>
        <v/>
      </c>
      <c r="F5" s="18" t="n"/>
      <c r="G5" s="8">
        <f>MAX(D5-F5,0)</f>
        <v/>
      </c>
      <c r="H5" s="9">
        <f>E5*G5</f>
        <v/>
      </c>
      <c r="I5" s="17" t="n"/>
    </row>
    <row r="6">
      <c r="A6" s="18" t="n"/>
      <c r="B6" s="18" t="n"/>
      <c r="C6" s="19" t="n"/>
      <c r="D6" s="18" t="n"/>
      <c r="E6" s="9">
        <f>IFERROR(C6/D6,0)</f>
        <v/>
      </c>
      <c r="F6" s="18" t="n"/>
      <c r="G6" s="8">
        <f>MAX(D6-F6,0)</f>
        <v/>
      </c>
      <c r="H6" s="9">
        <f>E6*G6</f>
        <v/>
      </c>
      <c r="I6" s="17" t="n"/>
    </row>
    <row r="7">
      <c r="A7" s="18" t="n"/>
      <c r="B7" s="18" t="n"/>
      <c r="C7" s="19" t="n"/>
      <c r="D7" s="18" t="n"/>
      <c r="E7" s="9">
        <f>IFERROR(C7/D7,0)</f>
        <v/>
      </c>
      <c r="F7" s="18" t="n"/>
      <c r="G7" s="8">
        <f>MAX(D7-F7,0)</f>
        <v/>
      </c>
      <c r="H7" s="9">
        <f>E7*G7</f>
        <v/>
      </c>
      <c r="I7" s="17" t="n"/>
    </row>
    <row r="8">
      <c r="A8" s="18" t="n"/>
      <c r="B8" s="18" t="n"/>
      <c r="C8" s="19" t="n"/>
      <c r="D8" s="18" t="n"/>
      <c r="E8" s="9">
        <f>IFERROR(C8/D8,0)</f>
        <v/>
      </c>
      <c r="F8" s="18" t="n"/>
      <c r="G8" s="8">
        <f>MAX(D8-F8,0)</f>
        <v/>
      </c>
      <c r="H8" s="9">
        <f>E8*G8</f>
        <v/>
      </c>
      <c r="I8" s="17" t="n"/>
    </row>
    <row r="9">
      <c r="A9" s="18" t="n"/>
      <c r="B9" s="18" t="n"/>
      <c r="C9" s="19" t="n"/>
      <c r="D9" s="18" t="n"/>
      <c r="E9" s="9">
        <f>IFERROR(C9/D9,0)</f>
        <v/>
      </c>
      <c r="F9" s="18" t="n"/>
      <c r="G9" s="8">
        <f>MAX(D9-F9,0)</f>
        <v/>
      </c>
      <c r="H9" s="9">
        <f>E9*G9</f>
        <v/>
      </c>
      <c r="I9" s="17" t="n"/>
    </row>
    <row r="10">
      <c r="A10" s="18" t="n"/>
      <c r="B10" s="18" t="n"/>
      <c r="C10" s="19" t="n"/>
      <c r="D10" s="18" t="n"/>
      <c r="E10" s="9">
        <f>IFERROR(C10/D10,0)</f>
        <v/>
      </c>
      <c r="F10" s="18" t="n"/>
      <c r="G10" s="8">
        <f>MAX(D10-F10,0)</f>
        <v/>
      </c>
      <c r="H10" s="9">
        <f>E10*G10</f>
        <v/>
      </c>
      <c r="I10" s="17" t="n"/>
    </row>
    <row r="11">
      <c r="A11" s="18" t="n"/>
      <c r="B11" s="18" t="n"/>
      <c r="C11" s="19" t="n"/>
      <c r="D11" s="18" t="n"/>
      <c r="E11" s="9">
        <f>IFERROR(C11/D11,0)</f>
        <v/>
      </c>
      <c r="F11" s="18" t="n"/>
      <c r="G11" s="8">
        <f>MAX(D11-F11,0)</f>
        <v/>
      </c>
      <c r="H11" s="9">
        <f>E11*G11</f>
        <v/>
      </c>
      <c r="I11" s="17" t="n"/>
    </row>
    <row r="12">
      <c r="A12" s="18" t="n"/>
      <c r="B12" s="18" t="n"/>
      <c r="C12" s="19" t="n"/>
      <c r="D12" s="18" t="n"/>
      <c r="E12" s="9">
        <f>IFERROR(C12/D12,0)</f>
        <v/>
      </c>
      <c r="F12" s="18" t="n"/>
      <c r="G12" s="8">
        <f>MAX(D12-F12,0)</f>
        <v/>
      </c>
      <c r="H12" s="9">
        <f>E12*G12</f>
        <v/>
      </c>
      <c r="I12" s="17" t="n"/>
    </row>
    <row r="13">
      <c r="A13" s="18" t="n"/>
      <c r="B13" s="18" t="n"/>
      <c r="C13" s="19" t="n"/>
      <c r="D13" s="18" t="n"/>
      <c r="E13" s="9">
        <f>IFERROR(C13/D13,0)</f>
        <v/>
      </c>
      <c r="F13" s="18" t="n"/>
      <c r="G13" s="8">
        <f>MAX(D13-F13,0)</f>
        <v/>
      </c>
      <c r="H13" s="9">
        <f>E13*G13</f>
        <v/>
      </c>
      <c r="I13" s="17" t="n"/>
    </row>
    <row r="14">
      <c r="A14" s="18" t="n"/>
      <c r="B14" s="18" t="n"/>
      <c r="C14" s="19" t="n"/>
      <c r="D14" s="18" t="n"/>
      <c r="E14" s="9">
        <f>IFERROR(C14/D14,0)</f>
        <v/>
      </c>
      <c r="F14" s="18" t="n"/>
      <c r="G14" s="8">
        <f>MAX(D14-F14,0)</f>
        <v/>
      </c>
      <c r="H14" s="9">
        <f>E14*G14</f>
        <v/>
      </c>
      <c r="I14" s="17" t="n"/>
    </row>
    <row r="15">
      <c r="A15" s="18" t="n"/>
      <c r="B15" s="18" t="n"/>
      <c r="C15" s="19" t="n"/>
      <c r="D15" s="18" t="n"/>
      <c r="E15" s="9">
        <f>IFERROR(C15/D15,0)</f>
        <v/>
      </c>
      <c r="F15" s="18" t="n"/>
      <c r="G15" s="8">
        <f>MAX(D15-F15,0)</f>
        <v/>
      </c>
      <c r="H15" s="9">
        <f>E15*G15</f>
        <v/>
      </c>
      <c r="I15" s="17" t="n"/>
    </row>
    <row r="16">
      <c r="A16" s="18" t="n"/>
      <c r="B16" s="18" t="n"/>
      <c r="C16" s="19" t="n"/>
      <c r="D16" s="18" t="n"/>
      <c r="E16" s="9">
        <f>IFERROR(C16/D16,0)</f>
        <v/>
      </c>
      <c r="F16" s="18" t="n"/>
      <c r="G16" s="8">
        <f>MAX(D16-F16,0)</f>
        <v/>
      </c>
      <c r="H16" s="9">
        <f>E16*G16</f>
        <v/>
      </c>
      <c r="I16" s="17" t="n"/>
    </row>
    <row r="17">
      <c r="A17" s="18" t="n"/>
      <c r="B17" s="18" t="n"/>
      <c r="C17" s="19" t="n"/>
      <c r="D17" s="18" t="n"/>
      <c r="E17" s="9">
        <f>IFERROR(C17/D17,0)</f>
        <v/>
      </c>
      <c r="F17" s="18" t="n"/>
      <c r="G17" s="8">
        <f>MAX(D17-F17,0)</f>
        <v/>
      </c>
      <c r="H17" s="9">
        <f>E17*G17</f>
        <v/>
      </c>
      <c r="I17" s="17" t="n"/>
    </row>
    <row r="18">
      <c r="A18" s="18" t="n"/>
      <c r="B18" s="18" t="n"/>
      <c r="C18" s="19" t="n"/>
      <c r="D18" s="18" t="n"/>
      <c r="E18" s="9">
        <f>IFERROR(C18/D18,0)</f>
        <v/>
      </c>
      <c r="F18" s="18" t="n"/>
      <c r="G18" s="8">
        <f>MAX(D18-F18,0)</f>
        <v/>
      </c>
      <c r="H18" s="9">
        <f>E18*G18</f>
        <v/>
      </c>
      <c r="I18" s="17" t="n"/>
    </row>
    <row r="19">
      <c r="A19" s="18" t="n"/>
      <c r="B19" s="18" t="n"/>
      <c r="C19" s="19" t="n"/>
      <c r="D19" s="18" t="n"/>
      <c r="E19" s="9">
        <f>IFERROR(C19/D19,0)</f>
        <v/>
      </c>
      <c r="F19" s="18" t="n"/>
      <c r="G19" s="8">
        <f>MAX(D19-F19,0)</f>
        <v/>
      </c>
      <c r="H19" s="9">
        <f>E19*G19</f>
        <v/>
      </c>
      <c r="I19" s="17" t="n"/>
    </row>
    <row r="20">
      <c r="A20" s="18" t="n"/>
      <c r="B20" s="18" t="n"/>
      <c r="C20" s="19" t="n"/>
      <c r="D20" s="18" t="n"/>
      <c r="E20" s="9">
        <f>IFERROR(C20/D20,0)</f>
        <v/>
      </c>
      <c r="F20" s="18" t="n"/>
      <c r="G20" s="8">
        <f>MAX(D20-F20,0)</f>
        <v/>
      </c>
      <c r="H20" s="9">
        <f>E20*G20</f>
        <v/>
      </c>
      <c r="I20" s="17" t="n"/>
    </row>
    <row r="21">
      <c r="A21" s="18" t="n"/>
      <c r="B21" s="18" t="n"/>
      <c r="C21" s="19" t="n"/>
      <c r="D21" s="18" t="n"/>
      <c r="E21" s="9">
        <f>IFERROR(C21/D21,0)</f>
        <v/>
      </c>
      <c r="F21" s="18" t="n"/>
      <c r="G21" s="8">
        <f>MAX(D21-F21,0)</f>
        <v/>
      </c>
      <c r="H21" s="9">
        <f>E21*G21</f>
        <v/>
      </c>
      <c r="I21" s="17" t="n"/>
    </row>
    <row r="22">
      <c r="A22" s="18" t="n"/>
      <c r="B22" s="18" t="n"/>
      <c r="C22" s="19" t="n"/>
      <c r="D22" s="18" t="n"/>
      <c r="E22" s="9">
        <f>IFERROR(C22/D22,0)</f>
        <v/>
      </c>
      <c r="F22" s="18" t="n"/>
      <c r="G22" s="8">
        <f>MAX(D22-F22,0)</f>
        <v/>
      </c>
      <c r="H22" s="9">
        <f>E22*G22</f>
        <v/>
      </c>
      <c r="I22" s="17" t="n"/>
    </row>
    <row r="23">
      <c r="A23" s="18" t="n"/>
      <c r="B23" s="18" t="n"/>
      <c r="C23" s="19" t="n"/>
      <c r="D23" s="18" t="n"/>
      <c r="E23" s="9">
        <f>IFERROR(C23/D23,0)</f>
        <v/>
      </c>
      <c r="F23" s="18" t="n"/>
      <c r="G23" s="8">
        <f>MAX(D23-F23,0)</f>
        <v/>
      </c>
      <c r="H23" s="9">
        <f>E23*G23</f>
        <v/>
      </c>
      <c r="I23" s="17" t="n"/>
    </row>
    <row r="24">
      <c r="A24" s="18" t="n"/>
      <c r="B24" s="18" t="n"/>
      <c r="C24" s="19" t="n"/>
      <c r="D24" s="18" t="n"/>
      <c r="E24" s="9">
        <f>IFERROR(C24/D24,0)</f>
        <v/>
      </c>
      <c r="F24" s="18" t="n"/>
      <c r="G24" s="8">
        <f>MAX(D24-F24,0)</f>
        <v/>
      </c>
      <c r="H24" s="9">
        <f>E24*G24</f>
        <v/>
      </c>
      <c r="I24" s="17" t="n"/>
    </row>
    <row r="25">
      <c r="A25" s="18" t="n"/>
      <c r="B25" s="18" t="n"/>
      <c r="C25" s="19" t="n"/>
      <c r="D25" s="18" t="n"/>
      <c r="E25" s="9">
        <f>IFERROR(C25/D25,0)</f>
        <v/>
      </c>
      <c r="F25" s="18" t="n"/>
      <c r="G25" s="8">
        <f>MAX(D25-F25,0)</f>
        <v/>
      </c>
      <c r="H25" s="9">
        <f>E25*G25</f>
        <v/>
      </c>
      <c r="I25" s="17" t="n"/>
    </row>
    <row r="26">
      <c r="A26" s="18" t="n"/>
      <c r="B26" s="18" t="n"/>
      <c r="C26" s="19" t="n"/>
      <c r="D26" s="18" t="n"/>
      <c r="E26" s="9">
        <f>IFERROR(C26/D26,0)</f>
        <v/>
      </c>
      <c r="F26" s="18" t="n"/>
      <c r="G26" s="8">
        <f>MAX(D26-F26,0)</f>
        <v/>
      </c>
      <c r="H26" s="9">
        <f>E26*G26</f>
        <v/>
      </c>
      <c r="I26" s="17" t="n"/>
    </row>
    <row r="27">
      <c r="A27" s="18" t="n"/>
      <c r="B27" s="18" t="n"/>
      <c r="C27" s="19" t="n"/>
      <c r="D27" s="18" t="n"/>
      <c r="E27" s="9">
        <f>IFERROR(C27/D27,0)</f>
        <v/>
      </c>
      <c r="F27" s="18" t="n"/>
      <c r="G27" s="8">
        <f>MAX(D27-F27,0)</f>
        <v/>
      </c>
      <c r="H27" s="9">
        <f>E27*G27</f>
        <v/>
      </c>
      <c r="I27" s="17" t="n"/>
    </row>
    <row r="28">
      <c r="A28" s="18" t="n"/>
      <c r="B28" s="18" t="n"/>
      <c r="C28" s="19" t="n"/>
      <c r="D28" s="18" t="n"/>
      <c r="E28" s="9">
        <f>IFERROR(C28/D28,0)</f>
        <v/>
      </c>
      <c r="F28" s="18" t="n"/>
      <c r="G28" s="8">
        <f>MAX(D28-F28,0)</f>
        <v/>
      </c>
      <c r="H28" s="9">
        <f>E28*G28</f>
        <v/>
      </c>
      <c r="I28" s="17" t="n"/>
    </row>
    <row r="29">
      <c r="A29" s="18" t="n"/>
      <c r="B29" s="18" t="n"/>
      <c r="C29" s="19" t="n"/>
      <c r="D29" s="18" t="n"/>
      <c r="E29" s="9">
        <f>IFERROR(C29/D29,0)</f>
        <v/>
      </c>
      <c r="F29" s="18" t="n"/>
      <c r="G29" s="8">
        <f>MAX(D29-F29,0)</f>
        <v/>
      </c>
      <c r="H29" s="9">
        <f>E29*G29</f>
        <v/>
      </c>
      <c r="I29" s="17" t="n"/>
    </row>
    <row r="30">
      <c r="A30" s="18" t="n"/>
      <c r="B30" s="18" t="n"/>
      <c r="C30" s="19" t="n"/>
      <c r="D30" s="18" t="n"/>
      <c r="E30" s="9">
        <f>IFERROR(C30/D30,0)</f>
        <v/>
      </c>
      <c r="F30" s="18" t="n"/>
      <c r="G30" s="8">
        <f>MAX(D30-F30,0)</f>
        <v/>
      </c>
      <c r="H30" s="9">
        <f>E30*G30</f>
        <v/>
      </c>
      <c r="I30" s="17" t="n"/>
    </row>
    <row r="31">
      <c r="A31" s="18" t="n"/>
      <c r="B31" s="18" t="n"/>
      <c r="C31" s="19" t="n"/>
      <c r="D31" s="18" t="n"/>
      <c r="E31" s="9">
        <f>IFERROR(C31/D31,0)</f>
        <v/>
      </c>
      <c r="F31" s="18" t="n"/>
      <c r="G31" s="8">
        <f>MAX(D31-F31,0)</f>
        <v/>
      </c>
      <c r="H31" s="9">
        <f>E31*G31</f>
        <v/>
      </c>
      <c r="I31" s="17" t="n"/>
    </row>
    <row r="32">
      <c r="A32" s="18" t="n"/>
      <c r="B32" s="18" t="n"/>
      <c r="C32" s="19" t="n"/>
      <c r="D32" s="18" t="n"/>
      <c r="E32" s="9">
        <f>IFERROR(C32/D32,0)</f>
        <v/>
      </c>
      <c r="F32" s="18" t="n"/>
      <c r="G32" s="8">
        <f>MAX(D32-F32,0)</f>
        <v/>
      </c>
      <c r="H32" s="9">
        <f>E32*G32</f>
        <v/>
      </c>
      <c r="I32" s="17" t="n"/>
    </row>
    <row r="33">
      <c r="A33" s="18" t="n"/>
      <c r="B33" s="18" t="n"/>
      <c r="C33" s="19" t="n"/>
      <c r="D33" s="18" t="n"/>
      <c r="E33" s="9">
        <f>IFERROR(C33/D33,0)</f>
        <v/>
      </c>
      <c r="F33" s="18" t="n"/>
      <c r="G33" s="8">
        <f>MAX(D33-F33,0)</f>
        <v/>
      </c>
      <c r="H33" s="9">
        <f>E33*G33</f>
        <v/>
      </c>
      <c r="I33" s="17" t="n"/>
    </row>
    <row r="34">
      <c r="A34" s="18" t="n"/>
      <c r="B34" s="18" t="n"/>
      <c r="C34" s="19" t="n"/>
      <c r="D34" s="18" t="n"/>
      <c r="E34" s="9">
        <f>IFERROR(C34/D34,0)</f>
        <v/>
      </c>
      <c r="F34" s="18" t="n"/>
      <c r="G34" s="8">
        <f>MAX(D34-F34,0)</f>
        <v/>
      </c>
      <c r="H34" s="9">
        <f>E34*G34</f>
        <v/>
      </c>
      <c r="I34" s="17" t="n"/>
    </row>
    <row r="35">
      <c r="A35" s="18" t="n"/>
      <c r="B35" s="18" t="n"/>
      <c r="C35" s="19" t="n"/>
      <c r="D35" s="18" t="n"/>
      <c r="E35" s="9">
        <f>IFERROR(C35/D35,0)</f>
        <v/>
      </c>
      <c r="F35" s="18" t="n"/>
      <c r="G35" s="8">
        <f>MAX(D35-F35,0)</f>
        <v/>
      </c>
      <c r="H35" s="9">
        <f>E35*G35</f>
        <v/>
      </c>
      <c r="I35" s="17" t="n"/>
    </row>
    <row r="36">
      <c r="A36" s="18" t="n"/>
      <c r="B36" s="18" t="n"/>
      <c r="C36" s="19" t="n"/>
      <c r="D36" s="18" t="n"/>
      <c r="E36" s="9">
        <f>IFERROR(C36/D36,0)</f>
        <v/>
      </c>
      <c r="F36" s="18" t="n"/>
      <c r="G36" s="8">
        <f>MAX(D36-F36,0)</f>
        <v/>
      </c>
      <c r="H36" s="9">
        <f>E36*G36</f>
        <v/>
      </c>
      <c r="I36" s="17" t="n"/>
    </row>
    <row r="37">
      <c r="A37" s="18" t="n"/>
      <c r="B37" s="18" t="n"/>
      <c r="C37" s="19" t="n"/>
      <c r="D37" s="18" t="n"/>
      <c r="E37" s="9">
        <f>IFERROR(C37/D37,0)</f>
        <v/>
      </c>
      <c r="F37" s="18" t="n"/>
      <c r="G37" s="8">
        <f>MAX(D37-F37,0)</f>
        <v/>
      </c>
      <c r="H37" s="9">
        <f>E37*G37</f>
        <v/>
      </c>
      <c r="I37" s="17" t="n"/>
    </row>
    <row r="38">
      <c r="A38" s="18" t="n"/>
      <c r="B38" s="18" t="n"/>
      <c r="C38" s="19" t="n"/>
      <c r="D38" s="18" t="n"/>
      <c r="E38" s="9">
        <f>IFERROR(C38/D38,0)</f>
        <v/>
      </c>
      <c r="F38" s="18" t="n"/>
      <c r="G38" s="8">
        <f>MAX(D38-F38,0)</f>
        <v/>
      </c>
      <c r="H38" s="9">
        <f>E38*G38</f>
        <v/>
      </c>
      <c r="I38" s="17" t="n"/>
    </row>
    <row r="39">
      <c r="A39" s="18" t="n"/>
      <c r="B39" s="18" t="n"/>
      <c r="C39" s="19" t="n"/>
      <c r="D39" s="18" t="n"/>
      <c r="E39" s="9">
        <f>IFERROR(C39/D39,0)</f>
        <v/>
      </c>
      <c r="F39" s="18" t="n"/>
      <c r="G39" s="8">
        <f>MAX(D39-F39,0)</f>
        <v/>
      </c>
      <c r="H39" s="9">
        <f>E39*G39</f>
        <v/>
      </c>
      <c r="I39" s="17" t="n"/>
    </row>
    <row r="40">
      <c r="A40" s="18" t="n"/>
      <c r="B40" s="18" t="n"/>
      <c r="C40" s="19" t="n"/>
      <c r="D40" s="18" t="n"/>
      <c r="E40" s="9">
        <f>IFERROR(C40/D40,0)</f>
        <v/>
      </c>
      <c r="F40" s="18" t="n"/>
      <c r="G40" s="8">
        <f>MAX(D40-F40,0)</f>
        <v/>
      </c>
      <c r="H40" s="9">
        <f>E40*G40</f>
        <v/>
      </c>
      <c r="I40" s="17" t="n"/>
    </row>
    <row r="41">
      <c r="A41" s="18" t="n"/>
      <c r="B41" s="18" t="n"/>
      <c r="C41" s="19" t="n"/>
      <c r="D41" s="18" t="n"/>
      <c r="E41" s="9">
        <f>IFERROR(C41/D41,0)</f>
        <v/>
      </c>
      <c r="F41" s="18" t="n"/>
      <c r="G41" s="8">
        <f>MAX(D41-F41,0)</f>
        <v/>
      </c>
      <c r="H41" s="9">
        <f>E41*G41</f>
        <v/>
      </c>
      <c r="I41" s="17" t="n"/>
    </row>
    <row r="42">
      <c r="A42" s="18" t="n"/>
      <c r="B42" s="18" t="n"/>
      <c r="C42" s="19" t="n"/>
      <c r="D42" s="18" t="n"/>
      <c r="E42" s="9">
        <f>IFERROR(C42/D42,0)</f>
        <v/>
      </c>
      <c r="F42" s="18" t="n"/>
      <c r="G42" s="8">
        <f>MAX(D42-F42,0)</f>
        <v/>
      </c>
      <c r="H42" s="9">
        <f>E42*G42</f>
        <v/>
      </c>
      <c r="I42" s="17" t="n"/>
    </row>
    <row r="43">
      <c r="A43" s="18" t="n"/>
      <c r="B43" s="18" t="n"/>
      <c r="C43" s="19" t="n"/>
      <c r="D43" s="18" t="n"/>
      <c r="E43" s="9">
        <f>IFERROR(C43/D43,0)</f>
        <v/>
      </c>
      <c r="F43" s="18" t="n"/>
      <c r="G43" s="8">
        <f>MAX(D43-F43,0)</f>
        <v/>
      </c>
      <c r="H43" s="9">
        <f>E43*G43</f>
        <v/>
      </c>
      <c r="I43" s="17" t="n"/>
    </row>
    <row r="44">
      <c r="A44" s="18" t="n"/>
      <c r="B44" s="18" t="n"/>
      <c r="C44" s="19" t="n"/>
      <c r="D44" s="18" t="n"/>
      <c r="E44" s="9">
        <f>IFERROR(C44/D44,0)</f>
        <v/>
      </c>
      <c r="F44" s="18" t="n"/>
      <c r="G44" s="8">
        <f>MAX(D44-F44,0)</f>
        <v/>
      </c>
      <c r="H44" s="9">
        <f>E44*G44</f>
        <v/>
      </c>
      <c r="I44" s="17" t="n"/>
    </row>
    <row r="45">
      <c r="A45" s="18" t="n"/>
      <c r="B45" s="18" t="n"/>
      <c r="C45" s="19" t="n"/>
      <c r="D45" s="18" t="n"/>
      <c r="E45" s="9">
        <f>IFERROR(C45/D45,0)</f>
        <v/>
      </c>
      <c r="F45" s="18" t="n"/>
      <c r="G45" s="8">
        <f>MAX(D45-F45,0)</f>
        <v/>
      </c>
      <c r="H45" s="9">
        <f>E45*G45</f>
        <v/>
      </c>
      <c r="I45" s="17" t="n"/>
    </row>
    <row r="46">
      <c r="A46" s="18" t="n"/>
      <c r="B46" s="18" t="n"/>
      <c r="C46" s="19" t="n"/>
      <c r="D46" s="18" t="n"/>
      <c r="E46" s="9">
        <f>IFERROR(C46/D46,0)</f>
        <v/>
      </c>
      <c r="F46" s="18" t="n"/>
      <c r="G46" s="8">
        <f>MAX(D46-F46,0)</f>
        <v/>
      </c>
      <c r="H46" s="9">
        <f>E46*G46</f>
        <v/>
      </c>
      <c r="I46" s="17" t="n"/>
    </row>
    <row r="47">
      <c r="A47" s="18" t="n"/>
      <c r="B47" s="18" t="n"/>
      <c r="C47" s="19" t="n"/>
      <c r="D47" s="18" t="n"/>
      <c r="E47" s="9">
        <f>IFERROR(C47/D47,0)</f>
        <v/>
      </c>
      <c r="F47" s="18" t="n"/>
      <c r="G47" s="8">
        <f>MAX(D47-F47,0)</f>
        <v/>
      </c>
      <c r="H47" s="9">
        <f>E47*G47</f>
        <v/>
      </c>
      <c r="I47" s="17" t="n"/>
    </row>
    <row r="48">
      <c r="A48" s="18" t="n"/>
      <c r="B48" s="18" t="n"/>
      <c r="C48" s="19" t="n"/>
      <c r="D48" s="18" t="n"/>
      <c r="E48" s="9">
        <f>IFERROR(C48/D48,0)</f>
        <v/>
      </c>
      <c r="F48" s="18" t="n"/>
      <c r="G48" s="8">
        <f>MAX(D48-F48,0)</f>
        <v/>
      </c>
      <c r="H48" s="9">
        <f>E48*G48</f>
        <v/>
      </c>
      <c r="I48" s="17" t="n"/>
    </row>
    <row r="49">
      <c r="A49" s="18" t="n"/>
      <c r="B49" s="18" t="n"/>
      <c r="C49" s="19" t="n"/>
      <c r="D49" s="18" t="n"/>
      <c r="E49" s="9">
        <f>IFERROR(C49/D49,0)</f>
        <v/>
      </c>
      <c r="F49" s="18" t="n"/>
      <c r="G49" s="8">
        <f>MAX(D49-F49,0)</f>
        <v/>
      </c>
      <c r="H49" s="9">
        <f>E49*G49</f>
        <v/>
      </c>
      <c r="I49" s="17" t="n"/>
    </row>
    <row r="50">
      <c r="A50" s="18" t="n"/>
      <c r="B50" s="18" t="n"/>
      <c r="C50" s="19" t="n"/>
      <c r="D50" s="18" t="n"/>
      <c r="E50" s="9">
        <f>IFERROR(C50/D50,0)</f>
        <v/>
      </c>
      <c r="F50" s="18" t="n"/>
      <c r="G50" s="8">
        <f>MAX(D50-F50,0)</f>
        <v/>
      </c>
      <c r="H50" s="9">
        <f>E50*G50</f>
        <v/>
      </c>
      <c r="I50" s="17" t="n"/>
    </row>
    <row r="51">
      <c r="A51" s="18" t="n"/>
      <c r="B51" s="18" t="n"/>
      <c r="C51" s="19" t="n"/>
      <c r="D51" s="18" t="n"/>
      <c r="E51" s="9">
        <f>IFERROR(C51/D51,0)</f>
        <v/>
      </c>
      <c r="F51" s="18" t="n"/>
      <c r="G51" s="8">
        <f>MAX(D51-F51,0)</f>
        <v/>
      </c>
      <c r="H51" s="9">
        <f>E51*G51</f>
        <v/>
      </c>
      <c r="I51" s="17" t="n"/>
    </row>
    <row r="52">
      <c r="A52" s="18" t="n"/>
      <c r="B52" s="18" t="n"/>
      <c r="C52" s="19" t="n"/>
      <c r="D52" s="18" t="n"/>
      <c r="E52" s="9">
        <f>IFERROR(C52/D52,0)</f>
        <v/>
      </c>
      <c r="F52" s="18" t="n"/>
      <c r="G52" s="8">
        <f>MAX(D52-F52,0)</f>
        <v/>
      </c>
      <c r="H52" s="9">
        <f>E52*G52</f>
        <v/>
      </c>
      <c r="I52" s="17" t="n"/>
    </row>
    <row r="53">
      <c r="A53" s="18" t="n"/>
      <c r="B53" s="18" t="n"/>
      <c r="C53" s="19" t="n"/>
      <c r="D53" s="18" t="n"/>
      <c r="E53" s="9">
        <f>IFERROR(C53/D53,0)</f>
        <v/>
      </c>
      <c r="F53" s="18" t="n"/>
      <c r="G53" s="8">
        <f>MAX(D53-F53,0)</f>
        <v/>
      </c>
      <c r="H53" s="9">
        <f>E53*G53</f>
        <v/>
      </c>
      <c r="I53" s="17" t="n"/>
    </row>
    <row r="54">
      <c r="A54" s="18" t="n"/>
      <c r="B54" s="18" t="n"/>
      <c r="C54" s="19" t="n"/>
      <c r="D54" s="18" t="n"/>
      <c r="E54" s="9">
        <f>IFERROR(C54/D54,0)</f>
        <v/>
      </c>
      <c r="F54" s="18" t="n"/>
      <c r="G54" s="8">
        <f>MAX(D54-F54,0)</f>
        <v/>
      </c>
      <c r="H54" s="9">
        <f>E54*G54</f>
        <v/>
      </c>
      <c r="I54" s="17" t="n"/>
    </row>
  </sheetData>
  <mergeCells count="2">
    <mergeCell ref="A1:I1"/>
    <mergeCell ref="A2:I2"/>
  </mergeCells>
  <dataValidations count="1">
    <dataValidation sqref="D5:D54 F5:F54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35" customWidth="1" min="6" max="6"/>
  </cols>
  <sheetData>
    <row r="1" ht="34" customHeight="1">
      <c r="A1" s="1" t="inlineStr">
        <is>
          <t>📈 AYLIK BORÇ ÖZETİ</t>
        </is>
      </c>
    </row>
    <row r="2">
      <c r="A2" s="2" t="inlineStr">
        <is>
          <t>Ödeme Takip sayfasına girdiğiniz ödemeler aylık olarak burada özetlenir.</t>
        </is>
      </c>
    </row>
    <row r="4" ht="32" customHeight="1">
      <c r="A4" s="7" t="inlineStr">
        <is>
          <t>AY</t>
        </is>
      </c>
      <c r="B4" s="7" t="inlineStr">
        <is>
          <t>TOPLAM ÖDEME</t>
        </is>
      </c>
      <c r="C4" s="7" t="inlineStr">
        <is>
          <t>TAKSİT ÖDEMESİ</t>
        </is>
      </c>
      <c r="D4" s="7" t="inlineStr">
        <is>
          <t>DİĞER ÖDEME</t>
        </is>
      </c>
      <c r="E4" s="7" t="inlineStr">
        <is>
          <t>ÖDEME SAYISI</t>
        </is>
      </c>
      <c r="F4" s="7" t="inlineStr">
        <is>
          <t>NOT</t>
        </is>
      </c>
    </row>
    <row r="5">
      <c r="A5" s="8" t="inlineStr">
        <is>
          <t>Ocak</t>
        </is>
      </c>
      <c r="B5" s="9">
        <f>SUMIF('ÖDEME TAKİP'!F$5:F$104,A5,'ÖDEME TAKİP'!D$5:D$104)</f>
        <v/>
      </c>
      <c r="C5" s="9">
        <f>SUMIFS('ÖDEME TAKİP'!D$5:D$104,'ÖDEME TAKİP'!F$5:F$104,A5,'ÖDEME TAKİP'!C$5:C$104,"Kredi Kartı")</f>
        <v/>
      </c>
      <c r="D5" s="9">
        <f>B5-C5</f>
        <v/>
      </c>
      <c r="E5" s="8">
        <f>COUNTIF('ÖDEME TAKİP'!F$5:F$104,A5)</f>
        <v/>
      </c>
      <c r="F5" s="8" t="inlineStr"/>
    </row>
    <row r="6">
      <c r="A6" s="8" t="inlineStr">
        <is>
          <t>Şubat</t>
        </is>
      </c>
      <c r="B6" s="9">
        <f>SUMIF('ÖDEME TAKİP'!F$5:F$104,A6,'ÖDEME TAKİP'!D$5:D$104)</f>
        <v/>
      </c>
      <c r="C6" s="9">
        <f>SUMIFS('ÖDEME TAKİP'!D$5:D$104,'ÖDEME TAKİP'!F$5:F$104,A6,'ÖDEME TAKİP'!C$5:C$104,"Kredi Kartı")</f>
        <v/>
      </c>
      <c r="D6" s="9">
        <f>B6-C6</f>
        <v/>
      </c>
      <c r="E6" s="8">
        <f>COUNTIF('ÖDEME TAKİP'!F$5:F$104,A6)</f>
        <v/>
      </c>
      <c r="F6" s="8" t="inlineStr"/>
    </row>
    <row r="7">
      <c r="A7" s="8" t="inlineStr">
        <is>
          <t>Mart</t>
        </is>
      </c>
      <c r="B7" s="9">
        <f>SUMIF('ÖDEME TAKİP'!F$5:F$104,A7,'ÖDEME TAKİP'!D$5:D$104)</f>
        <v/>
      </c>
      <c r="C7" s="9">
        <f>SUMIFS('ÖDEME TAKİP'!D$5:D$104,'ÖDEME TAKİP'!F$5:F$104,A7,'ÖDEME TAKİP'!C$5:C$104,"Kredi Kartı")</f>
        <v/>
      </c>
      <c r="D7" s="9">
        <f>B7-C7</f>
        <v/>
      </c>
      <c r="E7" s="8">
        <f>COUNTIF('ÖDEME TAKİP'!F$5:F$104,A7)</f>
        <v/>
      </c>
      <c r="F7" s="8" t="inlineStr"/>
    </row>
    <row r="8">
      <c r="A8" s="8" t="inlineStr">
        <is>
          <t>Nisan</t>
        </is>
      </c>
      <c r="B8" s="9">
        <f>SUMIF('ÖDEME TAKİP'!F$5:F$104,A8,'ÖDEME TAKİP'!D$5:D$104)</f>
        <v/>
      </c>
      <c r="C8" s="9">
        <f>SUMIFS('ÖDEME TAKİP'!D$5:D$104,'ÖDEME TAKİP'!F$5:F$104,A8,'ÖDEME TAKİP'!C$5:C$104,"Kredi Kartı")</f>
        <v/>
      </c>
      <c r="D8" s="9">
        <f>B8-C8</f>
        <v/>
      </c>
      <c r="E8" s="8">
        <f>COUNTIF('ÖDEME TAKİP'!F$5:F$104,A8)</f>
        <v/>
      </c>
      <c r="F8" s="8" t="inlineStr"/>
    </row>
    <row r="9">
      <c r="A9" s="8" t="inlineStr">
        <is>
          <t>Mayıs</t>
        </is>
      </c>
      <c r="B9" s="9">
        <f>SUMIF('ÖDEME TAKİP'!F$5:F$104,A9,'ÖDEME TAKİP'!D$5:D$104)</f>
        <v/>
      </c>
      <c r="C9" s="9">
        <f>SUMIFS('ÖDEME TAKİP'!D$5:D$104,'ÖDEME TAKİP'!F$5:F$104,A9,'ÖDEME TAKİP'!C$5:C$104,"Kredi Kartı")</f>
        <v/>
      </c>
      <c r="D9" s="9">
        <f>B9-C9</f>
        <v/>
      </c>
      <c r="E9" s="8">
        <f>COUNTIF('ÖDEME TAKİP'!F$5:F$104,A9)</f>
        <v/>
      </c>
      <c r="F9" s="8" t="inlineStr"/>
    </row>
    <row r="10">
      <c r="A10" s="8" t="inlineStr">
        <is>
          <t>Haziran</t>
        </is>
      </c>
      <c r="B10" s="9">
        <f>SUMIF('ÖDEME TAKİP'!F$5:F$104,A10,'ÖDEME TAKİP'!D$5:D$104)</f>
        <v/>
      </c>
      <c r="C10" s="9">
        <f>SUMIFS('ÖDEME TAKİP'!D$5:D$104,'ÖDEME TAKİP'!F$5:F$104,A10,'ÖDEME TAKİP'!C$5:C$104,"Kredi Kartı")</f>
        <v/>
      </c>
      <c r="D10" s="9">
        <f>B10-C10</f>
        <v/>
      </c>
      <c r="E10" s="8">
        <f>COUNTIF('ÖDEME TAKİP'!F$5:F$104,A10)</f>
        <v/>
      </c>
      <c r="F10" s="8" t="inlineStr"/>
    </row>
    <row r="11">
      <c r="A11" s="8" t="inlineStr">
        <is>
          <t>Temmuz</t>
        </is>
      </c>
      <c r="B11" s="9">
        <f>SUMIF('ÖDEME TAKİP'!F$5:F$104,A11,'ÖDEME TAKİP'!D$5:D$104)</f>
        <v/>
      </c>
      <c r="C11" s="9">
        <f>SUMIFS('ÖDEME TAKİP'!D$5:D$104,'ÖDEME TAKİP'!F$5:F$104,A11,'ÖDEME TAKİP'!C$5:C$104,"Kredi Kartı")</f>
        <v/>
      </c>
      <c r="D11" s="9">
        <f>B11-C11</f>
        <v/>
      </c>
      <c r="E11" s="8">
        <f>COUNTIF('ÖDEME TAKİP'!F$5:F$104,A11)</f>
        <v/>
      </c>
      <c r="F11" s="8" t="inlineStr"/>
    </row>
    <row r="12">
      <c r="A12" s="8" t="inlineStr">
        <is>
          <t>Ağustos</t>
        </is>
      </c>
      <c r="B12" s="9">
        <f>SUMIF('ÖDEME TAKİP'!F$5:F$104,A12,'ÖDEME TAKİP'!D$5:D$104)</f>
        <v/>
      </c>
      <c r="C12" s="9">
        <f>SUMIFS('ÖDEME TAKİP'!D$5:D$104,'ÖDEME TAKİP'!F$5:F$104,A12,'ÖDEME TAKİP'!C$5:C$104,"Kredi Kartı")</f>
        <v/>
      </c>
      <c r="D12" s="9">
        <f>B12-C12</f>
        <v/>
      </c>
      <c r="E12" s="8">
        <f>COUNTIF('ÖDEME TAKİP'!F$5:F$104,A12)</f>
        <v/>
      </c>
      <c r="F12" s="8" t="inlineStr"/>
    </row>
    <row r="13">
      <c r="A13" s="8" t="inlineStr">
        <is>
          <t>Eylül</t>
        </is>
      </c>
      <c r="B13" s="9">
        <f>SUMIF('ÖDEME TAKİP'!F$5:F$104,A13,'ÖDEME TAKİP'!D$5:D$104)</f>
        <v/>
      </c>
      <c r="C13" s="9">
        <f>SUMIFS('ÖDEME TAKİP'!D$5:D$104,'ÖDEME TAKİP'!F$5:F$104,A13,'ÖDEME TAKİP'!C$5:C$104,"Kredi Kartı")</f>
        <v/>
      </c>
      <c r="D13" s="9">
        <f>B13-C13</f>
        <v/>
      </c>
      <c r="E13" s="8">
        <f>COUNTIF('ÖDEME TAKİP'!F$5:F$104,A13)</f>
        <v/>
      </c>
      <c r="F13" s="8" t="inlineStr"/>
    </row>
    <row r="14">
      <c r="A14" s="8" t="inlineStr">
        <is>
          <t>Ekim</t>
        </is>
      </c>
      <c r="B14" s="9">
        <f>SUMIF('ÖDEME TAKİP'!F$5:F$104,A14,'ÖDEME TAKİP'!D$5:D$104)</f>
        <v/>
      </c>
      <c r="C14" s="9">
        <f>SUMIFS('ÖDEME TAKİP'!D$5:D$104,'ÖDEME TAKİP'!F$5:F$104,A14,'ÖDEME TAKİP'!C$5:C$104,"Kredi Kartı")</f>
        <v/>
      </c>
      <c r="D14" s="9">
        <f>B14-C14</f>
        <v/>
      </c>
      <c r="E14" s="8">
        <f>COUNTIF('ÖDEME TAKİP'!F$5:F$104,A14)</f>
        <v/>
      </c>
      <c r="F14" s="8" t="inlineStr"/>
    </row>
    <row r="15">
      <c r="A15" s="8" t="inlineStr">
        <is>
          <t>Kasım</t>
        </is>
      </c>
      <c r="B15" s="9">
        <f>SUMIF('ÖDEME TAKİP'!F$5:F$104,A15,'ÖDEME TAKİP'!D$5:D$104)</f>
        <v/>
      </c>
      <c r="C15" s="9">
        <f>SUMIFS('ÖDEME TAKİP'!D$5:D$104,'ÖDEME TAKİP'!F$5:F$104,A15,'ÖDEME TAKİP'!C$5:C$104,"Kredi Kartı")</f>
        <v/>
      </c>
      <c r="D15" s="9">
        <f>B15-C15</f>
        <v/>
      </c>
      <c r="E15" s="8">
        <f>COUNTIF('ÖDEME TAKİP'!F$5:F$104,A15)</f>
        <v/>
      </c>
      <c r="F15" s="8" t="inlineStr"/>
    </row>
    <row r="16">
      <c r="A16" s="8" t="inlineStr">
        <is>
          <t>Aralık</t>
        </is>
      </c>
      <c r="B16" s="9">
        <f>SUMIF('ÖDEME TAKİP'!F$5:F$104,A16,'ÖDEME TAKİP'!D$5:D$104)</f>
        <v/>
      </c>
      <c r="C16" s="9">
        <f>SUMIFS('ÖDEME TAKİP'!D$5:D$104,'ÖDEME TAKİP'!F$5:F$104,A16,'ÖDEME TAKİP'!C$5:C$104,"Kredi Kartı")</f>
        <v/>
      </c>
      <c r="D16" s="9">
        <f>B16-C16</f>
        <v/>
      </c>
      <c r="E16" s="8">
        <f>COUNTIF('ÖDEME TAKİP'!F$5:F$104,A16)</f>
        <v/>
      </c>
      <c r="F16" s="8" t="inlineStr"/>
    </row>
    <row r="18">
      <c r="A18" s="20" t="inlineStr">
        <is>
          <t>YILLIK TOPLAM</t>
        </is>
      </c>
      <c r="B18" s="21">
        <f>SUM(B5:B16)</f>
        <v/>
      </c>
      <c r="C18" s="21">
        <f>SUM(C5:C16)</f>
        <v/>
      </c>
      <c r="D18" s="21">
        <f>SUM(D5:D16)</f>
        <v/>
      </c>
      <c r="E18" s="20">
        <f>SUM(E5:E16)</f>
        <v/>
      </c>
      <c r="F18" s="20" t="n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📘 MİNİHESAP – KULLANIM REHBERİ</t>
        </is>
      </c>
    </row>
    <row r="2">
      <c r="A2" s="22" t="inlineStr">
        <is>
          <t>Profesyonel Borç Takip Excel'i</t>
        </is>
      </c>
    </row>
    <row r="4" ht="32" customHeight="1">
      <c r="A4" s="7" t="inlineStr">
        <is>
          <t>ADIM</t>
        </is>
      </c>
      <c r="B4" s="7" t="inlineStr">
        <is>
          <t>SAYFA</t>
        </is>
      </c>
      <c r="C4" s="7" t="inlineStr">
        <is>
          <t>AÇIKLAMA</t>
        </is>
      </c>
    </row>
    <row r="5" ht="35" customHeight="1">
      <c r="A5" s="23" t="inlineStr">
        <is>
          <t>1</t>
        </is>
      </c>
      <c r="B5" s="23" t="inlineStr">
        <is>
          <t>ANA PANEL</t>
        </is>
      </c>
      <c r="C5" s="23" t="inlineStr">
        <is>
          <t>Toplam borç, toplam limit, kullanılabilir limit ve borç/limit oranını görüntüleyin.</t>
        </is>
      </c>
      <c r="D5" s="23" t="n"/>
      <c r="E5" s="23" t="n"/>
      <c r="F5" s="23" t="n"/>
    </row>
    <row r="6" ht="35" customHeight="1">
      <c r="A6" s="23" t="inlineStr">
        <is>
          <t>2</t>
        </is>
      </c>
      <c r="B6" s="23" t="inlineStr">
        <is>
          <t>BANKA TAKİP</t>
        </is>
      </c>
      <c r="C6" s="23" t="inlineStr">
        <is>
          <t>Yeşil hücrelere banka limit ve borç bilgilerinizi girin. Toplamlar otomatik hesaplanır.</t>
        </is>
      </c>
      <c r="D6" s="23" t="n"/>
      <c r="E6" s="23" t="n"/>
      <c r="F6" s="23" t="n"/>
    </row>
    <row r="7" ht="35" customHeight="1">
      <c r="A7" s="23" t="inlineStr">
        <is>
          <t>3</t>
        </is>
      </c>
      <c r="B7" s="23" t="inlineStr">
        <is>
          <t>ÖDEME TAKİP</t>
        </is>
      </c>
      <c r="C7" s="23" t="inlineStr">
        <is>
          <t>Yaptığınız ödemeleri tarih, banka, borç türü ve tutar bilgileriyle kaydedin.</t>
        </is>
      </c>
      <c r="D7" s="23" t="n"/>
      <c r="E7" s="23" t="n"/>
      <c r="F7" s="23" t="n"/>
    </row>
    <row r="8" ht="35" customHeight="1">
      <c r="A8" s="23" t="inlineStr">
        <is>
          <t>4</t>
        </is>
      </c>
      <c r="B8" s="23" t="inlineStr">
        <is>
          <t>TAKSİT TAKİP</t>
        </is>
      </c>
      <c r="C8" s="23" t="inlineStr">
        <is>
          <t>Taksitli alışverişlerin toplam tutarını, taksit sayısını ve ödenen taksitleri takip edin.</t>
        </is>
      </c>
      <c r="D8" s="23" t="n"/>
      <c r="E8" s="23" t="n"/>
      <c r="F8" s="23" t="n"/>
    </row>
    <row r="9" ht="35" customHeight="1">
      <c r="A9" s="23" t="inlineStr">
        <is>
          <t>5</t>
        </is>
      </c>
      <c r="B9" s="23" t="inlineStr">
        <is>
          <t>AYLIK ÖZET</t>
        </is>
      </c>
      <c r="C9" s="23" t="inlineStr">
        <is>
          <t>ÖDEME TAKİP sayfasındaki kayıtların aylık toplamlarını ve ödeme trendini görün.</t>
        </is>
      </c>
      <c r="D9" s="23" t="n"/>
      <c r="E9" s="23" t="n"/>
      <c r="F9" s="23" t="n"/>
    </row>
    <row r="12">
      <c r="A12" s="24" t="inlineStr">
        <is>
          <t>ÖNEMLİ: Bu Excel kişisel bütçe ve borç takibi amacıyla hazırlanmış bir araçtır. Banka hesaplarınıza otomatik bağlanmaz. Girdiğiniz bilgilerin güncel ve doğru olduğundan emin olun.</t>
        </is>
      </c>
    </row>
    <row r="13"/>
    <row r="14"/>
  </sheetData>
  <mergeCells count="8">
    <mergeCell ref="A2:F2"/>
    <mergeCell ref="C9:F9"/>
    <mergeCell ref="C8:F8"/>
    <mergeCell ref="A1:F1"/>
    <mergeCell ref="A12:F14"/>
    <mergeCell ref="C6:F6"/>
    <mergeCell ref="C7:F7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2026-08-29T13:44:53Z</dcterms:created>
  <dcterms:modified xmlns:dcterms="http://purl.org/dc/terms/" xmlns:xsi="http://www.w3.org/2001/XMLSchema-instance" xsi:type="dcterms:W3CDTF">2026-08-29T13:44:53Z</dcterms:modified>
</cp:coreProperties>
</file>